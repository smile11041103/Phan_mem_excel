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5.xml" ContentType="application/vnd.openxmlformats-officedocument.drawing+xml"/>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drawings/drawing7.xml" ContentType="application/vnd.openxmlformats-officedocument.drawing+xml"/>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D:\Study\VBA\"/>
    </mc:Choice>
  </mc:AlternateContent>
  <xr:revisionPtr revIDLastSave="0" documentId="13_ncr:1_{B3193816-087D-425E-8164-A540D7AA1AE6}" xr6:coauthVersionLast="47" xr6:coauthVersionMax="47" xr10:uidLastSave="{00000000-0000-0000-0000-000000000000}"/>
  <workbookProtection lockStructure="1"/>
  <bookViews>
    <workbookView xWindow="-120" yWindow="-120" windowWidth="29040" windowHeight="15840" tabRatio="766" activeTab="3" xr2:uid="{00000000-000D-0000-FFFF-FFFF00000000}"/>
  </bookViews>
  <sheets>
    <sheet name="DanhSach" sheetId="8" r:id="rId1"/>
    <sheet name="CaiDat" sheetId="10" r:id="rId2"/>
    <sheet name="HƯỚNG DẪN SỬ DỤNG" sheetId="17" r:id="rId3"/>
    <sheet name="OB_Nam" sheetId="3" r:id="rId4"/>
    <sheet name="OB_Nu" sheetId="4" r:id="rId5"/>
    <sheet name="TuyenGiap" sheetId="5" r:id="rId6"/>
    <sheet name="TuyenVu" sheetId="6" r:id="rId7"/>
    <sheet name="TCPP" sheetId="7" r:id="rId8"/>
    <sheet name="TongHopKQ" sheetId="2" r:id="rId9"/>
    <sheet name="DataBenhLy" sheetId="18" state="hidden" r:id="rId10"/>
    <sheet name="Data" sheetId="1" state="hidden" r:id="rId11"/>
    <sheet name="PRT_OB_Nam" sheetId="12" state="hidden" r:id="rId12"/>
    <sheet name="PRT_OB_Nu" sheetId="13" state="hidden" r:id="rId13"/>
    <sheet name="PRT_TuyenGiap" sheetId="14" state="hidden" r:id="rId14"/>
    <sheet name="PRT_TuyenVu" sheetId="15" state="hidden" r:id="rId15"/>
    <sheet name="PRT_TCPP" sheetId="16" state="hidden" r:id="rId16"/>
  </sheets>
  <functionGroups builtInGroupCount="19"/>
  <definedNames>
    <definedName name="_xlnm._FilterDatabase" localSheetId="0" hidden="1">DanhSach!$A$2:$P$3096</definedName>
    <definedName name="dsBangQuang">DataBenhLy!$C$18:$C$19</definedName>
    <definedName name="dsBtrungP">DataBenhLy!$C$40:$C$41</definedName>
    <definedName name="dsBtrungT">DataBenhLy!$C$38:$C$39</definedName>
    <definedName name="dsDouglas">DataBenhLy!$C$42:$C$43</definedName>
    <definedName name="dsEoTuyen">DataBenhLy!$C$30:$C$31</definedName>
    <definedName name="dsGan">DataBenhLy!$C$1:$C$7</definedName>
    <definedName name="dsKlOB">DataBenhLy!$C$48:$C$49</definedName>
    <definedName name="dsKlTCPP">DataBenhLy!$C$54:$C$55</definedName>
    <definedName name="dsKlTG">DataBenhLy!$C$50:$C$51</definedName>
    <definedName name="dsKlTV">DataBenhLy!$C$52:$C$53</definedName>
    <definedName name="dsLach">DataBenhLy!$C$12:$C$13</definedName>
    <definedName name="dsLqTG">DataBenhLy!$C$44:$C$45</definedName>
    <definedName name="dsLqTV">DataBenhLy!$C$46:$C$47</definedName>
    <definedName name="dsTC">DataBenhLy!$C$24:$C$25</definedName>
    <definedName name="dsTCtuthe">DataBenhLy!$C$36:$C$37</definedName>
    <definedName name="dsTLT">DataBenhLy!$C$20:$C$21</definedName>
    <definedName name="dsTuiMat">DataBenhLy!$C$8:$C$9</definedName>
    <definedName name="dsTuy">DataBenhLy!$C$10:$C$11</definedName>
    <definedName name="dsThamdokhac">DataBenhLy!$C$22:$C$23</definedName>
    <definedName name="dsThanP">DataBenhLy!$C$14:$C$15</definedName>
    <definedName name="dsThanT">DataBenhLy!$C$16:$C$17</definedName>
    <definedName name="dsThuyP">DataBenhLy!$C$26:$C$27</definedName>
    <definedName name="dsThuyT">DataBenhLy!$C$28:$C$29</definedName>
    <definedName name="dsVuP">DataBenhLy!$C$32:$C$33</definedName>
    <definedName name="dsVuT">DataBenhLy!$C$34:$C$35</definedName>
    <definedName name="_xlnm.Print_Area" localSheetId="3">OB_Nam!$B$1:$F$28</definedName>
    <definedName name="_xlnm.Print_Area" localSheetId="4">OB_Nu!$B:$F</definedName>
    <definedName name="_xlnm.Print_Area" localSheetId="11">PRT_OB_Nam!$B$1:$F$28</definedName>
    <definedName name="_xlnm.Print_Area" localSheetId="12">PRT_OB_Nu!$A$1:$F$32</definedName>
    <definedName name="_xlnm.Print_Area" localSheetId="15">PRT_TCPP!$B$1:$F$23</definedName>
    <definedName name="_xlnm.Print_Area" localSheetId="13">PRT_TuyenGiap!$B$1:$F$23</definedName>
    <definedName name="_xlnm.Print_Area" localSheetId="14">PRT_TuyenVu!$B$1:$F$22</definedName>
    <definedName name="_xlnm.Print_Area" localSheetId="7">TCPP!$B$1:$F$22</definedName>
    <definedName name="_xlnm.Print_Area" localSheetId="5">TuyenGiap!$B$1:$F$27</definedName>
    <definedName name="_xlnm.Print_Area" localSheetId="6">TuyenVu!$B$1:$F$23</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3097" i="8" l="1"/>
  <c r="A3098" i="8"/>
  <c r="A3099" i="8"/>
  <c r="A3100" i="8"/>
  <c r="A3101" i="8"/>
  <c r="A3102" i="8"/>
  <c r="A3103" i="8"/>
  <c r="A3104" i="8"/>
  <c r="A3105" i="8"/>
  <c r="A3106" i="8"/>
  <c r="A3107" i="8"/>
  <c r="A3108" i="8"/>
  <c r="A3109" i="8"/>
  <c r="A3110" i="8"/>
  <c r="A3111" i="8"/>
  <c r="A3112" i="8"/>
  <c r="A3113" i="8"/>
  <c r="A3114" i="8"/>
  <c r="A3115" i="8"/>
  <c r="A3116" i="8"/>
  <c r="A3117" i="8"/>
  <c r="A3118" i="8"/>
  <c r="A3119" i="8"/>
  <c r="A3120" i="8"/>
  <c r="A3121" i="8"/>
  <c r="A3122" i="8"/>
  <c r="A3123" i="8"/>
  <c r="A3124" i="8"/>
  <c r="A3125" i="8"/>
  <c r="A3126" i="8"/>
  <c r="A3127" i="8"/>
  <c r="A3128" i="8"/>
  <c r="A3129" i="8"/>
  <c r="A3130" i="8"/>
  <c r="A3131" i="8"/>
  <c r="A3132" i="8"/>
  <c r="A3133" i="8"/>
  <c r="A3134" i="8"/>
  <c r="A3135" i="8"/>
  <c r="A3136" i="8"/>
  <c r="A3137" i="8"/>
  <c r="A3138" i="8"/>
  <c r="A3139" i="8"/>
  <c r="A3140" i="8"/>
  <c r="A3141" i="8"/>
  <c r="A3142" i="8"/>
  <c r="A3143" i="8"/>
  <c r="A3144" i="8"/>
  <c r="A3145" i="8"/>
  <c r="A3146" i="8"/>
  <c r="A3147" i="8"/>
  <c r="A3148" i="8"/>
  <c r="A3149" i="8"/>
  <c r="A3150" i="8"/>
  <c r="A3151" i="8"/>
  <c r="A3152" i="8"/>
  <c r="A3153" i="8"/>
  <c r="A3154" i="8"/>
  <c r="A3155" i="8"/>
  <c r="A3156" i="8"/>
  <c r="A3157" i="8"/>
  <c r="A3158" i="8"/>
  <c r="A3159" i="8"/>
  <c r="A3160" i="8"/>
  <c r="A3161" i="8"/>
  <c r="A3162" i="8"/>
  <c r="A3163" i="8"/>
  <c r="A3164" i="8"/>
  <c r="A3165" i="8"/>
  <c r="A3166" i="8"/>
  <c r="A3167" i="8"/>
  <c r="A3168" i="8"/>
  <c r="A3169" i="8"/>
  <c r="A3170" i="8"/>
  <c r="A3171" i="8"/>
  <c r="A3172" i="8"/>
  <c r="A3173" i="8"/>
  <c r="A3174" i="8"/>
  <c r="A3175" i="8"/>
  <c r="A3176" i="8"/>
  <c r="A3177" i="8"/>
  <c r="A3178" i="8"/>
  <c r="A3179" i="8"/>
  <c r="A3180" i="8"/>
  <c r="A3181" i="8"/>
  <c r="A3182" i="8"/>
  <c r="A3183" i="8"/>
  <c r="A3184" i="8"/>
  <c r="A3185" i="8"/>
  <c r="A3186" i="8"/>
  <c r="A3187" i="8"/>
  <c r="A3188" i="8"/>
  <c r="A3189" i="8"/>
  <c r="A3190" i="8"/>
  <c r="A3191" i="8"/>
  <c r="A3192" i="8"/>
  <c r="A3193" i="8"/>
  <c r="A3194" i="8"/>
  <c r="A3195" i="8"/>
  <c r="A3196" i="8"/>
  <c r="A3197" i="8"/>
  <c r="A3198" i="8"/>
  <c r="A3199" i="8"/>
  <c r="A3200" i="8"/>
  <c r="A3201" i="8"/>
  <c r="A3202" i="8"/>
  <c r="A3203" i="8"/>
  <c r="A3204" i="8"/>
  <c r="A3205" i="8"/>
  <c r="A3206" i="8"/>
  <c r="A3207" i="8"/>
  <c r="A3208" i="8"/>
  <c r="A3209" i="8"/>
  <c r="A3210" i="8"/>
  <c r="A3211" i="8"/>
  <c r="A3212" i="8"/>
  <c r="A3213" i="8"/>
  <c r="A3214" i="8"/>
  <c r="A3215" i="8"/>
  <c r="A3216" i="8"/>
  <c r="A3217" i="8"/>
  <c r="A3218" i="8"/>
  <c r="A3219" i="8"/>
  <c r="A3220" i="8"/>
  <c r="A3221" i="8"/>
  <c r="A3222" i="8"/>
  <c r="A3223" i="8"/>
  <c r="A3224" i="8"/>
  <c r="A3225" i="8"/>
  <c r="A3226" i="8"/>
  <c r="A3227" i="8"/>
  <c r="A3228" i="8"/>
  <c r="A3229" i="8"/>
  <c r="A3230" i="8"/>
  <c r="A3231" i="8"/>
  <c r="A3232" i="8"/>
  <c r="A3233" i="8"/>
  <c r="A3234" i="8"/>
  <c r="A3235" i="8"/>
  <c r="A3236" i="8"/>
  <c r="A3237" i="8"/>
  <c r="A3238" i="8"/>
  <c r="A3239" i="8"/>
  <c r="A3240" i="8"/>
  <c r="A3241" i="8"/>
  <c r="A3242" i="8"/>
  <c r="A3243" i="8"/>
  <c r="A3244" i="8"/>
  <c r="A3245" i="8"/>
  <c r="A3246" i="8"/>
  <c r="A3247" i="8"/>
  <c r="A3248" i="8"/>
  <c r="A3249" i="8"/>
  <c r="A3250" i="8"/>
  <c r="A3251" i="8"/>
  <c r="A3252" i="8"/>
  <c r="A3253" i="8"/>
  <c r="A3254" i="8"/>
  <c r="A3255" i="8"/>
  <c r="A3256" i="8"/>
  <c r="A3257" i="8"/>
  <c r="A3258" i="8"/>
  <c r="A3259" i="8"/>
  <c r="A3260" i="8"/>
  <c r="A3261" i="8"/>
  <c r="A3262" i="8"/>
  <c r="A3263" i="8"/>
  <c r="A3264" i="8"/>
  <c r="A3265" i="8"/>
  <c r="A3266" i="8"/>
  <c r="A3267" i="8"/>
  <c r="A3268" i="8"/>
  <c r="A3269" i="8"/>
  <c r="A3270" i="8"/>
  <c r="W2" i="7"/>
  <c r="W2" i="6"/>
  <c r="W2" i="5"/>
  <c r="W2" i="4"/>
  <c r="W2" i="3"/>
  <c r="A3" i="8"/>
  <c r="A4" i="8"/>
  <c r="A5" i="8"/>
  <c r="A6" i="8"/>
  <c r="A7" i="8"/>
  <c r="A8" i="8"/>
  <c r="A9" i="8"/>
  <c r="A10" i="8"/>
  <c r="A11" i="8"/>
  <c r="A12" i="8"/>
  <c r="A13" i="8"/>
  <c r="A14" i="8"/>
  <c r="A15" i="8"/>
  <c r="A16" i="8"/>
  <c r="A17" i="8"/>
  <c r="A18" i="8"/>
  <c r="A19" i="8"/>
  <c r="A20" i="8"/>
  <c r="A21" i="8"/>
  <c r="A22" i="8"/>
  <c r="A23" i="8"/>
  <c r="A167" i="8" l="1"/>
  <c r="A166" i="8"/>
  <c r="A165" i="8"/>
  <c r="A164" i="8"/>
  <c r="A163" i="8"/>
  <c r="A162" i="8"/>
  <c r="A161" i="8"/>
  <c r="A160" i="8"/>
  <c r="A159" i="8"/>
  <c r="A158" i="8"/>
  <c r="A157" i="8"/>
  <c r="A156" i="8"/>
  <c r="A155" i="8"/>
  <c r="A154" i="8"/>
  <c r="A153" i="8"/>
  <c r="A152" i="8"/>
  <c r="A151" i="8"/>
  <c r="A150" i="8"/>
  <c r="A149" i="8"/>
  <c r="A148" i="8"/>
  <c r="A147" i="8"/>
  <c r="A146" i="8"/>
  <c r="A145" i="8"/>
  <c r="A144" i="8"/>
  <c r="A143" i="8"/>
  <c r="A142" i="8"/>
  <c r="A141" i="8"/>
  <c r="A140" i="8"/>
  <c r="A139" i="8"/>
  <c r="A138" i="8"/>
  <c r="A137" i="8"/>
  <c r="A136" i="8"/>
  <c r="A135" i="8"/>
  <c r="A134" i="8"/>
  <c r="A133" i="8"/>
  <c r="A132" i="8"/>
  <c r="A131" i="8"/>
  <c r="A130" i="8"/>
  <c r="A129" i="8"/>
  <c r="A128" i="8"/>
  <c r="A127" i="8"/>
  <c r="A126" i="8"/>
  <c r="A125" i="8"/>
  <c r="A124" i="8"/>
  <c r="A123" i="8"/>
  <c r="A122" i="8"/>
  <c r="A121" i="8"/>
  <c r="A120" i="8"/>
  <c r="A119" i="8"/>
  <c r="A118" i="8"/>
  <c r="A117" i="8"/>
  <c r="A116" i="8"/>
  <c r="A115" i="8"/>
  <c r="A114" i="8"/>
  <c r="A113" i="8"/>
  <c r="A112" i="8"/>
  <c r="A111" i="8"/>
  <c r="A110" i="8"/>
  <c r="A109" i="8"/>
  <c r="A108" i="8"/>
  <c r="A107" i="8"/>
  <c r="A106" i="8"/>
  <c r="A105" i="8"/>
  <c r="A104" i="8"/>
  <c r="A103" i="8"/>
  <c r="A102" i="8"/>
  <c r="A101" i="8"/>
  <c r="A100" i="8"/>
  <c r="A99" i="8"/>
  <c r="A98" i="8"/>
  <c r="A97" i="8"/>
  <c r="A96" i="8"/>
  <c r="A95" i="8"/>
  <c r="A94" i="8"/>
  <c r="A93" i="8"/>
  <c r="A92" i="8"/>
  <c r="A91" i="8"/>
  <c r="A90" i="8"/>
  <c r="A89" i="8"/>
  <c r="A88" i="8"/>
  <c r="A87" i="8"/>
  <c r="A86" i="8"/>
  <c r="A85" i="8"/>
  <c r="A84" i="8"/>
  <c r="A83" i="8"/>
  <c r="A82" i="8"/>
  <c r="A81" i="8"/>
  <c r="A80" i="8"/>
  <c r="A79" i="8"/>
  <c r="A78" i="8"/>
  <c r="A77" i="8"/>
  <c r="A76" i="8"/>
  <c r="A75" i="8"/>
  <c r="A74" i="8"/>
  <c r="A73" i="8"/>
  <c r="A72" i="8"/>
  <c r="A71" i="8"/>
  <c r="A70" i="8"/>
  <c r="A69"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168" i="8"/>
  <c r="A169" i="8"/>
  <c r="A170" i="8"/>
  <c r="A171" i="8"/>
  <c r="A172" i="8"/>
  <c r="A173" i="8"/>
  <c r="A174" i="8"/>
  <c r="A175" i="8"/>
  <c r="A176" i="8"/>
  <c r="A177" i="8"/>
  <c r="A178" i="8"/>
  <c r="A179" i="8"/>
  <c r="A180" i="8"/>
  <c r="A181" i="8"/>
  <c r="A182" i="8"/>
  <c r="A183" i="8"/>
  <c r="A184" i="8"/>
  <c r="A185" i="8"/>
  <c r="A186" i="8"/>
  <c r="A187" i="8"/>
  <c r="A188" i="8"/>
  <c r="A189" i="8"/>
  <c r="A190" i="8"/>
  <c r="A191" i="8"/>
  <c r="A192" i="8"/>
  <c r="A193" i="8"/>
  <c r="A194" i="8"/>
  <c r="A195" i="8"/>
  <c r="A196" i="8"/>
  <c r="A197" i="8"/>
  <c r="A198" i="8"/>
  <c r="A199" i="8"/>
  <c r="A200" i="8"/>
  <c r="A201" i="8"/>
  <c r="A202" i="8"/>
  <c r="A203" i="8"/>
  <c r="A204" i="8"/>
  <c r="A205" i="8"/>
  <c r="A206" i="8"/>
  <c r="A207" i="8"/>
  <c r="A208" i="8"/>
  <c r="A209" i="8"/>
  <c r="A210" i="8"/>
  <c r="A211" i="8"/>
  <c r="A212" i="8"/>
  <c r="A213" i="8"/>
  <c r="A214" i="8"/>
  <c r="A215" i="8"/>
  <c r="A216" i="8"/>
  <c r="A217" i="8"/>
  <c r="A218" i="8"/>
  <c r="A219" i="8"/>
  <c r="A220" i="8"/>
  <c r="A221" i="8"/>
  <c r="A222" i="8"/>
  <c r="A223" i="8"/>
  <c r="A224" i="8"/>
  <c r="A225" i="8"/>
  <c r="A226" i="8"/>
  <c r="A227" i="8"/>
  <c r="A228" i="8"/>
  <c r="A229" i="8"/>
  <c r="A230" i="8"/>
  <c r="A231" i="8"/>
  <c r="A232" i="8"/>
  <c r="A233" i="8"/>
  <c r="A234" i="8"/>
  <c r="A235" i="8"/>
  <c r="A236" i="8"/>
  <c r="A237" i="8"/>
  <c r="A238" i="8"/>
  <c r="A239" i="8"/>
  <c r="A240" i="8"/>
  <c r="A241" i="8"/>
  <c r="A242" i="8"/>
  <c r="A243" i="8"/>
  <c r="A244" i="8"/>
  <c r="A245" i="8"/>
  <c r="A246" i="8"/>
  <c r="A247" i="8"/>
  <c r="A248" i="8"/>
  <c r="A249" i="8"/>
  <c r="A250" i="8"/>
  <c r="A251" i="8"/>
  <c r="A252" i="8"/>
  <c r="A253" i="8"/>
  <c r="A254" i="8"/>
  <c r="A255" i="8"/>
  <c r="A256" i="8"/>
  <c r="A257" i="8"/>
  <c r="A258" i="8"/>
  <c r="A259" i="8"/>
  <c r="A260" i="8"/>
  <c r="A261" i="8"/>
  <c r="A262" i="8"/>
  <c r="A263" i="8"/>
  <c r="A264" i="8"/>
  <c r="A265" i="8"/>
  <c r="A266" i="8"/>
  <c r="A267" i="8"/>
  <c r="A268" i="8"/>
  <c r="A269" i="8"/>
  <c r="A270" i="8"/>
  <c r="A271" i="8"/>
  <c r="A272" i="8"/>
  <c r="A273" i="8"/>
  <c r="A274" i="8"/>
  <c r="A275" i="8"/>
  <c r="A276" i="8"/>
  <c r="A277" i="8"/>
  <c r="A278" i="8"/>
  <c r="A279" i="8"/>
  <c r="A280" i="8"/>
  <c r="A281" i="8"/>
  <c r="A282" i="8"/>
  <c r="A283" i="8"/>
  <c r="A284" i="8"/>
  <c r="A285" i="8"/>
  <c r="A286" i="8"/>
  <c r="A287" i="8"/>
  <c r="A288" i="8"/>
  <c r="A289" i="8"/>
  <c r="A290" i="8"/>
  <c r="A291" i="8"/>
  <c r="A292" i="8"/>
  <c r="A293" i="8"/>
  <c r="A294" i="8"/>
  <c r="A295" i="8"/>
  <c r="A296" i="8"/>
  <c r="A297" i="8"/>
  <c r="A298" i="8"/>
  <c r="A299" i="8"/>
  <c r="A300" i="8"/>
  <c r="A301" i="8"/>
  <c r="A302" i="8"/>
  <c r="A303" i="8"/>
  <c r="A304" i="8"/>
  <c r="A305" i="8"/>
  <c r="A306" i="8"/>
  <c r="A307" i="8"/>
  <c r="A308" i="8"/>
  <c r="A309" i="8"/>
  <c r="A310" i="8"/>
  <c r="A311" i="8"/>
  <c r="A312" i="8"/>
  <c r="A313" i="8"/>
  <c r="A314" i="8"/>
  <c r="A315" i="8"/>
  <c r="A316" i="8"/>
  <c r="A317" i="8"/>
  <c r="A318" i="8"/>
  <c r="A319" i="8"/>
  <c r="A320" i="8"/>
  <c r="A321" i="8"/>
  <c r="A322" i="8"/>
  <c r="A323" i="8"/>
  <c r="A324" i="8"/>
  <c r="A325" i="8"/>
  <c r="A326" i="8"/>
  <c r="A327" i="8"/>
  <c r="A328" i="8"/>
  <c r="A329" i="8"/>
  <c r="A330" i="8"/>
  <c r="A331" i="8"/>
  <c r="A332" i="8"/>
  <c r="A333" i="8"/>
  <c r="A334" i="8"/>
  <c r="A335" i="8"/>
  <c r="A336" i="8"/>
  <c r="A337" i="8"/>
  <c r="A338" i="8"/>
  <c r="A339" i="8"/>
  <c r="A340" i="8"/>
  <c r="A341" i="8"/>
  <c r="A342" i="8"/>
  <c r="A343" i="8"/>
  <c r="A344" i="8"/>
  <c r="A345" i="8"/>
  <c r="A346" i="8"/>
  <c r="A347" i="8"/>
  <c r="A348" i="8"/>
  <c r="A349" i="8"/>
  <c r="A350" i="8"/>
  <c r="A351" i="8"/>
  <c r="A352" i="8"/>
  <c r="A353" i="8"/>
  <c r="A354" i="8"/>
  <c r="A355" i="8"/>
  <c r="A356" i="8"/>
  <c r="A357" i="8"/>
  <c r="A358" i="8"/>
  <c r="A359" i="8"/>
  <c r="A360" i="8"/>
  <c r="A361" i="8"/>
  <c r="A362" i="8"/>
  <c r="A363" i="8"/>
  <c r="A364" i="8"/>
  <c r="A365" i="8"/>
  <c r="A366" i="8"/>
  <c r="A367" i="8"/>
  <c r="A368" i="8"/>
  <c r="A369" i="8"/>
  <c r="A370" i="8"/>
  <c r="A371" i="8"/>
  <c r="A372" i="8"/>
  <c r="A373" i="8"/>
  <c r="A374" i="8"/>
  <c r="A375" i="8"/>
  <c r="A376" i="8"/>
  <c r="A377" i="8"/>
  <c r="A378" i="8"/>
  <c r="A379" i="8"/>
  <c r="A380" i="8"/>
  <c r="A381" i="8"/>
  <c r="A382" i="8"/>
  <c r="A383" i="8"/>
  <c r="A384" i="8"/>
  <c r="A385" i="8"/>
  <c r="A386" i="8"/>
  <c r="A387" i="8"/>
  <c r="A388" i="8"/>
  <c r="A389" i="8"/>
  <c r="A390" i="8"/>
  <c r="A391" i="8"/>
  <c r="A392" i="8"/>
  <c r="A393" i="8"/>
  <c r="A394" i="8"/>
  <c r="A395" i="8"/>
  <c r="A396" i="8"/>
  <c r="A397" i="8"/>
  <c r="A398" i="8"/>
  <c r="A399" i="8"/>
  <c r="A400" i="8"/>
  <c r="A401" i="8"/>
  <c r="A402" i="8"/>
  <c r="A403" i="8"/>
  <c r="A404" i="8"/>
  <c r="A405" i="8"/>
  <c r="A406" i="8"/>
  <c r="A407" i="8"/>
  <c r="A408" i="8"/>
  <c r="A409" i="8"/>
  <c r="A410" i="8"/>
  <c r="A411" i="8"/>
  <c r="A412" i="8"/>
  <c r="A413" i="8"/>
  <c r="A414" i="8"/>
  <c r="A415" i="8"/>
  <c r="A416" i="8"/>
  <c r="A417" i="8"/>
  <c r="A418" i="8"/>
  <c r="A419" i="8"/>
  <c r="A420" i="8"/>
  <c r="A421" i="8"/>
  <c r="A422" i="8"/>
  <c r="A423" i="8"/>
  <c r="A424" i="8"/>
  <c r="A425" i="8"/>
  <c r="A426" i="8"/>
  <c r="A427" i="8"/>
  <c r="A428" i="8"/>
  <c r="A429" i="8"/>
  <c r="A430" i="8"/>
  <c r="A431" i="8"/>
  <c r="A432" i="8"/>
  <c r="A433" i="8"/>
  <c r="A434" i="8"/>
  <c r="A435" i="8"/>
  <c r="A436" i="8"/>
  <c r="A437" i="8"/>
  <c r="A438" i="8"/>
  <c r="A439" i="8"/>
  <c r="A440" i="8"/>
  <c r="A441" i="8"/>
  <c r="A442" i="8"/>
  <c r="A443" i="8"/>
  <c r="A444" i="8"/>
  <c r="A445" i="8"/>
  <c r="A446" i="8"/>
  <c r="A447" i="8"/>
  <c r="A448" i="8"/>
  <c r="A449" i="8"/>
  <c r="A450" i="8"/>
  <c r="A451" i="8"/>
  <c r="A452" i="8"/>
  <c r="A453" i="8"/>
  <c r="A454" i="8"/>
  <c r="A455" i="8"/>
  <c r="A456" i="8"/>
  <c r="A457" i="8"/>
  <c r="A458" i="8"/>
  <c r="A459" i="8"/>
  <c r="A460" i="8"/>
  <c r="A461" i="8"/>
  <c r="A462" i="8"/>
  <c r="A463" i="8"/>
  <c r="A464" i="8"/>
  <c r="A465" i="8"/>
  <c r="A466" i="8"/>
  <c r="A467" i="8"/>
  <c r="A468" i="8"/>
  <c r="A469" i="8"/>
  <c r="A470" i="8"/>
  <c r="A471" i="8"/>
  <c r="A472" i="8"/>
  <c r="A473" i="8"/>
  <c r="A474" i="8"/>
  <c r="A475" i="8"/>
  <c r="A476" i="8"/>
  <c r="A477" i="8"/>
  <c r="A478" i="8"/>
  <c r="A479" i="8"/>
  <c r="A480" i="8"/>
  <c r="A481" i="8"/>
  <c r="A482" i="8"/>
  <c r="A483" i="8"/>
  <c r="A484" i="8"/>
  <c r="A485" i="8"/>
  <c r="A486" i="8"/>
  <c r="A487" i="8"/>
  <c r="A488" i="8"/>
  <c r="A489" i="8"/>
  <c r="A490" i="8"/>
  <c r="A491" i="8"/>
  <c r="A492" i="8"/>
  <c r="A493" i="8"/>
  <c r="A494" i="8"/>
  <c r="A495" i="8"/>
  <c r="A496" i="8"/>
  <c r="A497" i="8"/>
  <c r="A498" i="8"/>
  <c r="A499" i="8"/>
  <c r="A500" i="8"/>
  <c r="A501" i="8"/>
  <c r="A502" i="8"/>
  <c r="A503" i="8"/>
  <c r="A504" i="8"/>
  <c r="A505" i="8"/>
  <c r="A506" i="8"/>
  <c r="A507" i="8"/>
  <c r="A508" i="8"/>
  <c r="A509" i="8"/>
  <c r="A510" i="8"/>
  <c r="A511" i="8"/>
  <c r="A512" i="8"/>
  <c r="A513" i="8"/>
  <c r="A514" i="8"/>
  <c r="A515" i="8"/>
  <c r="A516" i="8"/>
  <c r="A517" i="8"/>
  <c r="A518" i="8"/>
  <c r="A519" i="8"/>
  <c r="A520" i="8"/>
  <c r="A521" i="8"/>
  <c r="A522" i="8"/>
  <c r="A523" i="8"/>
  <c r="A524" i="8"/>
  <c r="A525" i="8"/>
  <c r="A526" i="8"/>
  <c r="A527" i="8"/>
  <c r="A528" i="8"/>
  <c r="A529" i="8"/>
  <c r="A530" i="8"/>
  <c r="A531" i="8"/>
  <c r="A532" i="8"/>
  <c r="A533" i="8"/>
  <c r="A534" i="8"/>
  <c r="A535" i="8"/>
  <c r="A536" i="8"/>
  <c r="A537" i="8"/>
  <c r="A538" i="8"/>
  <c r="A539" i="8"/>
  <c r="A540" i="8"/>
  <c r="A541" i="8"/>
  <c r="A542" i="8"/>
  <c r="A543" i="8"/>
  <c r="A544" i="8"/>
  <c r="A545" i="8"/>
  <c r="A546" i="8"/>
  <c r="A547" i="8"/>
  <c r="A548" i="8"/>
  <c r="A549" i="8"/>
  <c r="A550" i="8"/>
  <c r="A551" i="8"/>
  <c r="A552" i="8"/>
  <c r="A553" i="8"/>
  <c r="A554" i="8"/>
  <c r="A555" i="8"/>
  <c r="A556" i="8"/>
  <c r="A557" i="8"/>
  <c r="A558" i="8"/>
  <c r="A559" i="8"/>
  <c r="A560" i="8"/>
  <c r="A561" i="8"/>
  <c r="A562" i="8"/>
  <c r="A563" i="8"/>
  <c r="A564" i="8"/>
  <c r="A565" i="8"/>
  <c r="A566" i="8"/>
  <c r="A567" i="8"/>
  <c r="A568" i="8"/>
  <c r="A569" i="8"/>
  <c r="A570" i="8"/>
  <c r="A571" i="8"/>
  <c r="A572" i="8"/>
  <c r="A573" i="8"/>
  <c r="A574" i="8"/>
  <c r="A575" i="8"/>
  <c r="A576" i="8"/>
  <c r="A577" i="8"/>
  <c r="A578" i="8"/>
  <c r="A579" i="8"/>
  <c r="A580" i="8"/>
  <c r="A581" i="8"/>
  <c r="A582" i="8"/>
  <c r="A583" i="8"/>
  <c r="A584" i="8"/>
  <c r="A585" i="8"/>
  <c r="A586" i="8"/>
  <c r="A587" i="8"/>
  <c r="A588" i="8"/>
  <c r="A589" i="8"/>
  <c r="A590" i="8"/>
  <c r="A591" i="8"/>
  <c r="A592" i="8"/>
  <c r="A593" i="8"/>
  <c r="A594" i="8"/>
  <c r="A595" i="8"/>
  <c r="A596" i="8"/>
  <c r="A597" i="8"/>
  <c r="A598" i="8"/>
  <c r="A599" i="8"/>
  <c r="A600" i="8"/>
  <c r="A601" i="8"/>
  <c r="A602" i="8"/>
  <c r="A603" i="8"/>
  <c r="A604" i="8"/>
  <c r="A605" i="8"/>
  <c r="A606" i="8"/>
  <c r="A607" i="8"/>
  <c r="A608" i="8"/>
  <c r="A609" i="8"/>
  <c r="A610" i="8"/>
  <c r="A611" i="8"/>
  <c r="A612" i="8"/>
  <c r="A613" i="8"/>
  <c r="A614" i="8"/>
  <c r="A615" i="8"/>
  <c r="A616" i="8"/>
  <c r="A617" i="8"/>
  <c r="A618" i="8"/>
  <c r="A619" i="8"/>
  <c r="A620" i="8"/>
  <c r="A621" i="8"/>
  <c r="A622" i="8"/>
  <c r="A623" i="8"/>
  <c r="A624" i="8"/>
  <c r="A625" i="8"/>
  <c r="A626" i="8"/>
  <c r="A627" i="8"/>
  <c r="A628" i="8"/>
  <c r="A629" i="8"/>
  <c r="A630" i="8"/>
  <c r="A631" i="8"/>
  <c r="A632" i="8"/>
  <c r="A633" i="8"/>
  <c r="A634" i="8"/>
  <c r="A635" i="8"/>
  <c r="A636" i="8"/>
  <c r="A637" i="8"/>
  <c r="A638" i="8"/>
  <c r="A639" i="8"/>
  <c r="A640" i="8"/>
  <c r="A641" i="8"/>
  <c r="A642" i="8"/>
  <c r="A643" i="8"/>
  <c r="A644" i="8"/>
  <c r="A645" i="8"/>
  <c r="A646" i="8"/>
  <c r="A647" i="8"/>
  <c r="A648" i="8"/>
  <c r="A649" i="8"/>
  <c r="A650" i="8"/>
  <c r="A651" i="8"/>
  <c r="A652" i="8"/>
  <c r="A653" i="8"/>
  <c r="A654" i="8"/>
  <c r="A655" i="8"/>
  <c r="A656" i="8"/>
  <c r="A657" i="8"/>
  <c r="A658" i="8"/>
  <c r="A659" i="8"/>
  <c r="A660" i="8"/>
  <c r="A661" i="8"/>
  <c r="A662" i="8"/>
  <c r="A663" i="8"/>
  <c r="A664" i="8"/>
  <c r="A665" i="8"/>
  <c r="A666" i="8"/>
  <c r="A667" i="8"/>
  <c r="A668" i="8"/>
  <c r="A669" i="8"/>
  <c r="A670" i="8"/>
  <c r="A671" i="8"/>
  <c r="A672" i="8"/>
  <c r="A673" i="8"/>
  <c r="A674" i="8"/>
  <c r="A675" i="8"/>
  <c r="A676" i="8"/>
  <c r="A677" i="8"/>
  <c r="A678" i="8"/>
  <c r="A679" i="8"/>
  <c r="A680" i="8"/>
  <c r="A681" i="8"/>
  <c r="A682" i="8"/>
  <c r="A683" i="8"/>
  <c r="A684" i="8"/>
  <c r="A685" i="8"/>
  <c r="A686" i="8"/>
  <c r="A687" i="8"/>
  <c r="A688" i="8"/>
  <c r="A689" i="8"/>
  <c r="A690" i="8"/>
  <c r="A691" i="8"/>
  <c r="A692" i="8"/>
  <c r="A693" i="8"/>
  <c r="A694" i="8"/>
  <c r="A695" i="8"/>
  <c r="A696" i="8"/>
  <c r="A697" i="8"/>
  <c r="A698" i="8"/>
  <c r="A699" i="8"/>
  <c r="A700" i="8"/>
  <c r="A701" i="8"/>
  <c r="A702" i="8"/>
  <c r="A703" i="8"/>
  <c r="A704" i="8"/>
  <c r="A705" i="8"/>
  <c r="A706" i="8"/>
  <c r="A707" i="8"/>
  <c r="A708" i="8"/>
  <c r="A709" i="8"/>
  <c r="A710" i="8"/>
  <c r="A711" i="8"/>
  <c r="A712" i="8"/>
  <c r="A713" i="8"/>
  <c r="A714" i="8"/>
  <c r="A715" i="8"/>
  <c r="A716" i="8"/>
  <c r="A717" i="8"/>
  <c r="A718" i="8"/>
  <c r="A719" i="8"/>
  <c r="A720" i="8"/>
  <c r="A721" i="8"/>
  <c r="A722" i="8"/>
  <c r="A723" i="8"/>
  <c r="A724" i="8"/>
  <c r="A725" i="8"/>
  <c r="A726" i="8"/>
  <c r="A727" i="8"/>
  <c r="A728" i="8"/>
  <c r="A729" i="8"/>
  <c r="A730" i="8"/>
  <c r="A731" i="8"/>
  <c r="A732" i="8"/>
  <c r="A733" i="8"/>
  <c r="A734" i="8"/>
  <c r="A735" i="8"/>
  <c r="A736" i="8"/>
  <c r="A737" i="8"/>
  <c r="A738" i="8"/>
  <c r="A739" i="8"/>
  <c r="A740" i="8"/>
  <c r="A741" i="8"/>
  <c r="A742" i="8"/>
  <c r="A743" i="8"/>
  <c r="A744" i="8"/>
  <c r="A745" i="8"/>
  <c r="A746" i="8"/>
  <c r="A747" i="8"/>
  <c r="A748" i="8"/>
  <c r="A749" i="8"/>
  <c r="A750" i="8"/>
  <c r="A751" i="8"/>
  <c r="A752" i="8"/>
  <c r="A753" i="8"/>
  <c r="A754" i="8"/>
  <c r="A755" i="8"/>
  <c r="A756" i="8"/>
  <c r="A757" i="8"/>
  <c r="A758" i="8"/>
  <c r="A759" i="8"/>
  <c r="A760" i="8"/>
  <c r="A761" i="8"/>
  <c r="A762" i="8"/>
  <c r="A763" i="8"/>
  <c r="A764" i="8"/>
  <c r="A765" i="8"/>
  <c r="A766" i="8"/>
  <c r="A767" i="8"/>
  <c r="A768" i="8"/>
  <c r="A769" i="8"/>
  <c r="A770" i="8"/>
  <c r="A771" i="8"/>
  <c r="A772" i="8"/>
  <c r="A773" i="8"/>
  <c r="A774" i="8"/>
  <c r="A775" i="8"/>
  <c r="A776" i="8"/>
  <c r="A777" i="8"/>
  <c r="A778" i="8"/>
  <c r="A779" i="8"/>
  <c r="A780" i="8"/>
  <c r="A781" i="8"/>
  <c r="A782" i="8"/>
  <c r="A783" i="8"/>
  <c r="A784" i="8"/>
  <c r="A785" i="8"/>
  <c r="A786" i="8"/>
  <c r="A787" i="8"/>
  <c r="A788" i="8"/>
  <c r="A789" i="8"/>
  <c r="A790" i="8"/>
  <c r="A791" i="8"/>
  <c r="A792" i="8"/>
  <c r="A793" i="8"/>
  <c r="A794" i="8"/>
  <c r="A795" i="8"/>
  <c r="A796" i="8"/>
  <c r="A797" i="8"/>
  <c r="A798" i="8"/>
  <c r="A799" i="8"/>
  <c r="A800" i="8"/>
  <c r="A801" i="8"/>
  <c r="A802" i="8"/>
  <c r="A803" i="8"/>
  <c r="A804" i="8"/>
  <c r="A805" i="8"/>
  <c r="A806" i="8"/>
  <c r="A807" i="8"/>
  <c r="A808" i="8"/>
  <c r="A809" i="8"/>
  <c r="A810" i="8"/>
  <c r="A811" i="8"/>
  <c r="A812" i="8"/>
  <c r="A813" i="8"/>
  <c r="A814" i="8"/>
  <c r="A815" i="8"/>
  <c r="A816" i="8"/>
  <c r="A817" i="8"/>
  <c r="A818" i="8"/>
  <c r="A819" i="8"/>
  <c r="A820" i="8"/>
  <c r="A821" i="8"/>
  <c r="A822" i="8"/>
  <c r="A823" i="8"/>
  <c r="A824" i="8"/>
  <c r="A825" i="8"/>
  <c r="A826" i="8"/>
  <c r="A827" i="8"/>
  <c r="A828" i="8"/>
  <c r="A829" i="8"/>
  <c r="A830" i="8"/>
  <c r="A831" i="8"/>
  <c r="A832" i="8"/>
  <c r="A833" i="8"/>
  <c r="A834" i="8"/>
  <c r="A835" i="8"/>
  <c r="A836" i="8"/>
  <c r="A837" i="8"/>
  <c r="A838" i="8"/>
  <c r="A839" i="8"/>
  <c r="A840" i="8"/>
  <c r="A841" i="8"/>
  <c r="A842" i="8"/>
  <c r="A843" i="8"/>
  <c r="A844" i="8"/>
  <c r="A845" i="8"/>
  <c r="A846" i="8"/>
  <c r="A847" i="8"/>
  <c r="A848" i="8"/>
  <c r="A849" i="8"/>
  <c r="A850" i="8"/>
  <c r="A851" i="8"/>
  <c r="A852" i="8"/>
  <c r="A853" i="8"/>
  <c r="A854" i="8"/>
  <c r="A855" i="8"/>
  <c r="A856" i="8"/>
  <c r="A857" i="8"/>
  <c r="A858" i="8"/>
  <c r="A859" i="8"/>
  <c r="A860" i="8"/>
  <c r="A861" i="8"/>
  <c r="A862" i="8"/>
  <c r="A863" i="8"/>
  <c r="A864" i="8"/>
  <c r="A865" i="8"/>
  <c r="A866" i="8"/>
  <c r="A867" i="8"/>
  <c r="A868" i="8"/>
  <c r="A869" i="8"/>
  <c r="A870" i="8"/>
  <c r="A871" i="8"/>
  <c r="A872" i="8"/>
  <c r="A873" i="8"/>
  <c r="A874" i="8"/>
  <c r="A875" i="8"/>
  <c r="A876" i="8"/>
  <c r="A877" i="8"/>
  <c r="A878" i="8"/>
  <c r="A879" i="8"/>
  <c r="A880" i="8"/>
  <c r="A881" i="8"/>
  <c r="A882" i="8"/>
  <c r="A883" i="8"/>
  <c r="A884" i="8"/>
  <c r="A885" i="8"/>
  <c r="A886" i="8"/>
  <c r="A887" i="8"/>
  <c r="A888" i="8"/>
  <c r="A889" i="8"/>
  <c r="A890" i="8"/>
  <c r="A891" i="8"/>
  <c r="A892" i="8"/>
  <c r="A893" i="8"/>
  <c r="A894" i="8"/>
  <c r="A895" i="8"/>
  <c r="A896" i="8"/>
  <c r="A897" i="8"/>
  <c r="A898" i="8"/>
  <c r="A899" i="8"/>
  <c r="A900" i="8"/>
  <c r="A901" i="8"/>
  <c r="A902" i="8"/>
  <c r="A903" i="8"/>
  <c r="A904" i="8"/>
  <c r="A905" i="8"/>
  <c r="A906" i="8"/>
  <c r="A907" i="8"/>
  <c r="A908" i="8"/>
  <c r="A909" i="8"/>
  <c r="A910" i="8"/>
  <c r="A911" i="8"/>
  <c r="A912" i="8"/>
  <c r="A913" i="8"/>
  <c r="A914" i="8"/>
  <c r="A915" i="8"/>
  <c r="A916" i="8"/>
  <c r="A917" i="8"/>
  <c r="A918" i="8"/>
  <c r="A919" i="8"/>
  <c r="A920" i="8"/>
  <c r="A921" i="8"/>
  <c r="A922" i="8"/>
  <c r="A923" i="8"/>
  <c r="A924" i="8"/>
  <c r="A925" i="8"/>
  <c r="A926" i="8"/>
  <c r="A927" i="8"/>
  <c r="A928" i="8"/>
  <c r="A929" i="8"/>
  <c r="A930" i="8"/>
  <c r="A931" i="8"/>
  <c r="A932" i="8"/>
  <c r="A933" i="8"/>
  <c r="A934" i="8"/>
  <c r="A935" i="8"/>
  <c r="A936" i="8"/>
  <c r="A937" i="8"/>
  <c r="A938" i="8"/>
  <c r="A939" i="8"/>
  <c r="A940" i="8"/>
  <c r="A941" i="8"/>
  <c r="A942" i="8"/>
  <c r="A943" i="8"/>
  <c r="A944" i="8"/>
  <c r="A945" i="8"/>
  <c r="A946" i="8"/>
  <c r="A947" i="8"/>
  <c r="A948" i="8"/>
  <c r="A949" i="8"/>
  <c r="A950" i="8"/>
  <c r="A951" i="8"/>
  <c r="A952" i="8"/>
  <c r="A953" i="8"/>
  <c r="A954" i="8"/>
  <c r="A955" i="8"/>
  <c r="A956" i="8"/>
  <c r="A957" i="8"/>
  <c r="A958" i="8"/>
  <c r="A959" i="8"/>
  <c r="A960" i="8"/>
  <c r="A961" i="8"/>
  <c r="A962" i="8"/>
  <c r="A963" i="8"/>
  <c r="A964" i="8"/>
  <c r="A965" i="8"/>
  <c r="A966" i="8"/>
  <c r="A967" i="8"/>
  <c r="A968" i="8"/>
  <c r="A969" i="8"/>
  <c r="A970" i="8"/>
  <c r="A971" i="8"/>
  <c r="A972" i="8"/>
  <c r="A973" i="8"/>
  <c r="A974" i="8"/>
  <c r="A975" i="8"/>
  <c r="A976" i="8"/>
  <c r="A977" i="8"/>
  <c r="A978" i="8"/>
  <c r="A979" i="8"/>
  <c r="A980" i="8"/>
  <c r="A981" i="8"/>
  <c r="A982" i="8"/>
  <c r="A983" i="8"/>
  <c r="A984" i="8"/>
  <c r="A985" i="8"/>
  <c r="A986" i="8"/>
  <c r="A987" i="8"/>
  <c r="A988" i="8"/>
  <c r="A989" i="8"/>
  <c r="A990" i="8"/>
  <c r="A991" i="8"/>
  <c r="A992" i="8"/>
  <c r="A993" i="8"/>
  <c r="A994" i="8"/>
  <c r="A995" i="8"/>
  <c r="A996" i="8"/>
  <c r="A997" i="8"/>
  <c r="A998" i="8"/>
  <c r="A999" i="8"/>
  <c r="A1000" i="8"/>
  <c r="A1001" i="8"/>
  <c r="A1002" i="8"/>
  <c r="A1003" i="8"/>
  <c r="A1004" i="8"/>
  <c r="A1005" i="8"/>
  <c r="A1006" i="8"/>
  <c r="A1007" i="8"/>
  <c r="A1008" i="8"/>
  <c r="A1009" i="8"/>
  <c r="A1010" i="8"/>
  <c r="A1011" i="8"/>
  <c r="A1012" i="8"/>
  <c r="A1013" i="8"/>
  <c r="A1014" i="8"/>
  <c r="A1015" i="8"/>
  <c r="A1016" i="8"/>
  <c r="A1017" i="8"/>
  <c r="A1018" i="8"/>
  <c r="A1019" i="8"/>
  <c r="A1020" i="8"/>
  <c r="A1021" i="8"/>
  <c r="A1022" i="8"/>
  <c r="A1023" i="8"/>
  <c r="A1024" i="8"/>
  <c r="A1025" i="8"/>
  <c r="A1026" i="8"/>
  <c r="A1027" i="8"/>
  <c r="A1028" i="8"/>
  <c r="A1029" i="8"/>
  <c r="A1030" i="8"/>
  <c r="A1031" i="8"/>
  <c r="A1032" i="8"/>
  <c r="A1033" i="8"/>
  <c r="A1034" i="8"/>
  <c r="A1035" i="8"/>
  <c r="A1036" i="8"/>
  <c r="A1037" i="8"/>
  <c r="A1038" i="8"/>
  <c r="A1039" i="8"/>
  <c r="A1040" i="8"/>
  <c r="A1041" i="8"/>
  <c r="A1042" i="8"/>
  <c r="A1043" i="8"/>
  <c r="A1044" i="8"/>
  <c r="A1045" i="8"/>
  <c r="A1046" i="8"/>
  <c r="A1047" i="8"/>
  <c r="A1048" i="8"/>
  <c r="A1049" i="8"/>
  <c r="A1050" i="8"/>
  <c r="A1051" i="8"/>
  <c r="A1052" i="8"/>
  <c r="A1053" i="8"/>
  <c r="A1054" i="8"/>
  <c r="A1055" i="8"/>
  <c r="A1056" i="8"/>
  <c r="A1057" i="8"/>
  <c r="A1058" i="8"/>
  <c r="A1059" i="8"/>
  <c r="A1060" i="8"/>
  <c r="A1061" i="8"/>
  <c r="A1062" i="8"/>
  <c r="A1063" i="8"/>
  <c r="A1064" i="8"/>
  <c r="A1065" i="8"/>
  <c r="A1066" i="8"/>
  <c r="A1067" i="8"/>
  <c r="A1068" i="8"/>
  <c r="A1069" i="8"/>
  <c r="A1070" i="8"/>
  <c r="A1071" i="8"/>
  <c r="A1072" i="8"/>
  <c r="A1073" i="8"/>
  <c r="A1074" i="8"/>
  <c r="A1075" i="8"/>
  <c r="A1076" i="8"/>
  <c r="A1077" i="8"/>
  <c r="A1078" i="8"/>
  <c r="A1079" i="8"/>
  <c r="A1080" i="8"/>
  <c r="A1081" i="8"/>
  <c r="A1082" i="8"/>
  <c r="A1083" i="8"/>
  <c r="A1084" i="8"/>
  <c r="A1085" i="8"/>
  <c r="A1086" i="8"/>
  <c r="A1087" i="8"/>
  <c r="A1088" i="8"/>
  <c r="A1089" i="8"/>
  <c r="A1090" i="8"/>
  <c r="A1091" i="8"/>
  <c r="A1092" i="8"/>
  <c r="A1093" i="8"/>
  <c r="A1094" i="8"/>
  <c r="A1095" i="8"/>
  <c r="A1096" i="8"/>
  <c r="A1097" i="8"/>
  <c r="A1098" i="8"/>
  <c r="A1099" i="8"/>
  <c r="A1100" i="8"/>
  <c r="A1101" i="8"/>
  <c r="A1102" i="8"/>
  <c r="A1103" i="8"/>
  <c r="A1104" i="8"/>
  <c r="A1105" i="8"/>
  <c r="A1106" i="8"/>
  <c r="A1107" i="8"/>
  <c r="A1108" i="8"/>
  <c r="A1109" i="8"/>
  <c r="A1110" i="8"/>
  <c r="A1111" i="8"/>
  <c r="A1112" i="8"/>
  <c r="A1113" i="8"/>
  <c r="A1114" i="8"/>
  <c r="A1115" i="8"/>
  <c r="A1116" i="8"/>
  <c r="A1117" i="8"/>
  <c r="A1118" i="8"/>
  <c r="A1119" i="8"/>
  <c r="A1120" i="8"/>
  <c r="A1121" i="8"/>
  <c r="A1122" i="8"/>
  <c r="A1123" i="8"/>
  <c r="A1124" i="8"/>
  <c r="A1125" i="8"/>
  <c r="A1126" i="8"/>
  <c r="A1127" i="8"/>
  <c r="A1128" i="8"/>
  <c r="A1129" i="8"/>
  <c r="A1130" i="8"/>
  <c r="A1131" i="8"/>
  <c r="A1132" i="8"/>
  <c r="A1133" i="8"/>
  <c r="A1134" i="8"/>
  <c r="A1135" i="8"/>
  <c r="A1136" i="8"/>
  <c r="A1137" i="8"/>
  <c r="A1138" i="8"/>
  <c r="A1139" i="8"/>
  <c r="A1140" i="8"/>
  <c r="A1141" i="8"/>
  <c r="A1142" i="8"/>
  <c r="A1143" i="8"/>
  <c r="A1144" i="8"/>
  <c r="A1145" i="8"/>
  <c r="A1146" i="8"/>
  <c r="A1147" i="8"/>
  <c r="A1148" i="8"/>
  <c r="A1149" i="8"/>
  <c r="A1150" i="8"/>
  <c r="A1151" i="8"/>
  <c r="A1152" i="8"/>
  <c r="A1153" i="8"/>
  <c r="A1154" i="8"/>
  <c r="A1155" i="8"/>
  <c r="A1156" i="8"/>
  <c r="A1157" i="8"/>
  <c r="A1158" i="8"/>
  <c r="A1159" i="8"/>
  <c r="A1160" i="8"/>
  <c r="A1161" i="8"/>
  <c r="A1162" i="8"/>
  <c r="A1163" i="8"/>
  <c r="A1164" i="8"/>
  <c r="A1165" i="8"/>
  <c r="A1166" i="8"/>
  <c r="A1167" i="8"/>
  <c r="A1168" i="8"/>
  <c r="A1169" i="8"/>
  <c r="A1170" i="8"/>
  <c r="A1171" i="8"/>
  <c r="A1172" i="8"/>
  <c r="A1173" i="8"/>
  <c r="A1174" i="8"/>
  <c r="A1175" i="8"/>
  <c r="A1176" i="8"/>
  <c r="A1177" i="8"/>
  <c r="A1178" i="8"/>
  <c r="A1179" i="8"/>
  <c r="A1180" i="8"/>
  <c r="A1181" i="8"/>
  <c r="A1182" i="8"/>
  <c r="A1183" i="8"/>
  <c r="A1184" i="8"/>
  <c r="A1185" i="8"/>
  <c r="A1186" i="8"/>
  <c r="A1187" i="8"/>
  <c r="A1188" i="8"/>
  <c r="A1189" i="8"/>
  <c r="A1190" i="8"/>
  <c r="A1191" i="8"/>
  <c r="A1192" i="8"/>
  <c r="A1193" i="8"/>
  <c r="A1194" i="8"/>
  <c r="A1195" i="8"/>
  <c r="A1196" i="8"/>
  <c r="A1197" i="8"/>
  <c r="A1198" i="8"/>
  <c r="A1199" i="8"/>
  <c r="A1200" i="8"/>
  <c r="A1201" i="8"/>
  <c r="A1202" i="8"/>
  <c r="A1203" i="8"/>
  <c r="A1204" i="8"/>
  <c r="A1205" i="8"/>
  <c r="A1206" i="8"/>
  <c r="A1207" i="8"/>
  <c r="A1208" i="8"/>
  <c r="A1209" i="8"/>
  <c r="A1210" i="8"/>
  <c r="A1211" i="8"/>
  <c r="A1212" i="8"/>
  <c r="A1213" i="8"/>
  <c r="A1214" i="8"/>
  <c r="A1215" i="8"/>
  <c r="A1216" i="8"/>
  <c r="A1217" i="8"/>
  <c r="A1218" i="8"/>
  <c r="A1219" i="8"/>
  <c r="A1220" i="8"/>
  <c r="A1221" i="8"/>
  <c r="A1222" i="8"/>
  <c r="A1223" i="8"/>
  <c r="A1224" i="8"/>
  <c r="A1225" i="8"/>
  <c r="A1226" i="8"/>
  <c r="A1227" i="8"/>
  <c r="A1228" i="8"/>
  <c r="A1229" i="8"/>
  <c r="A1230" i="8"/>
  <c r="A1231" i="8"/>
  <c r="A1232" i="8"/>
  <c r="A1233" i="8"/>
  <c r="A1234" i="8"/>
  <c r="A1235" i="8"/>
  <c r="A1236" i="8"/>
  <c r="A1237" i="8"/>
  <c r="A1238" i="8"/>
  <c r="A1239" i="8"/>
  <c r="A1240" i="8"/>
  <c r="A1241" i="8"/>
  <c r="A1242" i="8"/>
  <c r="A1243" i="8"/>
  <c r="A1244" i="8"/>
  <c r="A1245" i="8"/>
  <c r="A1246" i="8"/>
  <c r="A1247" i="8"/>
  <c r="A1248" i="8"/>
  <c r="A1249" i="8"/>
  <c r="A1250" i="8"/>
  <c r="A1251" i="8"/>
  <c r="A1252" i="8"/>
  <c r="A1253" i="8"/>
  <c r="A1254" i="8"/>
  <c r="A1255" i="8"/>
  <c r="A1256" i="8"/>
  <c r="A1257" i="8"/>
  <c r="A1258" i="8"/>
  <c r="A1259" i="8"/>
  <c r="A1260" i="8"/>
  <c r="A1261" i="8"/>
  <c r="A1262" i="8"/>
  <c r="A1263" i="8"/>
  <c r="A1264" i="8"/>
  <c r="A1265" i="8"/>
  <c r="A1266" i="8"/>
  <c r="A1267" i="8"/>
  <c r="A1268" i="8"/>
  <c r="A1269" i="8"/>
  <c r="A1270" i="8"/>
  <c r="A1271" i="8"/>
  <c r="A1272" i="8"/>
  <c r="A1273" i="8"/>
  <c r="A1274" i="8"/>
  <c r="A1275" i="8"/>
  <c r="A1276" i="8"/>
  <c r="A1277" i="8"/>
  <c r="A1278" i="8"/>
  <c r="A1279" i="8"/>
  <c r="A1280" i="8"/>
  <c r="A1281" i="8"/>
  <c r="A1282" i="8"/>
  <c r="A1283" i="8"/>
  <c r="A1284" i="8"/>
  <c r="A1285" i="8"/>
  <c r="A1286" i="8"/>
  <c r="A1287" i="8"/>
  <c r="A1288" i="8"/>
  <c r="A1289" i="8"/>
  <c r="A1290" i="8"/>
  <c r="A1291" i="8"/>
  <c r="A1292" i="8"/>
  <c r="A1293" i="8"/>
  <c r="A1294" i="8"/>
  <c r="A1295" i="8"/>
  <c r="A1296" i="8"/>
  <c r="A1297" i="8"/>
  <c r="A1298" i="8"/>
  <c r="A1299" i="8"/>
  <c r="A1300" i="8"/>
  <c r="A1301" i="8"/>
  <c r="A1302" i="8"/>
  <c r="A1303" i="8"/>
  <c r="A1304" i="8"/>
  <c r="A1305" i="8"/>
  <c r="A1306" i="8"/>
  <c r="A1307" i="8"/>
  <c r="A1308" i="8"/>
  <c r="A1309" i="8"/>
  <c r="A1310" i="8"/>
  <c r="A1311" i="8"/>
  <c r="A1312" i="8"/>
  <c r="A1313" i="8"/>
  <c r="A1314" i="8"/>
  <c r="A1315" i="8"/>
  <c r="A1316" i="8"/>
  <c r="A1317" i="8"/>
  <c r="A1318" i="8"/>
  <c r="A1319" i="8"/>
  <c r="A1320" i="8"/>
  <c r="A1321" i="8"/>
  <c r="A1322" i="8"/>
  <c r="A1323" i="8"/>
  <c r="A1324" i="8"/>
  <c r="A1325" i="8"/>
  <c r="A1326" i="8"/>
  <c r="A1327" i="8"/>
  <c r="A1328" i="8"/>
  <c r="A1329" i="8"/>
  <c r="A1330" i="8"/>
  <c r="A1331" i="8"/>
  <c r="A1332" i="8"/>
  <c r="A1333" i="8"/>
  <c r="A1334" i="8"/>
  <c r="A1335" i="8"/>
  <c r="A1336" i="8"/>
  <c r="A1337" i="8"/>
  <c r="A1338" i="8"/>
  <c r="A1339" i="8"/>
  <c r="A1340" i="8"/>
  <c r="A1341" i="8"/>
  <c r="A1342" i="8"/>
  <c r="A1343" i="8"/>
  <c r="A1344" i="8"/>
  <c r="A1345" i="8"/>
  <c r="A1346" i="8"/>
  <c r="A1347" i="8"/>
  <c r="A1348" i="8"/>
  <c r="A1349" i="8"/>
  <c r="A1350" i="8"/>
  <c r="A1351" i="8"/>
  <c r="A1352" i="8"/>
  <c r="A1353" i="8"/>
  <c r="A1354" i="8"/>
  <c r="A1355" i="8"/>
  <c r="A1356" i="8"/>
  <c r="A1357" i="8"/>
  <c r="A1358" i="8"/>
  <c r="A1359" i="8"/>
  <c r="A1360" i="8"/>
  <c r="A1361" i="8"/>
  <c r="A1362" i="8"/>
  <c r="A1363" i="8"/>
  <c r="A1364" i="8"/>
  <c r="A1365" i="8"/>
  <c r="A1366" i="8"/>
  <c r="A1367" i="8"/>
  <c r="A1368" i="8"/>
  <c r="A1369" i="8"/>
  <c r="A1370" i="8"/>
  <c r="A1371" i="8"/>
  <c r="A1372" i="8"/>
  <c r="A1373" i="8"/>
  <c r="A1374" i="8"/>
  <c r="A1375" i="8"/>
  <c r="A1376" i="8"/>
  <c r="A1377" i="8"/>
  <c r="A1378" i="8"/>
  <c r="A1379" i="8"/>
  <c r="A1380" i="8"/>
  <c r="A1381" i="8"/>
  <c r="A1382" i="8"/>
  <c r="A1383" i="8"/>
  <c r="A1384" i="8"/>
  <c r="A1385" i="8"/>
  <c r="A1386" i="8"/>
  <c r="A1387" i="8"/>
  <c r="A1388" i="8"/>
  <c r="A1389" i="8"/>
  <c r="A1390" i="8"/>
  <c r="A1391" i="8"/>
  <c r="A1392" i="8"/>
  <c r="A1393" i="8"/>
  <c r="A1394" i="8"/>
  <c r="A1395" i="8"/>
  <c r="A1396" i="8"/>
  <c r="A1397" i="8"/>
  <c r="A1398" i="8"/>
  <c r="A1399" i="8"/>
  <c r="A1400" i="8"/>
  <c r="A1401" i="8"/>
  <c r="A1402" i="8"/>
  <c r="A1403" i="8"/>
  <c r="A1404" i="8"/>
  <c r="A1405" i="8"/>
  <c r="A1406" i="8"/>
  <c r="A1407" i="8"/>
  <c r="A1408" i="8"/>
  <c r="A1409" i="8"/>
  <c r="A1410" i="8"/>
  <c r="A1411" i="8"/>
  <c r="A1412" i="8"/>
  <c r="A1413" i="8"/>
  <c r="A1414" i="8"/>
  <c r="A1415" i="8"/>
  <c r="A1416" i="8"/>
  <c r="A1417" i="8"/>
  <c r="A1418" i="8"/>
  <c r="A1419" i="8"/>
  <c r="A1420" i="8"/>
  <c r="A1421" i="8"/>
  <c r="A1422" i="8"/>
  <c r="A1423" i="8"/>
  <c r="A1424" i="8"/>
  <c r="A1425" i="8"/>
  <c r="A1426" i="8"/>
  <c r="A1427" i="8"/>
  <c r="A1428" i="8"/>
  <c r="A1429" i="8"/>
  <c r="A1430" i="8"/>
  <c r="A1431" i="8"/>
  <c r="A1432" i="8"/>
  <c r="A1433" i="8"/>
  <c r="A1434" i="8"/>
  <c r="A1435" i="8"/>
  <c r="A1436" i="8"/>
  <c r="A1437" i="8"/>
  <c r="A1438" i="8"/>
  <c r="A1439" i="8"/>
  <c r="A1440" i="8"/>
  <c r="A1441" i="8"/>
  <c r="A1442" i="8"/>
  <c r="A1443" i="8"/>
  <c r="A1444" i="8"/>
  <c r="A1445" i="8"/>
  <c r="A1446" i="8"/>
  <c r="A1447" i="8"/>
  <c r="A1448" i="8"/>
  <c r="A1449" i="8"/>
  <c r="A1450" i="8"/>
  <c r="A1451" i="8"/>
  <c r="A1452" i="8"/>
  <c r="A1453" i="8"/>
  <c r="A1454" i="8"/>
  <c r="A1455" i="8"/>
  <c r="A1456" i="8"/>
  <c r="A1457" i="8"/>
  <c r="A1458" i="8"/>
  <c r="A1459" i="8"/>
  <c r="A1460" i="8"/>
  <c r="A1461" i="8"/>
  <c r="A1462" i="8"/>
  <c r="A1463" i="8"/>
  <c r="A1464" i="8"/>
  <c r="A1465" i="8"/>
  <c r="A1466" i="8"/>
  <c r="A1467" i="8"/>
  <c r="A1468" i="8"/>
  <c r="A1469" i="8"/>
  <c r="A1470" i="8"/>
  <c r="A1471" i="8"/>
  <c r="A1472" i="8"/>
  <c r="A1473" i="8"/>
  <c r="A1474" i="8"/>
  <c r="A1475" i="8"/>
  <c r="A1476" i="8"/>
  <c r="A1477" i="8"/>
  <c r="A1478" i="8"/>
  <c r="A1479" i="8"/>
  <c r="A1480" i="8"/>
  <c r="A1481" i="8"/>
  <c r="A1482" i="8"/>
  <c r="A1483" i="8"/>
  <c r="A1484" i="8"/>
  <c r="A1485" i="8"/>
  <c r="A1486" i="8"/>
  <c r="A1487" i="8"/>
  <c r="A1488" i="8"/>
  <c r="A1489" i="8"/>
  <c r="A1490" i="8"/>
  <c r="A1491" i="8"/>
  <c r="A1492" i="8"/>
  <c r="A1493" i="8"/>
  <c r="A1494" i="8"/>
  <c r="A1495" i="8"/>
  <c r="A1496" i="8"/>
  <c r="A1497" i="8"/>
  <c r="A1498" i="8"/>
  <c r="A1499" i="8"/>
  <c r="A1500" i="8"/>
  <c r="A1501" i="8"/>
  <c r="A1502" i="8"/>
  <c r="A1503" i="8"/>
  <c r="A1504" i="8"/>
  <c r="A1505" i="8"/>
  <c r="A1506" i="8"/>
  <c r="A1507" i="8"/>
  <c r="A1508" i="8"/>
  <c r="A1509" i="8"/>
  <c r="A1510" i="8"/>
  <c r="A1511" i="8"/>
  <c r="A1512" i="8"/>
  <c r="A1513" i="8"/>
  <c r="A1514" i="8"/>
  <c r="A1515" i="8"/>
  <c r="A1516" i="8"/>
  <c r="A1517" i="8"/>
  <c r="A1518" i="8"/>
  <c r="A1519" i="8"/>
  <c r="A1520" i="8"/>
  <c r="A1521" i="8"/>
  <c r="A1522" i="8"/>
  <c r="A1523" i="8"/>
  <c r="A1524" i="8"/>
  <c r="A1525" i="8"/>
  <c r="A1526" i="8"/>
  <c r="A1527" i="8"/>
  <c r="A1528" i="8"/>
  <c r="A1529" i="8"/>
  <c r="A1530" i="8"/>
  <c r="A1531" i="8"/>
  <c r="A1532" i="8"/>
  <c r="A1533" i="8"/>
  <c r="A1534" i="8"/>
  <c r="A1535" i="8"/>
  <c r="A1536" i="8"/>
  <c r="A1537" i="8"/>
  <c r="A1538" i="8"/>
  <c r="A1539" i="8"/>
  <c r="A1540" i="8"/>
  <c r="A1541" i="8"/>
  <c r="A1542" i="8"/>
  <c r="A1543" i="8"/>
  <c r="A1544" i="8"/>
  <c r="A1545" i="8"/>
  <c r="A1546" i="8"/>
  <c r="A1547" i="8"/>
  <c r="A1548" i="8"/>
  <c r="A1549" i="8"/>
  <c r="A1550" i="8"/>
  <c r="A1551" i="8"/>
  <c r="A1552" i="8"/>
  <c r="A1553" i="8"/>
  <c r="A1554" i="8"/>
  <c r="A1555" i="8"/>
  <c r="A1556" i="8"/>
  <c r="A1557" i="8"/>
  <c r="A1558" i="8"/>
  <c r="A1559" i="8"/>
  <c r="A1560" i="8"/>
  <c r="A1561" i="8"/>
  <c r="A1562" i="8"/>
  <c r="A1563" i="8"/>
  <c r="A1564" i="8"/>
  <c r="A1565" i="8"/>
  <c r="A1566" i="8"/>
  <c r="A1567" i="8"/>
  <c r="A1568" i="8"/>
  <c r="A1569" i="8"/>
  <c r="A1570" i="8"/>
  <c r="A1571" i="8"/>
  <c r="A1572" i="8"/>
  <c r="A1573" i="8"/>
  <c r="A1574" i="8"/>
  <c r="A1575" i="8"/>
  <c r="A1576" i="8"/>
  <c r="A1577" i="8"/>
  <c r="A1578" i="8"/>
  <c r="A1579" i="8"/>
  <c r="A1580" i="8"/>
  <c r="A1581" i="8"/>
  <c r="A1582" i="8"/>
  <c r="A1583" i="8"/>
  <c r="A1584" i="8"/>
  <c r="A1585" i="8"/>
  <c r="A1586" i="8"/>
  <c r="A1587" i="8"/>
  <c r="A1588" i="8"/>
  <c r="A1589" i="8"/>
  <c r="A1590" i="8"/>
  <c r="A1591" i="8"/>
  <c r="A1592" i="8"/>
  <c r="A1593" i="8"/>
  <c r="A1594" i="8"/>
  <c r="A1595" i="8"/>
  <c r="A1596" i="8"/>
  <c r="A1597" i="8"/>
  <c r="A1598" i="8"/>
  <c r="A1599" i="8"/>
  <c r="A1600" i="8"/>
  <c r="A1601" i="8"/>
  <c r="A1602" i="8"/>
  <c r="A1603" i="8"/>
  <c r="A1604" i="8"/>
  <c r="A1605" i="8"/>
  <c r="A1606" i="8"/>
  <c r="A1607" i="8"/>
  <c r="A1608" i="8"/>
  <c r="A1609" i="8"/>
  <c r="A1610" i="8"/>
  <c r="A1611" i="8"/>
  <c r="A1612" i="8"/>
  <c r="A1613" i="8"/>
  <c r="A1614" i="8"/>
  <c r="A1615" i="8"/>
  <c r="A1616" i="8"/>
  <c r="A1617" i="8"/>
  <c r="A1618" i="8"/>
  <c r="A1619" i="8"/>
  <c r="A1620" i="8"/>
  <c r="A1621" i="8"/>
  <c r="A1622" i="8"/>
  <c r="A1623" i="8"/>
  <c r="A1624" i="8"/>
  <c r="A1625" i="8"/>
  <c r="A1626" i="8"/>
  <c r="A1627" i="8"/>
  <c r="A1628" i="8"/>
  <c r="A1629" i="8"/>
  <c r="A1630" i="8"/>
  <c r="A1631" i="8"/>
  <c r="A1632" i="8"/>
  <c r="A1633" i="8"/>
  <c r="A1634" i="8"/>
  <c r="A1635" i="8"/>
  <c r="A1636" i="8"/>
  <c r="A1637" i="8"/>
  <c r="A1638" i="8"/>
  <c r="A1639" i="8"/>
  <c r="A1640" i="8"/>
  <c r="A1641" i="8"/>
  <c r="A1642" i="8"/>
  <c r="A1643" i="8"/>
  <c r="A1644" i="8"/>
  <c r="A1645" i="8"/>
  <c r="A1646" i="8"/>
  <c r="A1647" i="8"/>
  <c r="A1648" i="8"/>
  <c r="A1649" i="8"/>
  <c r="A1650" i="8"/>
  <c r="A1651" i="8"/>
  <c r="A1652" i="8"/>
  <c r="A1653" i="8"/>
  <c r="A1654" i="8"/>
  <c r="A1655" i="8"/>
  <c r="A1656" i="8"/>
  <c r="A1657" i="8"/>
  <c r="A1658" i="8"/>
  <c r="A1659" i="8"/>
  <c r="A1660" i="8"/>
  <c r="A1661" i="8"/>
  <c r="A1662" i="8"/>
  <c r="A1663" i="8"/>
  <c r="A1664" i="8"/>
  <c r="A1665" i="8"/>
  <c r="A1666" i="8"/>
  <c r="A1667" i="8"/>
  <c r="A1668" i="8"/>
  <c r="A1669" i="8"/>
  <c r="A1670" i="8"/>
  <c r="A1671" i="8"/>
  <c r="A1672" i="8"/>
  <c r="A1673" i="8"/>
  <c r="A1674" i="8"/>
  <c r="A1675" i="8"/>
  <c r="A1676" i="8"/>
  <c r="A1677" i="8"/>
  <c r="A1678" i="8"/>
  <c r="A1679" i="8"/>
  <c r="A1680" i="8"/>
  <c r="A1681" i="8"/>
  <c r="A1682" i="8"/>
  <c r="A1683" i="8"/>
  <c r="A1684" i="8"/>
  <c r="A1685" i="8"/>
  <c r="A1686" i="8"/>
  <c r="A1687" i="8"/>
  <c r="A1688" i="8"/>
  <c r="A1689" i="8"/>
  <c r="A1690" i="8"/>
  <c r="A1691" i="8"/>
  <c r="A1692" i="8"/>
  <c r="A1693" i="8"/>
  <c r="A1694" i="8"/>
  <c r="A1695" i="8"/>
  <c r="A1696" i="8"/>
  <c r="A1697" i="8"/>
  <c r="A1698" i="8"/>
  <c r="A1699" i="8"/>
  <c r="A1700" i="8"/>
  <c r="A1701" i="8"/>
  <c r="A1702" i="8"/>
  <c r="A1703" i="8"/>
  <c r="A1704" i="8"/>
  <c r="A1705" i="8"/>
  <c r="A1706" i="8"/>
  <c r="A1707" i="8"/>
  <c r="A1708" i="8"/>
  <c r="A1709" i="8"/>
  <c r="A1710" i="8"/>
  <c r="A1711" i="8"/>
  <c r="A1712" i="8"/>
  <c r="A1713" i="8"/>
  <c r="A1714" i="8"/>
  <c r="A1715" i="8"/>
  <c r="A1716" i="8"/>
  <c r="A1717" i="8"/>
  <c r="A1718" i="8"/>
  <c r="A1719" i="8"/>
  <c r="A1720" i="8"/>
  <c r="A1721" i="8"/>
  <c r="A1722" i="8"/>
  <c r="A1723" i="8"/>
  <c r="A1724" i="8"/>
  <c r="A1725" i="8"/>
  <c r="A1726" i="8"/>
  <c r="A1727" i="8"/>
  <c r="A1728" i="8"/>
  <c r="A1729" i="8"/>
  <c r="A1730" i="8"/>
  <c r="A1731" i="8"/>
  <c r="A1732" i="8"/>
  <c r="A1733" i="8"/>
  <c r="A1734" i="8"/>
  <c r="A1735" i="8"/>
  <c r="A1736" i="8"/>
  <c r="A1737" i="8"/>
  <c r="A1738" i="8"/>
  <c r="A1739" i="8"/>
  <c r="A1740" i="8"/>
  <c r="A1741" i="8"/>
  <c r="A1742" i="8"/>
  <c r="A1743" i="8"/>
  <c r="A1744" i="8"/>
  <c r="A1745" i="8"/>
  <c r="A1746" i="8"/>
  <c r="A1747" i="8"/>
  <c r="A1748" i="8"/>
  <c r="A1749" i="8"/>
  <c r="A1750" i="8"/>
  <c r="A1751" i="8"/>
  <c r="A1752" i="8"/>
  <c r="A1753" i="8"/>
  <c r="A1754" i="8"/>
  <c r="A1755" i="8"/>
  <c r="A1756" i="8"/>
  <c r="A1757" i="8"/>
  <c r="A1758" i="8"/>
  <c r="A1759" i="8"/>
  <c r="A1760" i="8"/>
  <c r="A1761" i="8"/>
  <c r="A1762" i="8"/>
  <c r="A1763" i="8"/>
  <c r="A1764" i="8"/>
  <c r="A1765" i="8"/>
  <c r="A1766" i="8"/>
  <c r="A1767" i="8"/>
  <c r="A1768" i="8"/>
  <c r="A1769" i="8"/>
  <c r="A1770" i="8"/>
  <c r="A1771" i="8"/>
  <c r="A1772" i="8"/>
  <c r="A1773" i="8"/>
  <c r="A1774" i="8"/>
  <c r="A1775" i="8"/>
  <c r="A1776" i="8"/>
  <c r="A1777" i="8"/>
  <c r="A1778" i="8"/>
  <c r="A1779" i="8"/>
  <c r="A1780" i="8"/>
  <c r="A1781" i="8"/>
  <c r="A1782" i="8"/>
  <c r="A1783" i="8"/>
  <c r="A1784" i="8"/>
  <c r="A1785" i="8"/>
  <c r="A1786" i="8"/>
  <c r="A1787" i="8"/>
  <c r="A1788" i="8"/>
  <c r="A1789" i="8"/>
  <c r="A1790" i="8"/>
  <c r="A1791" i="8"/>
  <c r="A1792" i="8"/>
  <c r="A1793" i="8"/>
  <c r="A1794" i="8"/>
  <c r="A1795" i="8"/>
  <c r="A1796" i="8"/>
  <c r="A1797" i="8"/>
  <c r="A1798" i="8"/>
  <c r="A1799" i="8"/>
  <c r="A1800" i="8"/>
  <c r="A1801" i="8"/>
  <c r="A1802" i="8"/>
  <c r="A1803" i="8"/>
  <c r="A1804" i="8"/>
  <c r="A1805" i="8"/>
  <c r="A1806" i="8"/>
  <c r="A1807" i="8"/>
  <c r="A1808" i="8"/>
  <c r="A1809" i="8"/>
  <c r="A1810" i="8"/>
  <c r="A1811" i="8"/>
  <c r="A1812" i="8"/>
  <c r="A1813" i="8"/>
  <c r="A1814" i="8"/>
  <c r="A1815" i="8"/>
  <c r="A1816" i="8"/>
  <c r="A1817" i="8"/>
  <c r="A1818" i="8"/>
  <c r="A1819" i="8"/>
  <c r="A1820" i="8"/>
  <c r="A1821" i="8"/>
  <c r="A1822" i="8"/>
  <c r="A1823" i="8"/>
  <c r="A1824" i="8"/>
  <c r="A1825" i="8"/>
  <c r="A1826" i="8"/>
  <c r="A1827" i="8"/>
  <c r="A1828" i="8"/>
  <c r="A1829" i="8"/>
  <c r="A1830" i="8"/>
  <c r="A1831" i="8"/>
  <c r="A1832" i="8"/>
  <c r="A1833" i="8"/>
  <c r="A1834" i="8"/>
  <c r="A1835" i="8"/>
  <c r="A1836" i="8"/>
  <c r="A1837" i="8"/>
  <c r="A1838" i="8"/>
  <c r="A1839" i="8"/>
  <c r="A1840" i="8"/>
  <c r="A1841" i="8"/>
  <c r="A1842" i="8"/>
  <c r="A1843" i="8"/>
  <c r="A1844" i="8"/>
  <c r="A1845" i="8"/>
  <c r="A1846" i="8"/>
  <c r="A1847" i="8"/>
  <c r="A1848" i="8"/>
  <c r="A1849" i="8"/>
  <c r="A1850" i="8"/>
  <c r="A1851" i="8"/>
  <c r="A1852" i="8"/>
  <c r="A1853" i="8"/>
  <c r="A1854" i="8"/>
  <c r="A1855" i="8"/>
  <c r="A1856" i="8"/>
  <c r="A1857" i="8"/>
  <c r="A1858" i="8"/>
  <c r="A1859" i="8"/>
  <c r="A1860" i="8"/>
  <c r="A1861" i="8"/>
  <c r="A1862" i="8"/>
  <c r="A1863" i="8"/>
  <c r="A1864" i="8"/>
  <c r="A1865" i="8"/>
  <c r="A1866" i="8"/>
  <c r="A1867" i="8"/>
  <c r="A1868" i="8"/>
  <c r="A1869" i="8"/>
  <c r="A1870" i="8"/>
  <c r="A1871" i="8"/>
  <c r="A1872" i="8"/>
  <c r="A1873" i="8"/>
  <c r="A1874" i="8"/>
  <c r="A1875" i="8"/>
  <c r="A1876" i="8"/>
  <c r="A1877" i="8"/>
  <c r="A1878" i="8"/>
  <c r="A1879" i="8"/>
  <c r="A1880" i="8"/>
  <c r="A1881" i="8"/>
  <c r="A1882" i="8"/>
  <c r="A1883" i="8"/>
  <c r="A1884" i="8"/>
  <c r="A1885" i="8"/>
  <c r="A1886" i="8"/>
  <c r="A1887" i="8"/>
  <c r="A1888" i="8"/>
  <c r="A1889" i="8"/>
  <c r="A1890" i="8"/>
  <c r="A1891" i="8"/>
  <c r="A1892" i="8"/>
  <c r="A1893" i="8"/>
  <c r="A1894" i="8"/>
  <c r="A1895" i="8"/>
  <c r="A1896" i="8"/>
  <c r="A1897" i="8"/>
  <c r="A1898" i="8"/>
  <c r="A1899" i="8"/>
  <c r="A1900" i="8"/>
  <c r="A1901" i="8"/>
  <c r="A1902" i="8"/>
  <c r="A1903" i="8"/>
  <c r="A1904" i="8"/>
  <c r="A1905" i="8"/>
  <c r="A1906" i="8"/>
  <c r="A1907" i="8"/>
  <c r="A1908" i="8"/>
  <c r="A1909" i="8"/>
  <c r="A1910" i="8"/>
  <c r="A1911" i="8"/>
  <c r="A1912" i="8"/>
  <c r="A1913" i="8"/>
  <c r="A1914" i="8"/>
  <c r="A1915" i="8"/>
  <c r="A1916" i="8"/>
  <c r="A1917" i="8"/>
  <c r="A1918" i="8"/>
  <c r="A1919" i="8"/>
  <c r="A1920" i="8"/>
  <c r="A1921" i="8"/>
  <c r="A1922" i="8"/>
  <c r="A1923" i="8"/>
  <c r="A1924" i="8"/>
  <c r="A1925" i="8"/>
  <c r="A1926" i="8"/>
  <c r="A1927" i="8"/>
  <c r="A1928" i="8"/>
  <c r="A1929" i="8"/>
  <c r="A1930" i="8"/>
  <c r="A1931" i="8"/>
  <c r="A1932" i="8"/>
  <c r="A1933" i="8"/>
  <c r="A1934" i="8"/>
  <c r="A1935" i="8"/>
  <c r="A1936" i="8"/>
  <c r="A1937" i="8"/>
  <c r="A1938" i="8"/>
  <c r="A1939" i="8"/>
  <c r="A1940" i="8"/>
  <c r="A1941" i="8"/>
  <c r="A1942" i="8"/>
  <c r="A1943" i="8"/>
  <c r="A1944" i="8"/>
  <c r="A1945" i="8"/>
  <c r="A1946" i="8"/>
  <c r="A1947" i="8"/>
  <c r="A1948" i="8"/>
  <c r="A1949" i="8"/>
  <c r="A1950" i="8"/>
  <c r="A1951" i="8"/>
  <c r="A1952" i="8"/>
  <c r="A1953" i="8"/>
  <c r="A1954" i="8"/>
  <c r="A1955" i="8"/>
  <c r="A1956" i="8"/>
  <c r="A1957" i="8"/>
  <c r="A1958" i="8"/>
  <c r="A1959" i="8"/>
  <c r="A1960" i="8"/>
  <c r="A1961" i="8"/>
  <c r="A1962" i="8"/>
  <c r="A1963" i="8"/>
  <c r="A1964" i="8"/>
  <c r="A1965" i="8"/>
  <c r="A1966" i="8"/>
  <c r="A1967" i="8"/>
  <c r="A1968" i="8"/>
  <c r="A1969" i="8"/>
  <c r="A1970" i="8"/>
  <c r="A1971" i="8"/>
  <c r="A1972" i="8"/>
  <c r="A1973" i="8"/>
  <c r="A1974" i="8"/>
  <c r="A1975" i="8"/>
  <c r="A1976" i="8"/>
  <c r="A1977" i="8"/>
  <c r="A1978" i="8"/>
  <c r="A1979" i="8"/>
  <c r="A1980" i="8"/>
  <c r="A1981" i="8"/>
  <c r="A1982" i="8"/>
  <c r="A1983" i="8"/>
  <c r="A1984" i="8"/>
  <c r="A1985" i="8"/>
  <c r="A1986" i="8"/>
  <c r="A1987" i="8"/>
  <c r="A1988" i="8"/>
  <c r="A1989" i="8"/>
  <c r="A1990" i="8"/>
  <c r="A1991" i="8"/>
  <c r="A1992" i="8"/>
  <c r="A1993" i="8"/>
  <c r="A1994" i="8"/>
  <c r="A1995" i="8"/>
  <c r="A1996" i="8"/>
  <c r="A1997" i="8"/>
  <c r="A1998" i="8"/>
  <c r="A1999" i="8"/>
  <c r="A2000" i="8"/>
  <c r="A2001" i="8"/>
  <c r="A2002" i="8"/>
  <c r="A2003" i="8"/>
  <c r="A2004" i="8"/>
  <c r="A2005" i="8"/>
  <c r="A2006" i="8"/>
  <c r="A2007" i="8"/>
  <c r="A2008" i="8"/>
  <c r="A2009" i="8"/>
  <c r="A2010" i="8"/>
  <c r="A2011" i="8"/>
  <c r="A2012" i="8"/>
  <c r="A2013" i="8"/>
  <c r="A2014" i="8"/>
  <c r="A2015" i="8"/>
  <c r="A2016" i="8"/>
  <c r="A2017" i="8"/>
  <c r="A2018" i="8"/>
  <c r="A2019" i="8"/>
  <c r="A2020" i="8"/>
  <c r="A2021" i="8"/>
  <c r="A2022" i="8"/>
  <c r="A2023" i="8"/>
  <c r="A2024" i="8"/>
  <c r="A2025" i="8"/>
  <c r="A2026" i="8"/>
  <c r="A2027" i="8"/>
  <c r="A2028" i="8"/>
  <c r="A2029" i="8"/>
  <c r="A2030" i="8"/>
  <c r="A2031" i="8"/>
  <c r="A2032" i="8"/>
  <c r="A2033" i="8"/>
  <c r="A2034" i="8"/>
  <c r="A2035" i="8"/>
  <c r="A2036" i="8"/>
  <c r="A2037" i="8"/>
  <c r="A2038" i="8"/>
  <c r="A2039" i="8"/>
  <c r="A2040" i="8"/>
  <c r="A2041" i="8"/>
  <c r="A2042" i="8"/>
  <c r="A2043" i="8"/>
  <c r="A2044" i="8"/>
  <c r="A2045" i="8"/>
  <c r="A2046" i="8"/>
  <c r="A2047" i="8"/>
  <c r="A2048" i="8"/>
  <c r="A2049" i="8"/>
  <c r="A2050" i="8"/>
  <c r="A2051" i="8"/>
  <c r="A2052" i="8"/>
  <c r="A2053" i="8"/>
  <c r="A2054" i="8"/>
  <c r="A2055" i="8"/>
  <c r="A2056" i="8"/>
  <c r="A2057" i="8"/>
  <c r="A2058" i="8"/>
  <c r="A2059" i="8"/>
  <c r="A2060" i="8"/>
  <c r="A2061" i="8"/>
  <c r="A2062" i="8"/>
  <c r="A2063" i="8"/>
  <c r="A2064" i="8"/>
  <c r="A2065" i="8"/>
  <c r="A2066" i="8"/>
  <c r="A2067" i="8"/>
  <c r="A2068" i="8"/>
  <c r="A2069" i="8"/>
  <c r="A2070" i="8"/>
  <c r="A2071" i="8"/>
  <c r="A2072" i="8"/>
  <c r="A2073" i="8"/>
  <c r="A2074" i="8"/>
  <c r="A2075" i="8"/>
  <c r="A2076" i="8"/>
  <c r="A2077" i="8"/>
  <c r="A2078" i="8"/>
  <c r="A2079" i="8"/>
  <c r="A2080" i="8"/>
  <c r="A2081" i="8"/>
  <c r="A2082" i="8"/>
  <c r="A2083" i="8"/>
  <c r="A2084" i="8"/>
  <c r="A2085" i="8"/>
  <c r="A2086" i="8"/>
  <c r="A2087" i="8"/>
  <c r="A2088" i="8"/>
  <c r="A2089" i="8"/>
  <c r="A2090" i="8"/>
  <c r="A2091" i="8"/>
  <c r="A2092" i="8"/>
  <c r="A2093" i="8"/>
  <c r="A2094" i="8"/>
  <c r="A2095" i="8"/>
  <c r="A2096" i="8"/>
  <c r="A2097" i="8"/>
  <c r="A2098" i="8"/>
  <c r="A2099" i="8"/>
  <c r="A2100" i="8"/>
  <c r="A2101" i="8"/>
  <c r="A2102" i="8"/>
  <c r="A2103" i="8"/>
  <c r="A2104" i="8"/>
  <c r="A2105" i="8"/>
  <c r="A2106" i="8"/>
  <c r="A2107" i="8"/>
  <c r="A2108" i="8"/>
  <c r="A2109" i="8"/>
  <c r="A2110" i="8"/>
  <c r="A2111" i="8"/>
  <c r="A2112" i="8"/>
  <c r="A2113" i="8"/>
  <c r="A2114" i="8"/>
  <c r="A2115" i="8"/>
  <c r="A2116" i="8"/>
  <c r="A2117" i="8"/>
  <c r="A2118" i="8"/>
  <c r="A2119" i="8"/>
  <c r="A2120" i="8"/>
  <c r="A2121" i="8"/>
  <c r="A2122" i="8"/>
  <c r="A2123" i="8"/>
  <c r="A2124" i="8"/>
  <c r="A2125" i="8"/>
  <c r="A2126" i="8"/>
  <c r="A2127" i="8"/>
  <c r="A2128" i="8"/>
  <c r="A2129" i="8"/>
  <c r="A2130" i="8"/>
  <c r="A2131" i="8"/>
  <c r="A2132" i="8"/>
  <c r="A2133" i="8"/>
  <c r="A2134" i="8"/>
  <c r="A2135" i="8"/>
  <c r="A2136" i="8"/>
  <c r="A2137" i="8"/>
  <c r="A2138" i="8"/>
  <c r="A2139" i="8"/>
  <c r="A2140" i="8"/>
  <c r="A2141" i="8"/>
  <c r="A2142" i="8"/>
  <c r="A2143" i="8"/>
  <c r="A2144" i="8"/>
  <c r="A2145" i="8"/>
  <c r="A2146" i="8"/>
  <c r="A2147" i="8"/>
  <c r="A2148" i="8"/>
  <c r="A2149" i="8"/>
  <c r="A2150" i="8"/>
  <c r="A2151" i="8"/>
  <c r="A2152" i="8"/>
  <c r="A2153" i="8"/>
  <c r="A2154" i="8"/>
  <c r="A2155" i="8"/>
  <c r="A2156" i="8"/>
  <c r="A2157" i="8"/>
  <c r="A2158" i="8"/>
  <c r="A2159" i="8"/>
  <c r="A2160" i="8"/>
  <c r="A2161" i="8"/>
  <c r="A2162" i="8"/>
  <c r="A2163" i="8"/>
  <c r="A2164" i="8"/>
  <c r="A2165" i="8"/>
  <c r="A2166" i="8"/>
  <c r="A2167" i="8"/>
  <c r="A2168" i="8"/>
  <c r="A2169" i="8"/>
  <c r="A2170" i="8"/>
  <c r="A2171" i="8"/>
  <c r="A2172" i="8"/>
  <c r="A2173" i="8"/>
  <c r="A2174" i="8"/>
  <c r="A2175" i="8"/>
  <c r="A2176" i="8"/>
  <c r="A2177" i="8"/>
  <c r="A2178" i="8"/>
  <c r="A2179" i="8"/>
  <c r="A2180" i="8"/>
  <c r="A2181" i="8"/>
  <c r="A2182" i="8"/>
  <c r="A2183" i="8"/>
  <c r="A2184" i="8"/>
  <c r="A2185" i="8"/>
  <c r="A2186" i="8"/>
  <c r="A2187" i="8"/>
  <c r="A2188" i="8"/>
  <c r="A2189" i="8"/>
  <c r="A2190" i="8"/>
  <c r="A2191" i="8"/>
  <c r="A2192" i="8"/>
  <c r="A2193" i="8"/>
  <c r="A2194" i="8"/>
  <c r="A2195" i="8"/>
  <c r="A2196" i="8"/>
  <c r="A2197" i="8"/>
  <c r="A2198" i="8"/>
  <c r="A2199" i="8"/>
  <c r="A2200" i="8"/>
  <c r="A2201" i="8"/>
  <c r="A2202" i="8"/>
  <c r="A2203" i="8"/>
  <c r="A2204" i="8"/>
  <c r="A2205" i="8"/>
  <c r="A2206" i="8"/>
  <c r="A2207" i="8"/>
  <c r="A2208" i="8"/>
  <c r="A2209" i="8"/>
  <c r="A2210" i="8"/>
  <c r="A2211" i="8"/>
  <c r="A2212" i="8"/>
  <c r="A2213" i="8"/>
  <c r="A2214" i="8"/>
  <c r="A2215" i="8"/>
  <c r="A2216" i="8"/>
  <c r="A2217" i="8"/>
  <c r="A2218" i="8"/>
  <c r="A2219" i="8"/>
  <c r="A2220" i="8"/>
  <c r="A2221" i="8"/>
  <c r="A2222" i="8"/>
  <c r="A2223" i="8"/>
  <c r="A2224" i="8"/>
  <c r="A2225" i="8"/>
  <c r="A2226" i="8"/>
  <c r="A2227" i="8"/>
  <c r="A2228" i="8"/>
  <c r="A2229" i="8"/>
  <c r="A2230" i="8"/>
  <c r="A2231" i="8"/>
  <c r="A2232" i="8"/>
  <c r="A2233" i="8"/>
  <c r="A2234" i="8"/>
  <c r="A2235" i="8"/>
  <c r="A2236" i="8"/>
  <c r="A2237" i="8"/>
  <c r="A2238" i="8"/>
  <c r="A2239" i="8"/>
  <c r="A2240" i="8"/>
  <c r="A2241" i="8"/>
  <c r="A2242" i="8"/>
  <c r="A2243" i="8"/>
  <c r="A2244" i="8"/>
  <c r="A2245" i="8"/>
  <c r="A2246" i="8"/>
  <c r="A2247" i="8"/>
  <c r="A2248" i="8"/>
  <c r="A2249" i="8"/>
  <c r="A2250" i="8"/>
  <c r="A2251" i="8"/>
  <c r="A2252" i="8"/>
  <c r="A2253" i="8"/>
  <c r="A2254" i="8"/>
  <c r="A2255" i="8"/>
  <c r="A2256" i="8"/>
  <c r="A2257" i="8"/>
  <c r="A2258" i="8"/>
  <c r="A2259" i="8"/>
  <c r="A2260" i="8"/>
  <c r="A2261" i="8"/>
  <c r="A2262" i="8"/>
  <c r="A2263" i="8"/>
  <c r="A2264" i="8"/>
  <c r="A2265" i="8"/>
  <c r="A2266" i="8"/>
  <c r="A2267" i="8"/>
  <c r="A2268" i="8"/>
  <c r="A2269" i="8"/>
  <c r="A2270" i="8"/>
  <c r="A2271" i="8"/>
  <c r="A2272" i="8"/>
  <c r="A2273" i="8"/>
  <c r="A2274" i="8"/>
  <c r="A2275" i="8"/>
  <c r="A2276" i="8"/>
  <c r="A2277" i="8"/>
  <c r="A2278" i="8"/>
  <c r="A2279" i="8"/>
  <c r="A2280" i="8"/>
  <c r="A2281" i="8"/>
  <c r="A2282" i="8"/>
  <c r="A2283" i="8"/>
  <c r="A2284" i="8"/>
  <c r="A2285" i="8"/>
  <c r="A2286" i="8"/>
  <c r="A2287" i="8"/>
  <c r="A2288" i="8"/>
  <c r="A2289" i="8"/>
  <c r="A2290" i="8"/>
  <c r="A2291" i="8"/>
  <c r="A2292" i="8"/>
  <c r="A2293" i="8"/>
  <c r="A2294" i="8"/>
  <c r="A2295" i="8"/>
  <c r="A2296" i="8"/>
  <c r="A2297" i="8"/>
  <c r="A2298" i="8"/>
  <c r="A2299" i="8"/>
  <c r="A2300" i="8"/>
  <c r="A2301" i="8"/>
  <c r="A2302" i="8"/>
  <c r="A2303" i="8"/>
  <c r="A2304" i="8"/>
  <c r="A2305" i="8"/>
  <c r="A2306" i="8"/>
  <c r="A2307" i="8"/>
  <c r="A2308" i="8"/>
  <c r="A2309" i="8"/>
  <c r="A2310" i="8"/>
  <c r="A2311" i="8"/>
  <c r="A2312" i="8"/>
  <c r="A2313" i="8"/>
  <c r="A2314" i="8"/>
  <c r="A2315" i="8"/>
  <c r="A2316" i="8"/>
  <c r="A2317" i="8"/>
  <c r="A2318" i="8"/>
  <c r="A2319" i="8"/>
  <c r="A2320" i="8"/>
  <c r="A2321" i="8"/>
  <c r="A2322" i="8"/>
  <c r="A2323" i="8"/>
  <c r="A2324" i="8"/>
  <c r="A2325" i="8"/>
  <c r="A2326" i="8"/>
  <c r="A2327" i="8"/>
  <c r="A2328" i="8"/>
  <c r="A2329" i="8"/>
  <c r="A2330" i="8"/>
  <c r="A2331" i="8"/>
  <c r="A2332" i="8"/>
  <c r="A2333" i="8"/>
  <c r="A2334" i="8"/>
  <c r="A2335" i="8"/>
  <c r="A2336" i="8"/>
  <c r="A2337" i="8"/>
  <c r="A2338" i="8"/>
  <c r="A2339" i="8"/>
  <c r="A2340" i="8"/>
  <c r="A2341" i="8"/>
  <c r="A2342" i="8"/>
  <c r="A2343" i="8"/>
  <c r="A2344" i="8"/>
  <c r="A2345" i="8"/>
  <c r="A2346" i="8"/>
  <c r="A2347" i="8"/>
  <c r="A2348" i="8"/>
  <c r="A2349" i="8"/>
  <c r="A2350" i="8"/>
  <c r="A2351" i="8"/>
  <c r="A2352" i="8"/>
  <c r="A2353" i="8"/>
  <c r="A2354" i="8"/>
  <c r="A2355" i="8"/>
  <c r="A2356" i="8"/>
  <c r="A2357" i="8"/>
  <c r="A2358" i="8"/>
  <c r="A2359" i="8"/>
  <c r="A2360" i="8"/>
  <c r="A2361" i="8"/>
  <c r="A2362" i="8"/>
  <c r="A2363" i="8"/>
  <c r="A2364" i="8"/>
  <c r="A2365" i="8"/>
  <c r="A2366" i="8"/>
  <c r="A2367" i="8"/>
  <c r="A2368" i="8"/>
  <c r="A2369" i="8"/>
  <c r="A2370" i="8"/>
  <c r="A2371" i="8"/>
  <c r="A2372" i="8"/>
  <c r="A2373" i="8"/>
  <c r="A2374" i="8"/>
  <c r="A2375" i="8"/>
  <c r="A2376" i="8"/>
  <c r="A2377" i="8"/>
  <c r="A2378" i="8"/>
  <c r="A2379" i="8"/>
  <c r="A2380" i="8"/>
  <c r="A2381" i="8"/>
  <c r="A2382" i="8"/>
  <c r="A2383" i="8"/>
  <c r="A2384" i="8"/>
  <c r="A2385" i="8"/>
  <c r="A2386" i="8"/>
  <c r="A2387" i="8"/>
  <c r="A2388" i="8"/>
  <c r="A2389" i="8"/>
  <c r="A2390" i="8"/>
  <c r="A2391" i="8"/>
  <c r="A2392" i="8"/>
  <c r="A2393" i="8"/>
  <c r="A2394" i="8"/>
  <c r="A2395" i="8"/>
  <c r="A2396" i="8"/>
  <c r="A2397" i="8"/>
  <c r="A2398" i="8"/>
  <c r="A2399" i="8"/>
  <c r="A2400" i="8"/>
  <c r="A2401" i="8"/>
  <c r="A2402" i="8"/>
  <c r="A2403" i="8"/>
  <c r="A2404" i="8"/>
  <c r="A2405" i="8"/>
  <c r="A2406" i="8"/>
  <c r="A2407" i="8"/>
  <c r="A2408" i="8"/>
  <c r="A2409" i="8"/>
  <c r="A2410" i="8"/>
  <c r="A2411" i="8"/>
  <c r="A2412" i="8"/>
  <c r="A2413" i="8"/>
  <c r="A2414" i="8"/>
  <c r="A2415" i="8"/>
  <c r="A2416" i="8"/>
  <c r="A2417" i="8"/>
  <c r="A2418" i="8"/>
  <c r="A2419" i="8"/>
  <c r="A2420" i="8"/>
  <c r="A2421" i="8"/>
  <c r="A2422" i="8"/>
  <c r="A2423" i="8"/>
  <c r="A2424" i="8"/>
  <c r="A2425" i="8"/>
  <c r="A2426" i="8"/>
  <c r="A2427" i="8"/>
  <c r="A2428" i="8"/>
  <c r="A2429" i="8"/>
  <c r="A2430" i="8"/>
  <c r="A2431" i="8"/>
  <c r="A2432" i="8"/>
  <c r="A2433" i="8"/>
  <c r="A2434" i="8"/>
  <c r="A2435" i="8"/>
  <c r="A2436" i="8"/>
  <c r="A2437" i="8"/>
  <c r="A2438" i="8"/>
  <c r="A2439" i="8"/>
  <c r="A2440" i="8"/>
  <c r="A2441" i="8"/>
  <c r="A2442" i="8"/>
  <c r="A2443" i="8"/>
  <c r="A2444" i="8"/>
  <c r="A2445" i="8"/>
  <c r="A2446" i="8"/>
  <c r="A2447" i="8"/>
  <c r="A2448" i="8"/>
  <c r="A2449" i="8"/>
  <c r="A2450" i="8"/>
  <c r="A2451" i="8"/>
  <c r="A2452" i="8"/>
  <c r="A2453" i="8"/>
  <c r="A2454" i="8"/>
  <c r="A2455" i="8"/>
  <c r="A2456" i="8"/>
  <c r="A2457" i="8"/>
  <c r="A2458" i="8"/>
  <c r="A2459" i="8"/>
  <c r="A2460" i="8"/>
  <c r="A2461" i="8"/>
  <c r="A2462" i="8"/>
  <c r="A2463" i="8"/>
  <c r="A2464" i="8"/>
  <c r="A2465" i="8"/>
  <c r="A2466" i="8"/>
  <c r="A2467" i="8"/>
  <c r="A2468" i="8"/>
  <c r="A2469" i="8"/>
  <c r="A2470" i="8"/>
  <c r="A2471" i="8"/>
  <c r="A2472" i="8"/>
  <c r="A2473" i="8"/>
  <c r="A2474" i="8"/>
  <c r="A2475" i="8"/>
  <c r="A2476" i="8"/>
  <c r="A2477" i="8"/>
  <c r="A2478" i="8"/>
  <c r="A2479" i="8"/>
  <c r="A2480" i="8"/>
  <c r="A2481" i="8"/>
  <c r="A2482" i="8"/>
  <c r="A2483" i="8"/>
  <c r="A2484" i="8"/>
  <c r="A2485" i="8"/>
  <c r="A2486" i="8"/>
  <c r="A2487" i="8"/>
  <c r="A2488" i="8"/>
  <c r="A2489" i="8"/>
  <c r="A2490" i="8"/>
  <c r="A2491" i="8"/>
  <c r="A2492" i="8"/>
  <c r="A2493" i="8"/>
  <c r="A2494" i="8"/>
  <c r="A2495" i="8"/>
  <c r="A2496" i="8"/>
  <c r="A2497" i="8"/>
  <c r="A2498" i="8"/>
  <c r="A2499" i="8"/>
  <c r="A2500" i="8"/>
  <c r="A2501" i="8"/>
  <c r="A2502" i="8"/>
  <c r="A2503" i="8"/>
  <c r="A2504" i="8"/>
  <c r="A2505" i="8"/>
  <c r="A2506" i="8"/>
  <c r="A2507" i="8"/>
  <c r="A2508" i="8"/>
  <c r="A2509" i="8"/>
  <c r="A2510" i="8"/>
  <c r="A2511" i="8"/>
  <c r="A2512" i="8"/>
  <c r="A2513" i="8"/>
  <c r="A2514" i="8"/>
  <c r="A2515" i="8"/>
  <c r="A2516" i="8"/>
  <c r="A2517" i="8"/>
  <c r="A2518" i="8"/>
  <c r="A2519" i="8"/>
  <c r="A2520" i="8"/>
  <c r="A2521" i="8"/>
  <c r="A2522" i="8"/>
  <c r="A2523" i="8"/>
  <c r="A2524" i="8"/>
  <c r="A2525" i="8"/>
  <c r="A2526" i="8"/>
  <c r="A2527" i="8"/>
  <c r="A2528" i="8"/>
  <c r="A2529" i="8"/>
  <c r="A2530" i="8"/>
  <c r="A2531" i="8"/>
  <c r="A2532" i="8"/>
  <c r="A2533" i="8"/>
  <c r="A2534" i="8"/>
  <c r="A2535" i="8"/>
  <c r="A2536" i="8"/>
  <c r="A2537" i="8"/>
  <c r="A2538" i="8"/>
  <c r="A2539" i="8"/>
  <c r="A2540" i="8"/>
  <c r="A2541" i="8"/>
  <c r="A2542" i="8"/>
  <c r="A2543" i="8"/>
  <c r="A2544" i="8"/>
  <c r="A2545" i="8"/>
  <c r="A2546" i="8"/>
  <c r="A2547" i="8"/>
  <c r="A2548" i="8"/>
  <c r="A2549" i="8"/>
  <c r="A2550" i="8"/>
  <c r="A2551" i="8"/>
  <c r="A2552" i="8"/>
  <c r="A2553" i="8"/>
  <c r="A2554" i="8"/>
  <c r="A2555" i="8"/>
  <c r="A2556" i="8"/>
  <c r="A2557" i="8"/>
  <c r="A2558" i="8"/>
  <c r="A2559" i="8"/>
  <c r="A2560" i="8"/>
  <c r="A2561" i="8"/>
  <c r="A2562" i="8"/>
  <c r="A2563" i="8"/>
  <c r="A2564" i="8"/>
  <c r="A2565" i="8"/>
  <c r="A2566" i="8"/>
  <c r="A2567" i="8"/>
  <c r="A2568" i="8"/>
  <c r="A2569" i="8"/>
  <c r="A2570" i="8"/>
  <c r="A2571" i="8"/>
  <c r="A2572" i="8"/>
  <c r="A2573" i="8"/>
  <c r="A2574" i="8"/>
  <c r="A2575" i="8"/>
  <c r="A2576" i="8"/>
  <c r="A2577" i="8"/>
  <c r="A2578" i="8"/>
  <c r="A2579" i="8"/>
  <c r="A2580" i="8"/>
  <c r="A2581" i="8"/>
  <c r="A2582" i="8"/>
  <c r="A2583" i="8"/>
  <c r="A2584" i="8"/>
  <c r="A2585" i="8"/>
  <c r="A2586" i="8"/>
  <c r="A2587" i="8"/>
  <c r="A2588" i="8"/>
  <c r="A2589" i="8"/>
  <c r="A2590" i="8"/>
  <c r="A2591" i="8"/>
  <c r="A2592" i="8"/>
  <c r="A2593" i="8"/>
  <c r="A2594" i="8"/>
  <c r="A2595" i="8"/>
  <c r="A2596" i="8"/>
  <c r="A2597" i="8"/>
  <c r="A2598" i="8"/>
  <c r="A2599" i="8"/>
  <c r="A2600" i="8"/>
  <c r="A2601" i="8"/>
  <c r="A2602" i="8"/>
  <c r="A2603" i="8"/>
  <c r="A2604" i="8"/>
  <c r="A2605" i="8"/>
  <c r="A2606" i="8"/>
  <c r="A2607" i="8"/>
  <c r="A2608" i="8"/>
  <c r="A2609" i="8"/>
  <c r="A2610" i="8"/>
  <c r="A2611" i="8"/>
  <c r="A2612" i="8"/>
  <c r="A2613" i="8"/>
  <c r="A2614" i="8"/>
  <c r="A2615" i="8"/>
  <c r="A2616" i="8"/>
  <c r="A2617" i="8"/>
  <c r="A2618" i="8"/>
  <c r="A2619" i="8"/>
  <c r="A2620" i="8"/>
  <c r="A2621" i="8"/>
  <c r="A2622" i="8"/>
  <c r="A2623" i="8"/>
  <c r="A2624" i="8"/>
  <c r="A2625" i="8"/>
  <c r="A2626" i="8"/>
  <c r="A2627" i="8"/>
  <c r="A2628" i="8"/>
  <c r="A2629" i="8"/>
  <c r="A2630" i="8"/>
  <c r="A2631" i="8"/>
  <c r="A2632" i="8"/>
  <c r="A2633" i="8"/>
  <c r="A2634" i="8"/>
  <c r="A2635" i="8"/>
  <c r="A2636" i="8"/>
  <c r="A2637" i="8"/>
  <c r="A2638" i="8"/>
  <c r="A2639" i="8"/>
  <c r="A2640" i="8"/>
  <c r="A2641" i="8"/>
  <c r="A2642" i="8"/>
  <c r="A2643" i="8"/>
  <c r="A2644" i="8"/>
  <c r="A2645" i="8"/>
  <c r="A2646" i="8"/>
  <c r="A2647" i="8"/>
  <c r="A2648" i="8"/>
  <c r="A2649" i="8"/>
  <c r="A2650" i="8"/>
  <c r="A2651" i="8"/>
  <c r="A2652" i="8"/>
  <c r="A2653" i="8"/>
  <c r="A2654" i="8"/>
  <c r="A2655" i="8"/>
  <c r="A2656" i="8"/>
  <c r="A2657" i="8"/>
  <c r="A2658" i="8"/>
  <c r="A2659" i="8"/>
  <c r="A2660" i="8"/>
  <c r="A2661" i="8"/>
  <c r="A2662" i="8"/>
  <c r="A2663" i="8"/>
  <c r="A2664" i="8"/>
  <c r="A2665" i="8"/>
  <c r="A2666" i="8"/>
  <c r="A2667" i="8"/>
  <c r="A2668" i="8"/>
  <c r="A2669" i="8"/>
  <c r="A2670" i="8"/>
  <c r="A2671" i="8"/>
  <c r="A2672" i="8"/>
  <c r="A2673" i="8"/>
  <c r="A2674" i="8"/>
  <c r="A2675" i="8"/>
  <c r="A2676" i="8"/>
  <c r="A2677" i="8"/>
  <c r="A2678" i="8"/>
  <c r="A2679" i="8"/>
  <c r="A2680" i="8"/>
  <c r="A2681" i="8"/>
  <c r="A2682" i="8"/>
  <c r="A2683" i="8"/>
  <c r="A2684" i="8"/>
  <c r="A2685" i="8"/>
  <c r="A2686" i="8"/>
  <c r="A2687" i="8"/>
  <c r="A2688" i="8"/>
  <c r="A2689" i="8"/>
  <c r="A2690" i="8"/>
  <c r="A2691" i="8"/>
  <c r="A2692" i="8"/>
  <c r="A2693" i="8"/>
  <c r="A2694" i="8"/>
  <c r="A2695" i="8"/>
  <c r="A2696" i="8"/>
  <c r="A2697" i="8"/>
  <c r="A2698" i="8"/>
  <c r="A2699" i="8"/>
  <c r="A2700" i="8"/>
  <c r="A2701" i="8"/>
  <c r="A2702" i="8"/>
  <c r="A2703" i="8"/>
  <c r="A2704" i="8"/>
  <c r="A2705" i="8"/>
  <c r="A2706" i="8"/>
  <c r="A2707" i="8"/>
  <c r="A2708" i="8"/>
  <c r="A2709" i="8"/>
  <c r="A2710" i="8"/>
  <c r="A2711" i="8"/>
  <c r="A2712" i="8"/>
  <c r="A2713" i="8"/>
  <c r="A2714" i="8"/>
  <c r="A2715" i="8"/>
  <c r="A2716" i="8"/>
  <c r="A2717" i="8"/>
  <c r="A2718" i="8"/>
  <c r="A2719" i="8"/>
  <c r="A2720" i="8"/>
  <c r="A2721" i="8"/>
  <c r="A2722" i="8"/>
  <c r="A2723" i="8"/>
  <c r="A2724" i="8"/>
  <c r="A2725" i="8"/>
  <c r="A2726" i="8"/>
  <c r="A2727" i="8"/>
  <c r="A2728" i="8"/>
  <c r="A2729" i="8"/>
  <c r="A2730" i="8"/>
  <c r="A2731" i="8"/>
  <c r="A2732" i="8"/>
  <c r="A2733" i="8"/>
  <c r="A2734" i="8"/>
  <c r="A2735" i="8"/>
  <c r="A2736" i="8"/>
  <c r="A2737" i="8"/>
  <c r="A2738" i="8"/>
  <c r="A2739" i="8"/>
  <c r="A2740" i="8"/>
  <c r="A2741" i="8"/>
  <c r="A2742" i="8"/>
  <c r="A2743" i="8"/>
  <c r="A2744" i="8"/>
  <c r="A2745" i="8"/>
  <c r="A2746" i="8"/>
  <c r="A2747" i="8"/>
  <c r="A2748" i="8"/>
  <c r="A2749" i="8"/>
  <c r="A2750" i="8"/>
  <c r="A2751" i="8"/>
  <c r="A2752" i="8"/>
  <c r="A2753" i="8"/>
  <c r="A2754" i="8"/>
  <c r="A2755" i="8"/>
  <c r="A2756" i="8"/>
  <c r="A2757" i="8"/>
  <c r="A2758" i="8"/>
  <c r="A2759" i="8"/>
  <c r="A2760" i="8"/>
  <c r="A2761" i="8"/>
  <c r="A2762" i="8"/>
  <c r="A2763" i="8"/>
  <c r="A2764" i="8"/>
  <c r="A2765" i="8"/>
  <c r="A2766" i="8"/>
  <c r="A2767" i="8"/>
  <c r="A2768" i="8"/>
  <c r="A2769" i="8"/>
  <c r="A2770" i="8"/>
  <c r="A2771" i="8"/>
  <c r="A2772" i="8"/>
  <c r="A2773" i="8"/>
  <c r="A2774" i="8"/>
  <c r="A2775" i="8"/>
  <c r="A2776" i="8"/>
  <c r="A2777" i="8"/>
  <c r="A2778" i="8"/>
  <c r="A2779" i="8"/>
  <c r="A2780" i="8"/>
  <c r="A2781" i="8"/>
  <c r="A2782" i="8"/>
  <c r="A2783" i="8"/>
  <c r="A2784" i="8"/>
  <c r="A2785" i="8"/>
  <c r="A2786" i="8"/>
  <c r="A2787" i="8"/>
  <c r="A2788" i="8"/>
  <c r="A2789" i="8"/>
  <c r="A2790" i="8"/>
  <c r="A2791" i="8"/>
  <c r="A2792" i="8"/>
  <c r="A2793" i="8"/>
  <c r="A2794" i="8"/>
  <c r="A2795" i="8"/>
  <c r="A2796" i="8"/>
  <c r="A2797" i="8"/>
  <c r="A2798" i="8"/>
  <c r="A2799" i="8"/>
  <c r="A2800" i="8"/>
  <c r="A2801" i="8"/>
  <c r="A2802" i="8"/>
  <c r="A2803" i="8"/>
  <c r="A2804" i="8"/>
  <c r="A2805" i="8"/>
  <c r="A2806" i="8"/>
  <c r="A2807" i="8"/>
  <c r="A2808" i="8"/>
  <c r="A2809" i="8"/>
  <c r="A2810" i="8"/>
  <c r="A2811" i="8"/>
  <c r="A2812" i="8"/>
  <c r="A2813" i="8"/>
  <c r="A2814" i="8"/>
  <c r="A2815" i="8"/>
  <c r="A2816" i="8"/>
  <c r="A2817" i="8"/>
  <c r="A2818" i="8"/>
  <c r="A2819" i="8"/>
  <c r="A2820" i="8"/>
  <c r="A2821" i="8"/>
  <c r="A2822" i="8"/>
  <c r="A2823" i="8"/>
  <c r="A2824" i="8"/>
  <c r="A2825" i="8"/>
  <c r="A2826" i="8"/>
  <c r="A2827" i="8"/>
  <c r="A2828" i="8"/>
  <c r="A2829" i="8"/>
  <c r="A2830" i="8"/>
  <c r="A2831" i="8"/>
  <c r="A2832" i="8"/>
  <c r="A2833" i="8"/>
  <c r="A2834" i="8"/>
  <c r="A2835" i="8"/>
  <c r="A2836" i="8"/>
  <c r="A2837" i="8"/>
  <c r="A2838" i="8"/>
  <c r="A2839" i="8"/>
  <c r="A2840" i="8"/>
  <c r="A2841" i="8"/>
  <c r="A2842" i="8"/>
  <c r="A2843" i="8"/>
  <c r="A2844" i="8"/>
  <c r="A2845" i="8"/>
  <c r="A2846" i="8"/>
  <c r="A2847" i="8"/>
  <c r="A2848" i="8"/>
  <c r="A2849" i="8"/>
  <c r="A2850" i="8"/>
  <c r="A2851" i="8"/>
  <c r="A2852" i="8"/>
  <c r="A2853" i="8"/>
  <c r="A2854" i="8"/>
  <c r="A2855" i="8"/>
  <c r="A2856" i="8"/>
  <c r="A2857" i="8"/>
  <c r="A2858" i="8"/>
  <c r="A2859" i="8"/>
  <c r="A2860" i="8"/>
  <c r="A2861" i="8"/>
  <c r="A2862" i="8"/>
  <c r="A2863" i="8"/>
  <c r="A2864" i="8"/>
  <c r="A2865" i="8"/>
  <c r="A2866" i="8"/>
  <c r="A2867" i="8"/>
  <c r="A2868" i="8"/>
  <c r="A2869" i="8"/>
  <c r="A2870" i="8"/>
  <c r="A2871" i="8"/>
  <c r="A2872" i="8"/>
  <c r="A2873" i="8"/>
  <c r="A2874" i="8"/>
  <c r="A2875" i="8"/>
  <c r="A2876" i="8"/>
  <c r="A2877" i="8"/>
  <c r="A2878" i="8"/>
  <c r="A2879" i="8"/>
  <c r="A2880" i="8"/>
  <c r="A2881" i="8"/>
  <c r="A2882" i="8"/>
  <c r="A2883" i="8"/>
  <c r="A2884" i="8"/>
  <c r="A2885" i="8"/>
  <c r="A2886" i="8"/>
  <c r="A2887" i="8"/>
  <c r="A2888" i="8"/>
  <c r="A2889" i="8"/>
  <c r="A2890" i="8"/>
  <c r="A2891" i="8"/>
  <c r="A2892" i="8"/>
  <c r="A2893" i="8"/>
  <c r="A2894" i="8"/>
  <c r="A2895" i="8"/>
  <c r="A2896" i="8"/>
  <c r="A2897" i="8"/>
  <c r="A2898" i="8"/>
  <c r="A2899" i="8"/>
  <c r="A2900" i="8"/>
  <c r="A2901" i="8"/>
  <c r="A2902" i="8"/>
  <c r="A2903" i="8"/>
  <c r="A2904" i="8"/>
  <c r="A2905" i="8"/>
  <c r="A2906" i="8"/>
  <c r="A2907" i="8"/>
  <c r="A2908" i="8"/>
  <c r="A2909" i="8"/>
  <c r="A2910" i="8"/>
  <c r="A2911" i="8"/>
  <c r="A2912" i="8"/>
  <c r="A2913" i="8"/>
  <c r="A2914" i="8"/>
  <c r="A2915" i="8"/>
  <c r="A2916" i="8"/>
  <c r="A2917" i="8"/>
  <c r="A2918" i="8"/>
  <c r="A2919" i="8"/>
  <c r="A2920" i="8"/>
  <c r="A2921" i="8"/>
  <c r="A2922" i="8"/>
  <c r="A2923" i="8"/>
  <c r="A2924" i="8"/>
  <c r="A2925" i="8"/>
  <c r="A2926" i="8"/>
  <c r="A2927" i="8"/>
  <c r="A2928" i="8"/>
  <c r="A2929" i="8"/>
  <c r="A2930" i="8"/>
  <c r="A2931" i="8"/>
  <c r="A2932" i="8"/>
  <c r="A2933" i="8"/>
  <c r="A2934" i="8"/>
  <c r="A2935" i="8"/>
  <c r="A2936" i="8"/>
  <c r="A2937" i="8"/>
  <c r="A2938" i="8"/>
  <c r="A2939" i="8"/>
  <c r="A2940" i="8"/>
  <c r="A2941" i="8"/>
  <c r="A2942" i="8"/>
  <c r="A2943" i="8"/>
  <c r="A2944" i="8"/>
  <c r="A2945" i="8"/>
  <c r="A2946" i="8"/>
  <c r="A2947" i="8"/>
  <c r="A2948" i="8"/>
  <c r="A2949" i="8"/>
  <c r="A2950" i="8"/>
  <c r="A2951" i="8"/>
  <c r="A2952" i="8"/>
  <c r="A2953" i="8"/>
  <c r="A2954" i="8"/>
  <c r="A2955" i="8"/>
  <c r="A2956" i="8"/>
  <c r="A2957" i="8"/>
  <c r="A2958" i="8"/>
  <c r="A2959" i="8"/>
  <c r="A2960" i="8"/>
  <c r="A2961" i="8"/>
  <c r="A2962" i="8"/>
  <c r="A2963" i="8"/>
  <c r="A2964" i="8"/>
  <c r="A2965" i="8"/>
  <c r="A2966" i="8"/>
  <c r="A2967" i="8"/>
  <c r="A2968" i="8"/>
  <c r="A2969" i="8"/>
  <c r="A2970" i="8"/>
  <c r="A2971" i="8"/>
  <c r="A2972" i="8"/>
  <c r="A2973" i="8"/>
  <c r="A2974" i="8"/>
  <c r="A2975" i="8"/>
  <c r="A2976" i="8"/>
  <c r="A2977" i="8"/>
  <c r="A2978" i="8"/>
  <c r="A2979" i="8"/>
  <c r="A2980" i="8"/>
  <c r="A2981" i="8"/>
  <c r="A2982" i="8"/>
  <c r="A2983" i="8"/>
  <c r="A2984" i="8"/>
  <c r="A2985" i="8"/>
  <c r="A2986" i="8"/>
  <c r="A2987" i="8"/>
  <c r="A2988" i="8"/>
  <c r="A2989" i="8"/>
  <c r="A2990" i="8"/>
  <c r="A2991" i="8"/>
  <c r="A2992" i="8"/>
  <c r="A2993" i="8"/>
  <c r="A2994" i="8"/>
  <c r="A2995" i="8"/>
  <c r="A2996" i="8"/>
  <c r="A2997" i="8"/>
  <c r="A2998" i="8"/>
  <c r="A2999" i="8"/>
  <c r="A3000" i="8"/>
  <c r="A3001" i="8"/>
  <c r="A3002" i="8"/>
  <c r="A3003" i="8"/>
  <c r="A3004" i="8"/>
  <c r="A3005" i="8"/>
  <c r="A3006" i="8"/>
  <c r="A3007" i="8"/>
  <c r="A3008" i="8"/>
  <c r="A3009" i="8"/>
  <c r="A3010" i="8"/>
  <c r="A3011" i="8"/>
  <c r="A3012" i="8"/>
  <c r="A3013" i="8"/>
  <c r="A3014" i="8"/>
  <c r="A3015" i="8"/>
  <c r="A3016" i="8"/>
  <c r="A3017" i="8"/>
  <c r="A3018" i="8"/>
  <c r="A3019" i="8"/>
  <c r="A3020" i="8"/>
  <c r="A3021" i="8"/>
  <c r="A3022" i="8"/>
  <c r="A3023" i="8"/>
  <c r="A3024" i="8"/>
  <c r="A3025" i="8"/>
  <c r="A3026" i="8"/>
  <c r="A3027" i="8"/>
  <c r="A3028" i="8"/>
  <c r="A3029" i="8"/>
  <c r="A3030" i="8"/>
  <c r="A3031" i="8"/>
  <c r="A3032" i="8"/>
  <c r="A3033" i="8"/>
  <c r="A3034" i="8"/>
  <c r="A3035" i="8"/>
  <c r="A3036" i="8"/>
  <c r="A3037" i="8"/>
  <c r="A3038" i="8"/>
  <c r="A3039" i="8"/>
  <c r="A3040" i="8"/>
  <c r="A3041" i="8"/>
  <c r="A3042" i="8"/>
  <c r="A3043" i="8"/>
  <c r="A3044" i="8"/>
  <c r="A3045" i="8"/>
  <c r="A3046" i="8"/>
  <c r="A3047" i="8"/>
  <c r="A3048" i="8"/>
  <c r="A3049" i="8"/>
  <c r="A3050" i="8"/>
  <c r="A3051" i="8"/>
  <c r="A3052" i="8"/>
  <c r="A3053" i="8"/>
  <c r="A3054" i="8"/>
  <c r="A3055" i="8"/>
  <c r="A3056" i="8"/>
  <c r="A3057" i="8"/>
  <c r="A3058" i="8"/>
  <c r="A3059" i="8"/>
  <c r="A3060" i="8"/>
  <c r="A3061" i="8"/>
  <c r="A3062" i="8"/>
  <c r="A3063" i="8"/>
  <c r="A3064" i="8"/>
  <c r="A3065" i="8"/>
  <c r="A3066" i="8"/>
  <c r="A3067" i="8"/>
  <c r="A3068" i="8"/>
  <c r="A3069" i="8"/>
  <c r="A3070" i="8"/>
  <c r="A3071" i="8"/>
  <c r="A3072" i="8"/>
  <c r="A3073" i="8"/>
  <c r="A3074" i="8"/>
  <c r="A3075" i="8"/>
  <c r="A3076" i="8"/>
  <c r="A3077" i="8"/>
  <c r="A3078" i="8"/>
  <c r="A3079" i="8"/>
  <c r="A3080" i="8"/>
  <c r="A3081" i="8"/>
  <c r="A3082" i="8"/>
  <c r="A3083" i="8"/>
  <c r="A3084" i="8"/>
  <c r="A3085" i="8"/>
  <c r="A3086" i="8"/>
  <c r="A3087" i="8"/>
  <c r="A3088" i="8"/>
  <c r="A3089" i="8"/>
  <c r="A3090" i="8"/>
  <c r="A3091" i="8"/>
  <c r="A3092" i="8"/>
  <c r="A3093" i="8"/>
  <c r="A3094" i="8"/>
  <c r="A3095" i="8"/>
  <c r="A3096" i="8"/>
  <c r="C8" i="3" l="1"/>
  <c r="I7" i="3"/>
  <c r="I5" i="3" l="1"/>
  <c r="I5" i="4" s="1"/>
  <c r="I6" i="3"/>
  <c r="I6" i="4" s="1"/>
  <c r="I5" i="7" l="1"/>
  <c r="D22" i="7" s="1"/>
  <c r="D22" i="16" s="1"/>
  <c r="I6" i="7"/>
  <c r="C22" i="7" s="1"/>
  <c r="I6" i="6"/>
  <c r="C21" i="6" s="1"/>
  <c r="C29" i="4"/>
  <c r="C16" i="16"/>
  <c r="C15" i="16"/>
  <c r="C14" i="16"/>
  <c r="C13" i="16"/>
  <c r="C12" i="16"/>
  <c r="C9" i="16"/>
  <c r="C15" i="15"/>
  <c r="C14" i="15"/>
  <c r="C13" i="15"/>
  <c r="C12" i="15"/>
  <c r="C9" i="15"/>
  <c r="C16" i="14"/>
  <c r="C15" i="14"/>
  <c r="C14" i="14"/>
  <c r="C13" i="14"/>
  <c r="C12" i="14"/>
  <c r="C9" i="14"/>
  <c r="C21" i="13"/>
  <c r="C20" i="13"/>
  <c r="C19" i="13"/>
  <c r="C18" i="13"/>
  <c r="C17" i="13"/>
  <c r="C16" i="13"/>
  <c r="C15" i="13"/>
  <c r="C14" i="13"/>
  <c r="C13" i="13"/>
  <c r="C12" i="13"/>
  <c r="C9" i="13"/>
  <c r="C21" i="12"/>
  <c r="C20" i="12"/>
  <c r="C19" i="12"/>
  <c r="C18" i="12"/>
  <c r="C17" i="12"/>
  <c r="C16" i="12"/>
  <c r="C15" i="12"/>
  <c r="C14" i="12"/>
  <c r="C13" i="12"/>
  <c r="C12" i="12"/>
  <c r="C9" i="12"/>
  <c r="I9" i="3"/>
  <c r="I9" i="5" s="1"/>
  <c r="I8" i="3"/>
  <c r="I8" i="4" s="1"/>
  <c r="B2" i="1"/>
  <c r="I7" i="7"/>
  <c r="D17" i="7" s="1"/>
  <c r="D17" i="16" s="1"/>
  <c r="D22" i="3"/>
  <c r="D22" i="12" s="1"/>
  <c r="C28" i="3"/>
  <c r="I7" i="5"/>
  <c r="D17" i="5" s="1"/>
  <c r="D17" i="14" s="1"/>
  <c r="I7" i="6"/>
  <c r="D16" i="6" s="1"/>
  <c r="D16" i="15" s="1"/>
  <c r="I7" i="4"/>
  <c r="D23" i="4" s="1"/>
  <c r="D23" i="13" s="1"/>
  <c r="B1" i="1"/>
  <c r="I8" i="7" l="1"/>
  <c r="I8" i="6"/>
  <c r="I8" i="5"/>
  <c r="E5" i="5"/>
  <c r="E5" i="14" s="1"/>
  <c r="E6" i="4"/>
  <c r="D9" i="4" s="1"/>
  <c r="E6" i="3"/>
  <c r="C8" i="4"/>
  <c r="C8" i="13" s="1"/>
  <c r="C5" i="6"/>
  <c r="C5" i="15" s="1"/>
  <c r="C7" i="7"/>
  <c r="C7" i="16" s="1"/>
  <c r="I6" i="5"/>
  <c r="C22" i="5" s="1"/>
  <c r="D29" i="4"/>
  <c r="D30" i="13" s="1"/>
  <c r="I5" i="5"/>
  <c r="D22" i="5" s="1"/>
  <c r="D22" i="14" s="1"/>
  <c r="I5" i="6"/>
  <c r="D21" i="6" s="1"/>
  <c r="D21" i="15" s="1"/>
  <c r="D28" i="3"/>
  <c r="D28" i="12" s="1"/>
  <c r="I9" i="4"/>
  <c r="I9" i="7"/>
  <c r="I9" i="6"/>
  <c r="E7" i="5"/>
  <c r="C8" i="7"/>
  <c r="C8" i="16" s="1"/>
  <c r="C6" i="3"/>
  <c r="C6" i="12" s="1"/>
  <c r="C8" i="12"/>
  <c r="C8" i="6"/>
  <c r="C8" i="15" s="1"/>
  <c r="E5" i="6"/>
  <c r="E5" i="15" s="1"/>
  <c r="C5" i="7"/>
  <c r="C5" i="16" s="1"/>
  <c r="C6" i="5"/>
  <c r="C6" i="14" s="1"/>
  <c r="C7" i="6"/>
  <c r="C7" i="15" s="1"/>
  <c r="E7" i="6"/>
  <c r="C5" i="5"/>
  <c r="C5" i="14" s="1"/>
  <c r="W3" i="3"/>
  <c r="E5" i="3"/>
  <c r="E5" i="12" s="1"/>
  <c r="E6" i="5"/>
  <c r="E6" i="14" s="1"/>
  <c r="W3" i="5"/>
  <c r="E7" i="7"/>
  <c r="E5" i="7"/>
  <c r="E5" i="16" s="1"/>
  <c r="C6" i="6"/>
  <c r="C6" i="15" s="1"/>
  <c r="W3" i="4"/>
  <c r="C5" i="3"/>
  <c r="C5" i="12" s="1"/>
  <c r="C6" i="4"/>
  <c r="C6" i="13" s="1"/>
  <c r="E7" i="4"/>
  <c r="C6" i="7"/>
  <c r="C6" i="16" s="1"/>
  <c r="C7" i="3"/>
  <c r="C7" i="12" s="1"/>
  <c r="E6" i="6"/>
  <c r="E7" i="3"/>
  <c r="E5" i="4"/>
  <c r="E5" i="13" s="1"/>
  <c r="C7" i="5"/>
  <c r="C7" i="14" s="1"/>
  <c r="C8" i="5"/>
  <c r="C8" i="14" s="1"/>
  <c r="C7" i="4"/>
  <c r="C7" i="13" s="1"/>
  <c r="C5" i="4"/>
  <c r="C5" i="13" s="1"/>
  <c r="E6" i="7"/>
  <c r="W3" i="6"/>
  <c r="W3" i="7"/>
  <c r="E7" i="16" l="1"/>
  <c r="E7" i="15"/>
  <c r="E7" i="14"/>
  <c r="E7" i="12"/>
  <c r="E7" i="13"/>
  <c r="E6" i="13"/>
  <c r="D9" i="13" s="1"/>
  <c r="D9" i="7"/>
  <c r="E6" i="16"/>
  <c r="D9" i="16" s="1"/>
  <c r="E6" i="15"/>
  <c r="D9" i="15" s="1"/>
  <c r="D9" i="6"/>
  <c r="D9" i="3"/>
  <c r="E6" i="12"/>
  <c r="D9" i="12" s="1"/>
</calcChain>
</file>

<file path=xl/sharedStrings.xml><?xml version="1.0" encoding="utf-8"?>
<sst xmlns="http://schemas.openxmlformats.org/spreadsheetml/2006/main" count="28801" uniqueCount="13439">
  <si>
    <t>STT</t>
  </si>
  <si>
    <t>Mã nhân viên</t>
  </si>
  <si>
    <t>Giới tính</t>
  </si>
  <si>
    <t>Ngày sinh</t>
  </si>
  <si>
    <t>HỌ VÀ TÊN</t>
  </si>
  <si>
    <t>KẾT QUẢ TUYẾN GIÁP</t>
  </si>
  <si>
    <t>KẾT QUẢ TUYẾN VÚ</t>
  </si>
  <si>
    <t>KẾT QUẢ TỬ CUNG PHẦN PHỤ</t>
  </si>
  <si>
    <t>BÁC SỸ</t>
  </si>
  <si>
    <t>NGÀY KHÁM</t>
  </si>
  <si>
    <t>CODE MÁY TÍNH</t>
  </si>
  <si>
    <t>ĐIỀU ĐƯỠNG</t>
  </si>
  <si>
    <t>KẾT QUẢ</t>
  </si>
  <si>
    <t>Kích thước bình thường, nhu mô gan đều, không có khối u bất thường. Đường mật trong và ngoài gan không giãn, không có sỏi.
Tĩnh mạch cửa không giãn. Ống mật chủ không giãn, không có sỏi.</t>
  </si>
  <si>
    <t>Kích thước không to, thành mỏng, dịch trong, không có sỏi, không có polyp.</t>
  </si>
  <si>
    <t>Kích thước bình thường, nhu mô đều, ống Wirsung không giãn, không có sỏi, không có dịch quanh tụy.</t>
  </si>
  <si>
    <t>Kích thước bình thường, nhu mô đều. Tĩnh mạch lách không giãn.</t>
  </si>
  <si>
    <t>Kích thước bình thường, nhu mô đều, ranh giới tủy vỏ rõ, đài bể thận  không giãn, không có sỏi. Niệu quản không giãn, không có sỏi.</t>
  </si>
  <si>
    <t>Kích thước bình thường, nhu mô đều, ranh giới tủy vỏ rõ, đài bể thận không giãn, không có sỏi. Niệu quản không giãn, không có sỏi.</t>
  </si>
  <si>
    <t>Thành mỏng, nước tiểu trong, không có sỏi.</t>
  </si>
  <si>
    <t>Kích thước bình thường, nhu mô đều, không có khối khu trú.</t>
  </si>
  <si>
    <t>Ổ bụng không có dịch.</t>
  </si>
  <si>
    <t>Hình ảnh siêu âm ổ bụng hiện tại bình thường</t>
  </si>
  <si>
    <t>SIÊU ÂM Ổ BỤNG</t>
  </si>
  <si>
    <t>Họ và tên:</t>
  </si>
  <si>
    <t>Phòng/ BP:</t>
  </si>
  <si>
    <t>Mã NV:</t>
  </si>
  <si>
    <t>Địa chỉ:</t>
  </si>
  <si>
    <t>Chỉ định:</t>
  </si>
  <si>
    <t>Ngày sinh:</t>
  </si>
  <si>
    <t>Giới tính:</t>
  </si>
  <si>
    <t>Code XN:</t>
  </si>
  <si>
    <t>Gan:</t>
  </si>
  <si>
    <t>Túi mật:</t>
  </si>
  <si>
    <t>Tụy:</t>
  </si>
  <si>
    <t>Lách:</t>
  </si>
  <si>
    <t>Thận phải:</t>
  </si>
  <si>
    <t>Thận trái:</t>
  </si>
  <si>
    <t>Bàng quang:</t>
  </si>
  <si>
    <t>Tiền liệt tuyến:</t>
  </si>
  <si>
    <t>Thăm do khác:</t>
  </si>
  <si>
    <t>Kết luận:</t>
  </si>
  <si>
    <t>Bác sĩ siêu âm</t>
  </si>
  <si>
    <t>Điều dưỡng</t>
  </si>
  <si>
    <t>PHIẾU SIÊU ÂM  Ổ BỤNG NAM</t>
  </si>
  <si>
    <t>cảnh báo code và stt không trùng nhau thì ko cho in 
(đối như sửa tay vào danh sách khách hàng)</t>
  </si>
  <si>
    <t>ko cho phép lưu in 2 lần cho 1 khách hàng</t>
  </si>
  <si>
    <t>check kết quả xem bị trùng kết quả giữa 2 siêu âm cho cùng 1 người</t>
  </si>
  <si>
    <t>Ổ bụng</t>
  </si>
  <si>
    <t>tuyến giáp</t>
  </si>
  <si>
    <t>tuyến vú</t>
  </si>
  <si>
    <t>Trạng thái</t>
  </si>
  <si>
    <t>đã in</t>
  </si>
  <si>
    <t>chưa in</t>
  </si>
  <si>
    <t>ĐƯỜNG DẪN FILE</t>
  </si>
  <si>
    <t>SAOB nam truoc</t>
  </si>
  <si>
    <t>SATG nam truoc</t>
  </si>
  <si>
    <t>SATV nam truoc</t>
  </si>
  <si>
    <t>TCPP nam truoc</t>
  </si>
  <si>
    <t>Nam</t>
  </si>
  <si>
    <t>KO XÓA</t>
  </si>
  <si>
    <t>KHÔNG INSERT (CHÈN THÊM DÒNG, XÓA HAY THÊM CỘT)</t>
  </si>
  <si>
    <t>on error handling</t>
  </si>
  <si>
    <t>PHIẾU SIÊU ÂM  Ổ BỤNG NỮ</t>
  </si>
  <si>
    <t>Kích thước bình thường, âm vang cơ đều, trong buồng tử cung  không có dịch, không có khối bất thường.
Phần phụ hai bên không có gì đặc biệt.</t>
  </si>
  <si>
    <t>TC-Phần phụ:</t>
  </si>
  <si>
    <t>PHIẾU SIÊU ÂM  TUYẾN GIÁP</t>
  </si>
  <si>
    <t>SIÊU ÂM TUYẾN GIÁP</t>
  </si>
  <si>
    <t>Kích thước: bình thường, nhu mô đồng nhất, không có u khối bất thường.</t>
  </si>
  <si>
    <t>Kích thước: Bình thường, nhu mô đồng nhất, không có u khối bất thường.</t>
  </si>
  <si>
    <t>Kích thước: Bình thường, nhu mô đều, không có khối khu trú bất thường.</t>
  </si>
  <si>
    <t>Eo tuyến:</t>
  </si>
  <si>
    <t>Không thấy hạch to dọc bó mạch cảnh và dọc cơ ức đòn chũm hai bên.</t>
  </si>
  <si>
    <t xml:space="preserve">Liên quan:  </t>
  </si>
  <si>
    <t>Hình ảnh siêu âm tuyến giáp hiện tại bình thường</t>
  </si>
  <si>
    <t>Tuyến vú phải:</t>
  </si>
  <si>
    <t xml:space="preserve">Mật độ âm đều không thấy khối bất thường. 
Tổ chức ống tuyến bình thường, không thấy giãn ống tuyến. 
Tổ chức phần mềm dưới da bình thường. </t>
  </si>
  <si>
    <t>Không thấy hạch vùng hố nách và dọc ngoài cơ ngực lớn hai bên.</t>
  </si>
  <si>
    <t>Hình ảnh siêu âm tuyến vú hiện tại bình thường</t>
  </si>
  <si>
    <t>SIÊU ÂM TUYẾN VÚ</t>
  </si>
  <si>
    <t>PHIẾU SIÊU ÂM  TUYẾN VÚ</t>
  </si>
  <si>
    <t>PHIẾU SIÊU ÂM  TC - PP</t>
  </si>
  <si>
    <t>SIÊU ÂM TC - PP</t>
  </si>
  <si>
    <t>Siêu âm TC - PP hiện tại không thấy gì đặc biệt</t>
  </si>
  <si>
    <t>Tử cung tư thế:</t>
  </si>
  <si>
    <t>Kích thước : Bình thường.
Âm vang cơ tử cung đồng nhất, buồng tử cung không có dịch, không có u khối bất thường.
Niêm mạc tử cung dầy: mm.</t>
  </si>
  <si>
    <t>Buồng trứng bên trái</t>
  </si>
  <si>
    <t xml:space="preserve">Buồng trứng bên phải </t>
  </si>
  <si>
    <t>Túi cùng Douglas</t>
  </si>
  <si>
    <t>Liên quan:</t>
  </si>
  <si>
    <t>KẾT QUẢ NĂM TRƯỚC</t>
  </si>
  <si>
    <t>Siêu âm ổ bụng</t>
  </si>
  <si>
    <t>Siêu âm tuyến giáp</t>
  </si>
  <si>
    <t>Siêu âm tuyến vú</t>
  </si>
  <si>
    <t>Siêu âm TC-PP</t>
  </si>
  <si>
    <t>TCPP</t>
  </si>
  <si>
    <t>NỮ</t>
  </si>
  <si>
    <t>CODEXN</t>
  </si>
  <si>
    <t>DANHSACH Count existing record</t>
  </si>
  <si>
    <t>TONGHOPKD Count existing record</t>
  </si>
  <si>
    <t>not including header</t>
  </si>
  <si>
    <t>Không tự sửa tay</t>
  </si>
  <si>
    <t>KQ SIÊU ÂM Ổ BỤNG</t>
  </si>
  <si>
    <t>BÁC SỸ SIÊU ÂM</t>
  </si>
  <si>
    <t>ĐIỀU DƯỠNG HỖ TRỢ</t>
  </si>
  <si>
    <t>OB_NAM</t>
  </si>
  <si>
    <t>OB_NU</t>
  </si>
  <si>
    <t>TUYENGIAP</t>
  </si>
  <si>
    <t>TUYENVU</t>
  </si>
  <si>
    <t>Tuyến vú trái:</t>
  </si>
  <si>
    <t>Thuỳ phải:</t>
  </si>
  <si>
    <t>Thuỳ trái:</t>
  </si>
  <si>
    <t>Không có</t>
  </si>
  <si>
    <t>Unicode solution</t>
  </si>
  <si>
    <t>Nữ</t>
  </si>
  <si>
    <t>ĐẢM BẢO THÔNG TIN ĐƯỢC ĐIỀN ĐẦY ĐỦ</t>
  </si>
  <si>
    <t>TG SA OB (ngày tháng năm)</t>
  </si>
  <si>
    <t>TG SA TG</t>
  </si>
  <si>
    <t>TG SA TV</t>
  </si>
  <si>
    <t>TG SA TCPP</t>
  </si>
  <si>
    <t>NAM</t>
  </si>
  <si>
    <r>
      <t>Ví dụ: D:\aa_test</t>
    </r>
    <r>
      <rPr>
        <b/>
        <sz val="11"/>
        <color rgb="FFFF0000"/>
        <rFont val="Arial"/>
        <family val="2"/>
        <scheme val="minor"/>
      </rPr>
      <t>\</t>
    </r>
  </si>
  <si>
    <r>
      <t xml:space="preserve">* Lưu ý phải có </t>
    </r>
    <r>
      <rPr>
        <b/>
        <sz val="11"/>
        <color rgb="FFFF0000"/>
        <rFont val="Arial"/>
        <family val="2"/>
        <scheme val="minor"/>
      </rPr>
      <t>\</t>
    </r>
    <r>
      <rPr>
        <sz val="11"/>
        <color theme="1"/>
        <rFont val="Arial"/>
        <family val="2"/>
        <scheme val="minor"/>
      </rPr>
      <t xml:space="preserve"> ở cuối</t>
    </r>
  </si>
  <si>
    <t>TC - PP</t>
  </si>
  <si>
    <t>Kích thước to hơn bình thường, trong buồng tử cung có hình ảnh một thai, đường kính lưỡng đỉnh (BPD: mm), tương đương thai tuần  ngày, tim thai: ck/p.</t>
  </si>
  <si>
    <t>Hình ảnh siêu âm ổ bụng hiện tại bình thường.
Thai tuần ngày trong buồng tử cung.</t>
  </si>
  <si>
    <t>NHẬP CODE</t>
  </si>
  <si>
    <t>Không tự ý sửa tay, chèn, xóa dòng hay thêm cột</t>
  </si>
  <si>
    <t>Hiện tại không có u khối bất thường.</t>
  </si>
  <si>
    <t>Không có dịch.</t>
  </si>
  <si>
    <t>Buồng trứng trái:</t>
  </si>
  <si>
    <t>Buồng trứng phải:</t>
  </si>
  <si>
    <t>Túi cùng Douglas:</t>
  </si>
  <si>
    <t xml:space="preserve">    </t>
  </si>
  <si>
    <t>B1</t>
  </si>
  <si>
    <t>B2</t>
  </si>
  <si>
    <t>B3</t>
  </si>
  <si>
    <t>Chọn sheet CaiDat sửa tên bác sĩ, điều dưỡng, ngày siêu âm, sau đó bấm edit config</t>
  </si>
  <si>
    <t>B4</t>
  </si>
  <si>
    <t>Đánh máy kết quả siêu âm hiện tại, sau đó bấm lưu và in, chuyển sang mẫu siêu âm khác</t>
  </si>
  <si>
    <t>Lưu ý gói khám Nitori</t>
  </si>
  <si>
    <t>Bộ phận lấy máu hỏi người khám sau đó tích vào phần đã ăn hoặc chưa ăn (nếu đã ăn sáng hỏi xem ăn mấy tiếng rồi)</t>
  </si>
  <si>
    <t>Bộ phận siêu âm chú ý danh mục tự chon: ai chọn siêu âm tuyến giáp thì siêu âm.</t>
  </si>
  <si>
    <t>Tít hồ sơ khám, Tít máu mỗi 1 tiếng để tổng hợp số lượng khám báo công ty</t>
  </si>
  <si>
    <t>Cuối ngày copy hết file siêu âm các phòng lại để ghép cùng bản tít máu, hồ sơ, XQ để gửi công ty</t>
  </si>
  <si>
    <t>Chuẩn bị kẹo, trà gừng bộ phận lấy máu</t>
  </si>
  <si>
    <t>Bình thường</t>
  </si>
  <si>
    <t xml:space="preserve">Hình ảnh gan nhiễm mỡ </t>
  </si>
  <si>
    <t>Hình ảnh gan nhiễm mỡ</t>
  </si>
  <si>
    <t>20/01/1982</t>
  </si>
  <si>
    <t>NGUYỄN THỊ HƯỜNG</t>
  </si>
  <si>
    <t>NGUYỄN THỊ HẠNH</t>
  </si>
  <si>
    <t>NGUYỄN THỊ DUYÊN</t>
  </si>
  <si>
    <t>NGUYỄN THỊ HIỀN</t>
  </si>
  <si>
    <t>NGUYỄN THỊ NHUNG</t>
  </si>
  <si>
    <t>NGUYỄN THỊ PHƯỢNG</t>
  </si>
  <si>
    <t>NGUYỄN THỊ THỦY</t>
  </si>
  <si>
    <t>NGUYỄN THỊ HÀ</t>
  </si>
  <si>
    <t>LÊ THỊ NGỌC</t>
  </si>
  <si>
    <t>NGUYỄN THỊ HUYỀN TRANG</t>
  </si>
  <si>
    <t>NGUYỄN THỊ THƠM</t>
  </si>
  <si>
    <t>NGUYỄN THỊ YẾN</t>
  </si>
  <si>
    <t>NGUYỄN THỊ VÂN</t>
  </si>
  <si>
    <t>NGUYỄN THỊ QUỲNH</t>
  </si>
  <si>
    <t xml:space="preserve">Hình ảnh gan nhiễm mỡ. </t>
  </si>
  <si>
    <t>NGUYỄN THỊ HƯƠNG</t>
  </si>
  <si>
    <t>NGUYỄN THỊ LIÊN</t>
  </si>
  <si>
    <t>NGUYỄN THỊ THẢO</t>
  </si>
  <si>
    <t>05/09/1989</t>
  </si>
  <si>
    <t>NGUYỄN THỊ LƯƠNG</t>
  </si>
  <si>
    <t>NGUYỄN THỊ HOA</t>
  </si>
  <si>
    <t>02/10/1989</t>
  </si>
  <si>
    <t>NGUYỄN THỊ THÚY</t>
  </si>
  <si>
    <t>NGUYỄN THỊ LOAN</t>
  </si>
  <si>
    <t>NGUYỄN THỊ HẬU</t>
  </si>
  <si>
    <t>22/04/1991</t>
  </si>
  <si>
    <t>NGUYỄN THỊ THẮM</t>
  </si>
  <si>
    <t>NGUYỄN THỊ MAI</t>
  </si>
  <si>
    <t>NGUYỄN THỊ NGA</t>
  </si>
  <si>
    <t>NGUYỄN THỊ PHƯƠNG</t>
  </si>
  <si>
    <t>NGUYỄN THỊ TRANG</t>
  </si>
  <si>
    <t>ĐỖ THỊ HẠNH</t>
  </si>
  <si>
    <t>NGUYỄN THỊ NGUYỆT</t>
  </si>
  <si>
    <t>LÊ THỊ HỒNG</t>
  </si>
  <si>
    <t>NGUYỄN THỊ TUYẾN</t>
  </si>
  <si>
    <t>NGUYỄN THỊ LIỄU</t>
  </si>
  <si>
    <t>NGUYỄN THỊ QUÝ</t>
  </si>
  <si>
    <t>NGUYỄN THỊ THU HUYỀN</t>
  </si>
  <si>
    <t>NGUYỄN THỊ HUYỀN</t>
  </si>
  <si>
    <t>NGUYỄN THỊ ĐÀO</t>
  </si>
  <si>
    <t>10/10/1993</t>
  </si>
  <si>
    <t>NGUYỄN VĂN HIẾU</t>
  </si>
  <si>
    <t>NGUYỄN VĂN SƠN</t>
  </si>
  <si>
    <t>29/03/1993</t>
  </si>
  <si>
    <t>VŨ THỊ HẰNG</t>
  </si>
  <si>
    <t>10/10/1989</t>
  </si>
  <si>
    <t>NGUYỄN THỊ NGỌC</t>
  </si>
  <si>
    <t>15/02/1988</t>
  </si>
  <si>
    <t>NGUYỄN THỊ THU TRANG</t>
  </si>
  <si>
    <t>10/10/1988</t>
  </si>
  <si>
    <t>ĐỖ THỊ HUỆ</t>
  </si>
  <si>
    <t>NGUYỄN THỊ THU HẰNG</t>
  </si>
  <si>
    <t>NGUYỄN VĂN HÀ</t>
  </si>
  <si>
    <t>NGUYỄN THỊ HỒNG HẠNH</t>
  </si>
  <si>
    <t>LƯU THỊ HẰNG</t>
  </si>
  <si>
    <t>15/02/1987</t>
  </si>
  <si>
    <t>PHẠM THỊ THƠM</t>
  </si>
  <si>
    <t>20/09/1990</t>
  </si>
  <si>
    <t>NGUYỄN THỊ VÂN ANH</t>
  </si>
  <si>
    <t>NGUYỄN THỊ THU HÀ</t>
  </si>
  <si>
    <t>10/09/1989</t>
  </si>
  <si>
    <t>20/10/1992</t>
  </si>
  <si>
    <t>NGUYỄN VĂN TUẤN</t>
  </si>
  <si>
    <t>TRẦN THỊ THU HÀ</t>
  </si>
  <si>
    <t>02/10/1988</t>
  </si>
  <si>
    <t>HOÀNG THỊ HIỀN</t>
  </si>
  <si>
    <t>ĐỖ THỊ HƯƠNG</t>
  </si>
  <si>
    <t>NGUYỄN THỊ PHƯƠNG ANH</t>
  </si>
  <si>
    <t>NGUYỄN VĂN THẮNG</t>
  </si>
  <si>
    <t>01/08/1995</t>
  </si>
  <si>
    <t>01/10/1990</t>
  </si>
  <si>
    <t>12/11/1986</t>
  </si>
  <si>
    <t>TRẦN THỊ THÚY</t>
  </si>
  <si>
    <t>VŨ THỊ TRANG</t>
  </si>
  <si>
    <t>LÊ THỊ YẾN</t>
  </si>
  <si>
    <t>20/12/1992</t>
  </si>
  <si>
    <t>20/08/1992</t>
  </si>
  <si>
    <t>19/11/1998</t>
  </si>
  <si>
    <t>15/05/1991</t>
  </si>
  <si>
    <t>NGUYỄN THỊ LÀNH</t>
  </si>
  <si>
    <t>ĐỖ THỊ NGA</t>
  </si>
  <si>
    <t>15/02/1993</t>
  </si>
  <si>
    <t>04/06/1986</t>
  </si>
  <si>
    <t>NGUYỄN VĂN DŨNG</t>
  </si>
  <si>
    <t>04/01/1997</t>
  </si>
  <si>
    <t>NGUYỄN NGỌC ÁNH</t>
  </si>
  <si>
    <t>01/08/1994</t>
  </si>
  <si>
    <t>28/08/1990</t>
  </si>
  <si>
    <t>12/02/1990</t>
  </si>
  <si>
    <t>13/03/1992</t>
  </si>
  <si>
    <t>25/12/1994</t>
  </si>
  <si>
    <t>Chú ý chọn biểu mẫu siêu âm đúng theo giới tính</t>
  </si>
  <si>
    <t>Nhập SỐ HỒ SƠ dưới mã vạch sẽ hiện ra thông tin người khám và bệnh lý năm trước,</t>
  </si>
  <si>
    <t>Danh mục siêu âm: Siêu âm ổ bụng toàn bộ, Nữ siêu âm tuyến vú
Nhìn vào danh mục khám hồ sơ có danh mục tùy chọn ai đăng ký thêm siêu âm tuyến giáp thì báo bác sỹ siêu âm phần tuyến giáp.</t>
  </si>
  <si>
    <t>Khi có hồ sơ mới không trong danh sách, chuyển về sheet danh sách, nhập thông tin người khám trước sau đó mới sang đánh kết quả.</t>
  </si>
  <si>
    <t>CÁC LƯU Ý KHI PHỤ ĐÁNH KẾT QUẢ SIÊU ÂM
Lật mặt sau hồ sơ đóng dấu và tích vào các mục siêu âm</t>
  </si>
  <si>
    <t>OB</t>
  </si>
  <si>
    <t>Nhu mô gan tăng âm, sáng hơn thận, bờ gan đều, không có khối u.</t>
  </si>
  <si>
    <t>Gan thô, bờ không đều, có thể teo hoặc to thùy gan, lách to, tĩnh mạch cửa giãn, dịch báng.</t>
  </si>
  <si>
    <t>Có khối tăng/giảm âm khu trú, ranh giới rõ hoặc mờ. Có thể kèm theo tuần hoàn bàng hệ.</t>
  </si>
  <si>
    <t>Hình tăng âm có bóng cản phía sau, nằm trong túi mật hoặc ống mật.</t>
  </si>
  <si>
    <t>Thành túi mật dày, đường mật giãn, có thể kèm dịch quanh gan.</t>
  </si>
  <si>
    <t>Đường mật trong/ngoài gan giãn, có chỗ tắc/hẹp, thành ống mật không đều.</t>
  </si>
  <si>
    <t>Tĩnh mạch cửa giãn, dòng chảy bất thường, có khối tăng âm trong lòng mạch (huyết khối).</t>
  </si>
  <si>
    <t>test</t>
  </si>
  <si>
    <t>Số sổ</t>
  </si>
  <si>
    <t>Mã XN</t>
  </si>
  <si>
    <t>Họ và tên in hoa</t>
  </si>
  <si>
    <t>Công ty</t>
  </si>
  <si>
    <t>Bộ phận</t>
  </si>
  <si>
    <t>10/10/1997</t>
  </si>
  <si>
    <t>13/11/2002</t>
  </si>
  <si>
    <t>02/11/1998</t>
  </si>
  <si>
    <t>05/02/2005</t>
  </si>
  <si>
    <t>TRẦN THỊ LAN ANH</t>
  </si>
  <si>
    <t>20/01/1999</t>
  </si>
  <si>
    <t>04/01/1987</t>
  </si>
  <si>
    <t>27/07/1993</t>
  </si>
  <si>
    <t>Bình thường.|Thai 22 tuần 02 ngày trong buồng tử cung.</t>
  </si>
  <si>
    <t>30/11/1999</t>
  </si>
  <si>
    <t>LÊ THỊ HƯỜNG</t>
  </si>
  <si>
    <t>21/10/1993</t>
  </si>
  <si>
    <t>LÊ PHƯƠNG THẢO</t>
  </si>
  <si>
    <t>ĐỖ THỊ NHUNG</t>
  </si>
  <si>
    <t>22/02/1995</t>
  </si>
  <si>
    <t>02/11/2001</t>
  </si>
  <si>
    <t>28/11/2000</t>
  </si>
  <si>
    <t>27/11/2001</t>
  </si>
  <si>
    <t>05/04/1999</t>
  </si>
  <si>
    <t>05/02/1998</t>
  </si>
  <si>
    <t>24/01/1997</t>
  </si>
  <si>
    <t>TRẦN THỊ HUỆ</t>
  </si>
  <si>
    <t>21/05/1995</t>
  </si>
  <si>
    <t>07/03/1994</t>
  </si>
  <si>
    <t xml:space="preserve">Polyp túi mật đường kính: 4.5 mm </t>
  </si>
  <si>
    <t>03/07/1994</t>
  </si>
  <si>
    <t>Hình ảnh gan nhiễm mỡ .</t>
  </si>
  <si>
    <t>LÊ VĂN HẢI</t>
  </si>
  <si>
    <t>20/09/1999</t>
  </si>
  <si>
    <t>NGUYỄN VĂN LONG</t>
  </si>
  <si>
    <t>15/11/2004</t>
  </si>
  <si>
    <t>12/10/1996</t>
  </si>
  <si>
    <t>02/09/1988</t>
  </si>
  <si>
    <t>NGUYỄN THỊ THÙY DƯƠNG</t>
  </si>
  <si>
    <t>PHẠM THỊ THU HẰNG</t>
  </si>
  <si>
    <t>NGUYỄN THỊ QUỲNH TRANG</t>
  </si>
  <si>
    <t>13/07/2004</t>
  </si>
  <si>
    <t>LÊ ANH TUẤN</t>
  </si>
  <si>
    <t>NGUYỄN VĂN HẢI</t>
  </si>
  <si>
    <t>PHẠM THỊ DUNG</t>
  </si>
  <si>
    <t>01/12/1995</t>
  </si>
  <si>
    <t>24/04/1992</t>
  </si>
  <si>
    <t>16/02/2001</t>
  </si>
  <si>
    <t>NGUYỄN VĂN LUÂN</t>
  </si>
  <si>
    <t>NGUYỄN THANH TUẤN</t>
  </si>
  <si>
    <t>DƯƠNG THỊ THUẬN</t>
  </si>
  <si>
    <t>TRỊNH THỊ DUNG</t>
  </si>
  <si>
    <t>NGUYỄN THỊ LINH</t>
  </si>
  <si>
    <t>NGUYỄN THỊ HỒNG VÂN</t>
  </si>
  <si>
    <t>NGUYỄN THỊ THU HƯƠNG</t>
  </si>
  <si>
    <t>NGUYỄN THỊ NHÀN</t>
  </si>
  <si>
    <t>NGUYỄN THỊ NGỌC ÁNH</t>
  </si>
  <si>
    <t>NGUYỄN THỊ THANH HOA</t>
  </si>
  <si>
    <t>NGUYỄN THỊ HẰNG</t>
  </si>
  <si>
    <t>NGUYỄN THỊ HỒNG</t>
  </si>
  <si>
    <t>NGUYỄN THỊ LƯU</t>
  </si>
  <si>
    <t>ĐÀO THỊ HẠNH</t>
  </si>
  <si>
    <t>DƯƠNG THỊ NHUNG</t>
  </si>
  <si>
    <t>NGUYỄN THỊ LAN</t>
  </si>
  <si>
    <t>NGUYỄN THỊ THÙY</t>
  </si>
  <si>
    <t>NGUYỄN THỊ TUYẾT</t>
  </si>
  <si>
    <t>DƯƠNG THỊ VÂN</t>
  </si>
  <si>
    <t>NGUYỄN THỊ BÌNH</t>
  </si>
  <si>
    <t>NGUYỄN THỊ TÂM</t>
  </si>
  <si>
    <t>DƯƠNG MINH PHƯƠNG</t>
  </si>
  <si>
    <t>NGUYỄN VĂN TÚ</t>
  </si>
  <si>
    <t>NGÔ THỊ THU HẰNG</t>
  </si>
  <si>
    <t>LƯU THỊ CHIÊM</t>
  </si>
  <si>
    <t>LÊ THỊ TRANG</t>
  </si>
  <si>
    <t>LÊ THỊ HỒNG NHUNG</t>
  </si>
  <si>
    <t>LÊ THỊ HUỆ</t>
  </si>
  <si>
    <t>NGUYỄN THỊ HẢI YẾN</t>
  </si>
  <si>
    <t>NGÔ THỊ NHUNG</t>
  </si>
  <si>
    <t>ĐỖ THỊ THÚY</t>
  </si>
  <si>
    <t>ĐỖ THỊ THỦY</t>
  </si>
  <si>
    <t>NGUYỄN THỊ HƯỜNG</t>
  </si>
  <si>
    <t xml:space="preserve">NGUYỄN THỊ THU HIỀN </t>
  </si>
  <si>
    <t>PHẠM THỊ KIỀU TRANG</t>
  </si>
  <si>
    <t>ĐỖ THỊ HẰNG</t>
  </si>
  <si>
    <t>NGUYỄN VĂN HIỆP</t>
  </si>
  <si>
    <t>TẠ THỊ THẢO</t>
  </si>
  <si>
    <t>DƯƠNG THỊ MAI</t>
  </si>
  <si>
    <t>ĐINH THỊ DUNG</t>
  </si>
  <si>
    <t>NGUYỄN THỊ DUNG</t>
  </si>
  <si>
    <t>TRẦN THỊ TRANG</t>
  </si>
  <si>
    <t>DƯƠNG THỊ THỦY</t>
  </si>
  <si>
    <t>DƯƠNG THỊ HUYỀN</t>
  </si>
  <si>
    <t>NGUYỄN THỊ NINH</t>
  </si>
  <si>
    <t>ĐỖ THỊ CHINH</t>
  </si>
  <si>
    <t>NGÔ THỊ LOAN</t>
  </si>
  <si>
    <t>NGUYỄN THỊ HÒA</t>
  </si>
  <si>
    <t>NGUYỄN THỊ THANH HUYỀN</t>
  </si>
  <si>
    <t>LƯU THỊ MAI</t>
  </si>
  <si>
    <t>LƯU THỊ HƯƠNG</t>
  </si>
  <si>
    <t>NGUYỄN THỊ THU</t>
  </si>
  <si>
    <t>NGUYỄN THỊ BÉ</t>
  </si>
  <si>
    <t>NGUYỄN THỊ HỒNG NHUNG</t>
  </si>
  <si>
    <t>PHẠM THỊ NGA</t>
  </si>
  <si>
    <t>LÊ THỊ LAN</t>
  </si>
  <si>
    <t>ĐẶNG THỊ THOA</t>
  </si>
  <si>
    <t>HOÀNG THỊ THANH THỦY</t>
  </si>
  <si>
    <t>NGUYỄN THỊ HẢI</t>
  </si>
  <si>
    <t>TẠ THỊ THU</t>
  </si>
  <si>
    <t>ĐỖ THỊ MAI</t>
  </si>
  <si>
    <t>NGUYỄN THỊ NAM</t>
  </si>
  <si>
    <t>ĐỖ THỊ OANH</t>
  </si>
  <si>
    <t>DƯƠNG THỊ HỒNG THẮM</t>
  </si>
  <si>
    <t>NGUYỄN THỊ BÍCH</t>
  </si>
  <si>
    <t>NGUYỄN THỊ TIẾN</t>
  </si>
  <si>
    <t>LỖ THỊ HÀ</t>
  </si>
  <si>
    <t>NGUYỄN THỊ LỆ</t>
  </si>
  <si>
    <t>NGUYỄN THỊ KIM LIÊN</t>
  </si>
  <si>
    <t>NGUYỄN THỊ HUỆ</t>
  </si>
  <si>
    <t>ĐỖ THỊ THÙY</t>
  </si>
  <si>
    <t>NGUYỄN THỊ THANH</t>
  </si>
  <si>
    <t>LÊ THỊ HOA</t>
  </si>
  <si>
    <t>LÊ THỊ THÚY</t>
  </si>
  <si>
    <t>NGUYỄN VĂN NAM</t>
  </si>
  <si>
    <t>LÊ THỊ LOAN</t>
  </si>
  <si>
    <t>NGUYỄN THỊ DƯƠNG</t>
  </si>
  <si>
    <t>NGUYỄN THỊ THANH BÌNH</t>
  </si>
  <si>
    <t>NGUYỄN THỊ NGÂN</t>
  </si>
  <si>
    <t>NGUYỄN THỊ HÂN</t>
  </si>
  <si>
    <t>NGUYỄN THỊ ÁNH</t>
  </si>
  <si>
    <t>ĐỖ THỊ LIÊN</t>
  </si>
  <si>
    <t>BÙI THỊ PHƯƠNG</t>
  </si>
  <si>
    <t>NGUYỄN VĂN QUÂN</t>
  </si>
  <si>
    <t>NGUYỄN VĂN PHÚ</t>
  </si>
  <si>
    <t>ĐỖ THỊ HÀ</t>
  </si>
  <si>
    <t>NGUYỄN THỊ THANH HƯƠNG</t>
  </si>
  <si>
    <t>TRẦN VĂN LƯỢNG</t>
  </si>
  <si>
    <t>DƯƠNG THỊ HƯỜNG</t>
  </si>
  <si>
    <t>NGUYỄN THỊ HOÀN</t>
  </si>
  <si>
    <t>NGÔ THỊ YẾN</t>
  </si>
  <si>
    <t>TẠ THỊ TÂM</t>
  </si>
  <si>
    <t>NGUYỄN THỊ KIM THOA</t>
  </si>
  <si>
    <t>DƯƠNG THỊ HUỆ</t>
  </si>
  <si>
    <t>NGUYỄN THỊ THU HIỀN</t>
  </si>
  <si>
    <t>NGUYỄN THỊ UYÊN</t>
  </si>
  <si>
    <t>LƯU THỊ HẠNH</t>
  </si>
  <si>
    <t>TRẦN THỊ HẠNH</t>
  </si>
  <si>
    <t>NGUYỄN QUANG MẠNH</t>
  </si>
  <si>
    <t>NGUYỄN THỊ CẢNH</t>
  </si>
  <si>
    <t>TẠ THỊ YẾN</t>
  </si>
  <si>
    <t>HOÀNG THỊ VÂN</t>
  </si>
  <si>
    <t>NGUYỄN THỊ LUYỆN</t>
  </si>
  <si>
    <t>NGUYỄN THỊ TƯ</t>
  </si>
  <si>
    <t>ĐỖ THỊ HIỀN</t>
  </si>
  <si>
    <t>TẠ THỊ HƯỜNG</t>
  </si>
  <si>
    <t>DƯƠNG THỊ PHƯỢNG</t>
  </si>
  <si>
    <t>NGUYỄN THỊ BÍCH PHƯỢNG</t>
  </si>
  <si>
    <t>NGUYỄN THỊ THOA</t>
  </si>
  <si>
    <t>LƯU THỊ HỒNG</t>
  </si>
  <si>
    <t>ĐẶNG THỊ THÚY</t>
  </si>
  <si>
    <t>NGUYỄN THỊ BÍCH HẠNH</t>
  </si>
  <si>
    <t>ĐỖ THỊ LIỄU</t>
  </si>
  <si>
    <t>NGÔ THỊ HUYỀN</t>
  </si>
  <si>
    <t>HOÀNG THỊ HOA</t>
  </si>
  <si>
    <t>NGÔ THỊ HƯƠNG</t>
  </si>
  <si>
    <t>DƯƠNG THỊ OANH</t>
  </si>
  <si>
    <t>ĐỖ THỊ LỆ</t>
  </si>
  <si>
    <t>NGUYỄN THỊ NGỌC HOA</t>
  </si>
  <si>
    <t>LÊ THỊ PHƯƠNG THẢO</t>
  </si>
  <si>
    <t>ĐỖ THỊ TOÀN</t>
  </si>
  <si>
    <t>HOÀNG THỊ TRANG</t>
  </si>
  <si>
    <t>NGUYỄN THANH HƯỜNG</t>
  </si>
  <si>
    <t>NGUYỄN THỊ NHƯ</t>
  </si>
  <si>
    <t>LÊ THỊ THANH</t>
  </si>
  <si>
    <t>ĐỖ THỊ HƯỜNG</t>
  </si>
  <si>
    <t>NGUYỄN VĂN TIẾN</t>
  </si>
  <si>
    <t>NGÔ THỊ HÀ</t>
  </si>
  <si>
    <t>HÀ VĂN CHINH</t>
  </si>
  <si>
    <t>NGUYỄN ĐỨC ANH</t>
  </si>
  <si>
    <t>NGUYỄN THỊ MƠ</t>
  </si>
  <si>
    <t>NGÔ THỊ HIỀN</t>
  </si>
  <si>
    <t>NGUYỄN THỊ TÚ</t>
  </si>
  <si>
    <t>NGUYỄN THỊ BÍCH NGỌC</t>
  </si>
  <si>
    <t>NGUYỄN THỊ KIM DUNG</t>
  </si>
  <si>
    <t>NGUYỄN THỊ ĐỨC</t>
  </si>
  <si>
    <t>DƯƠNG THỊ NGÂN</t>
  </si>
  <si>
    <t>NGUYỄN THỊ LÝ</t>
  </si>
  <si>
    <t>TRẦN THỊ LAN</t>
  </si>
  <si>
    <t>PHẠM THỊ CÚC</t>
  </si>
  <si>
    <t>HOÀNG THỊ THANH TÂM</t>
  </si>
  <si>
    <t>NGUYỄN THỊ ANH</t>
  </si>
  <si>
    <t>NGUYỄN THỊ THANH TÂM</t>
  </si>
  <si>
    <t>NGUYỄN THU HUYỀN</t>
  </si>
  <si>
    <t>TRẦN THỊ NGA</t>
  </si>
  <si>
    <t>NGUYỄN THANH HẢI</t>
  </si>
  <si>
    <t>NGUYỄN THỊ NGỌC LAN</t>
  </si>
  <si>
    <t>NGUYỄN THỊ THANH NGA</t>
  </si>
  <si>
    <t>LÊ THỊ THU HÀ</t>
  </si>
  <si>
    <t>NGÔ THỊ HẰNG</t>
  </si>
  <si>
    <t>TẠ THỊ TRANG</t>
  </si>
  <si>
    <t>PHẠM THỊ TRANG</t>
  </si>
  <si>
    <t>NGUYỄN THỊ SEN</t>
  </si>
  <si>
    <t>NGUYỄN THỊ THÙY LINH</t>
  </si>
  <si>
    <t>LẠI THỊ HẰNG</t>
  </si>
  <si>
    <t>NGUYỄN VĂN PHƯƠNG</t>
  </si>
  <si>
    <t>NGUYỄN THỊ THU THẢO</t>
  </si>
  <si>
    <t>ĐẶNG THỊ MAI</t>
  </si>
  <si>
    <t>NGUYỄN THỊ HƯƠNG MAI</t>
  </si>
  <si>
    <t>DƯƠNG THỊ THU</t>
  </si>
  <si>
    <t>NGUYỄN THỊ PHÚC</t>
  </si>
  <si>
    <t>TẠ THỊ HỒNG</t>
  </si>
  <si>
    <t>NGUYỄN THỊ MINH</t>
  </si>
  <si>
    <t>NGUYỄN THỊ MỸ LINH</t>
  </si>
  <si>
    <t>DƯƠNG THỊ THANH TÂM</t>
  </si>
  <si>
    <t>NGUYỄN THU HIỀN</t>
  </si>
  <si>
    <t>NGUYỄN VĂN DUY</t>
  </si>
  <si>
    <t>NGUYỄN XUÂN BÌNH</t>
  </si>
  <si>
    <t>BÙI THỊ HOÀI</t>
  </si>
  <si>
    <t>LÊ THỊ THẢO</t>
  </si>
  <si>
    <t>ĐINH THỊ MINH</t>
  </si>
  <si>
    <t>BÙI THU TRANG</t>
  </si>
  <si>
    <t>LÊ THỊ HUYỀN TRANG</t>
  </si>
  <si>
    <t>NGUYỄN THỊ ÁNH TUYẾT</t>
  </si>
  <si>
    <t>NGUYỄN THỊ HOÀI</t>
  </si>
  <si>
    <t>NGUYỄN VĂN QUẢNG</t>
  </si>
  <si>
    <t>NGÔ THỊ THANH HUYỀN</t>
  </si>
  <si>
    <t>ĐỖ THU TRANG</t>
  </si>
  <si>
    <t>NGUYỄN THỊ THU PHƯƠNG</t>
  </si>
  <si>
    <t>NGUYỄN HỒNG NGỌC</t>
  </si>
  <si>
    <t>NGÔ THỊ HOA</t>
  </si>
  <si>
    <t>PHẠM THỊ THU HUYỀN</t>
  </si>
  <si>
    <t>NGUYỄN HỒNG SƠN</t>
  </si>
  <si>
    <t>HOÀNG THỊ ANH</t>
  </si>
  <si>
    <t>NGUYỄN THỊ OANH</t>
  </si>
  <si>
    <t>NGUYỄN VĂN HÙNG</t>
  </si>
  <si>
    <t>NGUYỄN VĂN TÙNG</t>
  </si>
  <si>
    <t>NGUYỄN THU THỦY</t>
  </si>
  <si>
    <t>NGUYỄN THỊ QUỲNH ANH</t>
  </si>
  <si>
    <t>NGUYỄN THỊ NĂM</t>
  </si>
  <si>
    <t>NGUYỄN THỊ THÁI</t>
  </si>
  <si>
    <t>NGUYỄN THÙY LINH</t>
  </si>
  <si>
    <t>NGUYỄN THỊ LAN ANH</t>
  </si>
  <si>
    <t>TRẦN THỊ THANH VÂN</t>
  </si>
  <si>
    <t>NGUYỄN NGỌC ANH</t>
  </si>
  <si>
    <t>VŨ THỊ THU</t>
  </si>
  <si>
    <t>HOÀNG THỊ HIÊN</t>
  </si>
  <si>
    <t>NGUYỄN VĂN QUYẾT</t>
  </si>
  <si>
    <t>NGUYỄN THỊ THÙY DUNG</t>
  </si>
  <si>
    <t>TRẦN THỊ HẢO</t>
  </si>
  <si>
    <t>NGUYỄN ĐỨC TÂM</t>
  </si>
  <si>
    <t>TẠ THỊ HƯƠNG</t>
  </si>
  <si>
    <t>LÊ THỊ QUỲNH TRANG</t>
  </si>
  <si>
    <t>LÊ VĂN HUY</t>
  </si>
  <si>
    <t>PHẠM THỊ CHANG</t>
  </si>
  <si>
    <t>DƯƠNG VĂN MẠNH</t>
  </si>
  <si>
    <t>NGUYỄN VĂN TUYÊN</t>
  </si>
  <si>
    <t>NGÔ THỊ THÙY LINH</t>
  </si>
  <si>
    <t>DƯƠNG THỊ DUNG</t>
  </si>
  <si>
    <t>LÊ THỊ THU TRANG</t>
  </si>
  <si>
    <t>TẠ THỊ HỒNG NHUNG</t>
  </si>
  <si>
    <t>NGUYỄN MẠNH CƯỜNG</t>
  </si>
  <si>
    <t>DƯƠNG THỊ HÀ</t>
  </si>
  <si>
    <t>NGUYỄN THỊ BÍCH PHƯƠNG</t>
  </si>
  <si>
    <t>NGUYỄN THỊ BÍCH LOAN</t>
  </si>
  <si>
    <t>PHÙNG THỊ DUNG</t>
  </si>
  <si>
    <t>NGUYỄN THỊ BẮC</t>
  </si>
  <si>
    <t>TRẦN THỊ HƯỜNG</t>
  </si>
  <si>
    <t>HOÀNG THU THẢO</t>
  </si>
  <si>
    <t>HOÀNG THỊ HƯỜNG</t>
  </si>
  <si>
    <t>NGUYỄN THỊ GIANG</t>
  </si>
  <si>
    <t>TRẦN VĂN HÙNG</t>
  </si>
  <si>
    <t>NGUYỄN VĂN MINH</t>
  </si>
  <si>
    <t>LÊ THỊ HỒNG PHƯƠNG</t>
  </si>
  <si>
    <t>ĐỖ THỊ HỒNG</t>
  </si>
  <si>
    <t>TRẦN THỊ HUYỀN TRANG</t>
  </si>
  <si>
    <t>ĐỖ THỊ XUYẾN</t>
  </si>
  <si>
    <t>DƯƠNG THỊ TRANG</t>
  </si>
  <si>
    <t>LƯU THỊ HẢO</t>
  </si>
  <si>
    <t>BÙI THỊ LAN</t>
  </si>
  <si>
    <t>DƯƠNG THU TRANG</t>
  </si>
  <si>
    <t>DƯƠNG THỊ THÚY</t>
  </si>
  <si>
    <t>NGUYỄN THỊ MAI TRANG</t>
  </si>
  <si>
    <t>NGUYỄN THU TRANG</t>
  </si>
  <si>
    <t>LÊ THỊ HẰNG</t>
  </si>
  <si>
    <t>NGUYỄN THÀNH ĐẠT</t>
  </si>
  <si>
    <t>DƯƠNG THỊ THANH HƯƠNG</t>
  </si>
  <si>
    <t>NGUYỄN THANH HÀ</t>
  </si>
  <si>
    <t>NGUYỄN THỊ HẢO</t>
  </si>
  <si>
    <t>ĐẶNG THỊ HÒA</t>
  </si>
  <si>
    <t>VŨ THỊ THU TRANG</t>
  </si>
  <si>
    <t>DƯƠNG THỊ THẢO</t>
  </si>
  <si>
    <t>NGUYỄN XUÂN TRƯỜNG</t>
  </si>
  <si>
    <t>NGUYỄN THỊ HUẾ</t>
  </si>
  <si>
    <t>NGUYỄN THỊ HIỆP</t>
  </si>
  <si>
    <t>NGUYỄN QUANG NINH</t>
  </si>
  <si>
    <t>NGUYỄN VĂN NGỌC</t>
  </si>
  <si>
    <t>NGUYỄN THỊ THƯƠNG</t>
  </si>
  <si>
    <t>LÊ THỊ HƯƠNG</t>
  </si>
  <si>
    <t>NGUYỄN THỊ MINH HUẾ</t>
  </si>
  <si>
    <t>NGUYỄN PHƯƠNG THẢO</t>
  </si>
  <si>
    <t>VŨ THỊ VÂN ANH</t>
  </si>
  <si>
    <t>ĐÀO THỊ HUỆ</t>
  </si>
  <si>
    <t>NGUYỄN THÚY QUỲNH</t>
  </si>
  <si>
    <t>NGUYỄN VĂN ĐỒNG</t>
  </si>
  <si>
    <t>ĐINH THỊ HẰNG</t>
  </si>
  <si>
    <t>NGUYỄN THỊ KIM ANH</t>
  </si>
  <si>
    <t>PHẠM THỊ THU HÀ</t>
  </si>
  <si>
    <t>HOÀNG THỊ NGUYỆT</t>
  </si>
  <si>
    <t>NGUYỄN THỊ KIM OANH</t>
  </si>
  <si>
    <t>NGÔ THỊ PHƯỢNG</t>
  </si>
  <si>
    <t>TRẦN THỊ TUYẾT NHUNG</t>
  </si>
  <si>
    <t>TRỊNH THỊ NHUNG</t>
  </si>
  <si>
    <t>LÊ THỊ THƠ</t>
  </si>
  <si>
    <t xml:space="preserve">NGUYỄN THỊ THUÝ </t>
  </si>
  <si>
    <t>HOÀNG THỊ PHƯƠNG</t>
  </si>
  <si>
    <t>TRẦN VĂN MẠNH</t>
  </si>
  <si>
    <t>TRẦN VĂN KIÊN</t>
  </si>
  <si>
    <t>LƯU THỊ HUYỀN</t>
  </si>
  <si>
    <t>NGUYỄN THỊ MINH PHƯƠNG</t>
  </si>
  <si>
    <t>HỒ THỊ PHƯƠNG</t>
  </si>
  <si>
    <t>NGUYỄN THỊ LAN HƯƠNG</t>
  </si>
  <si>
    <t>DƯƠNG THỊ THU HIỀN</t>
  </si>
  <si>
    <t>DƯƠNG THỊ NGỌC</t>
  </si>
  <si>
    <t>LÊ THỊ HỒNG OANH</t>
  </si>
  <si>
    <t>LÊ THỊ PHÚC</t>
  </si>
  <si>
    <t>NGUYỄN MẠNH HÙNG</t>
  </si>
  <si>
    <t>TRẦN THỊ THANH NGA</t>
  </si>
  <si>
    <t>TRẦN THỊ THU HIỀN</t>
  </si>
  <si>
    <t>NGUYỄN HUY HOÀNG</t>
  </si>
  <si>
    <t>VŨ THỊ THẢO</t>
  </si>
  <si>
    <t>TRỊNH THỊ LAN</t>
  </si>
  <si>
    <t>NGUYỄN ANH TUẤN</t>
  </si>
  <si>
    <t xml:space="preserve">NGUYỄN THỊ TRANG </t>
  </si>
  <si>
    <t>NGUYỄN THU HẰNG</t>
  </si>
  <si>
    <t>LÊ THỊ NGỌC ÁNH</t>
  </si>
  <si>
    <t>NGUYỄN THỊ ĐIỆP</t>
  </si>
  <si>
    <t>TRẦN THỊ PHƯƠNG ANH</t>
  </si>
  <si>
    <t>NGUYỄN THỊ LAM</t>
  </si>
  <si>
    <t>DƯƠNG THỊ TÂM</t>
  </si>
  <si>
    <t>LÊ THỊ HẠNH</t>
  </si>
  <si>
    <t>NGUYỄN VĂN CHÍNH</t>
  </si>
  <si>
    <t>NGUYỄN ĐÌNH THI</t>
  </si>
  <si>
    <t>LÊ THỊ THU PHƯƠNG</t>
  </si>
  <si>
    <t>LÊ THỊ HUYỀN</t>
  </si>
  <si>
    <t>NGUYỄN THỊ THUỶ</t>
  </si>
  <si>
    <t>NGUYỄN THỊ LY</t>
  </si>
  <si>
    <t>HOÀNG THỊ NGA</t>
  </si>
  <si>
    <t xml:space="preserve">NGUYỄN THỊ HUỆ </t>
  </si>
  <si>
    <t>BÙI THỊ HUYỀN</t>
  </si>
  <si>
    <t>LÊ THANH TUẤN</t>
  </si>
  <si>
    <t xml:space="preserve">NGUYỄN THỊ MỴ </t>
  </si>
  <si>
    <t>HOÀNG THỊ MAI</t>
  </si>
  <si>
    <t>HOÀNG THỊ THỦY</t>
  </si>
  <si>
    <t>LÊ THỊ LIÊN</t>
  </si>
  <si>
    <t>LÊ THỊ DUNG</t>
  </si>
  <si>
    <t>NGUYỄN MINH HIẾU</t>
  </si>
  <si>
    <t>VŨ THỊ THU HẰNG</t>
  </si>
  <si>
    <t>HOÀNG THỊ HẠNH</t>
  </si>
  <si>
    <t>TRẦN THỊ HÀ</t>
  </si>
  <si>
    <t>NGUYỄN THỊ LUYẾN</t>
  </si>
  <si>
    <t>TRẦN THỊ THANH HUYỀN</t>
  </si>
  <si>
    <t>NGUYỄN THỊ CHINH</t>
  </si>
  <si>
    <t>ĐỖ THỊ MẬN</t>
  </si>
  <si>
    <t>NGUYỄN THỊ PHƯƠNG THẢO</t>
  </si>
  <si>
    <t>LÊ THỊ HOÀI</t>
  </si>
  <si>
    <t>DƯƠNG HUYỀN TRANG</t>
  </si>
  <si>
    <t>NGUYỄN THỊ HOÀ</t>
  </si>
  <si>
    <t>HOÀNG THỊ HẰNG</t>
  </si>
  <si>
    <t>TRẦN THỊ HƯƠNG</t>
  </si>
  <si>
    <t>NGUYỄN THỊ THUỲ LINH</t>
  </si>
  <si>
    <t>HOÀNG THỊ THỦY TIÊN</t>
  </si>
  <si>
    <t xml:space="preserve">NGUYỄN THỊ QUYÊN </t>
  </si>
  <si>
    <t>ĐẶNG THỊ THU HẰNG</t>
  </si>
  <si>
    <t>ĐỖ THỊ THANH HUYỀN</t>
  </si>
  <si>
    <t>LÊ THỊ THƯ</t>
  </si>
  <si>
    <t>PHẠM NGỌC THANH</t>
  </si>
  <si>
    <t>HOÀNG THỊ XUYÊN</t>
  </si>
  <si>
    <t>PHẠM THỊ TÂM</t>
  </si>
  <si>
    <t>ĐẶNG THỊ HƯỜNG</t>
  </si>
  <si>
    <t>TRẦN THỊ LOAN</t>
  </si>
  <si>
    <t>NGUYỄN TỐ UYÊN</t>
  </si>
  <si>
    <t>NGÔ THỊ VÂN</t>
  </si>
  <si>
    <t>TRẦN THỊ HẰNG</t>
  </si>
  <si>
    <t>NGUYỄN THỊ CHÚC</t>
  </si>
  <si>
    <t>ĐÀO THỊ THU HÀ</t>
  </si>
  <si>
    <t>NGÔ THỊ HẠNH</t>
  </si>
  <si>
    <t>TRẦN THỊ DUYÊN</t>
  </si>
  <si>
    <t>LÊ THU HUYỀN</t>
  </si>
  <si>
    <t>LÊ THỊ NGUYỆT</t>
  </si>
  <si>
    <t xml:space="preserve">NGUYỄN THỊ HỒNG NGÁT </t>
  </si>
  <si>
    <t>NGUYỄN THỊ THANH THỦY</t>
  </si>
  <si>
    <t>TRẦN THỊ THỦY</t>
  </si>
  <si>
    <t>HOÀNG THỊ HUỆ</t>
  </si>
  <si>
    <t>ĐỒNG THỊ THƠM</t>
  </si>
  <si>
    <t>TRẦN THỊ HIỀN</t>
  </si>
  <si>
    <t>PHẠM THỊ THU</t>
  </si>
  <si>
    <t>TRẦN THỊ THẢO</t>
  </si>
  <si>
    <t>NGÔ PHƯƠNG THẢO</t>
  </si>
  <si>
    <t>DƯƠNG THỊ QUYÊN</t>
  </si>
  <si>
    <t>NGUYỄN THỊ THU HOÀI</t>
  </si>
  <si>
    <t>LÊ THÙY LINH</t>
  </si>
  <si>
    <t>TRẦN TRUNG HIẾU</t>
  </si>
  <si>
    <t>NGUYỄN VĂN HOÀNG</t>
  </si>
  <si>
    <t>NGUYỄN XUÂN LÂM</t>
  </si>
  <si>
    <t>DƯƠNG MẠNH CƯỜNG</t>
  </si>
  <si>
    <t>NGUYỄN THẾ ĐẠT</t>
  </si>
  <si>
    <t>TRẦN THỊ QUỲNH</t>
  </si>
  <si>
    <t>NGUYỄN QUỐC HƯNG</t>
  </si>
  <si>
    <t>NGUYỄN THỊ THÚY HẰNG</t>
  </si>
  <si>
    <t>ĐÀO THỊ HÀ</t>
  </si>
  <si>
    <t>VŨ VĂN NAM</t>
  </si>
  <si>
    <t>PHẠM VĂN TUẤN</t>
  </si>
  <si>
    <t>TRẦN VĂN TUẤN</t>
  </si>
  <si>
    <t>25/03/1986</t>
  </si>
  <si>
    <t>08/12/1984</t>
  </si>
  <si>
    <t>27/07/1988</t>
  </si>
  <si>
    <t>29/03/1984</t>
  </si>
  <si>
    <t>24/07/1987</t>
  </si>
  <si>
    <t>18/11/1983</t>
  </si>
  <si>
    <t>20/10/1982</t>
  </si>
  <si>
    <t>27/01/1989</t>
  </si>
  <si>
    <t>24/10/1987</t>
  </si>
  <si>
    <t>14/09/1989</t>
  </si>
  <si>
    <t>26/11/1984</t>
  </si>
  <si>
    <t>20/10/1986</t>
  </si>
  <si>
    <t>04/08/1986</t>
  </si>
  <si>
    <t>19/05/1986</t>
  </si>
  <si>
    <t>18/05/1984</t>
  </si>
  <si>
    <t>10/11/1986</t>
  </si>
  <si>
    <t>05/09/1987</t>
  </si>
  <si>
    <t>20/08/1988</t>
  </si>
  <si>
    <t>06/09/1985</t>
  </si>
  <si>
    <t>28/08/1986</t>
  </si>
  <si>
    <t>23/09/1988</t>
  </si>
  <si>
    <t>30/01/1985</t>
  </si>
  <si>
    <t>15/10/1987</t>
  </si>
  <si>
    <t>04/12/1988</t>
  </si>
  <si>
    <t>25/08/1985</t>
  </si>
  <si>
    <t>05/10/1989</t>
  </si>
  <si>
    <t>28/09/1988</t>
  </si>
  <si>
    <t>18/11/1990</t>
  </si>
  <si>
    <t>12/04/1990</t>
  </si>
  <si>
    <t>02/09/1989</t>
  </si>
  <si>
    <t>20/08/1986</t>
  </si>
  <si>
    <t>14/12/1990</t>
  </si>
  <si>
    <t>25/01/1989</t>
  </si>
  <si>
    <t>18/11/1988</t>
  </si>
  <si>
    <t>13/12/1986</t>
  </si>
  <si>
    <t>13/10/1985</t>
  </si>
  <si>
    <t>29/07/1990</t>
  </si>
  <si>
    <t>23/10/1990</t>
  </si>
  <si>
    <t>08/01/1987</t>
  </si>
  <si>
    <t>10/06/1988</t>
  </si>
  <si>
    <t>07/04/1987</t>
  </si>
  <si>
    <t>30/04/1986</t>
  </si>
  <si>
    <t>27/01/1987</t>
  </si>
  <si>
    <t>10/12/1990</t>
  </si>
  <si>
    <t>16/11/1987</t>
  </si>
  <si>
    <t>02/02/1991</t>
  </si>
  <si>
    <t>10/06/1990</t>
  </si>
  <si>
    <t>20/07/1991</t>
  </si>
  <si>
    <t>04/09/1990</t>
  </si>
  <si>
    <t>02/03/1991</t>
  </si>
  <si>
    <t>26/09/1989</t>
  </si>
  <si>
    <t>20/07/1989</t>
  </si>
  <si>
    <t>15/07/1987</t>
  </si>
  <si>
    <t>04/03/1987</t>
  </si>
  <si>
    <t>10/02/1989</t>
  </si>
  <si>
    <t>12/12/1987</t>
  </si>
  <si>
    <t>06/07/1991</t>
  </si>
  <si>
    <t>30/12/1985</t>
  </si>
  <si>
    <t>08/06/1985</t>
  </si>
  <si>
    <t>19/10/1989</t>
  </si>
  <si>
    <t>01/04/1984</t>
  </si>
  <si>
    <t>09/09/1987</t>
  </si>
  <si>
    <t>07/09/1986</t>
  </si>
  <si>
    <t>25/01/1990</t>
  </si>
  <si>
    <t>08/09/1990</t>
  </si>
  <si>
    <t>25/10/1990</t>
  </si>
  <si>
    <t>20/07/1990</t>
  </si>
  <si>
    <t>20/02/1991</t>
  </si>
  <si>
    <t>08/12/1986</t>
  </si>
  <si>
    <t>01/01/1987</t>
  </si>
  <si>
    <t>13/11/1992</t>
  </si>
  <si>
    <t>14/07/1987</t>
  </si>
  <si>
    <t>20/09/1986</t>
  </si>
  <si>
    <t>29/09/1989</t>
  </si>
  <si>
    <t>08/10/1992</t>
  </si>
  <si>
    <t>12/11/1992</t>
  </si>
  <si>
    <t>20/04/1992</t>
  </si>
  <si>
    <t>26/08/1990</t>
  </si>
  <si>
    <t>04/08/1992</t>
  </si>
  <si>
    <t>07/06/1988</t>
  </si>
  <si>
    <t>29/04/1988</t>
  </si>
  <si>
    <t>29/10/1992</t>
  </si>
  <si>
    <t>16/01/1991</t>
  </si>
  <si>
    <t>20/06/1991</t>
  </si>
  <si>
    <t>06/08/1987</t>
  </si>
  <si>
    <t>08/09/1988</t>
  </si>
  <si>
    <t>13/09/1990</t>
  </si>
  <si>
    <t>01/07/1988</t>
  </si>
  <si>
    <t>02/06/1989</t>
  </si>
  <si>
    <t>23/05/1986</t>
  </si>
  <si>
    <t>02/05/1992</t>
  </si>
  <si>
    <t>20/11/1988</t>
  </si>
  <si>
    <t>20/05/1987</t>
  </si>
  <si>
    <t>11/09/1990</t>
  </si>
  <si>
    <t>26/12/1990</t>
  </si>
  <si>
    <t>16/11/1990</t>
  </si>
  <si>
    <t>01/10/1992</t>
  </si>
  <si>
    <t>24/12/1993</t>
  </si>
  <si>
    <t>11/12/1993</t>
  </si>
  <si>
    <t>05/01/1993</t>
  </si>
  <si>
    <t>08/09/1993</t>
  </si>
  <si>
    <t>02/11/1993</t>
  </si>
  <si>
    <t>12/10/1991</t>
  </si>
  <si>
    <t>09/11/1993</t>
  </si>
  <si>
    <t>08/08/1993</t>
  </si>
  <si>
    <t>21/06/1993</t>
  </si>
  <si>
    <t>10/12/1988</t>
  </si>
  <si>
    <t>29/12/1990</t>
  </si>
  <si>
    <t>15/12/1987</t>
  </si>
  <si>
    <t>10/03/1992</t>
  </si>
  <si>
    <t>30/07/1989</t>
  </si>
  <si>
    <t>09/09/1988</t>
  </si>
  <si>
    <t>20/06/1987</t>
  </si>
  <si>
    <t>10/07/1988</t>
  </si>
  <si>
    <t>03/07/1987</t>
  </si>
  <si>
    <t>05/10/1986</t>
  </si>
  <si>
    <t>30/04/1987</t>
  </si>
  <si>
    <t>20/10/1988</t>
  </si>
  <si>
    <t>20/04/1991</t>
  </si>
  <si>
    <t>26/10/1990</t>
  </si>
  <si>
    <t>14/04/1986</t>
  </si>
  <si>
    <t>30/07/1994</t>
  </si>
  <si>
    <t>18/08/1994</t>
  </si>
  <si>
    <t>13/03/1994</t>
  </si>
  <si>
    <t>05/08/1993</t>
  </si>
  <si>
    <t>28/07/1994</t>
  </si>
  <si>
    <t>22/10/1994</t>
  </si>
  <si>
    <t>23/09/1993</t>
  </si>
  <si>
    <t>08/03/1985</t>
  </si>
  <si>
    <t>10/05/1994</t>
  </si>
  <si>
    <t>08/12/1994</t>
  </si>
  <si>
    <t>12/01/1994</t>
  </si>
  <si>
    <t>15/04/1994</t>
  </si>
  <si>
    <t>18/04/1994</t>
  </si>
  <si>
    <t>28/09/1994</t>
  </si>
  <si>
    <t>13/11/1990</t>
  </si>
  <si>
    <t>10/09/1988</t>
  </si>
  <si>
    <t>26/08/1994</t>
  </si>
  <si>
    <t>02/08/1990</t>
  </si>
  <si>
    <t>21/04/1984</t>
  </si>
  <si>
    <t>09/08/1993</t>
  </si>
  <si>
    <t>07/06/1995</t>
  </si>
  <si>
    <t>02/08/1995</t>
  </si>
  <si>
    <t>01/01/1995</t>
  </si>
  <si>
    <t>10/06/1995</t>
  </si>
  <si>
    <t>21/09/1995</t>
  </si>
  <si>
    <t>20/06/1995</t>
  </si>
  <si>
    <t>06/11/1995</t>
  </si>
  <si>
    <t>26/03/1990</t>
  </si>
  <si>
    <t>27/09/1991</t>
  </si>
  <si>
    <t>13/10/1989</t>
  </si>
  <si>
    <t>24/10/1995</t>
  </si>
  <si>
    <t>23/05/1995</t>
  </si>
  <si>
    <t>08/02/1995</t>
  </si>
  <si>
    <t>10/08/1995</t>
  </si>
  <si>
    <t>02/09/1995</t>
  </si>
  <si>
    <t>09/06/1992</t>
  </si>
  <si>
    <t>04/07/1992</t>
  </si>
  <si>
    <t>06/05/1995</t>
  </si>
  <si>
    <t>10/01/1991</t>
  </si>
  <si>
    <t>02/05/1996</t>
  </si>
  <si>
    <t>06/11/1996</t>
  </si>
  <si>
    <t>02/03/1996</t>
  </si>
  <si>
    <t>01/02/1996</t>
  </si>
  <si>
    <t>13/08/1992</t>
  </si>
  <si>
    <t>16/04/1991</t>
  </si>
  <si>
    <t>10/09/1990</t>
  </si>
  <si>
    <t>10/07/1991</t>
  </si>
  <si>
    <t>12/09/1996</t>
  </si>
  <si>
    <t>23/04/1996</t>
  </si>
  <si>
    <t>21/07/1991</t>
  </si>
  <si>
    <t>23/05/1996</t>
  </si>
  <si>
    <t>02/04/1996</t>
  </si>
  <si>
    <t>02/08/1996</t>
  </si>
  <si>
    <t>20/08/1996</t>
  </si>
  <si>
    <t>20/10/1995</t>
  </si>
  <si>
    <t>09/02/1992</t>
  </si>
  <si>
    <t>30/06/1993</t>
  </si>
  <si>
    <t>07/09/1996</t>
  </si>
  <si>
    <t>03/01/1996</t>
  </si>
  <si>
    <t>01/09/1993</t>
  </si>
  <si>
    <t>10/12/1993</t>
  </si>
  <si>
    <t>13/02/1992</t>
  </si>
  <si>
    <t>07/04/1992</t>
  </si>
  <si>
    <t>25/10/1993</t>
  </si>
  <si>
    <t>28/08/1996</t>
  </si>
  <si>
    <t>20/10/1993</t>
  </si>
  <si>
    <t>12/02/1996</t>
  </si>
  <si>
    <t>16/01/1996</t>
  </si>
  <si>
    <t>20/03/1996</t>
  </si>
  <si>
    <t>18/09/1993</t>
  </si>
  <si>
    <t>24/09/1992</t>
  </si>
  <si>
    <t>31/08/1992</t>
  </si>
  <si>
    <t>24/08/1996</t>
  </si>
  <si>
    <t>12/06/1996</t>
  </si>
  <si>
    <t>07/08/1994</t>
  </si>
  <si>
    <t>23/02/1997</t>
  </si>
  <si>
    <t>20/02/1997</t>
  </si>
  <si>
    <t>15/01/1997</t>
  </si>
  <si>
    <t>26/06/1997</t>
  </si>
  <si>
    <t>07/02/1996</t>
  </si>
  <si>
    <t>05/09/1996</t>
  </si>
  <si>
    <t>04/07/1997</t>
  </si>
  <si>
    <t>15/09/1997</t>
  </si>
  <si>
    <t>14/11/1997</t>
  </si>
  <si>
    <t>20/06/1997</t>
  </si>
  <si>
    <t>02/02/1997</t>
  </si>
  <si>
    <t>25/06/1997</t>
  </si>
  <si>
    <t>09/04/1997</t>
  </si>
  <si>
    <t>07/08/1987</t>
  </si>
  <si>
    <t>22/10/1997</t>
  </si>
  <si>
    <t>19/09/1997</t>
  </si>
  <si>
    <t>29/11/1997</t>
  </si>
  <si>
    <t>14/10/1997</t>
  </si>
  <si>
    <t>17/09/1997</t>
  </si>
  <si>
    <t>01/06/1994</t>
  </si>
  <si>
    <t>30/05/1993</t>
  </si>
  <si>
    <t>17/09/1996</t>
  </si>
  <si>
    <t>05/10/1994</t>
  </si>
  <si>
    <t>21/12/1995</t>
  </si>
  <si>
    <t>01/07/1989</t>
  </si>
  <si>
    <t>17/10/1995</t>
  </si>
  <si>
    <t>28/03/1993</t>
  </si>
  <si>
    <t>14/03/1998</t>
  </si>
  <si>
    <t>08/07/1998</t>
  </si>
  <si>
    <t>04/04/1992</t>
  </si>
  <si>
    <t>28/08/1987</t>
  </si>
  <si>
    <t>07/09/1998</t>
  </si>
  <si>
    <t>23/09/1998</t>
  </si>
  <si>
    <t>19/01/1998</t>
  </si>
  <si>
    <t>24/06/1995</t>
  </si>
  <si>
    <t>20/08/1994</t>
  </si>
  <si>
    <t>08/11/1998</t>
  </si>
  <si>
    <t>20/04/1998</t>
  </si>
  <si>
    <t>20/07/1995</t>
  </si>
  <si>
    <t>12/09/1994</t>
  </si>
  <si>
    <t>19/08/1994</t>
  </si>
  <si>
    <t>10/10/1998</t>
  </si>
  <si>
    <t>08/07/1994</t>
  </si>
  <si>
    <t>23/12/1992</t>
  </si>
  <si>
    <t>11/03/1995</t>
  </si>
  <si>
    <t>25/08/1999</t>
  </si>
  <si>
    <t>25/03/1999</t>
  </si>
  <si>
    <t>20/02/1983</t>
  </si>
  <si>
    <t>08/06/1999</t>
  </si>
  <si>
    <t>01/03/1999</t>
  </si>
  <si>
    <t>18/05/1999</t>
  </si>
  <si>
    <t>06/08/1999</t>
  </si>
  <si>
    <t>08/02/1999</t>
  </si>
  <si>
    <t>06/04/1997</t>
  </si>
  <si>
    <t>24/08/1999</t>
  </si>
  <si>
    <t>03/10/1999</t>
  </si>
  <si>
    <t>26/01/1999</t>
  </si>
  <si>
    <t>03/11/1999</t>
  </si>
  <si>
    <t>15/10/1997</t>
  </si>
  <si>
    <t>01/10/1991</t>
  </si>
  <si>
    <t>13/10/1998</t>
  </si>
  <si>
    <t>02/10/1993</t>
  </si>
  <si>
    <t>13/08/1998</t>
  </si>
  <si>
    <t>04/05/1994</t>
  </si>
  <si>
    <t>30/09/1997</t>
  </si>
  <si>
    <t>04/11/1997</t>
  </si>
  <si>
    <t>22/10/1993</t>
  </si>
  <si>
    <t>01/06/1996</t>
  </si>
  <si>
    <t>31/12/1999</t>
  </si>
  <si>
    <t>15/03/1989</t>
  </si>
  <si>
    <t>05/07/1991</t>
  </si>
  <si>
    <t>29/01/1996</t>
  </si>
  <si>
    <t>05/05/1994</t>
  </si>
  <si>
    <t>20/10/1999</t>
  </si>
  <si>
    <t>14/05/1998</t>
  </si>
  <si>
    <t>25/10/2000</t>
  </si>
  <si>
    <t>25/09/1999</t>
  </si>
  <si>
    <t>15/03/1994</t>
  </si>
  <si>
    <t>01/04/2000</t>
  </si>
  <si>
    <t>02/02/2000</t>
  </si>
  <si>
    <t>25/02/2000</t>
  </si>
  <si>
    <t>19/01/2000</t>
  </si>
  <si>
    <t>11/07/1994</t>
  </si>
  <si>
    <t>14/08/1997</t>
  </si>
  <si>
    <t>14/12/1997</t>
  </si>
  <si>
    <t>14/01/1997</t>
  </si>
  <si>
    <t>16/03/1995</t>
  </si>
  <si>
    <t>28/12/1996</t>
  </si>
  <si>
    <t>02/08/1999</t>
  </si>
  <si>
    <t>30/07/1993</t>
  </si>
  <si>
    <t>24/11/2000</t>
  </si>
  <si>
    <t>25/02/1996</t>
  </si>
  <si>
    <t>16/09/1994</t>
  </si>
  <si>
    <t>08/06/1989</t>
  </si>
  <si>
    <t>16/10/1995</t>
  </si>
  <si>
    <t>21/12/2000</t>
  </si>
  <si>
    <t>24/09/1993</t>
  </si>
  <si>
    <t>14/09/1998</t>
  </si>
  <si>
    <t>29/12/1994</t>
  </si>
  <si>
    <t>20/10/2000</t>
  </si>
  <si>
    <t>27/09/2000</t>
  </si>
  <si>
    <t>29/08/1993</t>
  </si>
  <si>
    <t>14/10/1995</t>
  </si>
  <si>
    <t>20/09/1992</t>
  </si>
  <si>
    <t>25/06/1990</t>
  </si>
  <si>
    <t>07/07/1994</t>
  </si>
  <si>
    <t>02/09/2000</t>
  </si>
  <si>
    <t>06/11/1993</t>
  </si>
  <si>
    <t>24/10/1992</t>
  </si>
  <si>
    <t>31/03/1985</t>
  </si>
  <si>
    <t>27/11/1992</t>
  </si>
  <si>
    <t>03/09/1990</t>
  </si>
  <si>
    <t>12/08/1995</t>
  </si>
  <si>
    <t>17/08/1995</t>
  </si>
  <si>
    <t>31/10/1994</t>
  </si>
  <si>
    <t>10/09/1993</t>
  </si>
  <si>
    <t>20/03/1990</t>
  </si>
  <si>
    <t>15/01/1993</t>
  </si>
  <si>
    <t>19/01/1995</t>
  </si>
  <si>
    <t>07/08/1995</t>
  </si>
  <si>
    <t>16/02/1992</t>
  </si>
  <si>
    <t>18/03/1996</t>
  </si>
  <si>
    <t>28/10/1994</t>
  </si>
  <si>
    <t>03/02/1999</t>
  </si>
  <si>
    <t>02/02/1994</t>
  </si>
  <si>
    <t>02/06/1993</t>
  </si>
  <si>
    <t>07/05/1996</t>
  </si>
  <si>
    <t>29/05/1998</t>
  </si>
  <si>
    <t>14/06/1993</t>
  </si>
  <si>
    <t>09/10/1993</t>
  </si>
  <si>
    <t>05/10/1991</t>
  </si>
  <si>
    <t>02/05/1995</t>
  </si>
  <si>
    <t>26/12/1993</t>
  </si>
  <si>
    <t>23/07/1995</t>
  </si>
  <si>
    <t>29/06/1997</t>
  </si>
  <si>
    <t>19/10/1997</t>
  </si>
  <si>
    <t>21/08/1997</t>
  </si>
  <si>
    <t>12/03/1997</t>
  </si>
  <si>
    <t>05/11/1990</t>
  </si>
  <si>
    <t>26/07/1998</t>
  </si>
  <si>
    <t>06/11/2000</t>
  </si>
  <si>
    <t>10/09/1997</t>
  </si>
  <si>
    <t>02/10/1987</t>
  </si>
  <si>
    <t>16/10/1997</t>
  </si>
  <si>
    <t>05/12/1997</t>
  </si>
  <si>
    <t>28/12/1992</t>
  </si>
  <si>
    <t>12/10/1997</t>
  </si>
  <si>
    <t>03/10/1998</t>
  </si>
  <si>
    <t>18/05/1998</t>
  </si>
  <si>
    <t>07/02/2001</t>
  </si>
  <si>
    <t>27/03/1993</t>
  </si>
  <si>
    <t>15/03/2001</t>
  </si>
  <si>
    <t>06/06/1999</t>
  </si>
  <si>
    <t>02/01/2001</t>
  </si>
  <si>
    <t>09/11/1997</t>
  </si>
  <si>
    <t>04/07/2001</t>
  </si>
  <si>
    <t>06/09/1996</t>
  </si>
  <si>
    <t>12/05/2001</t>
  </si>
  <si>
    <t>25/06/1998</t>
  </si>
  <si>
    <t>18/03/1990</t>
  </si>
  <si>
    <t>20/11/2001</t>
  </si>
  <si>
    <t>09/12/2001</t>
  </si>
  <si>
    <t>19/09/2001</t>
  </si>
  <si>
    <t>12/12/2001</t>
  </si>
  <si>
    <t>14/12/2001</t>
  </si>
  <si>
    <t>01/11/1999</t>
  </si>
  <si>
    <t>15/06/1994</t>
  </si>
  <si>
    <t>13/08/2001</t>
  </si>
  <si>
    <t>07/04/1999</t>
  </si>
  <si>
    <t>09/03/2001</t>
  </si>
  <si>
    <t>21/08/1996</t>
  </si>
  <si>
    <t>20/08/2001</t>
  </si>
  <si>
    <t>20/09/1995</t>
  </si>
  <si>
    <t>26/10/2001</t>
  </si>
  <si>
    <t>01/11/2001</t>
  </si>
  <si>
    <t>07/01/2001</t>
  </si>
  <si>
    <t>07/09/1990</t>
  </si>
  <si>
    <t>10/02/1997</t>
  </si>
  <si>
    <t>21/02/1992</t>
  </si>
  <si>
    <t>09/10/1997</t>
  </si>
  <si>
    <t>16/05/2001</t>
  </si>
  <si>
    <t>10/09/1998</t>
  </si>
  <si>
    <t>05/12/1998</t>
  </si>
  <si>
    <t>28/10/1999</t>
  </si>
  <si>
    <t>03/08/2002</t>
  </si>
  <si>
    <t>19/01/2001</t>
  </si>
  <si>
    <t>27/11/2000</t>
  </si>
  <si>
    <t>16/10/2002</t>
  </si>
  <si>
    <t>01/02/2002</t>
  </si>
  <si>
    <t>11/03/1999</t>
  </si>
  <si>
    <t>14/12/1999</t>
  </si>
  <si>
    <t>28/05/2000</t>
  </si>
  <si>
    <t>20/05/2001</t>
  </si>
  <si>
    <t>28/05/1997</t>
  </si>
  <si>
    <t>30/07/1992</t>
  </si>
  <si>
    <t>14/12/2000</t>
  </si>
  <si>
    <t>10/06/1997</t>
  </si>
  <si>
    <t>17/01/2000</t>
  </si>
  <si>
    <t>17/12/1999</t>
  </si>
  <si>
    <t>07/03/1999</t>
  </si>
  <si>
    <t>25/09/1995</t>
  </si>
  <si>
    <t>06/08/1992</t>
  </si>
  <si>
    <t>24/10/2000</t>
  </si>
  <si>
    <t>26/09/1999</t>
  </si>
  <si>
    <t>05/06/1996</t>
  </si>
  <si>
    <t>20/11/1999</t>
  </si>
  <si>
    <t>03/09/1993</t>
  </si>
  <si>
    <t>18/10/1994</t>
  </si>
  <si>
    <t>15/07/1997</t>
  </si>
  <si>
    <t>21/09/2003</t>
  </si>
  <si>
    <t>19/11/1991</t>
  </si>
  <si>
    <t>29/08/1991</t>
  </si>
  <si>
    <t>25/07/2003</t>
  </si>
  <si>
    <t>30/09/1999</t>
  </si>
  <si>
    <t>13/01/1996</t>
  </si>
  <si>
    <t>04/11/2000</t>
  </si>
  <si>
    <t>15/09/2003</t>
  </si>
  <si>
    <t>04/09/1992</t>
  </si>
  <si>
    <t>12/01/2002</t>
  </si>
  <si>
    <t>26/12/1997</t>
  </si>
  <si>
    <t>13/12/1997</t>
  </si>
  <si>
    <t>11/09/2001</t>
  </si>
  <si>
    <t>05/09/1994</t>
  </si>
  <si>
    <t>29/05/1991</t>
  </si>
  <si>
    <t>09/06/1999</t>
  </si>
  <si>
    <t>19/05/1999</t>
  </si>
  <si>
    <t>25/02/1989</t>
  </si>
  <si>
    <t>01/08/2003</t>
  </si>
  <si>
    <t>26/10/2003</t>
  </si>
  <si>
    <t>15/12/1997</t>
  </si>
  <si>
    <t>07/11/1994</t>
  </si>
  <si>
    <t>21/10/2003</t>
  </si>
  <si>
    <t>01/04/1995</t>
  </si>
  <si>
    <t>26/11/2001</t>
  </si>
  <si>
    <t>28/07/1990</t>
  </si>
  <si>
    <t>18/09/1999</t>
  </si>
  <si>
    <t>02/02/2004</t>
  </si>
  <si>
    <t>21/06/1995</t>
  </si>
  <si>
    <t>30/10/2002</t>
  </si>
  <si>
    <t>26/09/2003</t>
  </si>
  <si>
    <t>05/11/1992</t>
  </si>
  <si>
    <t>30/05/2004</t>
  </si>
  <si>
    <t>08/01/2000</t>
  </si>
  <si>
    <t>10/04/1990</t>
  </si>
  <si>
    <t>24/12/2001</t>
  </si>
  <si>
    <t>16/11/1998</t>
  </si>
  <si>
    <t>18/02/1989</t>
  </si>
  <si>
    <t>22/10/2004</t>
  </si>
  <si>
    <t>20/10/2004</t>
  </si>
  <si>
    <t>23/07/1994</t>
  </si>
  <si>
    <t>20/04/1999</t>
  </si>
  <si>
    <t>26/12/1989</t>
  </si>
  <si>
    <t>10/10/1994</t>
  </si>
  <si>
    <t>18/05/1990</t>
  </si>
  <si>
    <t>02/11/2002</t>
  </si>
  <si>
    <t>19/12/2000</t>
  </si>
  <si>
    <t>21/03/2001</t>
  </si>
  <si>
    <t>06/11/2004</t>
  </si>
  <si>
    <t>15/10/2004</t>
  </si>
  <si>
    <t>07/08/2004</t>
  </si>
  <si>
    <t>26/12/1992</t>
  </si>
  <si>
    <t>02/01/1995</t>
  </si>
  <si>
    <t>03/05/2000</t>
  </si>
  <si>
    <t>24/07/1995</t>
  </si>
  <si>
    <t>12/03/1996</t>
  </si>
  <si>
    <t>01/01/1989</t>
  </si>
  <si>
    <t>08/08/1989</t>
  </si>
  <si>
    <t>07/08/2001</t>
  </si>
  <si>
    <t>23/02/2002</t>
  </si>
  <si>
    <t>12/08/1999</t>
  </si>
  <si>
    <t>20/06/1994</t>
  </si>
  <si>
    <t>05/06/1995</t>
  </si>
  <si>
    <t>10/01/1999</t>
  </si>
  <si>
    <t>02/03/1995</t>
  </si>
  <si>
    <t>17/10/2001</t>
  </si>
  <si>
    <t>05/08/1989</t>
  </si>
  <si>
    <t>06/10/2004</t>
  </si>
  <si>
    <t>07/06/1996</t>
  </si>
  <si>
    <t>12/02/1998</t>
  </si>
  <si>
    <t>02/01/2000</t>
  </si>
  <si>
    <t>15/08/1987</t>
  </si>
  <si>
    <t>23/01/1998</t>
  </si>
  <si>
    <t>11/03/1989</t>
  </si>
  <si>
    <t>02/08/2004</t>
  </si>
  <si>
    <t>24/10/2001</t>
  </si>
  <si>
    <t>21/05/2001</t>
  </si>
  <si>
    <t>20/11/2003</t>
  </si>
  <si>
    <t>30/06/1994</t>
  </si>
  <si>
    <t>14/02/1993</t>
  </si>
  <si>
    <t>26/09/1995</t>
  </si>
  <si>
    <t>24/03/1988</t>
  </si>
  <si>
    <t>13/11/1999</t>
  </si>
  <si>
    <t>30/11/1993</t>
  </si>
  <si>
    <t>28/07/2004</t>
  </si>
  <si>
    <t>21/07/2001</t>
  </si>
  <si>
    <t>20/09/1988</t>
  </si>
  <si>
    <t>21/08/2005</t>
  </si>
  <si>
    <t>10/08/1989</t>
  </si>
  <si>
    <t>30/10/1998</t>
  </si>
  <si>
    <t>20/05/1998</t>
  </si>
  <si>
    <t>01/01/1988</t>
  </si>
  <si>
    <t>19/07/1997</t>
  </si>
  <si>
    <t>05/10/2005</t>
  </si>
  <si>
    <t>14/06/1998</t>
  </si>
  <si>
    <t>10/10/2005</t>
  </si>
  <si>
    <t>18/10/1998</t>
  </si>
  <si>
    <t>15/12/2004</t>
  </si>
  <si>
    <t>12/10/1999</t>
  </si>
  <si>
    <t>03/12/2005</t>
  </si>
  <si>
    <t>21/10/1998</t>
  </si>
  <si>
    <t>10/05/1999</t>
  </si>
  <si>
    <t>03/05/1994</t>
  </si>
  <si>
    <t>23/09/2005</t>
  </si>
  <si>
    <t>18/10/1999</t>
  </si>
  <si>
    <t>12/10/2005</t>
  </si>
  <si>
    <t>10/11/1995</t>
  </si>
  <si>
    <t>19/04/2003</t>
  </si>
  <si>
    <t>15/05/1995</t>
  </si>
  <si>
    <t>12/12/1997</t>
  </si>
  <si>
    <t>26/06/1991</t>
  </si>
  <si>
    <t>20/01/2003</t>
  </si>
  <si>
    <t>01/05/2004</t>
  </si>
  <si>
    <t>23/09/1999</t>
  </si>
  <si>
    <t>17/08/1992</t>
  </si>
  <si>
    <t>26/08/1997</t>
  </si>
  <si>
    <t>01/09/1999</t>
  </si>
  <si>
    <t>08/07/2004</t>
  </si>
  <si>
    <t>18/01/1991</t>
  </si>
  <si>
    <t>28/08/2001</t>
  </si>
  <si>
    <t>02/10/1999</t>
  </si>
  <si>
    <t>07/08/1997</t>
  </si>
  <si>
    <t>24/12/1995</t>
  </si>
  <si>
    <t>24/12/1999</t>
  </si>
  <si>
    <t>25/05/2001</t>
  </si>
  <si>
    <t>20/10/1994</t>
  </si>
  <si>
    <t>06/09/1995</t>
  </si>
  <si>
    <t>27/01/2005</t>
  </si>
  <si>
    <t>10/06/2002</t>
  </si>
  <si>
    <t>09/02/1993</t>
  </si>
  <si>
    <t>20/07/1992</t>
  </si>
  <si>
    <t>02/07/1997</t>
  </si>
  <si>
    <t>08/06/1998</t>
  </si>
  <si>
    <t>25/05/1999</t>
  </si>
  <si>
    <t>08/09/1998</t>
  </si>
  <si>
    <t>21/08/1988</t>
  </si>
  <si>
    <t>06/06/1988</t>
  </si>
  <si>
    <t>05/10/1987</t>
  </si>
  <si>
    <t>16/10/2001</t>
  </si>
  <si>
    <t>21/07/1988</t>
  </si>
  <si>
    <t>25/12/2001</t>
  </si>
  <si>
    <t>22/03/2006</t>
  </si>
  <si>
    <t>21/04/2001</t>
  </si>
  <si>
    <t>19/06/2002</t>
  </si>
  <si>
    <t>05/01/1989</t>
  </si>
  <si>
    <t>21/09/1999</t>
  </si>
  <si>
    <t>28/09/2000</t>
  </si>
  <si>
    <t>26/02/1990</t>
  </si>
  <si>
    <t>14/04/1991</t>
  </si>
  <si>
    <t>03/03/2001</t>
  </si>
  <si>
    <t>20/07/1999</t>
  </si>
  <si>
    <t>15/10/2002</t>
  </si>
  <si>
    <t>15/06/1998</t>
  </si>
  <si>
    <t>09/11/2005</t>
  </si>
  <si>
    <t>05/09/1998</t>
  </si>
  <si>
    <t>23/09/1996</t>
  </si>
  <si>
    <t>24/07/1994</t>
  </si>
  <si>
    <t>10/05/1988</t>
  </si>
  <si>
    <t>09/03/2002</t>
  </si>
  <si>
    <t>10/08/1999</t>
  </si>
  <si>
    <t>29/10/1999</t>
  </si>
  <si>
    <t>13/05/1988</t>
  </si>
  <si>
    <t>01/12/1994</t>
  </si>
  <si>
    <t>04/12/2005</t>
  </si>
  <si>
    <t>17/07/2002</t>
  </si>
  <si>
    <t>27/01/2003</t>
  </si>
  <si>
    <t>17/02/1987</t>
  </si>
  <si>
    <t>17/07/2005</t>
  </si>
  <si>
    <t>28/07/2000</t>
  </si>
  <si>
    <t>04/12/1999</t>
  </si>
  <si>
    <t>19/07/1993</t>
  </si>
  <si>
    <t>21/11/2004</t>
  </si>
  <si>
    <t>15/02/1996</t>
  </si>
  <si>
    <t>25/07/1995</t>
  </si>
  <si>
    <t>02/11/1988</t>
  </si>
  <si>
    <t>QC</t>
  </si>
  <si>
    <t>QA</t>
  </si>
  <si>
    <t>PC</t>
  </si>
  <si>
    <t>GA</t>
  </si>
  <si>
    <t xml:space="preserve"> Hình ảnh gan nhiễm mỡ </t>
  </si>
  <si>
    <t>Hình ảnh gan nhiễm mỡ.</t>
  </si>
  <si>
    <t>Bình thường.|Thai 28 tuần 1 ngày trong buồng tử cung.</t>
  </si>
  <si>
    <t xml:space="preserve">Polyp túi mật đường kính: 5.1 mm </t>
  </si>
  <si>
    <t xml:space="preserve">Polyp túi mật đường kính: 4.2 mm </t>
  </si>
  <si>
    <t>Tử cung đã cắt</t>
  </si>
  <si>
    <t>Polyp túi mật đường kính: 3,4mm</t>
  </si>
  <si>
    <t>Bình thường.|Thai 21 tuần 02 ngày trong buồng tử cung.</t>
  </si>
  <si>
    <t>Polyp túi mật đường kính: 4,4mm</t>
  </si>
  <si>
    <t>Tử cung đã cắt bán phần</t>
  </si>
  <si>
    <t>Polyp túi mật đường kính: 5,4mm</t>
  </si>
  <si>
    <t>Bình thường.|Thai 39 tuần 04 ngày trong buồng tử cung.</t>
  </si>
  <si>
    <t xml:space="preserve">Nốt vôi hóa gan phải đường kính: 5,4 mm </t>
  </si>
  <si>
    <t>Polyp túi mật đường kính: 4.2mm</t>
  </si>
  <si>
    <t>Cặn thận phải đường kính: 4,3 mm</t>
  </si>
  <si>
    <t>Bình thường.|Thai 12 tuần 03 ngày trong buồng tử cung.</t>
  </si>
  <si>
    <t>Bình thường.|Thai 31 tuần 1 ngày trong buồng tử cung.</t>
  </si>
  <si>
    <t>Bình thường.|Thai 17 tuần 03 ngày trong buồng tử cung.</t>
  </si>
  <si>
    <t xml:space="preserve">Polyp túi mật đường kính: 5 mm </t>
  </si>
  <si>
    <t>Bình thường (ĐHC)</t>
  </si>
  <si>
    <t>Bình thường.|Thai 18 tuần 0 ngày trong buồng tử cung.</t>
  </si>
  <si>
    <t xml:space="preserve">Polyp túi mật đường kính: 4.4 mm </t>
  </si>
  <si>
    <t>Nốt vôi hóa thận phải đường kính: 4.1 mm</t>
  </si>
  <si>
    <t>Bình thường.|Thai 19 tuần 04 ngày trong buồng tử cung.</t>
  </si>
  <si>
    <t>Bình thường.|Thai 22 tuần 03 ngày trong buồng tử cung.</t>
  </si>
  <si>
    <t>Gan nhiễm mỡ</t>
  </si>
  <si>
    <t>Bình thường.|Thai 11 tuần 05 ngày trong buồng tử cung.</t>
  </si>
  <si>
    <t>Sỏi thận trái đường kính: 5.3mm</t>
  </si>
  <si>
    <t>Bình thường.|Thai 20 tuần 04 ngày trong buồng tử cung.</t>
  </si>
  <si>
    <t>Bình thường.|Thai 9 tuần 3 ngày trong buồng tử cung.</t>
  </si>
  <si>
    <t>Bình thường.|Thai 26 tuần 01 ngày trong buồng tử cung.</t>
  </si>
  <si>
    <t>Bình thường.|Thai 05 tuần 05 ngày trong buồng tử cung.</t>
  </si>
  <si>
    <t>Bình thường.|Thai 15 tuần 0 ngày trong buồng tử cung.</t>
  </si>
  <si>
    <t>Bình thường.|Thai 11 tuần 02 ngày trong buồng tử cung.</t>
  </si>
  <si>
    <t>Polyp túi mật đường kính: 5,1mm</t>
  </si>
  <si>
    <t>Bình thường.|Thai 26 tuần 05 ngày trong buồng tử cung.</t>
  </si>
  <si>
    <t>Bình thường.|Thai 21 tuần 00 ngày trong buồng tử cung.</t>
  </si>
  <si>
    <t>Bình thường.|Thai 35 tuần 05 ngày trong buồng tử cung.</t>
  </si>
  <si>
    <t>Bình thường.|Thai 05 tuần 00 ngày trong buồng tử cung.</t>
  </si>
  <si>
    <t>Bình thường.|Thai 9 tuần 0 ngày trong buồng tử cung.</t>
  </si>
  <si>
    <t xml:space="preserve">Sỏi thận trái đường kính: 5,8 mm </t>
  </si>
  <si>
    <t>Nốt vôi hóa gan phải đường kính: 6.9 mm</t>
  </si>
  <si>
    <t xml:space="preserve">Bình thường </t>
  </si>
  <si>
    <t>Trường hợp đã lưu kết quả rồi mà cần sửa lại thì nhập lại STT và sửa. Sau khi sửa ấn chọn Lưu, nếu hiển thị thông báo giống hình bên thì chọn Yes.</t>
  </si>
  <si>
    <t>Mã NV</t>
  </si>
  <si>
    <t>1319B10001</t>
  </si>
  <si>
    <t>1319B10002</t>
  </si>
  <si>
    <t>1319B10003</t>
  </si>
  <si>
    <t>1319B10004</t>
  </si>
  <si>
    <t>1319B10005</t>
  </si>
  <si>
    <t>1319B10006</t>
  </si>
  <si>
    <t>1319B10007</t>
  </si>
  <si>
    <t>1319B10008</t>
  </si>
  <si>
    <t>1319B10009</t>
  </si>
  <si>
    <t>1319B10010</t>
  </si>
  <si>
    <t>1319B10011</t>
  </si>
  <si>
    <t>1319B10012</t>
  </si>
  <si>
    <t>1319B10013</t>
  </si>
  <si>
    <t>1319B10014</t>
  </si>
  <si>
    <t>1319B10015</t>
  </si>
  <si>
    <t>1319B10016</t>
  </si>
  <si>
    <t>1319B10017</t>
  </si>
  <si>
    <t>1319B10018</t>
  </si>
  <si>
    <t>1319B10019</t>
  </si>
  <si>
    <t>1319B10020</t>
  </si>
  <si>
    <t>1319B10021</t>
  </si>
  <si>
    <t>1319B10022</t>
  </si>
  <si>
    <t>1319B10023</t>
  </si>
  <si>
    <t>1319B10024</t>
  </si>
  <si>
    <t>1319B10025</t>
  </si>
  <si>
    <t>1319B10026</t>
  </si>
  <si>
    <t>1319B10027</t>
  </si>
  <si>
    <t>1319B10028</t>
  </si>
  <si>
    <t>1319B10029</t>
  </si>
  <si>
    <t>1319B10030</t>
  </si>
  <si>
    <t>1319B10031</t>
  </si>
  <si>
    <t>1319B10032</t>
  </si>
  <si>
    <t>1319B10033</t>
  </si>
  <si>
    <t>1319B10034</t>
  </si>
  <si>
    <t>1319B10035</t>
  </si>
  <si>
    <t>1319B10036</t>
  </si>
  <si>
    <t>1319B10037</t>
  </si>
  <si>
    <t>1319B10038</t>
  </si>
  <si>
    <t>1319B10039</t>
  </si>
  <si>
    <t>1319B10040</t>
  </si>
  <si>
    <t>1319B10041</t>
  </si>
  <si>
    <t>1319B10042</t>
  </si>
  <si>
    <t>1319B10043</t>
  </si>
  <si>
    <t>1319B10044</t>
  </si>
  <si>
    <t>1319B10045</t>
  </si>
  <si>
    <t>1319B10046</t>
  </si>
  <si>
    <t>1319B10047</t>
  </si>
  <si>
    <t>1319B10048</t>
  </si>
  <si>
    <t>1319B10049</t>
  </si>
  <si>
    <t>1319B10050</t>
  </si>
  <si>
    <t>1319B10051</t>
  </si>
  <si>
    <t>1319B10052</t>
  </si>
  <si>
    <t>1319B10053</t>
  </si>
  <si>
    <t>1319B10054</t>
  </si>
  <si>
    <t>1319B10055</t>
  </si>
  <si>
    <t>1319B10056</t>
  </si>
  <si>
    <t>1319B10057</t>
  </si>
  <si>
    <t>1319B10058</t>
  </si>
  <si>
    <t>1319B10059</t>
  </si>
  <si>
    <t>1319B10060</t>
  </si>
  <si>
    <t>1319B10061</t>
  </si>
  <si>
    <t>1319B10062</t>
  </si>
  <si>
    <t>1319B10063</t>
  </si>
  <si>
    <t>1319B10064</t>
  </si>
  <si>
    <t>1319B10065</t>
  </si>
  <si>
    <t>1319B10066</t>
  </si>
  <si>
    <t>1319B10067</t>
  </si>
  <si>
    <t>1319B10068</t>
  </si>
  <si>
    <t>1319B10069</t>
  </si>
  <si>
    <t>1319B10070</t>
  </si>
  <si>
    <t>1319B10071</t>
  </si>
  <si>
    <t>1319B10072</t>
  </si>
  <si>
    <t>1319B10073</t>
  </si>
  <si>
    <t>1319B10074</t>
  </si>
  <si>
    <t>1319B10075</t>
  </si>
  <si>
    <t>1319B10076</t>
  </si>
  <si>
    <t>1319B10077</t>
  </si>
  <si>
    <t>1319B10078</t>
  </si>
  <si>
    <t>1319B10079</t>
  </si>
  <si>
    <t>1319B10080</t>
  </si>
  <si>
    <t>1319B10081</t>
  </si>
  <si>
    <t>1319B10082</t>
  </si>
  <si>
    <t>1319B10083</t>
  </si>
  <si>
    <t>1319B10084</t>
  </si>
  <si>
    <t>1319B10085</t>
  </si>
  <si>
    <t>1319B10086</t>
  </si>
  <si>
    <t>1319B10087</t>
  </si>
  <si>
    <t>1319B10088</t>
  </si>
  <si>
    <t>1319B10089</t>
  </si>
  <si>
    <t>1319B10090</t>
  </si>
  <si>
    <t>1319B10091</t>
  </si>
  <si>
    <t>1319B10092</t>
  </si>
  <si>
    <t>1319B10093</t>
  </si>
  <si>
    <t>1319B10094</t>
  </si>
  <si>
    <t>1319B10095</t>
  </si>
  <si>
    <t>1319B10096</t>
  </si>
  <si>
    <t>1319B10097</t>
  </si>
  <si>
    <t>1319B10098</t>
  </si>
  <si>
    <t>1319B10099</t>
  </si>
  <si>
    <t>1319B10100</t>
  </si>
  <si>
    <t>1319B10101</t>
  </si>
  <si>
    <t>1319B10102</t>
  </si>
  <si>
    <t>1319B10103</t>
  </si>
  <si>
    <t>1319B10104</t>
  </si>
  <si>
    <t>1319B10105</t>
  </si>
  <si>
    <t>1319B10106</t>
  </si>
  <si>
    <t>1319B10107</t>
  </si>
  <si>
    <t>1319B10108</t>
  </si>
  <si>
    <t>1319B10109</t>
  </si>
  <si>
    <t>1319B10110</t>
  </si>
  <si>
    <t>1319B10111</t>
  </si>
  <si>
    <t>1319B10112</t>
  </si>
  <si>
    <t>1319B10113</t>
  </si>
  <si>
    <t>1319B10114</t>
  </si>
  <si>
    <t>1319B10115</t>
  </si>
  <si>
    <t>1319B10116</t>
  </si>
  <si>
    <t>1319B10117</t>
  </si>
  <si>
    <t>1319B10118</t>
  </si>
  <si>
    <t>1319B10119</t>
  </si>
  <si>
    <t>1319B10120</t>
  </si>
  <si>
    <t>1319B10121</t>
  </si>
  <si>
    <t>1319B10122</t>
  </si>
  <si>
    <t>1319B10123</t>
  </si>
  <si>
    <t>1319B10124</t>
  </si>
  <si>
    <t>1319B10125</t>
  </si>
  <si>
    <t>1319B10126</t>
  </si>
  <si>
    <t>1319B10127</t>
  </si>
  <si>
    <t>1319B10128</t>
  </si>
  <si>
    <t>1319B10129</t>
  </si>
  <si>
    <t>1319B10130</t>
  </si>
  <si>
    <t>1319B10131</t>
  </si>
  <si>
    <t>1319B10132</t>
  </si>
  <si>
    <t>1319B10133</t>
  </si>
  <si>
    <t>1319B10134</t>
  </si>
  <si>
    <t>1319B10135</t>
  </si>
  <si>
    <t>1319B10136</t>
  </si>
  <si>
    <t>1319B10137</t>
  </si>
  <si>
    <t>1319B10138</t>
  </si>
  <si>
    <t>1319B10139</t>
  </si>
  <si>
    <t>1319B10140</t>
  </si>
  <si>
    <t>1319B10141</t>
  </si>
  <si>
    <t>1319B10142</t>
  </si>
  <si>
    <t>1319B10143</t>
  </si>
  <si>
    <t>1319B10144</t>
  </si>
  <si>
    <t>1319B10145</t>
  </si>
  <si>
    <t>1319B10146</t>
  </si>
  <si>
    <t>1319B10147</t>
  </si>
  <si>
    <t>1319B10148</t>
  </si>
  <si>
    <t>1319B10149</t>
  </si>
  <si>
    <t>1319B10150</t>
  </si>
  <si>
    <t>1319B10151</t>
  </si>
  <si>
    <t>1319B10152</t>
  </si>
  <si>
    <t>1319B10153</t>
  </si>
  <si>
    <t>1319B10154</t>
  </si>
  <si>
    <t>1319B10155</t>
  </si>
  <si>
    <t>1319B10156</t>
  </si>
  <si>
    <t>1319B10157</t>
  </si>
  <si>
    <t>1319B10158</t>
  </si>
  <si>
    <t>1319B10159</t>
  </si>
  <si>
    <t>1319B10160</t>
  </si>
  <si>
    <t>1319B10161</t>
  </si>
  <si>
    <t>1319B10162</t>
  </si>
  <si>
    <t>1319B10163</t>
  </si>
  <si>
    <t>1319B10164</t>
  </si>
  <si>
    <t>1319B10165</t>
  </si>
  <si>
    <t>1319B10166</t>
  </si>
  <si>
    <t>1319B10167</t>
  </si>
  <si>
    <t>1319B10168</t>
  </si>
  <si>
    <t>1319B10169</t>
  </si>
  <si>
    <t>1319B10170</t>
  </si>
  <si>
    <t>1319B10171</t>
  </si>
  <si>
    <t>1319B10172</t>
  </si>
  <si>
    <t>1319B10173</t>
  </si>
  <si>
    <t>1319B10174</t>
  </si>
  <si>
    <t>1319B10175</t>
  </si>
  <si>
    <t>1319B10176</t>
  </si>
  <si>
    <t>1319B10177</t>
  </si>
  <si>
    <t>1319B10178</t>
  </si>
  <si>
    <t>1319B10179</t>
  </si>
  <si>
    <t>1319B10180</t>
  </si>
  <si>
    <t>1319B10181</t>
  </si>
  <si>
    <t>1319B10182</t>
  </si>
  <si>
    <t>1319B10183</t>
  </si>
  <si>
    <t>1319B10184</t>
  </si>
  <si>
    <t>1319B10185</t>
  </si>
  <si>
    <t>1319B10186</t>
  </si>
  <si>
    <t>1319B10187</t>
  </si>
  <si>
    <t>1319B10188</t>
  </si>
  <si>
    <t>1319B10189</t>
  </si>
  <si>
    <t>1319B10190</t>
  </si>
  <si>
    <t>1319B10191</t>
  </si>
  <si>
    <t>1319B10192</t>
  </si>
  <si>
    <t>1319B10193</t>
  </si>
  <si>
    <t>1319B10194</t>
  </si>
  <si>
    <t>1319B10195</t>
  </si>
  <si>
    <t>1319B10196</t>
  </si>
  <si>
    <t>1319B10197</t>
  </si>
  <si>
    <t>1319B10198</t>
  </si>
  <si>
    <t>1319B10199</t>
  </si>
  <si>
    <t>1319B10200</t>
  </si>
  <si>
    <t>1319B10201</t>
  </si>
  <si>
    <t>1319B10202</t>
  </si>
  <si>
    <t>1319B10203</t>
  </si>
  <si>
    <t>1319B10204</t>
  </si>
  <si>
    <t>1319B10205</t>
  </si>
  <si>
    <t>1319B10206</t>
  </si>
  <si>
    <t>1319B10207</t>
  </si>
  <si>
    <t>1319B10208</t>
  </si>
  <si>
    <t>1319B10209</t>
  </si>
  <si>
    <t>1319B10210</t>
  </si>
  <si>
    <t>1319B10211</t>
  </si>
  <si>
    <t>1319B10212</t>
  </si>
  <si>
    <t>1319B10213</t>
  </si>
  <si>
    <t>1319B10214</t>
  </si>
  <si>
    <t>1319B10215</t>
  </si>
  <si>
    <t>1319B10216</t>
  </si>
  <si>
    <t>1319B10217</t>
  </si>
  <si>
    <t>1319B10218</t>
  </si>
  <si>
    <t>1319B10219</t>
  </si>
  <si>
    <t>1319B10220</t>
  </si>
  <si>
    <t>1319B10221</t>
  </si>
  <si>
    <t>1319B10222</t>
  </si>
  <si>
    <t>1319B10223</t>
  </si>
  <si>
    <t>1319B10224</t>
  </si>
  <si>
    <t>1319B10225</t>
  </si>
  <si>
    <t>1319B10226</t>
  </si>
  <si>
    <t>1319B10227</t>
  </si>
  <si>
    <t>1319B10228</t>
  </si>
  <si>
    <t>1319B10229</t>
  </si>
  <si>
    <t>1319B10230</t>
  </si>
  <si>
    <t>1319B10231</t>
  </si>
  <si>
    <t>1319B10232</t>
  </si>
  <si>
    <t>1319B10233</t>
  </si>
  <si>
    <t>1319B10234</t>
  </si>
  <si>
    <t>1319B10235</t>
  </si>
  <si>
    <t>1319B10236</t>
  </si>
  <si>
    <t>1319B10237</t>
  </si>
  <si>
    <t>1319B10238</t>
  </si>
  <si>
    <t>1319B10239</t>
  </si>
  <si>
    <t>1319B10240</t>
  </si>
  <si>
    <t>1319B10241</t>
  </si>
  <si>
    <t>1319B10242</t>
  </si>
  <si>
    <t>1319B10243</t>
  </si>
  <si>
    <t>1319B10244</t>
  </si>
  <si>
    <t>1319B10245</t>
  </si>
  <si>
    <t>1319B10246</t>
  </si>
  <si>
    <t>1319B10247</t>
  </si>
  <si>
    <t>1319B10248</t>
  </si>
  <si>
    <t>1319B10249</t>
  </si>
  <si>
    <t>1319B10250</t>
  </si>
  <si>
    <t>1319B10251</t>
  </si>
  <si>
    <t>1319B10252</t>
  </si>
  <si>
    <t>1319B10253</t>
  </si>
  <si>
    <t>1319B10254</t>
  </si>
  <si>
    <t>1319B10255</t>
  </si>
  <si>
    <t>1319B10256</t>
  </si>
  <si>
    <t>1319B10257</t>
  </si>
  <si>
    <t>1319B10258</t>
  </si>
  <si>
    <t>1319B10259</t>
  </si>
  <si>
    <t>1319B10260</t>
  </si>
  <si>
    <t>1319B10261</t>
  </si>
  <si>
    <t>1319B10262</t>
  </si>
  <si>
    <t>1319B10263</t>
  </si>
  <si>
    <t>1319B10264</t>
  </si>
  <si>
    <t>1319B10265</t>
  </si>
  <si>
    <t>1319B10266</t>
  </si>
  <si>
    <t>1319B10267</t>
  </si>
  <si>
    <t>1319B10268</t>
  </si>
  <si>
    <t>1319B10269</t>
  </si>
  <si>
    <t>1319B10270</t>
  </si>
  <si>
    <t>1319B10271</t>
  </si>
  <si>
    <t>1319B10272</t>
  </si>
  <si>
    <t>1319B10273</t>
  </si>
  <si>
    <t>1319B10274</t>
  </si>
  <si>
    <t>1319B10275</t>
  </si>
  <si>
    <t>1319B10276</t>
  </si>
  <si>
    <t>1319B10277</t>
  </si>
  <si>
    <t>1319B10278</t>
  </si>
  <si>
    <t>1319B10279</t>
  </si>
  <si>
    <t>1319B10280</t>
  </si>
  <si>
    <t>1319B10281</t>
  </si>
  <si>
    <t>1319B10282</t>
  </si>
  <si>
    <t>1319B10283</t>
  </si>
  <si>
    <t>1319B10284</t>
  </si>
  <si>
    <t>1319B10285</t>
  </si>
  <si>
    <t>1319B10286</t>
  </si>
  <si>
    <t>1319B10287</t>
  </si>
  <si>
    <t>1319B10288</t>
  </si>
  <si>
    <t>1319B10289</t>
  </si>
  <si>
    <t>1319B10290</t>
  </si>
  <si>
    <t>1319B10291</t>
  </si>
  <si>
    <t>1319B10292</t>
  </si>
  <si>
    <t>1319B10293</t>
  </si>
  <si>
    <t>1319B10294</t>
  </si>
  <si>
    <t>1319B10295</t>
  </si>
  <si>
    <t>1319B10296</t>
  </si>
  <si>
    <t>1319B10297</t>
  </si>
  <si>
    <t>1319B10298</t>
  </si>
  <si>
    <t>1319B10299</t>
  </si>
  <si>
    <t>1319B10300</t>
  </si>
  <si>
    <t>1319B10301</t>
  </si>
  <si>
    <t>1319B10302</t>
  </si>
  <si>
    <t>1319B10303</t>
  </si>
  <si>
    <t>1319B10304</t>
  </si>
  <si>
    <t>1319B10305</t>
  </si>
  <si>
    <t>1319B10306</t>
  </si>
  <si>
    <t>1319B10307</t>
  </si>
  <si>
    <t>1319B10308</t>
  </si>
  <si>
    <t>1319B10309</t>
  </si>
  <si>
    <t>1319B10310</t>
  </si>
  <si>
    <t>1319B10311</t>
  </si>
  <si>
    <t>1319B10312</t>
  </si>
  <si>
    <t>1319B10313</t>
  </si>
  <si>
    <t>1319B10314</t>
  </si>
  <si>
    <t>1319B10315</t>
  </si>
  <si>
    <t>1319B10316</t>
  </si>
  <si>
    <t>1319B10317</t>
  </si>
  <si>
    <t>1319B10318</t>
  </si>
  <si>
    <t>1319B10319</t>
  </si>
  <si>
    <t>1319B10320</t>
  </si>
  <si>
    <t>1319B10321</t>
  </si>
  <si>
    <t>1319B10322</t>
  </si>
  <si>
    <t>1319B10323</t>
  </si>
  <si>
    <t>1319B10324</t>
  </si>
  <si>
    <t>1319B10325</t>
  </si>
  <si>
    <t>1319B10326</t>
  </si>
  <si>
    <t>1319B10327</t>
  </si>
  <si>
    <t>1319B10328</t>
  </si>
  <si>
    <t>1319B10329</t>
  </si>
  <si>
    <t>1319B10330</t>
  </si>
  <si>
    <t>1319B10331</t>
  </si>
  <si>
    <t>1319B10332</t>
  </si>
  <si>
    <t>1319B10333</t>
  </si>
  <si>
    <t>1319B10334</t>
  </si>
  <si>
    <t>1319B10335</t>
  </si>
  <si>
    <t>1319B10336</t>
  </si>
  <si>
    <t>1319B10337</t>
  </si>
  <si>
    <t>1319B10338</t>
  </si>
  <si>
    <t>1319B10339</t>
  </si>
  <si>
    <t>1319B10340</t>
  </si>
  <si>
    <t>1319B10341</t>
  </si>
  <si>
    <t>1319B10342</t>
  </si>
  <si>
    <t>1319B10343</t>
  </si>
  <si>
    <t>1319B10344</t>
  </si>
  <si>
    <t>1319B10345</t>
  </si>
  <si>
    <t>1319B10346</t>
  </si>
  <si>
    <t>1319B10347</t>
  </si>
  <si>
    <t>1319B10348</t>
  </si>
  <si>
    <t>1319B10349</t>
  </si>
  <si>
    <t>1319B10350</t>
  </si>
  <si>
    <t>1319B10351</t>
  </si>
  <si>
    <t>1319B10352</t>
  </si>
  <si>
    <t>1319B10353</t>
  </si>
  <si>
    <t>1319B10354</t>
  </si>
  <si>
    <t>1319B10355</t>
  </si>
  <si>
    <t>1319B10356</t>
  </si>
  <si>
    <t>1319B10357</t>
  </si>
  <si>
    <t>1319B10358</t>
  </si>
  <si>
    <t>1319B10359</t>
  </si>
  <si>
    <t>1319B10360</t>
  </si>
  <si>
    <t>1319B10361</t>
  </si>
  <si>
    <t>1319B10362</t>
  </si>
  <si>
    <t>1319B10363</t>
  </si>
  <si>
    <t>1319B10364</t>
  </si>
  <si>
    <t>1319B10365</t>
  </si>
  <si>
    <t>1319B10366</t>
  </si>
  <si>
    <t>1319B10367</t>
  </si>
  <si>
    <t>1319B10368</t>
  </si>
  <si>
    <t>1319B10369</t>
  </si>
  <si>
    <t>1319B10370</t>
  </si>
  <si>
    <t>1319B10371</t>
  </si>
  <si>
    <t>1319B10372</t>
  </si>
  <si>
    <t>1319B10373</t>
  </si>
  <si>
    <t>1319B10374</t>
  </si>
  <si>
    <t>1319B10375</t>
  </si>
  <si>
    <t>1319B10376</t>
  </si>
  <si>
    <t>1319B10377</t>
  </si>
  <si>
    <t>1319B10378</t>
  </si>
  <si>
    <t>1319B10379</t>
  </si>
  <si>
    <t>1319B10380</t>
  </si>
  <si>
    <t>1319B10381</t>
  </si>
  <si>
    <t>1319B10382</t>
  </si>
  <si>
    <t>1319B10383</t>
  </si>
  <si>
    <t>1319B10384</t>
  </si>
  <si>
    <t>1319B10385</t>
  </si>
  <si>
    <t>1319B10386</t>
  </si>
  <si>
    <t>1319B10387</t>
  </si>
  <si>
    <t>1319B10388</t>
  </si>
  <si>
    <t>1319B10389</t>
  </si>
  <si>
    <t>1319B10390</t>
  </si>
  <si>
    <t>1319B10391</t>
  </si>
  <si>
    <t>1319B10392</t>
  </si>
  <si>
    <t>1319B10393</t>
  </si>
  <si>
    <t>1319B10394</t>
  </si>
  <si>
    <t>1319B10395</t>
  </si>
  <si>
    <t>1319B10396</t>
  </si>
  <si>
    <t>1319B10397</t>
  </si>
  <si>
    <t>1319B10398</t>
  </si>
  <si>
    <t>1319B10399</t>
  </si>
  <si>
    <t>1319B10400</t>
  </si>
  <si>
    <t>1319B10401</t>
  </si>
  <si>
    <t>1319B10402</t>
  </si>
  <si>
    <t>1319B10403</t>
  </si>
  <si>
    <t>1319B10404</t>
  </si>
  <si>
    <t>1319B10405</t>
  </si>
  <si>
    <t>1319B10406</t>
  </si>
  <si>
    <t>1319B10407</t>
  </si>
  <si>
    <t>1319B10408</t>
  </si>
  <si>
    <t>1319B10409</t>
  </si>
  <si>
    <t>1319B10410</t>
  </si>
  <si>
    <t>1319B10411</t>
  </si>
  <si>
    <t>1319B10412</t>
  </si>
  <si>
    <t>1319B10413</t>
  </si>
  <si>
    <t>1319B10414</t>
  </si>
  <si>
    <t>1319B10415</t>
  </si>
  <si>
    <t>1319B10416</t>
  </si>
  <si>
    <t>1319B10417</t>
  </si>
  <si>
    <t>1319B10418</t>
  </si>
  <si>
    <t>1319B10419</t>
  </si>
  <si>
    <t>1319B10420</t>
  </si>
  <si>
    <t>1319B10421</t>
  </si>
  <si>
    <t>1319B10422</t>
  </si>
  <si>
    <t>1319B10423</t>
  </si>
  <si>
    <t>1319B10424</t>
  </si>
  <si>
    <t>1319B10425</t>
  </si>
  <si>
    <t>1319B10426</t>
  </si>
  <si>
    <t>1319B10427</t>
  </si>
  <si>
    <t>1319B10428</t>
  </si>
  <si>
    <t>1319B10429</t>
  </si>
  <si>
    <t>1319B10430</t>
  </si>
  <si>
    <t>1319B10431</t>
  </si>
  <si>
    <t>1319B10432</t>
  </si>
  <si>
    <t>1319B10433</t>
  </si>
  <si>
    <t>1319B10434</t>
  </si>
  <si>
    <t>1319B10435</t>
  </si>
  <si>
    <t>1319B10436</t>
  </si>
  <si>
    <t>1319B10437</t>
  </si>
  <si>
    <t>1319B10438</t>
  </si>
  <si>
    <t>1319B10439</t>
  </si>
  <si>
    <t>1319B10440</t>
  </si>
  <si>
    <t>1319B10441</t>
  </si>
  <si>
    <t>1319B10442</t>
  </si>
  <si>
    <t>1319B10443</t>
  </si>
  <si>
    <t>1319B10444</t>
  </si>
  <si>
    <t>1319B10445</t>
  </si>
  <si>
    <t>1319B10446</t>
  </si>
  <si>
    <t>1319B10447</t>
  </si>
  <si>
    <t>1319B10448</t>
  </si>
  <si>
    <t>1319B10449</t>
  </si>
  <si>
    <t>1319B10450</t>
  </si>
  <si>
    <t>1319B10451</t>
  </si>
  <si>
    <t>1319B10452</t>
  </si>
  <si>
    <t>1319B10453</t>
  </si>
  <si>
    <t>1319B10454</t>
  </si>
  <si>
    <t>1319B10455</t>
  </si>
  <si>
    <t>1319B10456</t>
  </si>
  <si>
    <t>1319B10457</t>
  </si>
  <si>
    <t>1319B10458</t>
  </si>
  <si>
    <t>1319B10459</t>
  </si>
  <si>
    <t>1319B10460</t>
  </si>
  <si>
    <t>1319B10461</t>
  </si>
  <si>
    <t>1319B10462</t>
  </si>
  <si>
    <t>1319B10463</t>
  </si>
  <si>
    <t>1319B10464</t>
  </si>
  <si>
    <t>1319B10465</t>
  </si>
  <si>
    <t>1319B10466</t>
  </si>
  <si>
    <t>1319B10467</t>
  </si>
  <si>
    <t>1319B10468</t>
  </si>
  <si>
    <t>1319B10469</t>
  </si>
  <si>
    <t>1319B10470</t>
  </si>
  <si>
    <t>1319B10471</t>
  </si>
  <si>
    <t>1319B10472</t>
  </si>
  <si>
    <t>1319B10473</t>
  </si>
  <si>
    <t>1319B10474</t>
  </si>
  <si>
    <t>1319B10475</t>
  </si>
  <si>
    <t>1319B10476</t>
  </si>
  <si>
    <t>1319B10477</t>
  </si>
  <si>
    <t>1319B10478</t>
  </si>
  <si>
    <t>1319B10479</t>
  </si>
  <si>
    <t>1319B10480</t>
  </si>
  <si>
    <t>1319B10481</t>
  </si>
  <si>
    <t>1319B10482</t>
  </si>
  <si>
    <t>1319B10483</t>
  </si>
  <si>
    <t>1319B10484</t>
  </si>
  <si>
    <t>1319B10485</t>
  </si>
  <si>
    <t>1319B10486</t>
  </si>
  <si>
    <t>1319B10487</t>
  </si>
  <si>
    <t>1319B10488</t>
  </si>
  <si>
    <t>1319B10489</t>
  </si>
  <si>
    <t>1319B10490</t>
  </si>
  <si>
    <t>1319B10491</t>
  </si>
  <si>
    <t>1319B10492</t>
  </si>
  <si>
    <t>1319B10493</t>
  </si>
  <si>
    <t>1319B10494</t>
  </si>
  <si>
    <t>1319B10495</t>
  </si>
  <si>
    <t>1319B10496</t>
  </si>
  <si>
    <t>1319B10497</t>
  </si>
  <si>
    <t>1319B10498</t>
  </si>
  <si>
    <t>1319B10499</t>
  </si>
  <si>
    <t>1319B10500</t>
  </si>
  <si>
    <t>1319B10501</t>
  </si>
  <si>
    <t>1319B10502</t>
  </si>
  <si>
    <t>1319B10503</t>
  </si>
  <si>
    <t>1319B10504</t>
  </si>
  <si>
    <t>1319B10505</t>
  </si>
  <si>
    <t>1319B10506</t>
  </si>
  <si>
    <t>1319B10507</t>
  </si>
  <si>
    <t>1319B10508</t>
  </si>
  <si>
    <t>1319B10509</t>
  </si>
  <si>
    <t>1319B10510</t>
  </si>
  <si>
    <t>1319B10511</t>
  </si>
  <si>
    <t>1319B10512</t>
  </si>
  <si>
    <t>1319B10513</t>
  </si>
  <si>
    <t>1319B10514</t>
  </si>
  <si>
    <t>1319B10515</t>
  </si>
  <si>
    <t>1319B10516</t>
  </si>
  <si>
    <t>1319B10517</t>
  </si>
  <si>
    <t>1319B10518</t>
  </si>
  <si>
    <t>1319B10519</t>
  </si>
  <si>
    <t>1319B10520</t>
  </si>
  <si>
    <t>1319B10521</t>
  </si>
  <si>
    <t>1319B10522</t>
  </si>
  <si>
    <t>1319B10523</t>
  </si>
  <si>
    <t>1319B10524</t>
  </si>
  <si>
    <t>1319B10525</t>
  </si>
  <si>
    <t>1319B10526</t>
  </si>
  <si>
    <t>1319B10527</t>
  </si>
  <si>
    <t>1319B10528</t>
  </si>
  <si>
    <t>1319B10529</t>
  </si>
  <si>
    <t>1319B10530</t>
  </si>
  <si>
    <t>1319B10531</t>
  </si>
  <si>
    <t>1319B10532</t>
  </si>
  <si>
    <t>1319B10533</t>
  </si>
  <si>
    <t>1319B10534</t>
  </si>
  <si>
    <t>1319B10535</t>
  </si>
  <si>
    <t>1319B10536</t>
  </si>
  <si>
    <t>1319B10537</t>
  </si>
  <si>
    <t>1319B10538</t>
  </si>
  <si>
    <t>1319B10539</t>
  </si>
  <si>
    <t>1319B10540</t>
  </si>
  <si>
    <t>1319B10541</t>
  </si>
  <si>
    <t>1319B10542</t>
  </si>
  <si>
    <t>1319B10543</t>
  </si>
  <si>
    <t>1319B10544</t>
  </si>
  <si>
    <t>1319B10545</t>
  </si>
  <si>
    <t>1319B10546</t>
  </si>
  <si>
    <t>1319B10547</t>
  </si>
  <si>
    <t>1319B10548</t>
  </si>
  <si>
    <t>1319B10549</t>
  </si>
  <si>
    <t>1319B10550</t>
  </si>
  <si>
    <t>1319B10551</t>
  </si>
  <si>
    <t>1319B10552</t>
  </si>
  <si>
    <t>1319B10553</t>
  </si>
  <si>
    <t>1319B10554</t>
  </si>
  <si>
    <t>1319B10555</t>
  </si>
  <si>
    <t>1319B10556</t>
  </si>
  <si>
    <t>1319B10557</t>
  </si>
  <si>
    <t>1319B10558</t>
  </si>
  <si>
    <t>1319B10559</t>
  </si>
  <si>
    <t>1319B10560</t>
  </si>
  <si>
    <t>1319B10561</t>
  </si>
  <si>
    <t>1319B10562</t>
  </si>
  <si>
    <t>1319B10563</t>
  </si>
  <si>
    <t>1319B10564</t>
  </si>
  <si>
    <t>1319B10565</t>
  </si>
  <si>
    <t>1319B10566</t>
  </si>
  <si>
    <t>1319B10567</t>
  </si>
  <si>
    <t>1319B10568</t>
  </si>
  <si>
    <t>1319B10569</t>
  </si>
  <si>
    <t>1319B10570</t>
  </si>
  <si>
    <t>1319B10571</t>
  </si>
  <si>
    <t>1319B10572</t>
  </si>
  <si>
    <t>1319B10573</t>
  </si>
  <si>
    <t>1319B10574</t>
  </si>
  <si>
    <t>1319B10575</t>
  </si>
  <si>
    <t>1319B10576</t>
  </si>
  <si>
    <t>1319B10577</t>
  </si>
  <si>
    <t>1319B10578</t>
  </si>
  <si>
    <t>1319B10579</t>
  </si>
  <si>
    <t>1319B10580</t>
  </si>
  <si>
    <t>1319B10581</t>
  </si>
  <si>
    <t>1319B10582</t>
  </si>
  <si>
    <t>1319B10583</t>
  </si>
  <si>
    <t>1319B10584</t>
  </si>
  <si>
    <t>1319B10585</t>
  </si>
  <si>
    <t>1319B10586</t>
  </si>
  <si>
    <t>1319B10587</t>
  </si>
  <si>
    <t>1319B10588</t>
  </si>
  <si>
    <t>1319B10589</t>
  </si>
  <si>
    <t>1319B10590</t>
  </si>
  <si>
    <t>1319B10591</t>
  </si>
  <si>
    <t>1319B10592</t>
  </si>
  <si>
    <t>1319B10593</t>
  </si>
  <si>
    <t>1319B10594</t>
  </si>
  <si>
    <t>1319B10595</t>
  </si>
  <si>
    <t>1319B10596</t>
  </si>
  <si>
    <t>1319B10597</t>
  </si>
  <si>
    <t>1319B10598</t>
  </si>
  <si>
    <t>1319B10599</t>
  </si>
  <si>
    <t>1319B10600</t>
  </si>
  <si>
    <t>1319B10601</t>
  </si>
  <si>
    <t>1319B10602</t>
  </si>
  <si>
    <t>1319B10603</t>
  </si>
  <si>
    <t>1319B10604</t>
  </si>
  <si>
    <t>1319B10605</t>
  </si>
  <si>
    <t>1319B10606</t>
  </si>
  <si>
    <t>1319B10607</t>
  </si>
  <si>
    <t>1319B10608</t>
  </si>
  <si>
    <t>1319B10609</t>
  </si>
  <si>
    <t>1319B10610</t>
  </si>
  <si>
    <t>1319B10611</t>
  </si>
  <si>
    <t>1319B10612</t>
  </si>
  <si>
    <t>1319B10613</t>
  </si>
  <si>
    <t>1319B10614</t>
  </si>
  <si>
    <t>1319B10615</t>
  </si>
  <si>
    <t>1319B10616</t>
  </si>
  <si>
    <t>1319B10617</t>
  </si>
  <si>
    <t>1319B10618</t>
  </si>
  <si>
    <t>1319B10619</t>
  </si>
  <si>
    <t>1319B10620</t>
  </si>
  <si>
    <t>1319B10621</t>
  </si>
  <si>
    <t>1319B10622</t>
  </si>
  <si>
    <t>1319B10623</t>
  </si>
  <si>
    <t>1319B10624</t>
  </si>
  <si>
    <t>1319B10625</t>
  </si>
  <si>
    <t>1319B10626</t>
  </si>
  <si>
    <t>1319B10627</t>
  </si>
  <si>
    <t>1319B10628</t>
  </si>
  <si>
    <t>1319B10629</t>
  </si>
  <si>
    <t>1319B10630</t>
  </si>
  <si>
    <t>1319B10631</t>
  </si>
  <si>
    <t>1319B10632</t>
  </si>
  <si>
    <t>1319B10633</t>
  </si>
  <si>
    <t>1319B10634</t>
  </si>
  <si>
    <t>1319B10635</t>
  </si>
  <si>
    <t>1319B10636</t>
  </si>
  <si>
    <t>1319B10637</t>
  </si>
  <si>
    <t>1319B10638</t>
  </si>
  <si>
    <t>1319B10639</t>
  </si>
  <si>
    <t>1319B10640</t>
  </si>
  <si>
    <t>1319B10641</t>
  </si>
  <si>
    <t>1319B10642</t>
  </si>
  <si>
    <t>1319B10643</t>
  </si>
  <si>
    <t>1319B10644</t>
  </si>
  <si>
    <t>1319B10645</t>
  </si>
  <si>
    <t>1319B10646</t>
  </si>
  <si>
    <t>1319B10647</t>
  </si>
  <si>
    <t>1319B10648</t>
  </si>
  <si>
    <t>1319B10649</t>
  </si>
  <si>
    <t>1319B10650</t>
  </si>
  <si>
    <t>1319B10651</t>
  </si>
  <si>
    <t>1319B10652</t>
  </si>
  <si>
    <t>1319B10653</t>
  </si>
  <si>
    <t>1319B10654</t>
  </si>
  <si>
    <t>1319B10655</t>
  </si>
  <si>
    <t>1319B10656</t>
  </si>
  <si>
    <t>1319B10657</t>
  </si>
  <si>
    <t>1319B10658</t>
  </si>
  <si>
    <t>1319B10659</t>
  </si>
  <si>
    <t>1319B10660</t>
  </si>
  <si>
    <t>1319B10661</t>
  </si>
  <si>
    <t>1319B10662</t>
  </si>
  <si>
    <t>1319B10663</t>
  </si>
  <si>
    <t>1319B10664</t>
  </si>
  <si>
    <t>1319B10665</t>
  </si>
  <si>
    <t>1319B10666</t>
  </si>
  <si>
    <t>1319B10667</t>
  </si>
  <si>
    <t>1319B10668</t>
  </si>
  <si>
    <t>1319B10669</t>
  </si>
  <si>
    <t>1319B10670</t>
  </si>
  <si>
    <t>1319B10671</t>
  </si>
  <si>
    <t>1319B10672</t>
  </si>
  <si>
    <t>1319B10673</t>
  </si>
  <si>
    <t>1319B10674</t>
  </si>
  <si>
    <t>1319B10675</t>
  </si>
  <si>
    <t>1319B10676</t>
  </si>
  <si>
    <t>1319B10677</t>
  </si>
  <si>
    <t>1319B10678</t>
  </si>
  <si>
    <t>1319B10679</t>
  </si>
  <si>
    <t>1319B10680</t>
  </si>
  <si>
    <t>1319B10681</t>
  </si>
  <si>
    <t>1319B10682</t>
  </si>
  <si>
    <t>1319B10683</t>
  </si>
  <si>
    <t>1319B10684</t>
  </si>
  <si>
    <t>1319B10685</t>
  </si>
  <si>
    <t>1319B10686</t>
  </si>
  <si>
    <t>1319B10687</t>
  </si>
  <si>
    <t>1319B10688</t>
  </si>
  <si>
    <t>1319B10689</t>
  </si>
  <si>
    <t>1319B10690</t>
  </si>
  <si>
    <t>1319B10691</t>
  </si>
  <si>
    <t>1319B10692</t>
  </si>
  <si>
    <t>1319B10693</t>
  </si>
  <si>
    <t>1319B10694</t>
  </si>
  <si>
    <t>1319B10695</t>
  </si>
  <si>
    <t>1319B10696</t>
  </si>
  <si>
    <t>1319B10697</t>
  </si>
  <si>
    <t>1319B10698</t>
  </si>
  <si>
    <t>1319B10699</t>
  </si>
  <si>
    <t>1319B10700</t>
  </si>
  <si>
    <t>1319B10701</t>
  </si>
  <si>
    <t>1319B10702</t>
  </si>
  <si>
    <t>1319B10703</t>
  </si>
  <si>
    <t>1319B10704</t>
  </si>
  <si>
    <t>1319B10705</t>
  </si>
  <si>
    <t>1319B10706</t>
  </si>
  <si>
    <t>1319B10707</t>
  </si>
  <si>
    <t>1319B10708</t>
  </si>
  <si>
    <t>1319B10709</t>
  </si>
  <si>
    <t>1319B10710</t>
  </si>
  <si>
    <t>1319B10711</t>
  </si>
  <si>
    <t>1319B10712</t>
  </si>
  <si>
    <t>1319B10713</t>
  </si>
  <si>
    <t>1319B10714</t>
  </si>
  <si>
    <t>1319B10715</t>
  </si>
  <si>
    <t>1319B10716</t>
  </si>
  <si>
    <t>1319B10717</t>
  </si>
  <si>
    <t>1319B10718</t>
  </si>
  <si>
    <t>1319B10719</t>
  </si>
  <si>
    <t>1319B10720</t>
  </si>
  <si>
    <t>1319B10721</t>
  </si>
  <si>
    <t>1319B10722</t>
  </si>
  <si>
    <t>1319B10723</t>
  </si>
  <si>
    <t>1319B10724</t>
  </si>
  <si>
    <t>1319B10725</t>
  </si>
  <si>
    <t>1319B10726</t>
  </si>
  <si>
    <t>1319B10727</t>
  </si>
  <si>
    <t>1319B10728</t>
  </si>
  <si>
    <t>1319B10729</t>
  </si>
  <si>
    <t>1319B10730</t>
  </si>
  <si>
    <t>1319B10731</t>
  </si>
  <si>
    <t>1319B10732</t>
  </si>
  <si>
    <t>1319B10733</t>
  </si>
  <si>
    <t>1319B10734</t>
  </si>
  <si>
    <t>1319B10735</t>
  </si>
  <si>
    <t>1319B10736</t>
  </si>
  <si>
    <t>1319B10737</t>
  </si>
  <si>
    <t>1319B10738</t>
  </si>
  <si>
    <t>1319B10739</t>
  </si>
  <si>
    <t>1319B10740</t>
  </si>
  <si>
    <t>1319B10741</t>
  </si>
  <si>
    <t>1319B10742</t>
  </si>
  <si>
    <t>1319B10743</t>
  </si>
  <si>
    <t>1319B10744</t>
  </si>
  <si>
    <t>1319B10745</t>
  </si>
  <si>
    <t>1319B10746</t>
  </si>
  <si>
    <t>1319B10747</t>
  </si>
  <si>
    <t>1319B10748</t>
  </si>
  <si>
    <t>1319B10749</t>
  </si>
  <si>
    <t>1319B10750</t>
  </si>
  <si>
    <t>1319B10751</t>
  </si>
  <si>
    <t>1319B10752</t>
  </si>
  <si>
    <t>1319B10753</t>
  </si>
  <si>
    <t>1319B10754</t>
  </si>
  <si>
    <t>1319B10755</t>
  </si>
  <si>
    <t>1319B10756</t>
  </si>
  <si>
    <t>1319B10757</t>
  </si>
  <si>
    <t>1319B10758</t>
  </si>
  <si>
    <t>1319B10759</t>
  </si>
  <si>
    <t>1319B10760</t>
  </si>
  <si>
    <t>1319B10761</t>
  </si>
  <si>
    <t>1319B10762</t>
  </si>
  <si>
    <t>1319B10763</t>
  </si>
  <si>
    <t>1319B10764</t>
  </si>
  <si>
    <t>1319B10765</t>
  </si>
  <si>
    <t>1319B10766</t>
  </si>
  <si>
    <t>1319B10767</t>
  </si>
  <si>
    <t>1319B10768</t>
  </si>
  <si>
    <t>1319B10769</t>
  </si>
  <si>
    <t>1319B10770</t>
  </si>
  <si>
    <t>1319B10771</t>
  </si>
  <si>
    <t>1319B10772</t>
  </si>
  <si>
    <t>1319B10773</t>
  </si>
  <si>
    <t>1319B10774</t>
  </si>
  <si>
    <t>1319B10775</t>
  </si>
  <si>
    <t>1319B10776</t>
  </si>
  <si>
    <t>1319B10777</t>
  </si>
  <si>
    <t>1319B10778</t>
  </si>
  <si>
    <t>1319B10779</t>
  </si>
  <si>
    <t>1319B10780</t>
  </si>
  <si>
    <t>1319B10781</t>
  </si>
  <si>
    <t>1319B10782</t>
  </si>
  <si>
    <t>1319B10783</t>
  </si>
  <si>
    <t>1319B10784</t>
  </si>
  <si>
    <t>1319B10785</t>
  </si>
  <si>
    <t>1319B10786</t>
  </si>
  <si>
    <t>1319B10787</t>
  </si>
  <si>
    <t>1319B10788</t>
  </si>
  <si>
    <t>1319B10789</t>
  </si>
  <si>
    <t>1319B10790</t>
  </si>
  <si>
    <t>1319B10791</t>
  </si>
  <si>
    <t>1319B10792</t>
  </si>
  <si>
    <t>1319B10793</t>
  </si>
  <si>
    <t>1319B10794</t>
  </si>
  <si>
    <t>1319B10795</t>
  </si>
  <si>
    <t>1319B10796</t>
  </si>
  <si>
    <t>1319B10797</t>
  </si>
  <si>
    <t>1319B10798</t>
  </si>
  <si>
    <t>1319B10799</t>
  </si>
  <si>
    <t>1319B10800</t>
  </si>
  <si>
    <t>1319B10801</t>
  </si>
  <si>
    <t>1319B10802</t>
  </si>
  <si>
    <t>1319B10803</t>
  </si>
  <si>
    <t>1319B10804</t>
  </si>
  <si>
    <t>1319B10805</t>
  </si>
  <si>
    <t>1319B10806</t>
  </si>
  <si>
    <t>1319B10807</t>
  </si>
  <si>
    <t>1319B10808</t>
  </si>
  <si>
    <t>1319B10809</t>
  </si>
  <si>
    <t>1319B10810</t>
  </si>
  <si>
    <t>1319B10811</t>
  </si>
  <si>
    <t>1319B10812</t>
  </si>
  <si>
    <t>1319B10813</t>
  </si>
  <si>
    <t>1319B10814</t>
  </si>
  <si>
    <t>1319B10815</t>
  </si>
  <si>
    <t>1319B10816</t>
  </si>
  <si>
    <t>1319B10817</t>
  </si>
  <si>
    <t>1319B10818</t>
  </si>
  <si>
    <t>1319B10819</t>
  </si>
  <si>
    <t>1319B10820</t>
  </si>
  <si>
    <t>1319B10821</t>
  </si>
  <si>
    <t>1319B10822</t>
  </si>
  <si>
    <t>1319B10823</t>
  </si>
  <si>
    <t>1319B10824</t>
  </si>
  <si>
    <t>1319B10825</t>
  </si>
  <si>
    <t>1319B10826</t>
  </si>
  <si>
    <t>1319B10827</t>
  </si>
  <si>
    <t>1319B10828</t>
  </si>
  <si>
    <t>1319B10829</t>
  </si>
  <si>
    <t>1319B10830</t>
  </si>
  <si>
    <t>1319B10831</t>
  </si>
  <si>
    <t>1319B10832</t>
  </si>
  <si>
    <t>1319B10833</t>
  </si>
  <si>
    <t>1319B10834</t>
  </si>
  <si>
    <t>1319B10835</t>
  </si>
  <si>
    <t>1319B10836</t>
  </si>
  <si>
    <t>1319B10837</t>
  </si>
  <si>
    <t>1319B10838</t>
  </si>
  <si>
    <t>1319B10839</t>
  </si>
  <si>
    <t>1319B10840</t>
  </si>
  <si>
    <t>1319B10841</t>
  </si>
  <si>
    <t>1319B10842</t>
  </si>
  <si>
    <t>1319B10843</t>
  </si>
  <si>
    <t>1319B10844</t>
  </si>
  <si>
    <t>1319B10845</t>
  </si>
  <si>
    <t>1319B10846</t>
  </si>
  <si>
    <t>1319B10847</t>
  </si>
  <si>
    <t>1319B10848</t>
  </si>
  <si>
    <t>1319B10849</t>
  </si>
  <si>
    <t>1319B10850</t>
  </si>
  <si>
    <t>1319B10851</t>
  </si>
  <si>
    <t>1319B10852</t>
  </si>
  <si>
    <t>1319B10853</t>
  </si>
  <si>
    <t>1319B10854</t>
  </si>
  <si>
    <t>1319B10855</t>
  </si>
  <si>
    <t>1319B10856</t>
  </si>
  <si>
    <t>1319B10857</t>
  </si>
  <si>
    <t>1319B10858</t>
  </si>
  <si>
    <t>1319B10859</t>
  </si>
  <si>
    <t>1319B10860</t>
  </si>
  <si>
    <t>1319B10861</t>
  </si>
  <si>
    <t>1319B10862</t>
  </si>
  <si>
    <t>1319B10863</t>
  </si>
  <si>
    <t>1319B10864</t>
  </si>
  <si>
    <t>1319B10865</t>
  </si>
  <si>
    <t>1319B10866</t>
  </si>
  <si>
    <t>1319B10867</t>
  </si>
  <si>
    <t>1319B10868</t>
  </si>
  <si>
    <t>1319B10869</t>
  </si>
  <si>
    <t>1319B10870</t>
  </si>
  <si>
    <t>1319B10871</t>
  </si>
  <si>
    <t>1319B10872</t>
  </si>
  <si>
    <t>1319B10873</t>
  </si>
  <si>
    <t>1319B10874</t>
  </si>
  <si>
    <t>1319B10875</t>
  </si>
  <si>
    <t>1319B10876</t>
  </si>
  <si>
    <t>1319B10877</t>
  </si>
  <si>
    <t>1319B10878</t>
  </si>
  <si>
    <t>1319B10879</t>
  </si>
  <si>
    <t>1319B10880</t>
  </si>
  <si>
    <t>1319B10881</t>
  </si>
  <si>
    <t>1319B10882</t>
  </si>
  <si>
    <t>1319B10883</t>
  </si>
  <si>
    <t>1319B10884</t>
  </si>
  <si>
    <t>1319B10885</t>
  </si>
  <si>
    <t>1319B10886</t>
  </si>
  <si>
    <t>1319B10887</t>
  </si>
  <si>
    <t>1319B10888</t>
  </si>
  <si>
    <t>1319B10889</t>
  </si>
  <si>
    <t>1319B10890</t>
  </si>
  <si>
    <t>1319B10891</t>
  </si>
  <si>
    <t>1319B10892</t>
  </si>
  <si>
    <t>1319B10893</t>
  </si>
  <si>
    <t>1319B10894</t>
  </si>
  <si>
    <t>1319B10895</t>
  </si>
  <si>
    <t>1319B10896</t>
  </si>
  <si>
    <t>1319B10897</t>
  </si>
  <si>
    <t>1319B10898</t>
  </si>
  <si>
    <t>1319B10899</t>
  </si>
  <si>
    <t>1319B10900</t>
  </si>
  <si>
    <t>1319B10901</t>
  </si>
  <si>
    <t>1319B10902</t>
  </si>
  <si>
    <t>1319B10903</t>
  </si>
  <si>
    <t>1319B10904</t>
  </si>
  <si>
    <t>1319B10905</t>
  </si>
  <si>
    <t>1319B10906</t>
  </si>
  <si>
    <t>1319B10907</t>
  </si>
  <si>
    <t>1319B10908</t>
  </si>
  <si>
    <t>1319B10909</t>
  </si>
  <si>
    <t>1319B10910</t>
  </si>
  <si>
    <t>1319B10911</t>
  </si>
  <si>
    <t>1319B10912</t>
  </si>
  <si>
    <t>1319B10913</t>
  </si>
  <si>
    <t>1319B10914</t>
  </si>
  <si>
    <t>1319B10915</t>
  </si>
  <si>
    <t>1319B10916</t>
  </si>
  <si>
    <t>1319B10917</t>
  </si>
  <si>
    <t>1319B10918</t>
  </si>
  <si>
    <t>1319B10919</t>
  </si>
  <si>
    <t>1319B10920</t>
  </si>
  <si>
    <t>1319B10921</t>
  </si>
  <si>
    <t>1319B10922</t>
  </si>
  <si>
    <t>1319B10923</t>
  </si>
  <si>
    <t>1319B10924</t>
  </si>
  <si>
    <t>1319B10925</t>
  </si>
  <si>
    <t>1319B10926</t>
  </si>
  <si>
    <t>1319B10927</t>
  </si>
  <si>
    <t>1319B10928</t>
  </si>
  <si>
    <t>1319B10929</t>
  </si>
  <si>
    <t>1319B10930</t>
  </si>
  <si>
    <t>1319B10931</t>
  </si>
  <si>
    <t>1319B10932</t>
  </si>
  <si>
    <t>1319B10933</t>
  </si>
  <si>
    <t>1319B10934</t>
  </si>
  <si>
    <t>1319B10935</t>
  </si>
  <si>
    <t>1319B10936</t>
  </si>
  <si>
    <t>1319B10937</t>
  </si>
  <si>
    <t>1319B10938</t>
  </si>
  <si>
    <t>1319B10939</t>
  </si>
  <si>
    <t>1319B10940</t>
  </si>
  <si>
    <t>1319B10941</t>
  </si>
  <si>
    <t>1319B10942</t>
  </si>
  <si>
    <t>1319B10943</t>
  </si>
  <si>
    <t>1319B10944</t>
  </si>
  <si>
    <t>1319B10945</t>
  </si>
  <si>
    <t>1319B10946</t>
  </si>
  <si>
    <t>1319B10947</t>
  </si>
  <si>
    <t>1319B10948</t>
  </si>
  <si>
    <t>1319B10949</t>
  </si>
  <si>
    <t>1319B10950</t>
  </si>
  <si>
    <t>1319B10951</t>
  </si>
  <si>
    <t>1319B10952</t>
  </si>
  <si>
    <t>1319B10953</t>
  </si>
  <si>
    <t>1319B10954</t>
  </si>
  <si>
    <t>1319B10955</t>
  </si>
  <si>
    <t>1319B10956</t>
  </si>
  <si>
    <t>1319B10957</t>
  </si>
  <si>
    <t>1319B10958</t>
  </si>
  <si>
    <t>1319B10959</t>
  </si>
  <si>
    <t>1319B10960</t>
  </si>
  <si>
    <t>1319B10961</t>
  </si>
  <si>
    <t>1319B10962</t>
  </si>
  <si>
    <t>1319B10963</t>
  </si>
  <si>
    <t>1319B10964</t>
  </si>
  <si>
    <t>1319B10965</t>
  </si>
  <si>
    <t>1319B10966</t>
  </si>
  <si>
    <t>1319B10967</t>
  </si>
  <si>
    <t>1319B10968</t>
  </si>
  <si>
    <t>1319B10969</t>
  </si>
  <si>
    <t>1319B10970</t>
  </si>
  <si>
    <t>1319B10971</t>
  </si>
  <si>
    <t>1319B10972</t>
  </si>
  <si>
    <t>1319B10973</t>
  </si>
  <si>
    <t>1319B10974</t>
  </si>
  <si>
    <t>1319B10975</t>
  </si>
  <si>
    <t>1319B10976</t>
  </si>
  <si>
    <t>1319B10977</t>
  </si>
  <si>
    <t>1319B10978</t>
  </si>
  <si>
    <t>1319B10979</t>
  </si>
  <si>
    <t>1319B10980</t>
  </si>
  <si>
    <t>1319B10981</t>
  </si>
  <si>
    <t>1319B10982</t>
  </si>
  <si>
    <t>1319B10983</t>
  </si>
  <si>
    <t>1319B10984</t>
  </si>
  <si>
    <t>1319B10985</t>
  </si>
  <si>
    <t>1319B10986</t>
  </si>
  <si>
    <t>1319B10987</t>
  </si>
  <si>
    <t>1319B10988</t>
  </si>
  <si>
    <t>1319B10989</t>
  </si>
  <si>
    <t>1319B10990</t>
  </si>
  <si>
    <t>1319B10991</t>
  </si>
  <si>
    <t>1319B10992</t>
  </si>
  <si>
    <t>1319B10993</t>
  </si>
  <si>
    <t>1319B10994</t>
  </si>
  <si>
    <t>1319B10995</t>
  </si>
  <si>
    <t>1319B10996</t>
  </si>
  <si>
    <t>1319B10997</t>
  </si>
  <si>
    <t>1319B10998</t>
  </si>
  <si>
    <t>1319B10999</t>
  </si>
  <si>
    <t>1319B11000</t>
  </si>
  <si>
    <t>1319B11001</t>
  </si>
  <si>
    <t>1319B11002</t>
  </si>
  <si>
    <t>1319B11003</t>
  </si>
  <si>
    <t>1319B11004</t>
  </si>
  <si>
    <t>1319B11005</t>
  </si>
  <si>
    <t>1319B11006</t>
  </si>
  <si>
    <t>1319B11007</t>
  </si>
  <si>
    <t>1319B11008</t>
  </si>
  <si>
    <t>1319B11009</t>
  </si>
  <si>
    <t>1319B11010</t>
  </si>
  <si>
    <t>1319B11011</t>
  </si>
  <si>
    <t>1319B11012</t>
  </si>
  <si>
    <t>1319B11013</t>
  </si>
  <si>
    <t>1319B11014</t>
  </si>
  <si>
    <t>1319B11015</t>
  </si>
  <si>
    <t>1319B11016</t>
  </si>
  <si>
    <t>1319B11017</t>
  </si>
  <si>
    <t>1319B11018</t>
  </si>
  <si>
    <t>1319B11019</t>
  </si>
  <si>
    <t>1319B11020</t>
  </si>
  <si>
    <t>1319B11021</t>
  </si>
  <si>
    <t>1319B11022</t>
  </si>
  <si>
    <t>1319B11023</t>
  </si>
  <si>
    <t>1319B11024</t>
  </si>
  <si>
    <t>1319B11025</t>
  </si>
  <si>
    <t>1319B11026</t>
  </si>
  <si>
    <t>1319B11027</t>
  </si>
  <si>
    <t>1319B11028</t>
  </si>
  <si>
    <t>1319B11029</t>
  </si>
  <si>
    <t>1319B11030</t>
  </si>
  <si>
    <t>1319B11031</t>
  </si>
  <si>
    <t>1319B11032</t>
  </si>
  <si>
    <t>1319B11033</t>
  </si>
  <si>
    <t>1319B11034</t>
  </si>
  <si>
    <t>1319B11035</t>
  </si>
  <si>
    <t>1319B11036</t>
  </si>
  <si>
    <t>1319B11037</t>
  </si>
  <si>
    <t>1319B11038</t>
  </si>
  <si>
    <t>1319B11039</t>
  </si>
  <si>
    <t>1319B11040</t>
  </si>
  <si>
    <t>1319B11041</t>
  </si>
  <si>
    <t>1319B11042</t>
  </si>
  <si>
    <t>1319B11043</t>
  </si>
  <si>
    <t>1319B11044</t>
  </si>
  <si>
    <t>1319B11045</t>
  </si>
  <si>
    <t>1319B11046</t>
  </si>
  <si>
    <t>1319B11047</t>
  </si>
  <si>
    <t>1319B11048</t>
  </si>
  <si>
    <t>1319B11049</t>
  </si>
  <si>
    <t>1319B11050</t>
  </si>
  <si>
    <t>1319B11051</t>
  </si>
  <si>
    <t>1319B11052</t>
  </si>
  <si>
    <t>1319B11053</t>
  </si>
  <si>
    <t>1319B11054</t>
  </si>
  <si>
    <t>1319B11055</t>
  </si>
  <si>
    <t>1319B11056</t>
  </si>
  <si>
    <t>1319B11057</t>
  </si>
  <si>
    <t>1319B11058</t>
  </si>
  <si>
    <t>1319B11059</t>
  </si>
  <si>
    <t>1319B11060</t>
  </si>
  <si>
    <t>1319B11061</t>
  </si>
  <si>
    <t>1319B11062</t>
  </si>
  <si>
    <t>1319B11063</t>
  </si>
  <si>
    <t>1319B11064</t>
  </si>
  <si>
    <t>1319B11065</t>
  </si>
  <si>
    <t>1319B11066</t>
  </si>
  <si>
    <t>1319B11067</t>
  </si>
  <si>
    <t>1319B11068</t>
  </si>
  <si>
    <t>1319B11069</t>
  </si>
  <si>
    <t>1319B11070</t>
  </si>
  <si>
    <t>1319B11071</t>
  </si>
  <si>
    <t>1319B11072</t>
  </si>
  <si>
    <t>1319B11073</t>
  </si>
  <si>
    <t>1319B11074</t>
  </si>
  <si>
    <t>1319B11075</t>
  </si>
  <si>
    <t>1319B11076</t>
  </si>
  <si>
    <t>1319B11077</t>
  </si>
  <si>
    <t>1319B11078</t>
  </si>
  <si>
    <t>1319B11079</t>
  </si>
  <si>
    <t>1319B11080</t>
  </si>
  <si>
    <t>1319B11081</t>
  </si>
  <si>
    <t>1319B11082</t>
  </si>
  <si>
    <t>1319B11083</t>
  </si>
  <si>
    <t>1319B11084</t>
  </si>
  <si>
    <t>1319B11085</t>
  </si>
  <si>
    <t>1319B11086</t>
  </si>
  <si>
    <t>1319B11087</t>
  </si>
  <si>
    <t>1319B11088</t>
  </si>
  <si>
    <t>1319B11089</t>
  </si>
  <si>
    <t>1319B11090</t>
  </si>
  <si>
    <t>1319B11091</t>
  </si>
  <si>
    <t>1319B11092</t>
  </si>
  <si>
    <t>1319B11093</t>
  </si>
  <si>
    <t>1319B11094</t>
  </si>
  <si>
    <t>1319B11095</t>
  </si>
  <si>
    <t>1319B11096</t>
  </si>
  <si>
    <t>1319B11097</t>
  </si>
  <si>
    <t>1319B11098</t>
  </si>
  <si>
    <t>1319B11099</t>
  </si>
  <si>
    <t>1319B11100</t>
  </si>
  <si>
    <t>1319B11101</t>
  </si>
  <si>
    <t>1319B11102</t>
  </si>
  <si>
    <t>1319B11103</t>
  </si>
  <si>
    <t>1319B11104</t>
  </si>
  <si>
    <t>1319B11105</t>
  </si>
  <si>
    <t>1319B11106</t>
  </si>
  <si>
    <t>1319B11107</t>
  </si>
  <si>
    <t>1319B11108</t>
  </si>
  <si>
    <t>1319B11109</t>
  </si>
  <si>
    <t>1319B11110</t>
  </si>
  <si>
    <t>1319B11111</t>
  </si>
  <si>
    <t>1319B11112</t>
  </si>
  <si>
    <t>1319B11113</t>
  </si>
  <si>
    <t>1319B11114</t>
  </si>
  <si>
    <t>1319B11115</t>
  </si>
  <si>
    <t>1319B11116</t>
  </si>
  <si>
    <t>1319B11117</t>
  </si>
  <si>
    <t>1319B11118</t>
  </si>
  <si>
    <t>1319B11119</t>
  </si>
  <si>
    <t>1319B11120</t>
  </si>
  <si>
    <t>1319B11121</t>
  </si>
  <si>
    <t>1319B11122</t>
  </si>
  <si>
    <t>1319B11123</t>
  </si>
  <si>
    <t>1319B11124</t>
  </si>
  <si>
    <t>1319B11125</t>
  </si>
  <si>
    <t>1319B11126</t>
  </si>
  <si>
    <t>1319B11127</t>
  </si>
  <si>
    <t>1319B11128</t>
  </si>
  <si>
    <t>1319B11129</t>
  </si>
  <si>
    <t>1319B11130</t>
  </si>
  <si>
    <t>1319B11131</t>
  </si>
  <si>
    <t>1319B11132</t>
  </si>
  <si>
    <t>1319B11133</t>
  </si>
  <si>
    <t>1319B11134</t>
  </si>
  <si>
    <t>1319B11135</t>
  </si>
  <si>
    <t>1319B11136</t>
  </si>
  <si>
    <t>1319B11137</t>
  </si>
  <si>
    <t>1319B11138</t>
  </si>
  <si>
    <t>1319B11139</t>
  </si>
  <si>
    <t>1319B11140</t>
  </si>
  <si>
    <t>1319B11141</t>
  </si>
  <si>
    <t>1319B11142</t>
  </si>
  <si>
    <t>1319B11143</t>
  </si>
  <si>
    <t>1319B11144</t>
  </si>
  <si>
    <t>1319B11145</t>
  </si>
  <si>
    <t>1319B11146</t>
  </si>
  <si>
    <t>1319B11147</t>
  </si>
  <si>
    <t>1319B11148</t>
  </si>
  <si>
    <t>1319B11149</t>
  </si>
  <si>
    <t>1319B11150</t>
  </si>
  <si>
    <t>1319B11151</t>
  </si>
  <si>
    <t>1319B11152</t>
  </si>
  <si>
    <t>1319B11153</t>
  </si>
  <si>
    <t>1319B11154</t>
  </si>
  <si>
    <t>1319B11155</t>
  </si>
  <si>
    <t>1319B11156</t>
  </si>
  <si>
    <t>1319B11157</t>
  </si>
  <si>
    <t>1319B11158</t>
  </si>
  <si>
    <t>1319B11159</t>
  </si>
  <si>
    <t>1319B11160</t>
  </si>
  <si>
    <t>1319B11161</t>
  </si>
  <si>
    <t>1319B11162</t>
  </si>
  <si>
    <t>1319B11163</t>
  </si>
  <si>
    <t>1319B11164</t>
  </si>
  <si>
    <t>1319B11165</t>
  </si>
  <si>
    <t>1319B11166</t>
  </si>
  <si>
    <t>1319B11167</t>
  </si>
  <si>
    <t>1319B11168</t>
  </si>
  <si>
    <t>1319B11169</t>
  </si>
  <si>
    <t>1319B11170</t>
  </si>
  <si>
    <t>1319B11171</t>
  </si>
  <si>
    <t>1319B11172</t>
  </si>
  <si>
    <t>1319B11173</t>
  </si>
  <si>
    <t>1319B11174</t>
  </si>
  <si>
    <t>1319B11175</t>
  </si>
  <si>
    <t>1319B11176</t>
  </si>
  <si>
    <t>1319B11177</t>
  </si>
  <si>
    <t>1319B11178</t>
  </si>
  <si>
    <t>1319B11179</t>
  </si>
  <si>
    <t>1319B11180</t>
  </si>
  <si>
    <t>1319B11181</t>
  </si>
  <si>
    <t>1319B11182</t>
  </si>
  <si>
    <t>1319B11183</t>
  </si>
  <si>
    <t>1319B11184</t>
  </si>
  <si>
    <t>1319B11185</t>
  </si>
  <si>
    <t>1319B11186</t>
  </si>
  <si>
    <t>1319B11187</t>
  </si>
  <si>
    <t>1319B11188</t>
  </si>
  <si>
    <t>1319B11189</t>
  </si>
  <si>
    <t>1319B11190</t>
  </si>
  <si>
    <t>1319B11191</t>
  </si>
  <si>
    <t>1319B11192</t>
  </si>
  <si>
    <t>1319B11193</t>
  </si>
  <si>
    <t>1319B11194</t>
  </si>
  <si>
    <t>1319B11195</t>
  </si>
  <si>
    <t>1319B11196</t>
  </si>
  <si>
    <t>1319B11197</t>
  </si>
  <si>
    <t>1319B11198</t>
  </si>
  <si>
    <t>1319B11199</t>
  </si>
  <si>
    <t>1319B11200</t>
  </si>
  <si>
    <t>1319B11201</t>
  </si>
  <si>
    <t>1319B11202</t>
  </si>
  <si>
    <t>1319B11203</t>
  </si>
  <si>
    <t>1319B11204</t>
  </si>
  <si>
    <t>1319B11205</t>
  </si>
  <si>
    <t>1319B11206</t>
  </si>
  <si>
    <t>1319B11207</t>
  </si>
  <si>
    <t>1319B11208</t>
  </si>
  <si>
    <t>1319B11209</t>
  </si>
  <si>
    <t>1319B11210</t>
  </si>
  <si>
    <t>1319B11211</t>
  </si>
  <si>
    <t>1319B11212</t>
  </si>
  <si>
    <t>1319B11213</t>
  </si>
  <si>
    <t>1319B11214</t>
  </si>
  <si>
    <t>1319B11215</t>
  </si>
  <si>
    <t>1319B11216</t>
  </si>
  <si>
    <t>1319B11217</t>
  </si>
  <si>
    <t>1319B11218</t>
  </si>
  <si>
    <t>1319B11219</t>
  </si>
  <si>
    <t>1319B11220</t>
  </si>
  <si>
    <t>1319B11221</t>
  </si>
  <si>
    <t>1319B11222</t>
  </si>
  <si>
    <t>1319B11223</t>
  </si>
  <si>
    <t>1319B11224</t>
  </si>
  <si>
    <t>1319B11225</t>
  </si>
  <si>
    <t>1319B11226</t>
  </si>
  <si>
    <t>1319B11227</t>
  </si>
  <si>
    <t>1319B11228</t>
  </si>
  <si>
    <t>1319B11229</t>
  </si>
  <si>
    <t>1319B11230</t>
  </si>
  <si>
    <t>1319B11231</t>
  </si>
  <si>
    <t>1319B11232</t>
  </si>
  <si>
    <t>1319B11233</t>
  </si>
  <si>
    <t>1319B11234</t>
  </si>
  <si>
    <t>1319B11235</t>
  </si>
  <si>
    <t>1319B11236</t>
  </si>
  <si>
    <t>1319B11237</t>
  </si>
  <si>
    <t>1319B11238</t>
  </si>
  <si>
    <t>1319B11239</t>
  </si>
  <si>
    <t>1319B11240</t>
  </si>
  <si>
    <t>1319B11241</t>
  </si>
  <si>
    <t>1319B11242</t>
  </si>
  <si>
    <t>1319B11243</t>
  </si>
  <si>
    <t>1319B11244</t>
  </si>
  <si>
    <t>1319B11245</t>
  </si>
  <si>
    <t>1319B11246</t>
  </si>
  <si>
    <t>1319B11247</t>
  </si>
  <si>
    <t>1319B11248</t>
  </si>
  <si>
    <t>1319B11249</t>
  </si>
  <si>
    <t>1319B11250</t>
  </si>
  <si>
    <t>1319B11251</t>
  </si>
  <si>
    <t>1319B11252</t>
  </si>
  <si>
    <t>1319B11253</t>
  </si>
  <si>
    <t>1319B11254</t>
  </si>
  <si>
    <t>1319B11255</t>
  </si>
  <si>
    <t>1319B11256</t>
  </si>
  <si>
    <t>1319B11257</t>
  </si>
  <si>
    <t>1319B11258</t>
  </si>
  <si>
    <t>1319B11259</t>
  </si>
  <si>
    <t>1319B11260</t>
  </si>
  <si>
    <t>1319B11261</t>
  </si>
  <si>
    <t>1319B11262</t>
  </si>
  <si>
    <t>1319B11263</t>
  </si>
  <si>
    <t>1319B11264</t>
  </si>
  <si>
    <t>1319B11265</t>
  </si>
  <si>
    <t>1319B11266</t>
  </si>
  <si>
    <t>1319B11267</t>
  </si>
  <si>
    <t>1319B11268</t>
  </si>
  <si>
    <t>1319B11269</t>
  </si>
  <si>
    <t>1319B11270</t>
  </si>
  <si>
    <t>1319B11271</t>
  </si>
  <si>
    <t>1319B11272</t>
  </si>
  <si>
    <t>1319B11273</t>
  </si>
  <si>
    <t>1319B11274</t>
  </si>
  <si>
    <t>1319B11275</t>
  </si>
  <si>
    <t>1319B11276</t>
  </si>
  <si>
    <t>1319B11277</t>
  </si>
  <si>
    <t>1319B11278</t>
  </si>
  <si>
    <t>1319B11279</t>
  </si>
  <si>
    <t>1319B11280</t>
  </si>
  <si>
    <t>1319B11281</t>
  </si>
  <si>
    <t>1319B11282</t>
  </si>
  <si>
    <t>1319B11283</t>
  </si>
  <si>
    <t>1319B11284</t>
  </si>
  <si>
    <t>1319B11285</t>
  </si>
  <si>
    <t>1319B11286</t>
  </si>
  <si>
    <t>1319B11287</t>
  </si>
  <si>
    <t>1319B11288</t>
  </si>
  <si>
    <t>1319B11289</t>
  </si>
  <si>
    <t>1319B11290</t>
  </si>
  <si>
    <t>1319B11291</t>
  </si>
  <si>
    <t>1319B11292</t>
  </si>
  <si>
    <t>1319B11293</t>
  </si>
  <si>
    <t>1319B11294</t>
  </si>
  <si>
    <t>1319B11295</t>
  </si>
  <si>
    <t>1319B11296</t>
  </si>
  <si>
    <t>1319B11297</t>
  </si>
  <si>
    <t>1319B11298</t>
  </si>
  <si>
    <t>1319B11299</t>
  </si>
  <si>
    <t>1319B11300</t>
  </si>
  <si>
    <t>1319B11301</t>
  </si>
  <si>
    <t>1319B11302</t>
  </si>
  <si>
    <t>1319B11303</t>
  </si>
  <si>
    <t>1319B11304</t>
  </si>
  <si>
    <t>1319B11305</t>
  </si>
  <si>
    <t>1319B11306</t>
  </si>
  <si>
    <t>1319B11307</t>
  </si>
  <si>
    <t>1319B11308</t>
  </si>
  <si>
    <t>1319B11309</t>
  </si>
  <si>
    <t>1319B11310</t>
  </si>
  <si>
    <t>1319B11311</t>
  </si>
  <si>
    <t>1319B11312</t>
  </si>
  <si>
    <t>1319B11313</t>
  </si>
  <si>
    <t>1319B11314</t>
  </si>
  <si>
    <t>1319B11315</t>
  </si>
  <si>
    <t>1319B11316</t>
  </si>
  <si>
    <t>1319B11317</t>
  </si>
  <si>
    <t>1319B11318</t>
  </si>
  <si>
    <t>1319B11319</t>
  </si>
  <si>
    <t>1319B11320</t>
  </si>
  <si>
    <t>1319B11321</t>
  </si>
  <si>
    <t>1319B11322</t>
  </si>
  <si>
    <t>1319B11323</t>
  </si>
  <si>
    <t>1319B11324</t>
  </si>
  <si>
    <t>1319B11325</t>
  </si>
  <si>
    <t>1319B11326</t>
  </si>
  <si>
    <t>1319B11327</t>
  </si>
  <si>
    <t>1319B11328</t>
  </si>
  <si>
    <t>1319B11329</t>
  </si>
  <si>
    <t>1319B11330</t>
  </si>
  <si>
    <t>1319B11331</t>
  </si>
  <si>
    <t>1319B11332</t>
  </si>
  <si>
    <t>1319B11333</t>
  </si>
  <si>
    <t>1319B11334</t>
  </si>
  <si>
    <t>1319B11335</t>
  </si>
  <si>
    <t>1319B11336</t>
  </si>
  <si>
    <t>1319B11337</t>
  </si>
  <si>
    <t>1319B11338</t>
  </si>
  <si>
    <t>1319B11339</t>
  </si>
  <si>
    <t>1319B11340</t>
  </si>
  <si>
    <t>1319B11341</t>
  </si>
  <si>
    <t>1319B11342</t>
  </si>
  <si>
    <t>1319B11343</t>
  </si>
  <si>
    <t>1319B11344</t>
  </si>
  <si>
    <t>1319B11345</t>
  </si>
  <si>
    <t>1319B11346</t>
  </si>
  <si>
    <t>1319B11347</t>
  </si>
  <si>
    <t>1319B11348</t>
  </si>
  <si>
    <t>1319B11349</t>
  </si>
  <si>
    <t>1319B11350</t>
  </si>
  <si>
    <t>1319B11351</t>
  </si>
  <si>
    <t>1319B11352</t>
  </si>
  <si>
    <t>1319B11353</t>
  </si>
  <si>
    <t>1319B11354</t>
  </si>
  <si>
    <t>1319B11355</t>
  </si>
  <si>
    <t>1319B11356</t>
  </si>
  <si>
    <t>1319B11357</t>
  </si>
  <si>
    <t>1319B11358</t>
  </si>
  <si>
    <t>1319B11359</t>
  </si>
  <si>
    <t>1319B11360</t>
  </si>
  <si>
    <t>1319B11361</t>
  </si>
  <si>
    <t>1319B11362</t>
  </si>
  <si>
    <t>1319B11363</t>
  </si>
  <si>
    <t>1319B11364</t>
  </si>
  <si>
    <t>1319B11365</t>
  </si>
  <si>
    <t>1319B11366</t>
  </si>
  <si>
    <t>1319B11367</t>
  </si>
  <si>
    <t>1319B11368</t>
  </si>
  <si>
    <t>1319B11369</t>
  </si>
  <si>
    <t>1319B11370</t>
  </si>
  <si>
    <t>1319B11371</t>
  </si>
  <si>
    <t>1319B11372</t>
  </si>
  <si>
    <t>1319B11373</t>
  </si>
  <si>
    <t>1319B11374</t>
  </si>
  <si>
    <t>1319B11375</t>
  </si>
  <si>
    <t>1319B11376</t>
  </si>
  <si>
    <t>1319B11377</t>
  </si>
  <si>
    <t>1319B11378</t>
  </si>
  <si>
    <t>1319B11379</t>
  </si>
  <si>
    <t>1319B11380</t>
  </si>
  <si>
    <t>1319B11381</t>
  </si>
  <si>
    <t>1319B11382</t>
  </si>
  <si>
    <t>1319B11383</t>
  </si>
  <si>
    <t>1319B11384</t>
  </si>
  <si>
    <t>1319B11385</t>
  </si>
  <si>
    <t>1319B11386</t>
  </si>
  <si>
    <t>1319B11387</t>
  </si>
  <si>
    <t>1319B11388</t>
  </si>
  <si>
    <t>1319B11389</t>
  </si>
  <si>
    <t>1319B11390</t>
  </si>
  <si>
    <t>1319B11391</t>
  </si>
  <si>
    <t>1319B11392</t>
  </si>
  <si>
    <t>1319B11393</t>
  </si>
  <si>
    <t>1319B11394</t>
  </si>
  <si>
    <t>1319B11395</t>
  </si>
  <si>
    <t>1319B11396</t>
  </si>
  <si>
    <t>1319B11397</t>
  </si>
  <si>
    <t>1319B11398</t>
  </si>
  <si>
    <t>1319B11399</t>
  </si>
  <si>
    <t>1319B11400</t>
  </si>
  <si>
    <t>1319B11401</t>
  </si>
  <si>
    <t>1319B11402</t>
  </si>
  <si>
    <t>1319B11403</t>
  </si>
  <si>
    <t>1319B11404</t>
  </si>
  <si>
    <t>1319B11405</t>
  </si>
  <si>
    <t>1319B11406</t>
  </si>
  <si>
    <t>1319B11407</t>
  </si>
  <si>
    <t>1319B11408</t>
  </si>
  <si>
    <t>1319B11409</t>
  </si>
  <si>
    <t>1319B11410</t>
  </si>
  <si>
    <t>1319B11411</t>
  </si>
  <si>
    <t>1319B11412</t>
  </si>
  <si>
    <t>1319B11413</t>
  </si>
  <si>
    <t>1319B11414</t>
  </si>
  <si>
    <t>1319B11415</t>
  </si>
  <si>
    <t>1319B11416</t>
  </si>
  <si>
    <t>1319B11417</t>
  </si>
  <si>
    <t>1319B11418</t>
  </si>
  <si>
    <t>1319B11419</t>
  </si>
  <si>
    <t>1319B11420</t>
  </si>
  <si>
    <t>1319B11421</t>
  </si>
  <si>
    <t>1319B11422</t>
  </si>
  <si>
    <t>1319B11423</t>
  </si>
  <si>
    <t>1319B11424</t>
  </si>
  <si>
    <t>1319B11425</t>
  </si>
  <si>
    <t>1319B11426</t>
  </si>
  <si>
    <t>1319B11427</t>
  </si>
  <si>
    <t>1319B11428</t>
  </si>
  <si>
    <t>1319B11429</t>
  </si>
  <si>
    <t>1319B11430</t>
  </si>
  <si>
    <t>1319B11431</t>
  </si>
  <si>
    <t>1319B11432</t>
  </si>
  <si>
    <t>1319B11433</t>
  </si>
  <si>
    <t>1319B11434</t>
  </si>
  <si>
    <t>1319B11435</t>
  </si>
  <si>
    <t>1319B11436</t>
  </si>
  <si>
    <t>1319B11437</t>
  </si>
  <si>
    <t>1319B11438</t>
  </si>
  <si>
    <t>1319B11439</t>
  </si>
  <si>
    <t>1319B11440</t>
  </si>
  <si>
    <t>1319B11441</t>
  </si>
  <si>
    <t>1319B11442</t>
  </si>
  <si>
    <t>1319B11443</t>
  </si>
  <si>
    <t>1319B11444</t>
  </si>
  <si>
    <t>1319B11445</t>
  </si>
  <si>
    <t>1319B11446</t>
  </si>
  <si>
    <t>1319B11447</t>
  </si>
  <si>
    <t>1319B11448</t>
  </si>
  <si>
    <t>1319B11449</t>
  </si>
  <si>
    <t>1319B11450</t>
  </si>
  <si>
    <t>1319B11451</t>
  </si>
  <si>
    <t>1319B11452</t>
  </si>
  <si>
    <t>1319B11453</t>
  </si>
  <si>
    <t>1319B11454</t>
  </si>
  <si>
    <t>1319B11455</t>
  </si>
  <si>
    <t>1319B11456</t>
  </si>
  <si>
    <t>1319B11457</t>
  </si>
  <si>
    <t>1319B11458</t>
  </si>
  <si>
    <t>1319B11459</t>
  </si>
  <si>
    <t>1319B11460</t>
  </si>
  <si>
    <t>1319B11461</t>
  </si>
  <si>
    <t>1319B11462</t>
  </si>
  <si>
    <t>1319B11463</t>
  </si>
  <si>
    <t>1319B11464</t>
  </si>
  <si>
    <t>1319B11465</t>
  </si>
  <si>
    <t>1319B11466</t>
  </si>
  <si>
    <t>1319B11467</t>
  </si>
  <si>
    <t>1319B11468</t>
  </si>
  <si>
    <t>1319B11469</t>
  </si>
  <si>
    <t>1319B11470</t>
  </si>
  <si>
    <t>1319B11471</t>
  </si>
  <si>
    <t>1319B11472</t>
  </si>
  <si>
    <t>1319B11473</t>
  </si>
  <si>
    <t>1319B11474</t>
  </si>
  <si>
    <t>1319B11475</t>
  </si>
  <si>
    <t>1319B11476</t>
  </si>
  <si>
    <t>1319B11477</t>
  </si>
  <si>
    <t>1319B11478</t>
  </si>
  <si>
    <t>1319B11479</t>
  </si>
  <si>
    <t>1319B11480</t>
  </si>
  <si>
    <t>1319B11481</t>
  </si>
  <si>
    <t>1319B11482</t>
  </si>
  <si>
    <t>1319B11483</t>
  </si>
  <si>
    <t>1319B11484</t>
  </si>
  <si>
    <t>1319B11485</t>
  </si>
  <si>
    <t>1319B11486</t>
  </si>
  <si>
    <t>1319B11487</t>
  </si>
  <si>
    <t>1319B11488</t>
  </si>
  <si>
    <t>1319B11489</t>
  </si>
  <si>
    <t>1319B11490</t>
  </si>
  <si>
    <t>1319B11491</t>
  </si>
  <si>
    <t>1319B11492</t>
  </si>
  <si>
    <t>1319B11493</t>
  </si>
  <si>
    <t>1319B11494</t>
  </si>
  <si>
    <t>1319B11495</t>
  </si>
  <si>
    <t>1319B11496</t>
  </si>
  <si>
    <t>1319B11497</t>
  </si>
  <si>
    <t>1319B11498</t>
  </si>
  <si>
    <t>1319B11499</t>
  </si>
  <si>
    <t>1319B11500</t>
  </si>
  <si>
    <t>1319B11501</t>
  </si>
  <si>
    <t>1319B11502</t>
  </si>
  <si>
    <t>1319B11503</t>
  </si>
  <si>
    <t>1319B11504</t>
  </si>
  <si>
    <t>1319B11505</t>
  </si>
  <si>
    <t>1319B11506</t>
  </si>
  <si>
    <t>1319B11507</t>
  </si>
  <si>
    <t>1319B11508</t>
  </si>
  <si>
    <t>1319B11509</t>
  </si>
  <si>
    <t>1319B11510</t>
  </si>
  <si>
    <t>1319B11511</t>
  </si>
  <si>
    <t>1319B11512</t>
  </si>
  <si>
    <t>1319B11513</t>
  </si>
  <si>
    <t>1319B11514</t>
  </si>
  <si>
    <t>1319B11515</t>
  </si>
  <si>
    <t>1319B11516</t>
  </si>
  <si>
    <t>1319B11517</t>
  </si>
  <si>
    <t>1319B11518</t>
  </si>
  <si>
    <t>1319B11519</t>
  </si>
  <si>
    <t>1319B11520</t>
  </si>
  <si>
    <t>1319B11521</t>
  </si>
  <si>
    <t>1319B11522</t>
  </si>
  <si>
    <t>1319B11523</t>
  </si>
  <si>
    <t>1319B11524</t>
  </si>
  <si>
    <t>1319B11525</t>
  </si>
  <si>
    <t>1319B11526</t>
  </si>
  <si>
    <t>1319B11527</t>
  </si>
  <si>
    <t>1319B11528</t>
  </si>
  <si>
    <t>1319B11529</t>
  </si>
  <si>
    <t>1319B11530</t>
  </si>
  <si>
    <t>1319B11531</t>
  </si>
  <si>
    <t>1319B11532</t>
  </si>
  <si>
    <t>1319B11533</t>
  </si>
  <si>
    <t>1319B11534</t>
  </si>
  <si>
    <t>1319B11535</t>
  </si>
  <si>
    <t>1319B11536</t>
  </si>
  <si>
    <t>1319B11537</t>
  </si>
  <si>
    <t>1319B11538</t>
  </si>
  <si>
    <t>1319B11539</t>
  </si>
  <si>
    <t>1319B11540</t>
  </si>
  <si>
    <t>1319B11541</t>
  </si>
  <si>
    <t>1319B11542</t>
  </si>
  <si>
    <t>1319B11543</t>
  </si>
  <si>
    <t>1319B11544</t>
  </si>
  <si>
    <t>1319B11545</t>
  </si>
  <si>
    <t>1319B11546</t>
  </si>
  <si>
    <t>1319B11547</t>
  </si>
  <si>
    <t>1319B11548</t>
  </si>
  <si>
    <t>1319B11549</t>
  </si>
  <si>
    <t>1319B11550</t>
  </si>
  <si>
    <t>1319B11551</t>
  </si>
  <si>
    <t>1319B11552</t>
  </si>
  <si>
    <t>1319B11553</t>
  </si>
  <si>
    <t>1319B11554</t>
  </si>
  <si>
    <t>1319B11555</t>
  </si>
  <si>
    <t>1319B11556</t>
  </si>
  <si>
    <t>1319B11557</t>
  </si>
  <si>
    <t>1319B11558</t>
  </si>
  <si>
    <t>1319B11559</t>
  </si>
  <si>
    <t>1319B11560</t>
  </si>
  <si>
    <t>1319B11561</t>
  </si>
  <si>
    <t>1319B11562</t>
  </si>
  <si>
    <t>1319B11563</t>
  </si>
  <si>
    <t>1319B11564</t>
  </si>
  <si>
    <t>1319B11565</t>
  </si>
  <si>
    <t>1319B11566</t>
  </si>
  <si>
    <t>1319B11567</t>
  </si>
  <si>
    <t>1319B11568</t>
  </si>
  <si>
    <t>1319B11569</t>
  </si>
  <si>
    <t>1319B11570</t>
  </si>
  <si>
    <t>1319B11571</t>
  </si>
  <si>
    <t>1319B11572</t>
  </si>
  <si>
    <t>1319B11573</t>
  </si>
  <si>
    <t>1319B11574</t>
  </si>
  <si>
    <t>1319B11575</t>
  </si>
  <si>
    <t>1319B11576</t>
  </si>
  <si>
    <t>1319B11577</t>
  </si>
  <si>
    <t>1319B11578</t>
  </si>
  <si>
    <t>1319B11579</t>
  </si>
  <si>
    <t>1319B11580</t>
  </si>
  <si>
    <t>1319B11581</t>
  </si>
  <si>
    <t>1319B11582</t>
  </si>
  <si>
    <t>1319B11583</t>
  </si>
  <si>
    <t>1319B11584</t>
  </si>
  <si>
    <t>1319B11585</t>
  </si>
  <si>
    <t>1319B11586</t>
  </si>
  <si>
    <t>1319B11587</t>
  </si>
  <si>
    <t>1319B11588</t>
  </si>
  <si>
    <t>1319B11589</t>
  </si>
  <si>
    <t>1319B11590</t>
  </si>
  <si>
    <t>1319B11591</t>
  </si>
  <si>
    <t>1319B11592</t>
  </si>
  <si>
    <t>1319B11593</t>
  </si>
  <si>
    <t>1319B11594</t>
  </si>
  <si>
    <t>1319B11595</t>
  </si>
  <si>
    <t>1319B11596</t>
  </si>
  <si>
    <t>1319B11597</t>
  </si>
  <si>
    <t>1319B11598</t>
  </si>
  <si>
    <t>1319B11599</t>
  </si>
  <si>
    <t>1319B11600</t>
  </si>
  <si>
    <t>1319B11601</t>
  </si>
  <si>
    <t>1319B11602</t>
  </si>
  <si>
    <t>1319B11603</t>
  </si>
  <si>
    <t>1319B11604</t>
  </si>
  <si>
    <t>1319B11605</t>
  </si>
  <si>
    <t>1319B11606</t>
  </si>
  <si>
    <t>1319B11607</t>
  </si>
  <si>
    <t>1319B11608</t>
  </si>
  <si>
    <t>1319B11609</t>
  </si>
  <si>
    <t>1319B11610</t>
  </si>
  <si>
    <t>1319B11611</t>
  </si>
  <si>
    <t>1319B11612</t>
  </si>
  <si>
    <t>1319B11613</t>
  </si>
  <si>
    <t>1319B11614</t>
  </si>
  <si>
    <t>1319B11615</t>
  </si>
  <si>
    <t>1319B11616</t>
  </si>
  <si>
    <t>1319B11617</t>
  </si>
  <si>
    <t>1319B11618</t>
  </si>
  <si>
    <t>1319B11619</t>
  </si>
  <si>
    <t>1319B11620</t>
  </si>
  <si>
    <t>1319B11621</t>
  </si>
  <si>
    <t>1319B11622</t>
  </si>
  <si>
    <t>1319B11623</t>
  </si>
  <si>
    <t>1319B11624</t>
  </si>
  <si>
    <t>1319B11625</t>
  </si>
  <si>
    <t>1319B11626</t>
  </si>
  <si>
    <t>1319B11627</t>
  </si>
  <si>
    <t>1319B11628</t>
  </si>
  <si>
    <t>1319B11629</t>
  </si>
  <si>
    <t>1319B11630</t>
  </si>
  <si>
    <t>1319B11631</t>
  </si>
  <si>
    <t>1319B11632</t>
  </si>
  <si>
    <t>1319B11633</t>
  </si>
  <si>
    <t>1319B11634</t>
  </si>
  <si>
    <t>1319B11635</t>
  </si>
  <si>
    <t>1319B11636</t>
  </si>
  <si>
    <t>1319B11637</t>
  </si>
  <si>
    <t>1319B11638</t>
  </si>
  <si>
    <t>1319B11639</t>
  </si>
  <si>
    <t>1319B11640</t>
  </si>
  <si>
    <t>1319B11641</t>
  </si>
  <si>
    <t>1319B11642</t>
  </si>
  <si>
    <t>1319B11643</t>
  </si>
  <si>
    <t>1319B11644</t>
  </si>
  <si>
    <t>1319B11645</t>
  </si>
  <si>
    <t>1319B11646</t>
  </si>
  <si>
    <t>1319B11647</t>
  </si>
  <si>
    <t>1319B11648</t>
  </si>
  <si>
    <t>1319B11649</t>
  </si>
  <si>
    <t>1319B11650</t>
  </si>
  <si>
    <t>1319B11651</t>
  </si>
  <si>
    <t>1319B11652</t>
  </si>
  <si>
    <t>1319B11653</t>
  </si>
  <si>
    <t>1319B11654</t>
  </si>
  <si>
    <t>1319B11655</t>
  </si>
  <si>
    <t>1319B11656</t>
  </si>
  <si>
    <t>1319B11657</t>
  </si>
  <si>
    <t>1319B11658</t>
  </si>
  <si>
    <t>1319B11659</t>
  </si>
  <si>
    <t>1319B11660</t>
  </si>
  <si>
    <t>1319B11661</t>
  </si>
  <si>
    <t>1319B11662</t>
  </si>
  <si>
    <t>1319B11663</t>
  </si>
  <si>
    <t>1319B11664</t>
  </si>
  <si>
    <t>1319B11665</t>
  </si>
  <si>
    <t>1319B11666</t>
  </si>
  <si>
    <t>1319B11667</t>
  </si>
  <si>
    <t>1319B11668</t>
  </si>
  <si>
    <t>1319B11669</t>
  </si>
  <si>
    <t>1319B11670</t>
  </si>
  <si>
    <t>1319B11671</t>
  </si>
  <si>
    <t>1319B11672</t>
  </si>
  <si>
    <t>1319B11673</t>
  </si>
  <si>
    <t>1319B11674</t>
  </si>
  <si>
    <t>1319B11675</t>
  </si>
  <si>
    <t>1319B11676</t>
  </si>
  <si>
    <t>1319B11677</t>
  </si>
  <si>
    <t>1319B11678</t>
  </si>
  <si>
    <t>1319B11679</t>
  </si>
  <si>
    <t>1319B11680</t>
  </si>
  <si>
    <t>1319B11681</t>
  </si>
  <si>
    <t>1319B11682</t>
  </si>
  <si>
    <t>1319B11683</t>
  </si>
  <si>
    <t>1319B11684</t>
  </si>
  <si>
    <t>1319B11685</t>
  </si>
  <si>
    <t>1319B11686</t>
  </si>
  <si>
    <t>1319B11687</t>
  </si>
  <si>
    <t>1319B11688</t>
  </si>
  <si>
    <t>1319B11689</t>
  </si>
  <si>
    <t>1319B11690</t>
  </si>
  <si>
    <t>1319B11691</t>
  </si>
  <si>
    <t>1319B11692</t>
  </si>
  <si>
    <t>1319B11693</t>
  </si>
  <si>
    <t>1319B11694</t>
  </si>
  <si>
    <t>1319B11695</t>
  </si>
  <si>
    <t>1319B11696</t>
  </si>
  <si>
    <t>1319B11697</t>
  </si>
  <si>
    <t>1319B11698</t>
  </si>
  <si>
    <t>1319B11699</t>
  </si>
  <si>
    <t>1319B11700</t>
  </si>
  <si>
    <t>1319B11701</t>
  </si>
  <si>
    <t>1319B11702</t>
  </si>
  <si>
    <t>1319B11703</t>
  </si>
  <si>
    <t>1319B11704</t>
  </si>
  <si>
    <t>1319B11705</t>
  </si>
  <si>
    <t>1319B11706</t>
  </si>
  <si>
    <t>1319B11707</t>
  </si>
  <si>
    <t>1319B11708</t>
  </si>
  <si>
    <t>1319B11709</t>
  </si>
  <si>
    <t>1319B11710</t>
  </si>
  <si>
    <t>1319B11711</t>
  </si>
  <si>
    <t>1319B11712</t>
  </si>
  <si>
    <t>1319B11713</t>
  </si>
  <si>
    <t>1319B11714</t>
  </si>
  <si>
    <t>1319B11715</t>
  </si>
  <si>
    <t>1319B11716</t>
  </si>
  <si>
    <t>1319B11717</t>
  </si>
  <si>
    <t>1319B11718</t>
  </si>
  <si>
    <t>1319B11719</t>
  </si>
  <si>
    <t>1319B11720</t>
  </si>
  <si>
    <t>1319B11721</t>
  </si>
  <si>
    <t>1319B11722</t>
  </si>
  <si>
    <t>1319B11723</t>
  </si>
  <si>
    <t>1319B11724</t>
  </si>
  <si>
    <t>1319B11725</t>
  </si>
  <si>
    <t>1319B11726</t>
  </si>
  <si>
    <t>1319B11727</t>
  </si>
  <si>
    <t>1319B11728</t>
  </si>
  <si>
    <t>1319B11729</t>
  </si>
  <si>
    <t>1319B11730</t>
  </si>
  <si>
    <t>1319B11731</t>
  </si>
  <si>
    <t>1319B11732</t>
  </si>
  <si>
    <t>1319B11733</t>
  </si>
  <si>
    <t>1319B11734</t>
  </si>
  <si>
    <t>1319B11735</t>
  </si>
  <si>
    <t>1319B11736</t>
  </si>
  <si>
    <t>1319B11737</t>
  </si>
  <si>
    <t>1319B11738</t>
  </si>
  <si>
    <t>1319B11739</t>
  </si>
  <si>
    <t>1319B11740</t>
  </si>
  <si>
    <t>1319B11741</t>
  </si>
  <si>
    <t>1319B11742</t>
  </si>
  <si>
    <t>1319B11743</t>
  </si>
  <si>
    <t>1319B11744</t>
  </si>
  <si>
    <t>1319B11745</t>
  </si>
  <si>
    <t>1319B11746</t>
  </si>
  <si>
    <t>1319B11747</t>
  </si>
  <si>
    <t>1319B11748</t>
  </si>
  <si>
    <t>1319B11749</t>
  </si>
  <si>
    <t>1319B11750</t>
  </si>
  <si>
    <t>1319B11751</t>
  </si>
  <si>
    <t>1319B11752</t>
  </si>
  <si>
    <t>1319B11753</t>
  </si>
  <si>
    <t>1319B11754</t>
  </si>
  <si>
    <t>1319B11755</t>
  </si>
  <si>
    <t>1319B11756</t>
  </si>
  <si>
    <t>1319B11757</t>
  </si>
  <si>
    <t>1319B11758</t>
  </si>
  <si>
    <t>1319B11759</t>
  </si>
  <si>
    <t>1319B11760</t>
  </si>
  <si>
    <t>1319B11761</t>
  </si>
  <si>
    <t>1319B11762</t>
  </si>
  <si>
    <t>1319B11763</t>
  </si>
  <si>
    <t>1319B11764</t>
  </si>
  <si>
    <t>1319B11765</t>
  </si>
  <si>
    <t>1319B11766</t>
  </si>
  <si>
    <t>1319B11767</t>
  </si>
  <si>
    <t>1319B11768</t>
  </si>
  <si>
    <t>1319B11769</t>
  </si>
  <si>
    <t>1319B11770</t>
  </si>
  <si>
    <t>1319B11771</t>
  </si>
  <si>
    <t>1319B11772</t>
  </si>
  <si>
    <t>1319B11773</t>
  </si>
  <si>
    <t>1319B11774</t>
  </si>
  <si>
    <t>1319B11775</t>
  </si>
  <si>
    <t>1319B11776</t>
  </si>
  <si>
    <t>1319B11777</t>
  </si>
  <si>
    <t>1319B11778</t>
  </si>
  <si>
    <t>1319B11779</t>
  </si>
  <si>
    <t>1319B11780</t>
  </si>
  <si>
    <t>1319B11781</t>
  </si>
  <si>
    <t>1319B11782</t>
  </si>
  <si>
    <t>1319B11783</t>
  </si>
  <si>
    <t>1319B11784</t>
  </si>
  <si>
    <t>1319B11785</t>
  </si>
  <si>
    <t>1319B11786</t>
  </si>
  <si>
    <t>1319B11787</t>
  </si>
  <si>
    <t>1319B11788</t>
  </si>
  <si>
    <t>1319B11789</t>
  </si>
  <si>
    <t>1319B11790</t>
  </si>
  <si>
    <t>1319B11791</t>
  </si>
  <si>
    <t>1319B11792</t>
  </si>
  <si>
    <t>1319B11793</t>
  </si>
  <si>
    <t>1319B11794</t>
  </si>
  <si>
    <t>1319B11795</t>
  </si>
  <si>
    <t>1319B11796</t>
  </si>
  <si>
    <t>1319B11797</t>
  </si>
  <si>
    <t>1319B11798</t>
  </si>
  <si>
    <t>1319B11799</t>
  </si>
  <si>
    <t>1319B11800</t>
  </si>
  <si>
    <t>1319B11801</t>
  </si>
  <si>
    <t>1319B11802</t>
  </si>
  <si>
    <t>1319B11803</t>
  </si>
  <si>
    <t>1319B11804</t>
  </si>
  <si>
    <t>1319B11805</t>
  </si>
  <si>
    <t>1319B11806</t>
  </si>
  <si>
    <t>1319B11807</t>
  </si>
  <si>
    <t>1319B11808</t>
  </si>
  <si>
    <t>1319B11809</t>
  </si>
  <si>
    <t>1319B11810</t>
  </si>
  <si>
    <t>1319B11811</t>
  </si>
  <si>
    <t>1319B11812</t>
  </si>
  <si>
    <t>1319B11813</t>
  </si>
  <si>
    <t>1319B11814</t>
  </si>
  <si>
    <t>1319B11815</t>
  </si>
  <si>
    <t>1319B11816</t>
  </si>
  <si>
    <t>1319B11817</t>
  </si>
  <si>
    <t>1319B11818</t>
  </si>
  <si>
    <t>1319B11819</t>
  </si>
  <si>
    <t>1319B11820</t>
  </si>
  <si>
    <t>1319B11821</t>
  </si>
  <si>
    <t>1319B11822</t>
  </si>
  <si>
    <t>1319B11823</t>
  </si>
  <si>
    <t>1319B11824</t>
  </si>
  <si>
    <t>1319B11825</t>
  </si>
  <si>
    <t>1319B11826</t>
  </si>
  <si>
    <t>1319B11827</t>
  </si>
  <si>
    <t>1319B11828</t>
  </si>
  <si>
    <t>1319B11829</t>
  </si>
  <si>
    <t>1319B11830</t>
  </si>
  <si>
    <t>1319B11831</t>
  </si>
  <si>
    <t>1319B11832</t>
  </si>
  <si>
    <t>1319B11833</t>
  </si>
  <si>
    <t>1319B11834</t>
  </si>
  <si>
    <t>1319B11835</t>
  </si>
  <si>
    <t>1319B11836</t>
  </si>
  <si>
    <t>1319B11837</t>
  </si>
  <si>
    <t>1319B11838</t>
  </si>
  <si>
    <t>1319B11839</t>
  </si>
  <si>
    <t>1319B11840</t>
  </si>
  <si>
    <t>1319B11841</t>
  </si>
  <si>
    <t>1319B11842</t>
  </si>
  <si>
    <t>1319B11843</t>
  </si>
  <si>
    <t>1319B11844</t>
  </si>
  <si>
    <t>1319B11845</t>
  </si>
  <si>
    <t>1319B11846</t>
  </si>
  <si>
    <t>1319B11847</t>
  </si>
  <si>
    <t>1319B11848</t>
  </si>
  <si>
    <t>1319B11849</t>
  </si>
  <si>
    <t>1319B11850</t>
  </si>
  <si>
    <t>1319B11851</t>
  </si>
  <si>
    <t>1319B11852</t>
  </si>
  <si>
    <t>1319B11853</t>
  </si>
  <si>
    <t>1319B11854</t>
  </si>
  <si>
    <t>1319B11855</t>
  </si>
  <si>
    <t>1319B11856</t>
  </si>
  <si>
    <t>1319B11857</t>
  </si>
  <si>
    <t>1319B11858</t>
  </si>
  <si>
    <t>1319B11859</t>
  </si>
  <si>
    <t>1319B11860</t>
  </si>
  <si>
    <t>1319B11861</t>
  </si>
  <si>
    <t>1319B11862</t>
  </si>
  <si>
    <t>1319B11863</t>
  </si>
  <si>
    <t>1319B11864</t>
  </si>
  <si>
    <t>1319B11865</t>
  </si>
  <si>
    <t>1319B11866</t>
  </si>
  <si>
    <t>1319B11867</t>
  </si>
  <si>
    <t>1319B11868</t>
  </si>
  <si>
    <t>1319B11869</t>
  </si>
  <si>
    <t>1319B11870</t>
  </si>
  <si>
    <t>1319B11871</t>
  </si>
  <si>
    <t>1319B11872</t>
  </si>
  <si>
    <t>1319B11873</t>
  </si>
  <si>
    <t>1319B11874</t>
  </si>
  <si>
    <t>1319B11875</t>
  </si>
  <si>
    <t>1319B11876</t>
  </si>
  <si>
    <t>1319B11877</t>
  </si>
  <si>
    <t>1319B11878</t>
  </si>
  <si>
    <t>1319B11879</t>
  </si>
  <si>
    <t>1319B11880</t>
  </si>
  <si>
    <t>1319B11881</t>
  </si>
  <si>
    <t>1319B11882</t>
  </si>
  <si>
    <t>1319B11883</t>
  </si>
  <si>
    <t>1319B11884</t>
  </si>
  <si>
    <t>1319B11885</t>
  </si>
  <si>
    <t>1319B11886</t>
  </si>
  <si>
    <t>1319B11887</t>
  </si>
  <si>
    <t>1319B11888</t>
  </si>
  <si>
    <t>1319B11889</t>
  </si>
  <si>
    <t>1319B11890</t>
  </si>
  <si>
    <t>1319B11891</t>
  </si>
  <si>
    <t>1319B11892</t>
  </si>
  <si>
    <t>1319B11893</t>
  </si>
  <si>
    <t>1319B11894</t>
  </si>
  <si>
    <t>1319B11895</t>
  </si>
  <si>
    <t>1319B11896</t>
  </si>
  <si>
    <t>1319B11897</t>
  </si>
  <si>
    <t>1319B11898</t>
  </si>
  <si>
    <t>1319B11899</t>
  </si>
  <si>
    <t>1319B11900</t>
  </si>
  <si>
    <t>1319B11901</t>
  </si>
  <si>
    <t>1319B11902</t>
  </si>
  <si>
    <t>1319B11903</t>
  </si>
  <si>
    <t>1319B11904</t>
  </si>
  <si>
    <t>1319B11905</t>
  </si>
  <si>
    <t>1319B11906</t>
  </si>
  <si>
    <t>1319B11907</t>
  </si>
  <si>
    <t>1319B11908</t>
  </si>
  <si>
    <t>1319B11909</t>
  </si>
  <si>
    <t>1319B11910</t>
  </si>
  <si>
    <t>1319B11911</t>
  </si>
  <si>
    <t>1319B11912</t>
  </si>
  <si>
    <t>1319B11913</t>
  </si>
  <si>
    <t>1319B11914</t>
  </si>
  <si>
    <t>1319B11915</t>
  </si>
  <si>
    <t>1319B11916</t>
  </si>
  <si>
    <t>1319B11917</t>
  </si>
  <si>
    <t>1319B11918</t>
  </si>
  <si>
    <t>1319B11919</t>
  </si>
  <si>
    <t>1319B11920</t>
  </si>
  <si>
    <t>1319B11921</t>
  </si>
  <si>
    <t>1319B11922</t>
  </si>
  <si>
    <t>1319B11923</t>
  </si>
  <si>
    <t>1319B11924</t>
  </si>
  <si>
    <t>1319B11925</t>
  </si>
  <si>
    <t>1319B11926</t>
  </si>
  <si>
    <t>1319B11927</t>
  </si>
  <si>
    <t>1319B11928</t>
  </si>
  <si>
    <t>1319B11929</t>
  </si>
  <si>
    <t>1319B11930</t>
  </si>
  <si>
    <t>1319B11931</t>
  </si>
  <si>
    <t>1319B11932</t>
  </si>
  <si>
    <t>1319B11933</t>
  </si>
  <si>
    <t>1319B11934</t>
  </si>
  <si>
    <t>1319B11935</t>
  </si>
  <si>
    <t>1319B11936</t>
  </si>
  <si>
    <t>1319B11937</t>
  </si>
  <si>
    <t>1319B11938</t>
  </si>
  <si>
    <t>1319B11939</t>
  </si>
  <si>
    <t>1319B11940</t>
  </si>
  <si>
    <t>1319B11941</t>
  </si>
  <si>
    <t>1319B11942</t>
  </si>
  <si>
    <t>1319B11943</t>
  </si>
  <si>
    <t>1319B11944</t>
  </si>
  <si>
    <t>1319B11945</t>
  </si>
  <si>
    <t>1319B11946</t>
  </si>
  <si>
    <t>1319B11947</t>
  </si>
  <si>
    <t>1319B11948</t>
  </si>
  <si>
    <t>1319B11949</t>
  </si>
  <si>
    <t>1319B11950</t>
  </si>
  <si>
    <t>1319B11951</t>
  </si>
  <si>
    <t>1319B11952</t>
  </si>
  <si>
    <t>1319B11953</t>
  </si>
  <si>
    <t>1319B11954</t>
  </si>
  <si>
    <t>1319B11955</t>
  </si>
  <si>
    <t>1319B11956</t>
  </si>
  <si>
    <t>1319B11957</t>
  </si>
  <si>
    <t>1319B11958</t>
  </si>
  <si>
    <t>1319B11959</t>
  </si>
  <si>
    <t>1319B11960</t>
  </si>
  <si>
    <t>1319B11961</t>
  </si>
  <si>
    <t>1319B11962</t>
  </si>
  <si>
    <t>1319B11963</t>
  </si>
  <si>
    <t>1319B11964</t>
  </si>
  <si>
    <t>1319B11965</t>
  </si>
  <si>
    <t>1319B11966</t>
  </si>
  <si>
    <t>1319B11967</t>
  </si>
  <si>
    <t>1319B11968</t>
  </si>
  <si>
    <t>1319B11969</t>
  </si>
  <si>
    <t>1319B11970</t>
  </si>
  <si>
    <t>1319B11971</t>
  </si>
  <si>
    <t>1319B11972</t>
  </si>
  <si>
    <t>1319B11973</t>
  </si>
  <si>
    <t>1319B11974</t>
  </si>
  <si>
    <t>1319B11975</t>
  </si>
  <si>
    <t>1319B11976</t>
  </si>
  <si>
    <t>1319B11977</t>
  </si>
  <si>
    <t>1319B11978</t>
  </si>
  <si>
    <t>1319B11979</t>
  </si>
  <si>
    <t>1319B11980</t>
  </si>
  <si>
    <t>1319B11981</t>
  </si>
  <si>
    <t>1319B11982</t>
  </si>
  <si>
    <t>1319B11983</t>
  </si>
  <si>
    <t>1319B11984</t>
  </si>
  <si>
    <t>1319B11985</t>
  </si>
  <si>
    <t>1319B11986</t>
  </si>
  <si>
    <t>1319B11987</t>
  </si>
  <si>
    <t>1319B11988</t>
  </si>
  <si>
    <t>1319B11989</t>
  </si>
  <si>
    <t>1319B11990</t>
  </si>
  <si>
    <t>1319B11991</t>
  </si>
  <si>
    <t>1319B11992</t>
  </si>
  <si>
    <t>1319B11993</t>
  </si>
  <si>
    <t>1319B11994</t>
  </si>
  <si>
    <t>1319B11995</t>
  </si>
  <si>
    <t>1319B11996</t>
  </si>
  <si>
    <t>1319B11997</t>
  </si>
  <si>
    <t>1319B11998</t>
  </si>
  <si>
    <t>1319B11999</t>
  </si>
  <si>
    <t>1319B12000</t>
  </si>
  <si>
    <t>1319B12001</t>
  </si>
  <si>
    <t>1319B12002</t>
  </si>
  <si>
    <t>1319B12003</t>
  </si>
  <si>
    <t>1319B12004</t>
  </si>
  <si>
    <t>1319B12005</t>
  </si>
  <si>
    <t>1319B12006</t>
  </si>
  <si>
    <t>1319B12007</t>
  </si>
  <si>
    <t>1319B12008</t>
  </si>
  <si>
    <t>1319B12009</t>
  </si>
  <si>
    <t>1319B12010</t>
  </si>
  <si>
    <t>1319B12011</t>
  </si>
  <si>
    <t>1319B12012</t>
  </si>
  <si>
    <t>1319B12013</t>
  </si>
  <si>
    <t>1319B12014</t>
  </si>
  <si>
    <t>1319B12015</t>
  </si>
  <si>
    <t>1319B12016</t>
  </si>
  <si>
    <t>1319B12017</t>
  </si>
  <si>
    <t>1319B12018</t>
  </si>
  <si>
    <t>1319B12019</t>
  </si>
  <si>
    <t>1319B12020</t>
  </si>
  <si>
    <t>1319B12021</t>
  </si>
  <si>
    <t>1319B12022</t>
  </si>
  <si>
    <t>1319B12023</t>
  </si>
  <si>
    <t>1319B12024</t>
  </si>
  <si>
    <t>1319B12025</t>
  </si>
  <si>
    <t>1319B12026</t>
  </si>
  <si>
    <t>1319B12027</t>
  </si>
  <si>
    <t>1319B12028</t>
  </si>
  <si>
    <t>1319B12029</t>
  </si>
  <si>
    <t>1319B12030</t>
  </si>
  <si>
    <t>1319B12031</t>
  </si>
  <si>
    <t>1319B12032</t>
  </si>
  <si>
    <t>1319B12033</t>
  </si>
  <si>
    <t>1319B12034</t>
  </si>
  <si>
    <t>1319B12035</t>
  </si>
  <si>
    <t>1319B12036</t>
  </si>
  <si>
    <t>1319B12037</t>
  </si>
  <si>
    <t>1319B12038</t>
  </si>
  <si>
    <t>1319B12039</t>
  </si>
  <si>
    <t>1319B12040</t>
  </si>
  <si>
    <t>1319B12041</t>
  </si>
  <si>
    <t>1319B12042</t>
  </si>
  <si>
    <t>1319B12043</t>
  </si>
  <si>
    <t>1319B12044</t>
  </si>
  <si>
    <t>1319B12045</t>
  </si>
  <si>
    <t>1319B12046</t>
  </si>
  <si>
    <t>1319B12047</t>
  </si>
  <si>
    <t>1319B12048</t>
  </si>
  <si>
    <t>1319B12049</t>
  </si>
  <si>
    <t>1319B12050</t>
  </si>
  <si>
    <t>1319B12051</t>
  </si>
  <si>
    <t>1319B12052</t>
  </si>
  <si>
    <t>1319B12053</t>
  </si>
  <si>
    <t>1319B12054</t>
  </si>
  <si>
    <t>1319B12055</t>
  </si>
  <si>
    <t>1319B12056</t>
  </si>
  <si>
    <t>1319B12057</t>
  </si>
  <si>
    <t>1319B12058</t>
  </si>
  <si>
    <t>1319B12059</t>
  </si>
  <si>
    <t>1319B12060</t>
  </si>
  <si>
    <t>1319B12061</t>
  </si>
  <si>
    <t>1319B12062</t>
  </si>
  <si>
    <t>1319B12063</t>
  </si>
  <si>
    <t>1319B12064</t>
  </si>
  <si>
    <t>1319B12065</t>
  </si>
  <si>
    <t>1319B12066</t>
  </si>
  <si>
    <t>1319B12067</t>
  </si>
  <si>
    <t>1319B12068</t>
  </si>
  <si>
    <t>1319B12069</t>
  </si>
  <si>
    <t>1319B12070</t>
  </si>
  <si>
    <t>1319B12071</t>
  </si>
  <si>
    <t>1319B12072</t>
  </si>
  <si>
    <t>1319B12073</t>
  </si>
  <si>
    <t>1319B12074</t>
  </si>
  <si>
    <t>1319B12075</t>
  </si>
  <si>
    <t>1319B12076</t>
  </si>
  <si>
    <t>1319B12077</t>
  </si>
  <si>
    <t>1319B12078</t>
  </si>
  <si>
    <t>1319B12079</t>
  </si>
  <si>
    <t>1319B12080</t>
  </si>
  <si>
    <t>1319B12081</t>
  </si>
  <si>
    <t>1319B12082</t>
  </si>
  <si>
    <t>1319B12083</t>
  </si>
  <si>
    <t>1319B12084</t>
  </si>
  <si>
    <t>1319B12085</t>
  </si>
  <si>
    <t>1319B12086</t>
  </si>
  <si>
    <t>1319B12087</t>
  </si>
  <si>
    <t>1319B12088</t>
  </si>
  <si>
    <t>1319B12089</t>
  </si>
  <si>
    <t>1319B12090</t>
  </si>
  <si>
    <t>1319B12091</t>
  </si>
  <si>
    <t>1319B12092</t>
  </si>
  <si>
    <t>1319B12093</t>
  </si>
  <si>
    <t>1319B12094</t>
  </si>
  <si>
    <t>1319B12095</t>
  </si>
  <si>
    <t>1319B12096</t>
  </si>
  <si>
    <t>1319B12097</t>
  </si>
  <si>
    <t>1319B12098</t>
  </si>
  <si>
    <t>1319B12099</t>
  </si>
  <si>
    <t>1319B12100</t>
  </si>
  <si>
    <t>1319B12101</t>
  </si>
  <si>
    <t>1319B12102</t>
  </si>
  <si>
    <t>1319B12103</t>
  </si>
  <si>
    <t>1319B12104</t>
  </si>
  <si>
    <t>1319B12105</t>
  </si>
  <si>
    <t>1319B12106</t>
  </si>
  <si>
    <t>1319B12107</t>
  </si>
  <si>
    <t>1319B12108</t>
  </si>
  <si>
    <t>1319B12109</t>
  </si>
  <si>
    <t>1319B12110</t>
  </si>
  <si>
    <t>1319B12111</t>
  </si>
  <si>
    <t>1319B12112</t>
  </si>
  <si>
    <t>1319B12113</t>
  </si>
  <si>
    <t>1319B12114</t>
  </si>
  <si>
    <t>1319B12115</t>
  </si>
  <si>
    <t>1319B12116</t>
  </si>
  <si>
    <t>1319B12117</t>
  </si>
  <si>
    <t>1319B12118</t>
  </si>
  <si>
    <t>1319B12119</t>
  </si>
  <si>
    <t>1319B12120</t>
  </si>
  <si>
    <t>1319B12121</t>
  </si>
  <si>
    <t>1319B12122</t>
  </si>
  <si>
    <t>1319B12123</t>
  </si>
  <si>
    <t>1319B12124</t>
  </si>
  <si>
    <t>1319B12125</t>
  </si>
  <si>
    <t>1319B12126</t>
  </si>
  <si>
    <t>1319B12127</t>
  </si>
  <si>
    <t>1319B12128</t>
  </si>
  <si>
    <t>1319B12129</t>
  </si>
  <si>
    <t>1319B12130</t>
  </si>
  <si>
    <t>1319B12131</t>
  </si>
  <si>
    <t>1319B12132</t>
  </si>
  <si>
    <t>1319B12133</t>
  </si>
  <si>
    <t>1319B12134</t>
  </si>
  <si>
    <t>1319B12135</t>
  </si>
  <si>
    <t>1319B12136</t>
  </si>
  <si>
    <t>1319B12137</t>
  </si>
  <si>
    <t>1319B12138</t>
  </si>
  <si>
    <t>1319B12139</t>
  </si>
  <si>
    <t>1319B12140</t>
  </si>
  <si>
    <t>1319B12141</t>
  </si>
  <si>
    <t>1319B12142</t>
  </si>
  <si>
    <t>1319B12143</t>
  </si>
  <si>
    <t>1319B12144</t>
  </si>
  <si>
    <t>1319B12145</t>
  </si>
  <si>
    <t>1319B12146</t>
  </si>
  <si>
    <t>1319B12147</t>
  </si>
  <si>
    <t>1319B12148</t>
  </si>
  <si>
    <t>1319B12149</t>
  </si>
  <si>
    <t>1319B12150</t>
  </si>
  <si>
    <t>1319B12151</t>
  </si>
  <si>
    <t>1319B12152</t>
  </si>
  <si>
    <t>1319B12153</t>
  </si>
  <si>
    <t>1319B12154</t>
  </si>
  <si>
    <t>1319B12155</t>
  </si>
  <si>
    <t>1319B12156</t>
  </si>
  <si>
    <t>1319B12157</t>
  </si>
  <si>
    <t>1319B12158</t>
  </si>
  <si>
    <t>1319B12159</t>
  </si>
  <si>
    <t>1319B12160</t>
  </si>
  <si>
    <t>1319B12161</t>
  </si>
  <si>
    <t>1319B12162</t>
  </si>
  <si>
    <t>1319B12163</t>
  </si>
  <si>
    <t>1319B12164</t>
  </si>
  <si>
    <t>1319B12165</t>
  </si>
  <si>
    <t>1319B12166</t>
  </si>
  <si>
    <t>1319B12167</t>
  </si>
  <si>
    <t>1319B12168</t>
  </si>
  <si>
    <t>1319B12169</t>
  </si>
  <si>
    <t>1319B12170</t>
  </si>
  <si>
    <t>1319B12171</t>
  </si>
  <si>
    <t>1319B12172</t>
  </si>
  <si>
    <t>1319B12173</t>
  </si>
  <si>
    <t>1319B12174</t>
  </si>
  <si>
    <t>1319B12175</t>
  </si>
  <si>
    <t>1319B12176</t>
  </si>
  <si>
    <t>1319B12177</t>
  </si>
  <si>
    <t>1319B12178</t>
  </si>
  <si>
    <t>1319B12179</t>
  </si>
  <si>
    <t>1319B12180</t>
  </si>
  <si>
    <t>1319B12181</t>
  </si>
  <si>
    <t>1319B12182</t>
  </si>
  <si>
    <t>1319B12183</t>
  </si>
  <si>
    <t>1319B12184</t>
  </si>
  <si>
    <t>1319B12185</t>
  </si>
  <si>
    <t>1319B12186</t>
  </si>
  <si>
    <t>1319B12187</t>
  </si>
  <si>
    <t>1319B12188</t>
  </si>
  <si>
    <t>1319B12189</t>
  </si>
  <si>
    <t>1319B12190</t>
  </si>
  <si>
    <t>1319B12191</t>
  </si>
  <si>
    <t>1319B12192</t>
  </si>
  <si>
    <t>1319B12193</t>
  </si>
  <si>
    <t>1319B12194</t>
  </si>
  <si>
    <t>1319B12195</t>
  </si>
  <si>
    <t>1319B12196</t>
  </si>
  <si>
    <t>1319B12197</t>
  </si>
  <si>
    <t>1319B12198</t>
  </si>
  <si>
    <t>1319B12199</t>
  </si>
  <si>
    <t>1319B12200</t>
  </si>
  <si>
    <t>1319B12201</t>
  </si>
  <si>
    <t>1319B12202</t>
  </si>
  <si>
    <t>1319B12203</t>
  </si>
  <si>
    <t>1319B12204</t>
  </si>
  <si>
    <t>1319B12205</t>
  </si>
  <si>
    <t>1319B12206</t>
  </si>
  <si>
    <t>1319B12207</t>
  </si>
  <si>
    <t>1319B12208</t>
  </si>
  <si>
    <t>1319B12209</t>
  </si>
  <si>
    <t>1319B12210</t>
  </si>
  <si>
    <t>1319B12211</t>
  </si>
  <si>
    <t>1319B12212</t>
  </si>
  <si>
    <t>1319B12213</t>
  </si>
  <si>
    <t>1319B12214</t>
  </si>
  <si>
    <t>1319B12215</t>
  </si>
  <si>
    <t>1319B12216</t>
  </si>
  <si>
    <t>1319B12217</t>
  </si>
  <si>
    <t>1319B12218</t>
  </si>
  <si>
    <t>1319B12219</t>
  </si>
  <si>
    <t>1319B12220</t>
  </si>
  <si>
    <t>1319B12221</t>
  </si>
  <si>
    <t>1319B12222</t>
  </si>
  <si>
    <t>1319B12223</t>
  </si>
  <si>
    <t>1319B12224</t>
  </si>
  <si>
    <t>1319B12225</t>
  </si>
  <si>
    <t>1319B12226</t>
  </si>
  <si>
    <t>1319B12227</t>
  </si>
  <si>
    <t>1319B12228</t>
  </si>
  <si>
    <t>1319B12229</t>
  </si>
  <si>
    <t>1319B12230</t>
  </si>
  <si>
    <t>1319B12231</t>
  </si>
  <si>
    <t>1319B12232</t>
  </si>
  <si>
    <t>1319B12233</t>
  </si>
  <si>
    <t>1319B12234</t>
  </si>
  <si>
    <t>1319B12235</t>
  </si>
  <si>
    <t>1319B12236</t>
  </si>
  <si>
    <t>1319B12237</t>
  </si>
  <si>
    <t>1319B12238</t>
  </si>
  <si>
    <t>1319B12239</t>
  </si>
  <si>
    <t>1319B12240</t>
  </si>
  <si>
    <t>1319B12241</t>
  </si>
  <si>
    <t>1319B12242</t>
  </si>
  <si>
    <t>1319B12243</t>
  </si>
  <si>
    <t>1319B12244</t>
  </si>
  <si>
    <t>1319B12245</t>
  </si>
  <si>
    <t>1319B12246</t>
  </si>
  <si>
    <t>1319B12247</t>
  </si>
  <si>
    <t>1319B12248</t>
  </si>
  <si>
    <t>1319B12249</t>
  </si>
  <si>
    <t>1319B12250</t>
  </si>
  <si>
    <t>1319B12251</t>
  </si>
  <si>
    <t>1319B12252</t>
  </si>
  <si>
    <t>1319B12253</t>
  </si>
  <si>
    <t>1319B12254</t>
  </si>
  <si>
    <t>1319B12255</t>
  </si>
  <si>
    <t>1319B12256</t>
  </si>
  <si>
    <t>1319B12257</t>
  </si>
  <si>
    <t>1319B12258</t>
  </si>
  <si>
    <t>1319B12259</t>
  </si>
  <si>
    <t>1319B12260</t>
  </si>
  <si>
    <t>1319B12261</t>
  </si>
  <si>
    <t>1319B12262</t>
  </si>
  <si>
    <t>1319B12263</t>
  </si>
  <si>
    <t>1319B12264</t>
  </si>
  <si>
    <t>1319B12265</t>
  </si>
  <si>
    <t>1319B12266</t>
  </si>
  <si>
    <t>1319B12267</t>
  </si>
  <si>
    <t>1319B12268</t>
  </si>
  <si>
    <t>1319B12269</t>
  </si>
  <si>
    <t>1319B12270</t>
  </si>
  <si>
    <t>1319B12271</t>
  </si>
  <si>
    <t>1319B12272</t>
  </si>
  <si>
    <t>1319B12273</t>
  </si>
  <si>
    <t>1319B12274</t>
  </si>
  <si>
    <t>1319B12275</t>
  </si>
  <si>
    <t>1319B12276</t>
  </si>
  <si>
    <t>1319B12277</t>
  </si>
  <si>
    <t>1319B12278</t>
  </si>
  <si>
    <t>1319B12279</t>
  </si>
  <si>
    <t>1319B12280</t>
  </si>
  <si>
    <t>1319B12281</t>
  </si>
  <si>
    <t>1319B12282</t>
  </si>
  <si>
    <t>1319B12283</t>
  </si>
  <si>
    <t>1319B12284</t>
  </si>
  <si>
    <t>1319B12285</t>
  </si>
  <si>
    <t>1319B12286</t>
  </si>
  <si>
    <t>1319B12287</t>
  </si>
  <si>
    <t>1319B12288</t>
  </si>
  <si>
    <t>1319B12289</t>
  </si>
  <si>
    <t>1319B12290</t>
  </si>
  <si>
    <t>1319B12291</t>
  </si>
  <si>
    <t>1319B12292</t>
  </si>
  <si>
    <t>1319B12293</t>
  </si>
  <si>
    <t>1319B12294</t>
  </si>
  <si>
    <t>1319B12295</t>
  </si>
  <si>
    <t>1319B12296</t>
  </si>
  <si>
    <t>1319B12297</t>
  </si>
  <si>
    <t>1319B12298</t>
  </si>
  <si>
    <t>1319B12299</t>
  </si>
  <si>
    <t>1319B12300</t>
  </si>
  <si>
    <t>1319B12301</t>
  </si>
  <si>
    <t>1319B12302</t>
  </si>
  <si>
    <t>1319B12303</t>
  </si>
  <si>
    <t>1319B12304</t>
  </si>
  <si>
    <t>1319B12305</t>
  </si>
  <si>
    <t>1319B12306</t>
  </si>
  <si>
    <t>1319B12307</t>
  </si>
  <si>
    <t>1319B12308</t>
  </si>
  <si>
    <t>1319B12309</t>
  </si>
  <si>
    <t>1319B12310</t>
  </si>
  <si>
    <t>1319B12311</t>
  </si>
  <si>
    <t>1319B12312</t>
  </si>
  <si>
    <t>1319B12313</t>
  </si>
  <si>
    <t>1319B12314</t>
  </si>
  <si>
    <t>1319B12315</t>
  </si>
  <si>
    <t>1319B12316</t>
  </si>
  <si>
    <t>1319B12317</t>
  </si>
  <si>
    <t>1319B12318</t>
  </si>
  <si>
    <t>1319B12319</t>
  </si>
  <si>
    <t>1319B12320</t>
  </si>
  <si>
    <t>1319B12321</t>
  </si>
  <si>
    <t>1319B12322</t>
  </si>
  <si>
    <t>1319B12323</t>
  </si>
  <si>
    <t>1319B12324</t>
  </si>
  <si>
    <t>1319B12325</t>
  </si>
  <si>
    <t>1319B12326</t>
  </si>
  <si>
    <t>1319B12327</t>
  </si>
  <si>
    <t>1319B12328</t>
  </si>
  <si>
    <t>1319B12329</t>
  </si>
  <si>
    <t>1319B12330</t>
  </si>
  <si>
    <t>1319B12331</t>
  </si>
  <si>
    <t>1319B12332</t>
  </si>
  <si>
    <t>1319B12333</t>
  </si>
  <si>
    <t>1319B12334</t>
  </si>
  <si>
    <t>1319B12335</t>
  </si>
  <si>
    <t>1319B12336</t>
  </si>
  <si>
    <t>1319B12337</t>
  </si>
  <si>
    <t>1319B12338</t>
  </si>
  <si>
    <t>1319B12339</t>
  </si>
  <si>
    <t>1319B12340</t>
  </si>
  <si>
    <t>1319B12341</t>
  </si>
  <si>
    <t>1319B12342</t>
  </si>
  <si>
    <t>1319B12343</t>
  </si>
  <si>
    <t>1319B12344</t>
  </si>
  <si>
    <t>1319B12345</t>
  </si>
  <si>
    <t>1319B12346</t>
  </si>
  <si>
    <t>1319B12347</t>
  </si>
  <si>
    <t>1319B12348</t>
  </si>
  <si>
    <t>1319B12349</t>
  </si>
  <si>
    <t>1319B12350</t>
  </si>
  <si>
    <t>1319B12351</t>
  </si>
  <si>
    <t>1319B12352</t>
  </si>
  <si>
    <t>1319B12353</t>
  </si>
  <si>
    <t>1319B12354</t>
  </si>
  <si>
    <t>1319B12355</t>
  </si>
  <si>
    <t>1319B12356</t>
  </si>
  <si>
    <t>1319B12357</t>
  </si>
  <si>
    <t>1319B12358</t>
  </si>
  <si>
    <t>1319B12359</t>
  </si>
  <si>
    <t>1319B12360</t>
  </si>
  <si>
    <t>1319B12361</t>
  </si>
  <si>
    <t>1319B12362</t>
  </si>
  <si>
    <t>1319B12363</t>
  </si>
  <si>
    <t>1319B12364</t>
  </si>
  <si>
    <t>1319B12365</t>
  </si>
  <si>
    <t>1319B12366</t>
  </si>
  <si>
    <t>1319B12367</t>
  </si>
  <si>
    <t>1319B12368</t>
  </si>
  <si>
    <t>1319B12369</t>
  </si>
  <si>
    <t>1319B12370</t>
  </si>
  <si>
    <t>1319B12371</t>
  </si>
  <si>
    <t>1319B12372</t>
  </si>
  <si>
    <t>1319B12373</t>
  </si>
  <si>
    <t>1319B12374</t>
  </si>
  <si>
    <t>1319B12375</t>
  </si>
  <si>
    <t>1319B12376</t>
  </si>
  <si>
    <t>1319B12377</t>
  </si>
  <si>
    <t>1319B12378</t>
  </si>
  <si>
    <t>1319B12379</t>
  </si>
  <si>
    <t>1319B12380</t>
  </si>
  <si>
    <t>1319B12381</t>
  </si>
  <si>
    <t>1319B12382</t>
  </si>
  <si>
    <t>1319B12383</t>
  </si>
  <si>
    <t>1319B12384</t>
  </si>
  <si>
    <t>1319B12385</t>
  </si>
  <si>
    <t>1319B12386</t>
  </si>
  <si>
    <t>1319B12387</t>
  </si>
  <si>
    <t>1319B12388</t>
  </si>
  <si>
    <t>1319B12389</t>
  </si>
  <si>
    <t>1319B12390</t>
  </si>
  <si>
    <t>1319B12391</t>
  </si>
  <si>
    <t>1319B12392</t>
  </si>
  <si>
    <t>1319B12393</t>
  </si>
  <si>
    <t>1319B12394</t>
  </si>
  <si>
    <t>1319B12395</t>
  </si>
  <si>
    <t>1319B12396</t>
  </si>
  <si>
    <t>1319B12397</t>
  </si>
  <si>
    <t>1319B12398</t>
  </si>
  <si>
    <t>1319B12399</t>
  </si>
  <si>
    <t>1319B12400</t>
  </si>
  <si>
    <t>1319B12401</t>
  </si>
  <si>
    <t>1319B12402</t>
  </si>
  <si>
    <t>1319B12403</t>
  </si>
  <si>
    <t>1319B12404</t>
  </si>
  <si>
    <t>1319B12405</t>
  </si>
  <si>
    <t>1319B12406</t>
  </si>
  <si>
    <t>1319B12407</t>
  </si>
  <si>
    <t>1319B12408</t>
  </si>
  <si>
    <t>1319B12409</t>
  </si>
  <si>
    <t>1319B12410</t>
  </si>
  <si>
    <t>1319B12411</t>
  </si>
  <si>
    <t>1319B12412</t>
  </si>
  <si>
    <t>1319B12413</t>
  </si>
  <si>
    <t>1319B12414</t>
  </si>
  <si>
    <t>1319B12415</t>
  </si>
  <si>
    <t>1319B12416</t>
  </si>
  <si>
    <t>1319B12417</t>
  </si>
  <si>
    <t>1319B12418</t>
  </si>
  <si>
    <t>1319B12419</t>
  </si>
  <si>
    <t>1319B12420</t>
  </si>
  <si>
    <t>1319B12421</t>
  </si>
  <si>
    <t>1319B12422</t>
  </si>
  <si>
    <t>1319B12423</t>
  </si>
  <si>
    <t>1319B12424</t>
  </si>
  <si>
    <t>1319B12425</t>
  </si>
  <si>
    <t>1319B12426</t>
  </si>
  <si>
    <t>1319B12427</t>
  </si>
  <si>
    <t>1319B12428</t>
  </si>
  <si>
    <t>1319B12429</t>
  </si>
  <si>
    <t>1319B12430</t>
  </si>
  <si>
    <t>1319B12431</t>
  </si>
  <si>
    <t>1319B12432</t>
  </si>
  <si>
    <t>1319B12433</t>
  </si>
  <si>
    <t>1319B12434</t>
  </si>
  <si>
    <t>1319B12435</t>
  </si>
  <si>
    <t>1319B12436</t>
  </si>
  <si>
    <t>1319B12437</t>
  </si>
  <si>
    <t>1319B12438</t>
  </si>
  <si>
    <t>1319B12439</t>
  </si>
  <si>
    <t>1319B12440</t>
  </si>
  <si>
    <t>1319B12441</t>
  </si>
  <si>
    <t>1319B12442</t>
  </si>
  <si>
    <t>1319B12443</t>
  </si>
  <si>
    <t>1319B12444</t>
  </si>
  <si>
    <t>1319B12445</t>
  </si>
  <si>
    <t>1319B12446</t>
  </si>
  <si>
    <t>1319B12447</t>
  </si>
  <si>
    <t>1319B12448</t>
  </si>
  <si>
    <t>1319B12449</t>
  </si>
  <si>
    <t>1319B12450</t>
  </si>
  <si>
    <t>1319B12451</t>
  </si>
  <si>
    <t>1319B12452</t>
  </si>
  <si>
    <t>1319B12453</t>
  </si>
  <si>
    <t>1319B12454</t>
  </si>
  <si>
    <t>1319B12455</t>
  </si>
  <si>
    <t>1319B12456</t>
  </si>
  <si>
    <t>1319B12457</t>
  </si>
  <si>
    <t>1319B12458</t>
  </si>
  <si>
    <t>1319B12459</t>
  </si>
  <si>
    <t>1319B12460</t>
  </si>
  <si>
    <t>1319B12461</t>
  </si>
  <si>
    <t>1319B12462</t>
  </si>
  <si>
    <t>1319B12463</t>
  </si>
  <si>
    <t>1319B12464</t>
  </si>
  <si>
    <t>1319B12465</t>
  </si>
  <si>
    <t>1319B12466</t>
  </si>
  <si>
    <t>1319B12467</t>
  </si>
  <si>
    <t>1319B12468</t>
  </si>
  <si>
    <t>1319B12469</t>
  </si>
  <si>
    <t>1319B12470</t>
  </si>
  <si>
    <t>1319B12471</t>
  </si>
  <si>
    <t>1319B12472</t>
  </si>
  <si>
    <t>1319B12473</t>
  </si>
  <si>
    <t>1319B12474</t>
  </si>
  <si>
    <t>1319B12475</t>
  </si>
  <si>
    <t>1319B12476</t>
  </si>
  <si>
    <t>1319B12477</t>
  </si>
  <si>
    <t>1319B12478</t>
  </si>
  <si>
    <t>1319B12479</t>
  </si>
  <si>
    <t>1319B12480</t>
  </si>
  <si>
    <t>1319B12481</t>
  </si>
  <si>
    <t>1319B12482</t>
  </si>
  <si>
    <t>1319B12483</t>
  </si>
  <si>
    <t>1319B12484</t>
  </si>
  <si>
    <t>1319B12485</t>
  </si>
  <si>
    <t>1319B12486</t>
  </si>
  <si>
    <t>1319B12487</t>
  </si>
  <si>
    <t>1319B12488</t>
  </si>
  <si>
    <t>1319B12489</t>
  </si>
  <si>
    <t>1319B12490</t>
  </si>
  <si>
    <t>1319B12491</t>
  </si>
  <si>
    <t>1319B12492</t>
  </si>
  <si>
    <t>1319B12493</t>
  </si>
  <si>
    <t>1319B12494</t>
  </si>
  <si>
    <t>1319B12495</t>
  </si>
  <si>
    <t>1319B12496</t>
  </si>
  <si>
    <t>1319B12497</t>
  </si>
  <si>
    <t>1319B12498</t>
  </si>
  <si>
    <t>1319B12499</t>
  </si>
  <si>
    <t>1319B12500</t>
  </si>
  <si>
    <t>1319B12501</t>
  </si>
  <si>
    <t>1319B12502</t>
  </si>
  <si>
    <t>1319B12503</t>
  </si>
  <si>
    <t>1319B12504</t>
  </si>
  <si>
    <t>1319B12505</t>
  </si>
  <si>
    <t>1319B12506</t>
  </si>
  <si>
    <t>1319B12507</t>
  </si>
  <si>
    <t>1319B12508</t>
  </si>
  <si>
    <t>1319B12509</t>
  </si>
  <si>
    <t>1319B12510</t>
  </si>
  <si>
    <t>1319B12511</t>
  </si>
  <si>
    <t>1319B12512</t>
  </si>
  <si>
    <t>1319B12513</t>
  </si>
  <si>
    <t>1319B12514</t>
  </si>
  <si>
    <t>1319B12515</t>
  </si>
  <si>
    <t>1319B12516</t>
  </si>
  <si>
    <t>1319B12517</t>
  </si>
  <si>
    <t>1319B12518</t>
  </si>
  <si>
    <t>1319B12519</t>
  </si>
  <si>
    <t>1319B12520</t>
  </si>
  <si>
    <t>1319B12521</t>
  </si>
  <si>
    <t>1319B12522</t>
  </si>
  <si>
    <t>1319B12523</t>
  </si>
  <si>
    <t>1319B12524</t>
  </si>
  <si>
    <t>1319B12525</t>
  </si>
  <si>
    <t>1319B12526</t>
  </si>
  <si>
    <t>1319B12527</t>
  </si>
  <si>
    <t>1319B12528</t>
  </si>
  <si>
    <t>1319B12529</t>
  </si>
  <si>
    <t>1319B12530</t>
  </si>
  <si>
    <t>1319B12531</t>
  </si>
  <si>
    <t>1319B12532</t>
  </si>
  <si>
    <t>1319B12533</t>
  </si>
  <si>
    <t>1319B12534</t>
  </si>
  <si>
    <t>1319B12535</t>
  </si>
  <si>
    <t>1319B12536</t>
  </si>
  <si>
    <t>1319B12537</t>
  </si>
  <si>
    <t>1319B12538</t>
  </si>
  <si>
    <t>1319B12539</t>
  </si>
  <si>
    <t>1319B12540</t>
  </si>
  <si>
    <t>1319B12541</t>
  </si>
  <si>
    <t>1319B12542</t>
  </si>
  <si>
    <t>1319B12543</t>
  </si>
  <si>
    <t>1319B12544</t>
  </si>
  <si>
    <t>1319B12545</t>
  </si>
  <si>
    <t>1319B12546</t>
  </si>
  <si>
    <t>1319B12547</t>
  </si>
  <si>
    <t>1319B12548</t>
  </si>
  <si>
    <t>1319B12549</t>
  </si>
  <si>
    <t>1319B12550</t>
  </si>
  <si>
    <t>1319B12551</t>
  </si>
  <si>
    <t>1319B12552</t>
  </si>
  <si>
    <t>1319B12553</t>
  </si>
  <si>
    <t>1319B12554</t>
  </si>
  <si>
    <t>1319B12555</t>
  </si>
  <si>
    <t>1319B12556</t>
  </si>
  <si>
    <t>1319B12557</t>
  </si>
  <si>
    <t>1319B12558</t>
  </si>
  <si>
    <t>1319B12559</t>
  </si>
  <si>
    <t>1319B12560</t>
  </si>
  <si>
    <t>1319B12561</t>
  </si>
  <si>
    <t>1319B12562</t>
  </si>
  <si>
    <t>1319B12563</t>
  </si>
  <si>
    <t>1319B12564</t>
  </si>
  <si>
    <t>1319B12565</t>
  </si>
  <si>
    <t>1319B12566</t>
  </si>
  <si>
    <t>1319B12567</t>
  </si>
  <si>
    <t>1319B12568</t>
  </si>
  <si>
    <t>1319B12569</t>
  </si>
  <si>
    <t>1319B12570</t>
  </si>
  <si>
    <t>1319B12571</t>
  </si>
  <si>
    <t>1319B12572</t>
  </si>
  <si>
    <t>1319B12573</t>
  </si>
  <si>
    <t>1319B12574</t>
  </si>
  <si>
    <t>1319B12575</t>
  </si>
  <si>
    <t>1319B12576</t>
  </si>
  <si>
    <t>1319B12577</t>
  </si>
  <si>
    <t>1319B12578</t>
  </si>
  <si>
    <t>1319B12579</t>
  </si>
  <si>
    <t>1319B12580</t>
  </si>
  <si>
    <t>1319B12581</t>
  </si>
  <si>
    <t>1319B12582</t>
  </si>
  <si>
    <t>1319B12583</t>
  </si>
  <si>
    <t>1319B12584</t>
  </si>
  <si>
    <t>1319B12585</t>
  </si>
  <si>
    <t>1319B12586</t>
  </si>
  <si>
    <t>1319B12587</t>
  </si>
  <si>
    <t>1319B12588</t>
  </si>
  <si>
    <t>1319B12589</t>
  </si>
  <si>
    <t>1319B12590</t>
  </si>
  <si>
    <t>1319B12591</t>
  </si>
  <si>
    <t>1319B12592</t>
  </si>
  <si>
    <t>1319B12593</t>
  </si>
  <si>
    <t>1319B12594</t>
  </si>
  <si>
    <t>1319B12595</t>
  </si>
  <si>
    <t>1319B12596</t>
  </si>
  <si>
    <t>1319B12597</t>
  </si>
  <si>
    <t>1319B12598</t>
  </si>
  <si>
    <t>1319B12599</t>
  </si>
  <si>
    <t>1319B12600</t>
  </si>
  <si>
    <t>1319B12601</t>
  </si>
  <si>
    <t>1319B12602</t>
  </si>
  <si>
    <t>1319B12603</t>
  </si>
  <si>
    <t>1319B12604</t>
  </si>
  <si>
    <t>1319B12605</t>
  </si>
  <si>
    <t>1319B12606</t>
  </si>
  <si>
    <t>1319B12607</t>
  </si>
  <si>
    <t>1319B12608</t>
  </si>
  <si>
    <t>1319B12609</t>
  </si>
  <si>
    <t>1319B12610</t>
  </si>
  <si>
    <t>1319B12611</t>
  </si>
  <si>
    <t>1319B12612</t>
  </si>
  <si>
    <t>1319B12613</t>
  </si>
  <si>
    <t>1319B12614</t>
  </si>
  <si>
    <t>1319B12615</t>
  </si>
  <si>
    <t>1319B12616</t>
  </si>
  <si>
    <t>1319B12617</t>
  </si>
  <si>
    <t>1319B12618</t>
  </si>
  <si>
    <t>1319B12619</t>
  </si>
  <si>
    <t>1319B12620</t>
  </si>
  <si>
    <t>1319B12621</t>
  </si>
  <si>
    <t>1319B12622</t>
  </si>
  <si>
    <t>1319B12623</t>
  </si>
  <si>
    <t>1319B12624</t>
  </si>
  <si>
    <t>1319B12625</t>
  </si>
  <si>
    <t>1319B12626</t>
  </si>
  <si>
    <t>1319B12627</t>
  </si>
  <si>
    <t>1319B12628</t>
  </si>
  <si>
    <t>1319B12629</t>
  </si>
  <si>
    <t>1319B12630</t>
  </si>
  <si>
    <t>1319B12631</t>
  </si>
  <si>
    <t>1319B12632</t>
  </si>
  <si>
    <t>1319B12633</t>
  </si>
  <si>
    <t>1319B12634</t>
  </si>
  <si>
    <t>1319B12635</t>
  </si>
  <si>
    <t>1319B12636</t>
  </si>
  <si>
    <t>1319B12637</t>
  </si>
  <si>
    <t>1319B12638</t>
  </si>
  <si>
    <t>1319B12639</t>
  </si>
  <si>
    <t>1319B12640</t>
  </si>
  <si>
    <t>1319B12641</t>
  </si>
  <si>
    <t>1319B12642</t>
  </si>
  <si>
    <t>1319B12643</t>
  </si>
  <si>
    <t>1319B12644</t>
  </si>
  <si>
    <t>1319B12645</t>
  </si>
  <si>
    <t>1319B12646</t>
  </si>
  <si>
    <t>1319B12647</t>
  </si>
  <si>
    <t>1319B12648</t>
  </si>
  <si>
    <t>1319B12649</t>
  </si>
  <si>
    <t>1319B12650</t>
  </si>
  <si>
    <t>1319B12651</t>
  </si>
  <si>
    <t>1319B12652</t>
  </si>
  <si>
    <t>1319B12653</t>
  </si>
  <si>
    <t>1319B12654</t>
  </si>
  <si>
    <t>1319B12655</t>
  </si>
  <si>
    <t>1319B12656</t>
  </si>
  <si>
    <t>1319B12657</t>
  </si>
  <si>
    <t>1319B12658</t>
  </si>
  <si>
    <t>1319B12659</t>
  </si>
  <si>
    <t>1319B12660</t>
  </si>
  <si>
    <t>1319B12661</t>
  </si>
  <si>
    <t>1319B12662</t>
  </si>
  <si>
    <t>1319B12663</t>
  </si>
  <si>
    <t>1319B12664</t>
  </si>
  <si>
    <t>1319B12665</t>
  </si>
  <si>
    <t>1319B12666</t>
  </si>
  <si>
    <t>1319B12667</t>
  </si>
  <si>
    <t>1319B12668</t>
  </si>
  <si>
    <t>1319B12669</t>
  </si>
  <si>
    <t>1319B12670</t>
  </si>
  <si>
    <t>1319B12671</t>
  </si>
  <si>
    <t>1319B12672</t>
  </si>
  <si>
    <t>1319B12673</t>
  </si>
  <si>
    <t>1319B12674</t>
  </si>
  <si>
    <t>1319B12675</t>
  </si>
  <si>
    <t>1319B12676</t>
  </si>
  <si>
    <t>1319B12677</t>
  </si>
  <si>
    <t>1319B12678</t>
  </si>
  <si>
    <t>1319B12679</t>
  </si>
  <si>
    <t>1319B12680</t>
  </si>
  <si>
    <t>1319B12681</t>
  </si>
  <si>
    <t>1319B12682</t>
  </si>
  <si>
    <t>1319B12683</t>
  </si>
  <si>
    <t>1319B12684</t>
  </si>
  <si>
    <t>1319B12685</t>
  </si>
  <si>
    <t>1319B12686</t>
  </si>
  <si>
    <t>1319B12687</t>
  </si>
  <si>
    <t>1319B12688</t>
  </si>
  <si>
    <t>1319B12689</t>
  </si>
  <si>
    <t>1319B12690</t>
  </si>
  <si>
    <t>1319B12691</t>
  </si>
  <si>
    <t>1319B12692</t>
  </si>
  <si>
    <t>1319B12693</t>
  </si>
  <si>
    <t>1319B12694</t>
  </si>
  <si>
    <t>1319B12695</t>
  </si>
  <si>
    <t>1319B12696</t>
  </si>
  <si>
    <t>1319B12697</t>
  </si>
  <si>
    <t>1319B12698</t>
  </si>
  <si>
    <t>1319B12699</t>
  </si>
  <si>
    <t>1319B12700</t>
  </si>
  <si>
    <t>1319B12701</t>
  </si>
  <si>
    <t>1319B12702</t>
  </si>
  <si>
    <t>1319B12703</t>
  </si>
  <si>
    <t>1319B12704</t>
  </si>
  <si>
    <t>1319B12705</t>
  </si>
  <si>
    <t>1319B12706</t>
  </si>
  <si>
    <t>1319B12707</t>
  </si>
  <si>
    <t>1319B12708</t>
  </si>
  <si>
    <t>1319B12709</t>
  </si>
  <si>
    <t>1319B12710</t>
  </si>
  <si>
    <t>1319B12711</t>
  </si>
  <si>
    <t>1319B12712</t>
  </si>
  <si>
    <t>1319B12713</t>
  </si>
  <si>
    <t>1319B12714</t>
  </si>
  <si>
    <t>1319B12715</t>
  </si>
  <si>
    <t>1319B12716</t>
  </si>
  <si>
    <t>1319B12717</t>
  </si>
  <si>
    <t>1319B12718</t>
  </si>
  <si>
    <t>1319B12719</t>
  </si>
  <si>
    <t>1319B12720</t>
  </si>
  <si>
    <t>1319B12721</t>
  </si>
  <si>
    <t>1319B12722</t>
  </si>
  <si>
    <t>1319B12723</t>
  </si>
  <si>
    <t>1319B12724</t>
  </si>
  <si>
    <t>1319B12725</t>
  </si>
  <si>
    <t>1319B12726</t>
  </si>
  <si>
    <t>1319B12727</t>
  </si>
  <si>
    <t>1319B12728</t>
  </si>
  <si>
    <t>1319B12729</t>
  </si>
  <si>
    <t>1319B12730</t>
  </si>
  <si>
    <t>1319B12731</t>
  </si>
  <si>
    <t>1319B12732</t>
  </si>
  <si>
    <t>1319B12733</t>
  </si>
  <si>
    <t>1319B12734</t>
  </si>
  <si>
    <t>1319B12735</t>
  </si>
  <si>
    <t>1319B12736</t>
  </si>
  <si>
    <t>1319B12737</t>
  </si>
  <si>
    <t>1319B12738</t>
  </si>
  <si>
    <t>1319B12739</t>
  </si>
  <si>
    <t>1319B12740</t>
  </si>
  <si>
    <t>1319B12741</t>
  </si>
  <si>
    <t>1319B12742</t>
  </si>
  <si>
    <t>1319B12743</t>
  </si>
  <si>
    <t>1319B12744</t>
  </si>
  <si>
    <t>1319B12745</t>
  </si>
  <si>
    <t>1319B12746</t>
  </si>
  <si>
    <t>1319B12747</t>
  </si>
  <si>
    <t>1319B12748</t>
  </si>
  <si>
    <t>1319B12749</t>
  </si>
  <si>
    <t>1319B12750</t>
  </si>
  <si>
    <t>1319B12751</t>
  </si>
  <si>
    <t>1319B12752</t>
  </si>
  <si>
    <t>1319B12753</t>
  </si>
  <si>
    <t>1319B12754</t>
  </si>
  <si>
    <t>1319B12755</t>
  </si>
  <si>
    <t>1319B12756</t>
  </si>
  <si>
    <t>1319B12757</t>
  </si>
  <si>
    <t>1319B12758</t>
  </si>
  <si>
    <t>1319B12759</t>
  </si>
  <si>
    <t>1319B12760</t>
  </si>
  <si>
    <t>1319B12761</t>
  </si>
  <si>
    <t>1319B12762</t>
  </si>
  <si>
    <t>1319B12763</t>
  </si>
  <si>
    <t>1319B12764</t>
  </si>
  <si>
    <t>1319B12765</t>
  </si>
  <si>
    <t>1319B12766</t>
  </si>
  <si>
    <t>1319B12767</t>
  </si>
  <si>
    <t>1319B12768</t>
  </si>
  <si>
    <t>1319B12769</t>
  </si>
  <si>
    <t>1319B12770</t>
  </si>
  <si>
    <t>1319B12771</t>
  </si>
  <si>
    <t>1319B12772</t>
  </si>
  <si>
    <t>1319B12773</t>
  </si>
  <si>
    <t>1319B12774</t>
  </si>
  <si>
    <t>1319B12775</t>
  </si>
  <si>
    <t>1319B12776</t>
  </si>
  <si>
    <t>1319B12777</t>
  </si>
  <si>
    <t>1319B12778</t>
  </si>
  <si>
    <t>1319B12779</t>
  </si>
  <si>
    <t>1319B12780</t>
  </si>
  <si>
    <t>1319B12781</t>
  </si>
  <si>
    <t>1319B12782</t>
  </si>
  <si>
    <t>1319B12783</t>
  </si>
  <si>
    <t>1319B12784</t>
  </si>
  <si>
    <t>1319B12785</t>
  </si>
  <si>
    <t>1319B12786</t>
  </si>
  <si>
    <t>1319B12787</t>
  </si>
  <si>
    <t>1319B12788</t>
  </si>
  <si>
    <t>1319B12789</t>
  </si>
  <si>
    <t>1319B12790</t>
  </si>
  <si>
    <t>1319B12791</t>
  </si>
  <si>
    <t>1319B12792</t>
  </si>
  <si>
    <t>1319B12793</t>
  </si>
  <si>
    <t>1319B12794</t>
  </si>
  <si>
    <t>1319B12795</t>
  </si>
  <si>
    <t>1319B12796</t>
  </si>
  <si>
    <t>1319B12797</t>
  </si>
  <si>
    <t>1319B12798</t>
  </si>
  <si>
    <t>1319B12799</t>
  </si>
  <si>
    <t>1319B12800</t>
  </si>
  <si>
    <t>1319B12801</t>
  </si>
  <si>
    <t>1319B12802</t>
  </si>
  <si>
    <t>1319B12803</t>
  </si>
  <si>
    <t>1319B12804</t>
  </si>
  <si>
    <t>1319B12805</t>
  </si>
  <si>
    <t>1319B12806</t>
  </si>
  <si>
    <t>1319B12807</t>
  </si>
  <si>
    <t>1319B12808</t>
  </si>
  <si>
    <t>1319B12809</t>
  </si>
  <si>
    <t>1319B12810</t>
  </si>
  <si>
    <t>1319B12811</t>
  </si>
  <si>
    <t>1319B12812</t>
  </si>
  <si>
    <t>1319B12813</t>
  </si>
  <si>
    <t>1319B12814</t>
  </si>
  <si>
    <t>1319B12815</t>
  </si>
  <si>
    <t>1319B12816</t>
  </si>
  <si>
    <t>1319B12817</t>
  </si>
  <si>
    <t>1319B12818</t>
  </si>
  <si>
    <t>1319B12819</t>
  </si>
  <si>
    <t>1319B12820</t>
  </si>
  <si>
    <t>1319B12821</t>
  </si>
  <si>
    <t>1319B12822</t>
  </si>
  <si>
    <t>1319B12823</t>
  </si>
  <si>
    <t>1319B12824</t>
  </si>
  <si>
    <t>1319B12825</t>
  </si>
  <si>
    <t>1319B12826</t>
  </si>
  <si>
    <t>1319B12827</t>
  </si>
  <si>
    <t>1319B12828</t>
  </si>
  <si>
    <t>1319B12829</t>
  </si>
  <si>
    <t>1319B12830</t>
  </si>
  <si>
    <t>1319B12831</t>
  </si>
  <si>
    <t>1319B12832</t>
  </si>
  <si>
    <t>1319B12833</t>
  </si>
  <si>
    <t>1319B12834</t>
  </si>
  <si>
    <t>1319B12835</t>
  </si>
  <si>
    <t>1319B12836</t>
  </si>
  <si>
    <t>1319B12837</t>
  </si>
  <si>
    <t>1319B12838</t>
  </si>
  <si>
    <t>1319B12839</t>
  </si>
  <si>
    <t>1319B12840</t>
  </si>
  <si>
    <t>1319B12841</t>
  </si>
  <si>
    <t>1319B12842</t>
  </si>
  <si>
    <t>1319B12843</t>
  </si>
  <si>
    <t>1319B12844</t>
  </si>
  <si>
    <t>1319B12845</t>
  </si>
  <si>
    <t>1319B12846</t>
  </si>
  <si>
    <t>1319B12847</t>
  </si>
  <si>
    <t>1319B12848</t>
  </si>
  <si>
    <t>1319B12849</t>
  </si>
  <si>
    <t>1319B12850</t>
  </si>
  <si>
    <t>1319B12851</t>
  </si>
  <si>
    <t>1319B12852</t>
  </si>
  <si>
    <t>1319B12853</t>
  </si>
  <si>
    <t>1319B12854</t>
  </si>
  <si>
    <t>1319B12855</t>
  </si>
  <si>
    <t>1319B12856</t>
  </si>
  <si>
    <t>1319B12857</t>
  </si>
  <si>
    <t>1319B12858</t>
  </si>
  <si>
    <t>1319B12859</t>
  </si>
  <si>
    <t>1319B12860</t>
  </si>
  <si>
    <t>1319B12861</t>
  </si>
  <si>
    <t>1319B12862</t>
  </si>
  <si>
    <t>1319B12863</t>
  </si>
  <si>
    <t>1319B12864</t>
  </si>
  <si>
    <t>1319B12865</t>
  </si>
  <si>
    <t>1319B12866</t>
  </si>
  <si>
    <t>1319B12867</t>
  </si>
  <si>
    <t>1319B12868</t>
  </si>
  <si>
    <t>1319B12869</t>
  </si>
  <si>
    <t>1319B12870</t>
  </si>
  <si>
    <t>1319B12871</t>
  </si>
  <si>
    <t>1319B12872</t>
  </si>
  <si>
    <t>1319B12873</t>
  </si>
  <si>
    <t>1319B12874</t>
  </si>
  <si>
    <t>1319B12875</t>
  </si>
  <si>
    <t>1319B12876</t>
  </si>
  <si>
    <t>1319B12877</t>
  </si>
  <si>
    <t>1319B12878</t>
  </si>
  <si>
    <t>1319B12879</t>
  </si>
  <si>
    <t>1319B12880</t>
  </si>
  <si>
    <t>1319B12881</t>
  </si>
  <si>
    <t>1319B12882</t>
  </si>
  <si>
    <t>1319B12883</t>
  </si>
  <si>
    <t>1319B12884</t>
  </si>
  <si>
    <t>1319B12885</t>
  </si>
  <si>
    <t>1319B12886</t>
  </si>
  <si>
    <t>1319B12887</t>
  </si>
  <si>
    <t>1319B12888</t>
  </si>
  <si>
    <t>1319B12889</t>
  </si>
  <si>
    <t>1319B12890</t>
  </si>
  <si>
    <t>1319B12891</t>
  </si>
  <si>
    <t>1319B12892</t>
  </si>
  <si>
    <t>1319B12893</t>
  </si>
  <si>
    <t>1319B12894</t>
  </si>
  <si>
    <t>1319B12895</t>
  </si>
  <si>
    <t>1319B12896</t>
  </si>
  <si>
    <t>1319B12897</t>
  </si>
  <si>
    <t>1319B12898</t>
  </si>
  <si>
    <t>1319B12899</t>
  </si>
  <si>
    <t>1319B12900</t>
  </si>
  <si>
    <t>1319B12901</t>
  </si>
  <si>
    <t>1319B12902</t>
  </si>
  <si>
    <t>1319B12903</t>
  </si>
  <si>
    <t>1319B12904</t>
  </si>
  <si>
    <t>1319B12905</t>
  </si>
  <si>
    <t>1319B12906</t>
  </si>
  <si>
    <t>1319B12907</t>
  </si>
  <si>
    <t>1319B12908</t>
  </si>
  <si>
    <t>1319B12909</t>
  </si>
  <si>
    <t>1319B12910</t>
  </si>
  <si>
    <t>1319B12911</t>
  </si>
  <si>
    <t>1319B12912</t>
  </si>
  <si>
    <t>1319B12913</t>
  </si>
  <si>
    <t>1319B12914</t>
  </si>
  <si>
    <t>1319B12915</t>
  </si>
  <si>
    <t>1319B12916</t>
  </si>
  <si>
    <t>1319B12917</t>
  </si>
  <si>
    <t>1319B12918</t>
  </si>
  <si>
    <t>1319B12919</t>
  </si>
  <si>
    <t>1319B12920</t>
  </si>
  <si>
    <t>1319B12921</t>
  </si>
  <si>
    <t>1319B12922</t>
  </si>
  <si>
    <t>1319B12923</t>
  </si>
  <si>
    <t>1319B12924</t>
  </si>
  <si>
    <t>1319B12925</t>
  </si>
  <si>
    <t>1319B12926</t>
  </si>
  <si>
    <t>1319B12927</t>
  </si>
  <si>
    <t>1319B12928</t>
  </si>
  <si>
    <t>1319B12929</t>
  </si>
  <si>
    <t>1319B12930</t>
  </si>
  <si>
    <t>1319B12931</t>
  </si>
  <si>
    <t>1319B12932</t>
  </si>
  <si>
    <t>1319B12933</t>
  </si>
  <si>
    <t>1319B12934</t>
  </si>
  <si>
    <t>1319B12935</t>
  </si>
  <si>
    <t>1319B12936</t>
  </si>
  <si>
    <t>1319B12937</t>
  </si>
  <si>
    <t>1319B12938</t>
  </si>
  <si>
    <t>1319B12939</t>
  </si>
  <si>
    <t>1319B12940</t>
  </si>
  <si>
    <t>1319B12941</t>
  </si>
  <si>
    <t>1319B12942</t>
  </si>
  <si>
    <t>1319B12943</t>
  </si>
  <si>
    <t>1319B12944</t>
  </si>
  <si>
    <t>1319B12945</t>
  </si>
  <si>
    <t>1319B12946</t>
  </si>
  <si>
    <t>1319B12947</t>
  </si>
  <si>
    <t>1319B12948</t>
  </si>
  <si>
    <t>1319B12949</t>
  </si>
  <si>
    <t>1319B12950</t>
  </si>
  <si>
    <t>1319B12951</t>
  </si>
  <si>
    <t>1319B12952</t>
  </si>
  <si>
    <t>1319B12953</t>
  </si>
  <si>
    <t>1319B12954</t>
  </si>
  <si>
    <t>1319B12955</t>
  </si>
  <si>
    <t>1319B12956</t>
  </si>
  <si>
    <t>1319B12957</t>
  </si>
  <si>
    <t>1319B12958</t>
  </si>
  <si>
    <t>1319B12959</t>
  </si>
  <si>
    <t>1319B12960</t>
  </si>
  <si>
    <t>1319B12961</t>
  </si>
  <si>
    <t>1319B12962</t>
  </si>
  <si>
    <t>1319B12963</t>
  </si>
  <si>
    <t>1319B12964</t>
  </si>
  <si>
    <t>1319B12965</t>
  </si>
  <si>
    <t>1319B12966</t>
  </si>
  <si>
    <t>1319B12967</t>
  </si>
  <si>
    <t>1319B12968</t>
  </si>
  <si>
    <t>1319B12969</t>
  </si>
  <si>
    <t>1319B12970</t>
  </si>
  <si>
    <t>1319B12971</t>
  </si>
  <si>
    <t>1319B12972</t>
  </si>
  <si>
    <t>1319B12973</t>
  </si>
  <si>
    <t>1319B12974</t>
  </si>
  <si>
    <t>1319B12975</t>
  </si>
  <si>
    <t>1319B12976</t>
  </si>
  <si>
    <t>1319B12977</t>
  </si>
  <si>
    <t>1319B12978</t>
  </si>
  <si>
    <t>1319B12979</t>
  </si>
  <si>
    <t>1319B12980</t>
  </si>
  <si>
    <t>1319B12981</t>
  </si>
  <si>
    <t>1319B12982</t>
  </si>
  <si>
    <t>1319B12983</t>
  </si>
  <si>
    <t>1319B12984</t>
  </si>
  <si>
    <t>1319B12985</t>
  </si>
  <si>
    <t>1319B12986</t>
  </si>
  <si>
    <t>1319B12987</t>
  </si>
  <si>
    <t>1319B12988</t>
  </si>
  <si>
    <t>1319B12989</t>
  </si>
  <si>
    <t>1319B12990</t>
  </si>
  <si>
    <t>1319B12991</t>
  </si>
  <si>
    <t>1319B12992</t>
  </si>
  <si>
    <t>1319B12993</t>
  </si>
  <si>
    <t>1319B12994</t>
  </si>
  <si>
    <t>1319B12995</t>
  </si>
  <si>
    <t>1319B12996</t>
  </si>
  <si>
    <t>1319B12997</t>
  </si>
  <si>
    <t>1319B12998</t>
  </si>
  <si>
    <t>1319B12999</t>
  </si>
  <si>
    <t>1319B13000</t>
  </si>
  <si>
    <t>1319B13001</t>
  </si>
  <si>
    <t>1319B13002</t>
  </si>
  <si>
    <t>1319B13003</t>
  </si>
  <si>
    <t>1319B13004</t>
  </si>
  <si>
    <t>1319B13005</t>
  </si>
  <si>
    <t>1319B13006</t>
  </si>
  <si>
    <t>1319B13007</t>
  </si>
  <si>
    <t>1319B13008</t>
  </si>
  <si>
    <t>1319B13009</t>
  </si>
  <si>
    <t>1319B13010</t>
  </si>
  <si>
    <t>1319B13011</t>
  </si>
  <si>
    <t>1319B13012</t>
  </si>
  <si>
    <t>1319B13013</t>
  </si>
  <si>
    <t>1319B13014</t>
  </si>
  <si>
    <t>1319B13015</t>
  </si>
  <si>
    <t>1319B13016</t>
  </si>
  <si>
    <t>1319B13017</t>
  </si>
  <si>
    <t>1319B13018</t>
  </si>
  <si>
    <t>1319B13019</t>
  </si>
  <si>
    <t>1319B13020</t>
  </si>
  <si>
    <t>1319B13021</t>
  </si>
  <si>
    <t>1319B13022</t>
  </si>
  <si>
    <t>1319B13023</t>
  </si>
  <si>
    <t>1319B13024</t>
  </si>
  <si>
    <t>1319B13025</t>
  </si>
  <si>
    <t>1319B13026</t>
  </si>
  <si>
    <t>1319B13027</t>
  </si>
  <si>
    <t>1319B13028</t>
  </si>
  <si>
    <t>1319B13029</t>
  </si>
  <si>
    <t>1319B13030</t>
  </si>
  <si>
    <t>1319B13031</t>
  </si>
  <si>
    <t>1319B13032</t>
  </si>
  <si>
    <t>1319B13033</t>
  </si>
  <si>
    <t>1319B13034</t>
  </si>
  <si>
    <t>1319B13035</t>
  </si>
  <si>
    <t>1319B13036</t>
  </si>
  <si>
    <t>1319B13037</t>
  </si>
  <si>
    <t>1319B13038</t>
  </si>
  <si>
    <t>1319B13039</t>
  </si>
  <si>
    <t>1319B13040</t>
  </si>
  <si>
    <t>1319B13041</t>
  </si>
  <si>
    <t>1319B13042</t>
  </si>
  <si>
    <t>1319B13043</t>
  </si>
  <si>
    <t>1319B13044</t>
  </si>
  <si>
    <t>1319B13045</t>
  </si>
  <si>
    <t>1319B13046</t>
  </si>
  <si>
    <t>1319B13047</t>
  </si>
  <si>
    <t>1319B13048</t>
  </si>
  <si>
    <t>1319B13049</t>
  </si>
  <si>
    <t>1319B13050</t>
  </si>
  <si>
    <t>1319B13051</t>
  </si>
  <si>
    <t>1319B13052</t>
  </si>
  <si>
    <t>1319B13053</t>
  </si>
  <si>
    <t>1319B13054</t>
  </si>
  <si>
    <t>1319B13055</t>
  </si>
  <si>
    <t>1319B13056</t>
  </si>
  <si>
    <t>1319B13057</t>
  </si>
  <si>
    <t>1319B13058</t>
  </si>
  <si>
    <t>1319B13059</t>
  </si>
  <si>
    <t>1319B13060</t>
  </si>
  <si>
    <t>1319B13061</t>
  </si>
  <si>
    <t>1319B13062</t>
  </si>
  <si>
    <t>1319B13063</t>
  </si>
  <si>
    <t>1319B13064</t>
  </si>
  <si>
    <t>1319B13065</t>
  </si>
  <si>
    <t>1319B13066</t>
  </si>
  <si>
    <t>1319B13067</t>
  </si>
  <si>
    <t>1319B13068</t>
  </si>
  <si>
    <t>1319B13069</t>
  </si>
  <si>
    <t>1319B13070</t>
  </si>
  <si>
    <t>1319B13071</t>
  </si>
  <si>
    <t>1319B13072</t>
  </si>
  <si>
    <t>1319B13073</t>
  </si>
  <si>
    <t>1319B13074</t>
  </si>
  <si>
    <t>1319B13075</t>
  </si>
  <si>
    <t>1319B13076</t>
  </si>
  <si>
    <t>1319B13077</t>
  </si>
  <si>
    <t>1319B13078</t>
  </si>
  <si>
    <t>1319B13079</t>
  </si>
  <si>
    <t>1319B13080</t>
  </si>
  <si>
    <t>1319B13081</t>
  </si>
  <si>
    <t>1319B13082</t>
  </si>
  <si>
    <t>1319B13083</t>
  </si>
  <si>
    <t>1319B13084</t>
  </si>
  <si>
    <t>1319B13085</t>
  </si>
  <si>
    <t>1319B13086</t>
  </si>
  <si>
    <t>1319B13087</t>
  </si>
  <si>
    <t>1319B13088</t>
  </si>
  <si>
    <t>1319B13089</t>
  </si>
  <si>
    <t>1319B13090</t>
  </si>
  <si>
    <t>1319B13091</t>
  </si>
  <si>
    <t>1319B13092</t>
  </si>
  <si>
    <t>1319B13093</t>
  </si>
  <si>
    <t>1319B13094</t>
  </si>
  <si>
    <t>1319B13095</t>
  </si>
  <si>
    <t>1319B13096</t>
  </si>
  <si>
    <t>1319B13097</t>
  </si>
  <si>
    <t>1319B13098</t>
  </si>
  <si>
    <t>1319B13099</t>
  </si>
  <si>
    <t>1319B13100</t>
  </si>
  <si>
    <t>1319B13101</t>
  </si>
  <si>
    <t>1319B13102</t>
  </si>
  <si>
    <t>1319B13103</t>
  </si>
  <si>
    <t>1319B13104</t>
  </si>
  <si>
    <t>1319B13105</t>
  </si>
  <si>
    <t>1319B13106</t>
  </si>
  <si>
    <t>1319B13107</t>
  </si>
  <si>
    <t>1319B13108</t>
  </si>
  <si>
    <t>1319B13109</t>
  </si>
  <si>
    <t>1319B13110</t>
  </si>
  <si>
    <t>1319B13111</t>
  </si>
  <si>
    <t>1319B13112</t>
  </si>
  <si>
    <t>1319B13113</t>
  </si>
  <si>
    <t>1319B13114</t>
  </si>
  <si>
    <t>1319B13115</t>
  </si>
  <si>
    <t>1319B13116</t>
  </si>
  <si>
    <t>1319B13117</t>
  </si>
  <si>
    <t>1319B13118</t>
  </si>
  <si>
    <t>1319B13119</t>
  </si>
  <si>
    <t>1319B13120</t>
  </si>
  <si>
    <t>1319B13121</t>
  </si>
  <si>
    <t>1319B13122</t>
  </si>
  <si>
    <t>1319B13123</t>
  </si>
  <si>
    <t>1319B13124</t>
  </si>
  <si>
    <t>1319B13125</t>
  </si>
  <si>
    <t>1319B13126</t>
  </si>
  <si>
    <t>1319B13127</t>
  </si>
  <si>
    <t>1319B13128</t>
  </si>
  <si>
    <t>1319B13129</t>
  </si>
  <si>
    <t>1319B13130</t>
  </si>
  <si>
    <t>1319B13131</t>
  </si>
  <si>
    <t>1319B13132</t>
  </si>
  <si>
    <t>1319B13133</t>
  </si>
  <si>
    <t>1319B13134</t>
  </si>
  <si>
    <t>1319B13135</t>
  </si>
  <si>
    <t>1319B13136</t>
  </si>
  <si>
    <t>1319B13137</t>
  </si>
  <si>
    <t>1319B13138</t>
  </si>
  <si>
    <t>1319B13139</t>
  </si>
  <si>
    <t>1319B13140</t>
  </si>
  <si>
    <t>1319B13141</t>
  </si>
  <si>
    <t>1319B13142</t>
  </si>
  <si>
    <t>1319B13143</t>
  </si>
  <si>
    <t>1319B13144</t>
  </si>
  <si>
    <t>1319B13145</t>
  </si>
  <si>
    <t>1319B13146</t>
  </si>
  <si>
    <t>1319B13147</t>
  </si>
  <si>
    <t>1319B13148</t>
  </si>
  <si>
    <t>1319B13149</t>
  </si>
  <si>
    <t>1319B13150</t>
  </si>
  <si>
    <t>1319B13151</t>
  </si>
  <si>
    <t>1319B13152</t>
  </si>
  <si>
    <t>1319B13153</t>
  </si>
  <si>
    <t>1319B13154</t>
  </si>
  <si>
    <t>1319B13155</t>
  </si>
  <si>
    <t>1319B13156</t>
  </si>
  <si>
    <t>1319B13157</t>
  </si>
  <si>
    <t>1319B13158</t>
  </si>
  <si>
    <t>1319B13159</t>
  </si>
  <si>
    <t>1319B13160</t>
  </si>
  <si>
    <t>1319B13161</t>
  </si>
  <si>
    <t>1319B13162</t>
  </si>
  <si>
    <t>1319B13163</t>
  </si>
  <si>
    <t>1319B13164</t>
  </si>
  <si>
    <t>1319B13165</t>
  </si>
  <si>
    <t>1319B13166</t>
  </si>
  <si>
    <t>1319B13167</t>
  </si>
  <si>
    <t>1319B13168</t>
  </si>
  <si>
    <t>1319B13169</t>
  </si>
  <si>
    <t>1319B13170</t>
  </si>
  <si>
    <t>1319B13171</t>
  </si>
  <si>
    <t>1319B13172</t>
  </si>
  <si>
    <t>1319B13173</t>
  </si>
  <si>
    <t>1319B13174</t>
  </si>
  <si>
    <t>1319B13175</t>
  </si>
  <si>
    <t>1319B13176</t>
  </si>
  <si>
    <t>1319B13177</t>
  </si>
  <si>
    <t>1319B13178</t>
  </si>
  <si>
    <t>1319B13179</t>
  </si>
  <si>
    <t>1319B13180</t>
  </si>
  <si>
    <t>1319B13181</t>
  </si>
  <si>
    <t>1319B13182</t>
  </si>
  <si>
    <t>1319B13183</t>
  </si>
  <si>
    <t>1319B13184</t>
  </si>
  <si>
    <t>1319B13185</t>
  </si>
  <si>
    <t>1319B13186</t>
  </si>
  <si>
    <t>1319B13187</t>
  </si>
  <si>
    <t>1319B13188</t>
  </si>
  <si>
    <t>1319B13189</t>
  </si>
  <si>
    <t>1319B13190</t>
  </si>
  <si>
    <t>1319B13191</t>
  </si>
  <si>
    <t>1319B13192</t>
  </si>
  <si>
    <t>1319B13193</t>
  </si>
  <si>
    <t>1319B13194</t>
  </si>
  <si>
    <t>1319B13195</t>
  </si>
  <si>
    <t>1319B13196</t>
  </si>
  <si>
    <t>1319B13197</t>
  </si>
  <si>
    <t>1319B13198</t>
  </si>
  <si>
    <t>1319B13199</t>
  </si>
  <si>
    <t>1319B13200</t>
  </si>
  <si>
    <t>1319B13201</t>
  </si>
  <si>
    <t>1319B13202</t>
  </si>
  <si>
    <t>1319B13203</t>
  </si>
  <si>
    <t>1319B13204</t>
  </si>
  <si>
    <t>1319B13205</t>
  </si>
  <si>
    <t>1319B13206</t>
  </si>
  <si>
    <t>1319B13207</t>
  </si>
  <si>
    <t>1319B13208</t>
  </si>
  <si>
    <t>1319B13209</t>
  </si>
  <si>
    <t>1319B13210</t>
  </si>
  <si>
    <t>1319B13211</t>
  </si>
  <si>
    <t>1319B13212</t>
  </si>
  <si>
    <t>1319B13213</t>
  </si>
  <si>
    <t>1319B13214</t>
  </si>
  <si>
    <t>1319B13215</t>
  </si>
  <si>
    <t>1319B13216</t>
  </si>
  <si>
    <t>1319B13217</t>
  </si>
  <si>
    <t>1319B13218</t>
  </si>
  <si>
    <t>1319B13219</t>
  </si>
  <si>
    <t>1319B13220</t>
  </si>
  <si>
    <t>1319B13221</t>
  </si>
  <si>
    <t>1319B13222</t>
  </si>
  <si>
    <t>1319B13223</t>
  </si>
  <si>
    <t>1319B13224</t>
  </si>
  <si>
    <t>1319B13225</t>
  </si>
  <si>
    <t>1319B13226</t>
  </si>
  <si>
    <t>1319B13227</t>
  </si>
  <si>
    <t>1319B13228</t>
  </si>
  <si>
    <t>1319B13229</t>
  </si>
  <si>
    <t>1319B13230</t>
  </si>
  <si>
    <t>1319B13231</t>
  </si>
  <si>
    <t>1319B13232</t>
  </si>
  <si>
    <t>1319B13233</t>
  </si>
  <si>
    <t>1319B13234</t>
  </si>
  <si>
    <t>1319B13235</t>
  </si>
  <si>
    <t>1319B13236</t>
  </si>
  <si>
    <t>1319B13237</t>
  </si>
  <si>
    <t>1319B13238</t>
  </si>
  <si>
    <t>1319B13239</t>
  </si>
  <si>
    <t>1319B13240</t>
  </si>
  <si>
    <t>1319B13241</t>
  </si>
  <si>
    <t>1319B13242</t>
  </si>
  <si>
    <t>1319B13243</t>
  </si>
  <si>
    <t>1319B13244</t>
  </si>
  <si>
    <t>1319B13245</t>
  </si>
  <si>
    <t>1319B13246</t>
  </si>
  <si>
    <t>1319B13247</t>
  </si>
  <si>
    <t>1319B13248</t>
  </si>
  <si>
    <t>1319B13249</t>
  </si>
  <si>
    <t>1319B13250</t>
  </si>
  <si>
    <t>1319B13251</t>
  </si>
  <si>
    <t>1319B13252</t>
  </si>
  <si>
    <t>1319B13253</t>
  </si>
  <si>
    <t>1319B13254</t>
  </si>
  <si>
    <t>1319B13255</t>
  </si>
  <si>
    <t>1319B13256</t>
  </si>
  <si>
    <t>1319B13257</t>
  </si>
  <si>
    <t>1319B13258</t>
  </si>
  <si>
    <t>1319B13259</t>
  </si>
  <si>
    <t>1319B13260</t>
  </si>
  <si>
    <t>1319B13261</t>
  </si>
  <si>
    <t>1319B13262</t>
  </si>
  <si>
    <t>1319B13263</t>
  </si>
  <si>
    <t>1319B13264</t>
  </si>
  <si>
    <t>1319B13265</t>
  </si>
  <si>
    <t>1319B13266</t>
  </si>
  <si>
    <t>1319B13267</t>
  </si>
  <si>
    <t>1319B13268</t>
  </si>
  <si>
    <t>00001</t>
  </si>
  <si>
    <t>00002</t>
  </si>
  <si>
    <t>00003</t>
  </si>
  <si>
    <t>00004</t>
  </si>
  <si>
    <t>00005</t>
  </si>
  <si>
    <t>00007</t>
  </si>
  <si>
    <t>00008</t>
  </si>
  <si>
    <t>00009</t>
  </si>
  <si>
    <t>00010</t>
  </si>
  <si>
    <t>00011</t>
  </si>
  <si>
    <t>00013</t>
  </si>
  <si>
    <t>00014</t>
  </si>
  <si>
    <t>00016</t>
  </si>
  <si>
    <t>00017</t>
  </si>
  <si>
    <t>00018</t>
  </si>
  <si>
    <t>00019</t>
  </si>
  <si>
    <t>00020</t>
  </si>
  <si>
    <t>00022</t>
  </si>
  <si>
    <t>00023</t>
  </si>
  <si>
    <t>00024</t>
  </si>
  <si>
    <t>00025</t>
  </si>
  <si>
    <t>00026</t>
  </si>
  <si>
    <t>00027</t>
  </si>
  <si>
    <t>00028</t>
  </si>
  <si>
    <t>00029</t>
  </si>
  <si>
    <t>00030</t>
  </si>
  <si>
    <t>00031</t>
  </si>
  <si>
    <t>00032</t>
  </si>
  <si>
    <t>00033</t>
  </si>
  <si>
    <t>00034</t>
  </si>
  <si>
    <t>00035</t>
  </si>
  <si>
    <t>00036</t>
  </si>
  <si>
    <t>00037</t>
  </si>
  <si>
    <t>00038</t>
  </si>
  <si>
    <t>00039</t>
  </si>
  <si>
    <t>00040</t>
  </si>
  <si>
    <t>00041</t>
  </si>
  <si>
    <t>00042</t>
  </si>
  <si>
    <t>00043</t>
  </si>
  <si>
    <t>00044</t>
  </si>
  <si>
    <t>00046</t>
  </si>
  <si>
    <t>00048</t>
  </si>
  <si>
    <t>00049</t>
  </si>
  <si>
    <t>00050</t>
  </si>
  <si>
    <t>00051</t>
    <phoneticPr fontId="4"/>
  </si>
  <si>
    <t>00052</t>
  </si>
  <si>
    <t>00053</t>
    <phoneticPr fontId="0"/>
  </si>
  <si>
    <t>00054</t>
    <phoneticPr fontId="21"/>
  </si>
  <si>
    <t>00055</t>
  </si>
  <si>
    <t>00056</t>
  </si>
  <si>
    <t>00057</t>
  </si>
  <si>
    <t>00058</t>
  </si>
  <si>
    <t>00059</t>
  </si>
  <si>
    <t>00060</t>
  </si>
  <si>
    <t>00062</t>
  </si>
  <si>
    <t>00063</t>
  </si>
  <si>
    <t>00064</t>
  </si>
  <si>
    <t>00065</t>
  </si>
  <si>
    <t>00066</t>
    <phoneticPr fontId="21"/>
  </si>
  <si>
    <t>00067</t>
  </si>
  <si>
    <t>00068</t>
  </si>
  <si>
    <t>00069</t>
    <phoneticPr fontId="20"/>
  </si>
  <si>
    <t>00070</t>
  </si>
  <si>
    <t>00071</t>
  </si>
  <si>
    <t>00072</t>
  </si>
  <si>
    <t>00073</t>
  </si>
  <si>
    <t>00074</t>
    <phoneticPr fontId="21"/>
  </si>
  <si>
    <t>00075</t>
  </si>
  <si>
    <t>00076</t>
  </si>
  <si>
    <t>00077</t>
    <phoneticPr fontId="4"/>
  </si>
  <si>
    <t>00078</t>
  </si>
  <si>
    <t>00079</t>
  </si>
  <si>
    <t>00080</t>
  </si>
  <si>
    <t>00081</t>
  </si>
  <si>
    <t>00082</t>
  </si>
  <si>
    <t>00083</t>
  </si>
  <si>
    <t>00084</t>
  </si>
  <si>
    <t>00087</t>
  </si>
  <si>
    <t>00088</t>
  </si>
  <si>
    <t>00089</t>
  </si>
  <si>
    <t>00091</t>
  </si>
  <si>
    <t>00092</t>
  </si>
  <si>
    <t>00093</t>
  </si>
  <si>
    <t>00095</t>
  </si>
  <si>
    <t>00096</t>
  </si>
  <si>
    <t>00097</t>
  </si>
  <si>
    <t>00098</t>
  </si>
  <si>
    <t>00099</t>
    <phoneticPr fontId="21"/>
  </si>
  <si>
    <t>00101</t>
  </si>
  <si>
    <t>00102</t>
  </si>
  <si>
    <t>00103</t>
    <phoneticPr fontId="1"/>
  </si>
  <si>
    <t>00105</t>
  </si>
  <si>
    <t>00106</t>
  </si>
  <si>
    <t>00108</t>
  </si>
  <si>
    <t>00109</t>
  </si>
  <si>
    <t>00110</t>
  </si>
  <si>
    <t>00111</t>
  </si>
  <si>
    <t>00112</t>
  </si>
  <si>
    <t>00113</t>
  </si>
  <si>
    <t>00115</t>
  </si>
  <si>
    <t>00116</t>
  </si>
  <si>
    <t>00117</t>
  </si>
  <si>
    <t>00118</t>
  </si>
  <si>
    <t>00119</t>
  </si>
  <si>
    <t>00120</t>
  </si>
  <si>
    <t>00121</t>
  </si>
  <si>
    <t>00122</t>
  </si>
  <si>
    <t>00123</t>
  </si>
  <si>
    <t>00124</t>
  </si>
  <si>
    <t>00125</t>
  </si>
  <si>
    <t>00126</t>
  </si>
  <si>
    <t>00128</t>
  </si>
  <si>
    <t>00129</t>
  </si>
  <si>
    <t>00130</t>
  </si>
  <si>
    <t>00132</t>
  </si>
  <si>
    <t>00134</t>
  </si>
  <si>
    <t>00135</t>
  </si>
  <si>
    <t>00136</t>
  </si>
  <si>
    <t>00137</t>
  </si>
  <si>
    <t>00138</t>
  </si>
  <si>
    <t>00139</t>
  </si>
  <si>
    <t>00140</t>
  </si>
  <si>
    <t>00141</t>
  </si>
  <si>
    <t>00142</t>
  </si>
  <si>
    <t>00143</t>
  </si>
  <si>
    <t>00146</t>
  </si>
  <si>
    <t>00147</t>
  </si>
  <si>
    <t>00148</t>
  </si>
  <si>
    <t>00149</t>
  </si>
  <si>
    <t>00150</t>
  </si>
  <si>
    <t>00151</t>
  </si>
  <si>
    <t>00152</t>
  </si>
  <si>
    <t>00153</t>
  </si>
  <si>
    <t>00154</t>
  </si>
  <si>
    <t>00155</t>
  </si>
  <si>
    <t>00156</t>
  </si>
  <si>
    <t>00157</t>
  </si>
  <si>
    <t>00158</t>
  </si>
  <si>
    <t>00159</t>
  </si>
  <si>
    <t>00160</t>
  </si>
  <si>
    <t>00161</t>
  </si>
  <si>
    <t>00162</t>
  </si>
  <si>
    <t>00163</t>
    <phoneticPr fontId="21"/>
  </si>
  <si>
    <t>00164</t>
  </si>
  <si>
    <t>00165</t>
  </si>
  <si>
    <t>00166</t>
  </si>
  <si>
    <t>00167</t>
  </si>
  <si>
    <t>00168</t>
  </si>
  <si>
    <t>00169</t>
  </si>
  <si>
    <t>00170</t>
  </si>
  <si>
    <t>00171</t>
  </si>
  <si>
    <t>00172</t>
  </si>
  <si>
    <t>00173</t>
    <phoneticPr fontId="4"/>
  </si>
  <si>
    <t>00174</t>
  </si>
  <si>
    <t>00175</t>
  </si>
  <si>
    <t>00176</t>
  </si>
  <si>
    <t>00177</t>
  </si>
  <si>
    <t>00178</t>
  </si>
  <si>
    <t>00179</t>
    <phoneticPr fontId="21"/>
  </si>
  <si>
    <t>00180</t>
    <phoneticPr fontId="21"/>
  </si>
  <si>
    <t>00181</t>
    <phoneticPr fontId="0"/>
  </si>
  <si>
    <t>00183</t>
  </si>
  <si>
    <t>00184</t>
  </si>
  <si>
    <t>00185</t>
  </si>
  <si>
    <t>00186</t>
  </si>
  <si>
    <t>00187</t>
  </si>
  <si>
    <t>00188</t>
  </si>
  <si>
    <t>00189</t>
  </si>
  <si>
    <t>00190</t>
  </si>
  <si>
    <t>00191</t>
  </si>
  <si>
    <t>00192</t>
  </si>
  <si>
    <t>00193</t>
  </si>
  <si>
    <t>00195</t>
  </si>
  <si>
    <t>00196</t>
  </si>
  <si>
    <t>00197</t>
  </si>
  <si>
    <t>00198</t>
  </si>
  <si>
    <t>00199</t>
  </si>
  <si>
    <t>00200</t>
  </si>
  <si>
    <t>00201</t>
  </si>
  <si>
    <t>00202</t>
  </si>
  <si>
    <t>00203</t>
  </si>
  <si>
    <t>00204</t>
  </si>
  <si>
    <t>00205</t>
  </si>
  <si>
    <t>00206</t>
  </si>
  <si>
    <t>00207</t>
  </si>
  <si>
    <t>00208</t>
  </si>
  <si>
    <t>00209</t>
  </si>
  <si>
    <t>00210</t>
  </si>
  <si>
    <t>00211</t>
  </si>
  <si>
    <t>00212</t>
  </si>
  <si>
    <t>00213</t>
  </si>
  <si>
    <t>00214</t>
  </si>
  <si>
    <t>00215</t>
  </si>
  <si>
    <t>00218</t>
  </si>
  <si>
    <t>00219</t>
  </si>
  <si>
    <t>00220</t>
  </si>
  <si>
    <t>00221</t>
  </si>
  <si>
    <t>00222</t>
  </si>
  <si>
    <t>00223</t>
  </si>
  <si>
    <t>00225</t>
  </si>
  <si>
    <t>00226</t>
  </si>
  <si>
    <t>00227</t>
  </si>
  <si>
    <t>00228</t>
  </si>
  <si>
    <t>00229</t>
  </si>
  <si>
    <t>00230</t>
  </si>
  <si>
    <t>00231</t>
  </si>
  <si>
    <t>00232</t>
  </si>
  <si>
    <t>00233</t>
  </si>
  <si>
    <t>00234</t>
  </si>
  <si>
    <t>00235</t>
  </si>
  <si>
    <t>00236</t>
  </si>
  <si>
    <t>00237</t>
  </si>
  <si>
    <t>00238</t>
  </si>
  <si>
    <t>00239</t>
  </si>
  <si>
    <t>00240</t>
  </si>
  <si>
    <t>00241</t>
  </si>
  <si>
    <t>00242</t>
  </si>
  <si>
    <t>00243</t>
  </si>
  <si>
    <t>00244</t>
  </si>
  <si>
    <t>00245</t>
  </si>
  <si>
    <t>00246</t>
  </si>
  <si>
    <t>00247</t>
  </si>
  <si>
    <t>00248</t>
  </si>
  <si>
    <t>00251</t>
  </si>
  <si>
    <t>00252</t>
  </si>
  <si>
    <t>00253</t>
  </si>
  <si>
    <t>00254</t>
  </si>
  <si>
    <t>00255</t>
  </si>
  <si>
    <t>00256</t>
  </si>
  <si>
    <t>00257</t>
  </si>
  <si>
    <t>00259</t>
  </si>
  <si>
    <t>00260</t>
  </si>
  <si>
    <t>00261</t>
  </si>
  <si>
    <t>00262</t>
  </si>
  <si>
    <t>00263</t>
  </si>
  <si>
    <t>00264</t>
  </si>
  <si>
    <t>00265</t>
  </si>
  <si>
    <t>00266</t>
  </si>
  <si>
    <t>00267</t>
  </si>
  <si>
    <t>00268</t>
  </si>
  <si>
    <t>00270</t>
  </si>
  <si>
    <t>00272</t>
  </si>
  <si>
    <t>00274</t>
  </si>
  <si>
    <t>00275</t>
  </si>
  <si>
    <t>00276</t>
  </si>
  <si>
    <t>00277</t>
    <phoneticPr fontId="4"/>
  </si>
  <si>
    <t>00278</t>
  </si>
  <si>
    <t>00279</t>
  </si>
  <si>
    <t>00280</t>
  </si>
  <si>
    <t>00281</t>
    <phoneticPr fontId="1"/>
  </si>
  <si>
    <t>00282</t>
  </si>
  <si>
    <t>00283</t>
  </si>
  <si>
    <t>00284</t>
  </si>
  <si>
    <t>00285</t>
  </si>
  <si>
    <t>00286</t>
  </si>
  <si>
    <t>00287</t>
  </si>
  <si>
    <t>00288</t>
  </si>
  <si>
    <t>00289</t>
  </si>
  <si>
    <t>00290</t>
  </si>
  <si>
    <t>00291</t>
  </si>
  <si>
    <t>00292</t>
  </si>
  <si>
    <t>00293</t>
  </si>
  <si>
    <t>00295</t>
  </si>
  <si>
    <t>00296</t>
  </si>
  <si>
    <t>00297</t>
  </si>
  <si>
    <t>00298</t>
  </si>
  <si>
    <t>00299</t>
  </si>
  <si>
    <t>00300</t>
  </si>
  <si>
    <t>00301</t>
  </si>
  <si>
    <t>00302</t>
  </si>
  <si>
    <t>00303</t>
  </si>
  <si>
    <t>00304</t>
  </si>
  <si>
    <t>00305</t>
  </si>
  <si>
    <t>00306</t>
  </si>
  <si>
    <t>00307</t>
  </si>
  <si>
    <t>00310</t>
  </si>
  <si>
    <t>00311</t>
  </si>
  <si>
    <t>00312</t>
  </si>
  <si>
    <t>00313</t>
  </si>
  <si>
    <t>00314</t>
  </si>
  <si>
    <t>00315</t>
  </si>
  <si>
    <t>00316</t>
  </si>
  <si>
    <t>00317</t>
  </si>
  <si>
    <t>00318</t>
  </si>
  <si>
    <t>00319</t>
  </si>
  <si>
    <t>00320</t>
  </si>
  <si>
    <t>00321</t>
  </si>
  <si>
    <t>00322</t>
  </si>
  <si>
    <t>00323</t>
  </si>
  <si>
    <t>00324</t>
  </si>
  <si>
    <t>00325</t>
  </si>
  <si>
    <t>00326</t>
  </si>
  <si>
    <t>00327</t>
  </si>
  <si>
    <t>00328</t>
  </si>
  <si>
    <t>00329</t>
  </si>
  <si>
    <t>00330</t>
  </si>
  <si>
    <t>00331</t>
    <phoneticPr fontId="1"/>
  </si>
  <si>
    <t>00332</t>
  </si>
  <si>
    <t>00334</t>
  </si>
  <si>
    <t>00335</t>
  </si>
  <si>
    <t>00336</t>
  </si>
  <si>
    <t>00337</t>
  </si>
  <si>
    <t>00339</t>
  </si>
  <si>
    <t>00340</t>
  </si>
  <si>
    <t>00341</t>
  </si>
  <si>
    <t>00342</t>
  </si>
  <si>
    <t>00343</t>
  </si>
  <si>
    <t>00344</t>
  </si>
  <si>
    <t>00345</t>
    <phoneticPr fontId="1"/>
  </si>
  <si>
    <t>00346</t>
  </si>
  <si>
    <t>00347</t>
  </si>
  <si>
    <t>00348</t>
  </si>
  <si>
    <t>00349</t>
  </si>
  <si>
    <t>00350</t>
  </si>
  <si>
    <t>00351</t>
  </si>
  <si>
    <t>00352</t>
  </si>
  <si>
    <t>00353</t>
  </si>
  <si>
    <t>00354</t>
  </si>
  <si>
    <t>00355</t>
  </si>
  <si>
    <t>00356</t>
  </si>
  <si>
    <t>00357</t>
  </si>
  <si>
    <t>00358</t>
  </si>
  <si>
    <t>00360</t>
  </si>
  <si>
    <t>00361</t>
  </si>
  <si>
    <t>00362</t>
  </si>
  <si>
    <t>00363</t>
  </si>
  <si>
    <t>00364</t>
  </si>
  <si>
    <t>00365</t>
  </si>
  <si>
    <t>00366</t>
  </si>
  <si>
    <t>00367</t>
  </si>
  <si>
    <t>00368</t>
  </si>
  <si>
    <t>00369</t>
  </si>
  <si>
    <t>00370</t>
  </si>
  <si>
    <t>00371</t>
  </si>
  <si>
    <t>00372</t>
  </si>
  <si>
    <t>00373</t>
  </si>
  <si>
    <t>00374</t>
  </si>
  <si>
    <t>00375</t>
  </si>
  <si>
    <t>00376</t>
  </si>
  <si>
    <t>00377</t>
  </si>
  <si>
    <t>00378</t>
  </si>
  <si>
    <t>00379</t>
  </si>
  <si>
    <t>00380</t>
  </si>
  <si>
    <t>00381</t>
  </si>
  <si>
    <t>00382</t>
  </si>
  <si>
    <t>00383</t>
  </si>
  <si>
    <t>00384</t>
  </si>
  <si>
    <t>00385</t>
  </si>
  <si>
    <t>00386</t>
  </si>
  <si>
    <t>00387</t>
  </si>
  <si>
    <t>00388</t>
  </si>
  <si>
    <t>00389</t>
  </si>
  <si>
    <t>00390</t>
  </si>
  <si>
    <t>00391</t>
  </si>
  <si>
    <t>00392</t>
  </si>
  <si>
    <t>00393</t>
  </si>
  <si>
    <t>00394</t>
  </si>
  <si>
    <t>00395</t>
    <phoneticPr fontId="1"/>
  </si>
  <si>
    <t>00396</t>
  </si>
  <si>
    <t>00399</t>
  </si>
  <si>
    <t>00400</t>
  </si>
  <si>
    <t>00401</t>
  </si>
  <si>
    <t>00402</t>
  </si>
  <si>
    <t>00403</t>
  </si>
  <si>
    <t>00404</t>
  </si>
  <si>
    <t>00405</t>
  </si>
  <si>
    <t>00406</t>
  </si>
  <si>
    <t>00407</t>
  </si>
  <si>
    <t>00408</t>
  </si>
  <si>
    <t>00409</t>
  </si>
  <si>
    <t>00410</t>
  </si>
  <si>
    <t>00411</t>
  </si>
  <si>
    <t>00413</t>
  </si>
  <si>
    <t>00414</t>
    <phoneticPr fontId="1"/>
  </si>
  <si>
    <t>00415</t>
  </si>
  <si>
    <t>00416</t>
  </si>
  <si>
    <t>00417</t>
  </si>
  <si>
    <t>00418</t>
  </si>
  <si>
    <t>00419</t>
  </si>
  <si>
    <t>00420</t>
  </si>
  <si>
    <t>00421</t>
  </si>
  <si>
    <t>00422</t>
  </si>
  <si>
    <t>00423</t>
  </si>
  <si>
    <t>00424</t>
  </si>
  <si>
    <t>00425</t>
  </si>
  <si>
    <t>00426</t>
  </si>
  <si>
    <t>00427</t>
  </si>
  <si>
    <t>00428</t>
  </si>
  <si>
    <t>00429</t>
  </si>
  <si>
    <t>00431</t>
  </si>
  <si>
    <t>00432</t>
  </si>
  <si>
    <t>00434</t>
  </si>
  <si>
    <t>00435</t>
  </si>
  <si>
    <t>00436</t>
    <phoneticPr fontId="6"/>
  </si>
  <si>
    <t>00437</t>
  </si>
  <si>
    <t>00438</t>
  </si>
  <si>
    <t>00439</t>
  </si>
  <si>
    <t>00440</t>
  </si>
  <si>
    <t>00441</t>
  </si>
  <si>
    <t>00442</t>
  </si>
  <si>
    <t>00443</t>
  </si>
  <si>
    <t>00445</t>
  </si>
  <si>
    <t>00446</t>
  </si>
  <si>
    <t>00447</t>
  </si>
  <si>
    <t>00449</t>
  </si>
  <si>
    <t>00450</t>
  </si>
  <si>
    <t>00451</t>
  </si>
  <si>
    <t>00452</t>
    <phoneticPr fontId="18"/>
  </si>
  <si>
    <t>00453</t>
  </si>
  <si>
    <t>00454</t>
  </si>
  <si>
    <t>00455</t>
  </si>
  <si>
    <t>00456</t>
  </si>
  <si>
    <t>00457</t>
  </si>
  <si>
    <t>00458</t>
  </si>
  <si>
    <t>00459</t>
  </si>
  <si>
    <t>00461</t>
  </si>
  <si>
    <t>00462</t>
  </si>
  <si>
    <t>00463</t>
  </si>
  <si>
    <t>00464</t>
  </si>
  <si>
    <t>00465</t>
    <phoneticPr fontId="1"/>
  </si>
  <si>
    <t>00466</t>
  </si>
  <si>
    <t>00467</t>
  </si>
  <si>
    <t>00468</t>
  </si>
  <si>
    <t>00469</t>
  </si>
  <si>
    <t>00470</t>
  </si>
  <si>
    <t>00471</t>
  </si>
  <si>
    <t>00472</t>
  </si>
  <si>
    <t>00473</t>
  </si>
  <si>
    <t>00474</t>
  </si>
  <si>
    <t>00475</t>
  </si>
  <si>
    <t>00476</t>
  </si>
  <si>
    <t>00477</t>
  </si>
  <si>
    <t>00478</t>
  </si>
  <si>
    <t>00479</t>
  </si>
  <si>
    <t>00480</t>
  </si>
  <si>
    <t>00482</t>
  </si>
  <si>
    <t>00483</t>
  </si>
  <si>
    <t>00485</t>
  </si>
  <si>
    <t>00487</t>
  </si>
  <si>
    <t>00489</t>
  </si>
  <si>
    <t>00491</t>
  </si>
  <si>
    <t>00492</t>
  </si>
  <si>
    <t>00493</t>
  </si>
  <si>
    <t>00494</t>
  </si>
  <si>
    <t>00495</t>
  </si>
  <si>
    <t>00496</t>
  </si>
  <si>
    <t>00497</t>
  </si>
  <si>
    <t>00498</t>
  </si>
  <si>
    <t>00499</t>
  </si>
  <si>
    <t>00500</t>
  </si>
  <si>
    <t>00501</t>
  </si>
  <si>
    <t>00502</t>
  </si>
  <si>
    <t>00503</t>
  </si>
  <si>
    <t>00505</t>
  </si>
  <si>
    <t>00506</t>
  </si>
  <si>
    <t>00507</t>
  </si>
  <si>
    <t>00508</t>
  </si>
  <si>
    <t>00509</t>
  </si>
  <si>
    <t>00510</t>
  </si>
  <si>
    <t>00512</t>
  </si>
  <si>
    <t>00513</t>
  </si>
  <si>
    <t>00516</t>
  </si>
  <si>
    <t>00517</t>
  </si>
  <si>
    <t>00519</t>
  </si>
  <si>
    <t>00520</t>
  </si>
  <si>
    <t>00523</t>
  </si>
  <si>
    <t>00524</t>
  </si>
  <si>
    <t>00527</t>
  </si>
  <si>
    <t>00529</t>
  </si>
  <si>
    <t>00530</t>
  </si>
  <si>
    <t>00531</t>
  </si>
  <si>
    <t>00533</t>
  </si>
  <si>
    <t>00534</t>
  </si>
  <si>
    <t>00535</t>
  </si>
  <si>
    <t>00536</t>
  </si>
  <si>
    <t>00537</t>
  </si>
  <si>
    <t>00538</t>
  </si>
  <si>
    <t>00541</t>
  </si>
  <si>
    <t>00542</t>
  </si>
  <si>
    <t>00543</t>
  </si>
  <si>
    <t>00544</t>
  </si>
  <si>
    <t>00545</t>
  </si>
  <si>
    <t>00546</t>
  </si>
  <si>
    <t>00548</t>
  </si>
  <si>
    <t>00549</t>
  </si>
  <si>
    <t>00550</t>
  </si>
  <si>
    <t>00551</t>
  </si>
  <si>
    <t>00552</t>
  </si>
  <si>
    <t>00553</t>
  </si>
  <si>
    <t>00554</t>
  </si>
  <si>
    <t>00555</t>
  </si>
  <si>
    <t>00556</t>
  </si>
  <si>
    <t>00557</t>
  </si>
  <si>
    <t>00558</t>
  </si>
  <si>
    <t>00559</t>
  </si>
  <si>
    <t>00560</t>
  </si>
  <si>
    <t>00561</t>
  </si>
  <si>
    <t>00563</t>
  </si>
  <si>
    <t>00564</t>
  </si>
  <si>
    <t>00565</t>
  </si>
  <si>
    <t>00566</t>
  </si>
  <si>
    <t>00567</t>
  </si>
  <si>
    <t>00568</t>
  </si>
  <si>
    <t>00571</t>
  </si>
  <si>
    <t>00572</t>
  </si>
  <si>
    <t>00573</t>
  </si>
  <si>
    <t>00574</t>
  </si>
  <si>
    <t>00575</t>
  </si>
  <si>
    <t>00576</t>
  </si>
  <si>
    <t>00577</t>
  </si>
  <si>
    <t>00579</t>
  </si>
  <si>
    <t>00580</t>
  </si>
  <si>
    <t>00581</t>
  </si>
  <si>
    <t>00582</t>
  </si>
  <si>
    <t>00583</t>
  </si>
  <si>
    <t>00584</t>
  </si>
  <si>
    <t>00586</t>
  </si>
  <si>
    <t>00587</t>
  </si>
  <si>
    <t>00588</t>
  </si>
  <si>
    <t>00589</t>
  </si>
  <si>
    <t>00590</t>
  </si>
  <si>
    <t>00591</t>
    <phoneticPr fontId="21"/>
  </si>
  <si>
    <t>00592</t>
  </si>
  <si>
    <t>00593</t>
  </si>
  <si>
    <t>00594</t>
  </si>
  <si>
    <t>00596</t>
  </si>
  <si>
    <t>00597</t>
  </si>
  <si>
    <t>00598</t>
  </si>
  <si>
    <t>00600</t>
  </si>
  <si>
    <t>00603</t>
  </si>
  <si>
    <t>00604</t>
  </si>
  <si>
    <t>00605</t>
    <phoneticPr fontId="1"/>
  </si>
  <si>
    <t>00606</t>
  </si>
  <si>
    <t>00607</t>
  </si>
  <si>
    <t>00608</t>
  </si>
  <si>
    <t>00609</t>
  </si>
  <si>
    <t>00610</t>
  </si>
  <si>
    <t>00612</t>
  </si>
  <si>
    <t>00613</t>
  </si>
  <si>
    <t>00614</t>
  </si>
  <si>
    <t>00616</t>
  </si>
  <si>
    <t>00618</t>
  </si>
  <si>
    <t>00619</t>
  </si>
  <si>
    <t>00620</t>
  </si>
  <si>
    <t>00621</t>
  </si>
  <si>
    <t>00622</t>
  </si>
  <si>
    <t>00623</t>
  </si>
  <si>
    <t>00624</t>
  </si>
  <si>
    <t>00625</t>
  </si>
  <si>
    <t>00626</t>
  </si>
  <si>
    <t>00628</t>
  </si>
  <si>
    <t>00629</t>
  </si>
  <si>
    <t>00630</t>
  </si>
  <si>
    <t>00631</t>
  </si>
  <si>
    <t>00632</t>
  </si>
  <si>
    <t>00633</t>
  </si>
  <si>
    <t>00634</t>
  </si>
  <si>
    <t>00635</t>
  </si>
  <si>
    <t>00636</t>
  </si>
  <si>
    <t>00638</t>
  </si>
  <si>
    <t>00639</t>
  </si>
  <si>
    <t>00641</t>
  </si>
  <si>
    <t>00642</t>
  </si>
  <si>
    <t>00643</t>
    <phoneticPr fontId="0"/>
  </si>
  <si>
    <t>00644</t>
  </si>
  <si>
    <t>00645</t>
  </si>
  <si>
    <t>00646</t>
  </si>
  <si>
    <t>00647</t>
  </si>
  <si>
    <t>00648</t>
  </si>
  <si>
    <t>00651</t>
  </si>
  <si>
    <t>00653</t>
  </si>
  <si>
    <t>00654</t>
  </si>
  <si>
    <t>00655</t>
  </si>
  <si>
    <t>00656</t>
  </si>
  <si>
    <t>00657</t>
  </si>
  <si>
    <t>00658</t>
  </si>
  <si>
    <t>00659</t>
  </si>
  <si>
    <t>00660</t>
  </si>
  <si>
    <t>00662</t>
  </si>
  <si>
    <t>00663</t>
  </si>
  <si>
    <t>00664</t>
  </si>
  <si>
    <t>00665</t>
  </si>
  <si>
    <t>00666</t>
  </si>
  <si>
    <t>00667</t>
  </si>
  <si>
    <t>00668</t>
  </si>
  <si>
    <t>00669</t>
  </si>
  <si>
    <t>00671</t>
  </si>
  <si>
    <t>00672</t>
  </si>
  <si>
    <t>00673</t>
  </si>
  <si>
    <t>00674</t>
  </si>
  <si>
    <t>00675</t>
  </si>
  <si>
    <t>00676</t>
  </si>
  <si>
    <t>00678</t>
  </si>
  <si>
    <t>00679</t>
  </si>
  <si>
    <t>00680</t>
  </si>
  <si>
    <t>00681</t>
  </si>
  <si>
    <t>00682</t>
  </si>
  <si>
    <t>00683</t>
    <phoneticPr fontId="4"/>
  </si>
  <si>
    <t>00684</t>
  </si>
  <si>
    <t>00685</t>
  </si>
  <si>
    <t>00686</t>
  </si>
  <si>
    <t>00687</t>
  </si>
  <si>
    <t>00688</t>
  </si>
  <si>
    <t>00689</t>
  </si>
  <si>
    <t>00690</t>
  </si>
  <si>
    <t>00692</t>
  </si>
  <si>
    <t>00694</t>
  </si>
  <si>
    <t>00696</t>
  </si>
  <si>
    <t>00697</t>
  </si>
  <si>
    <t>00698</t>
  </si>
  <si>
    <t>00699</t>
  </si>
  <si>
    <t>00700</t>
  </si>
  <si>
    <t>00701</t>
  </si>
  <si>
    <t>00703</t>
  </si>
  <si>
    <t>00704</t>
  </si>
  <si>
    <t>00705</t>
  </si>
  <si>
    <t>00706</t>
  </si>
  <si>
    <t>00708</t>
  </si>
  <si>
    <t>00709</t>
  </si>
  <si>
    <t>00710</t>
  </si>
  <si>
    <t>00711</t>
  </si>
  <si>
    <t>00712</t>
  </si>
  <si>
    <t>00713</t>
  </si>
  <si>
    <t>00714</t>
  </si>
  <si>
    <t>00715</t>
  </si>
  <si>
    <t>00716</t>
  </si>
  <si>
    <t>00717</t>
  </si>
  <si>
    <t>00718</t>
  </si>
  <si>
    <t>00719</t>
  </si>
  <si>
    <t>00720</t>
  </si>
  <si>
    <t>00721</t>
  </si>
  <si>
    <t>00722</t>
  </si>
  <si>
    <t>00723</t>
  </si>
  <si>
    <t>00724</t>
  </si>
  <si>
    <t>00725</t>
  </si>
  <si>
    <t>00726</t>
  </si>
  <si>
    <t>00727</t>
  </si>
  <si>
    <t>00728</t>
  </si>
  <si>
    <t>00729</t>
  </si>
  <si>
    <t>00731</t>
  </si>
  <si>
    <t>00732</t>
  </si>
  <si>
    <t>00735</t>
  </si>
  <si>
    <t>00736</t>
  </si>
  <si>
    <t>00737</t>
  </si>
  <si>
    <t>00739</t>
  </si>
  <si>
    <t>00740</t>
  </si>
  <si>
    <t>00742</t>
  </si>
  <si>
    <t>00743</t>
  </si>
  <si>
    <t>00744</t>
  </si>
  <si>
    <t>00746</t>
  </si>
  <si>
    <t>00747</t>
  </si>
  <si>
    <t>00748</t>
  </si>
  <si>
    <t>00749</t>
  </si>
  <si>
    <t>00750</t>
  </si>
  <si>
    <t>00751</t>
  </si>
  <si>
    <t>00752</t>
  </si>
  <si>
    <t>00753</t>
  </si>
  <si>
    <t>00754</t>
  </si>
  <si>
    <t>00755</t>
  </si>
  <si>
    <t>00756</t>
  </si>
  <si>
    <t>00757</t>
  </si>
  <si>
    <t>00758</t>
  </si>
  <si>
    <t>00759</t>
  </si>
  <si>
    <t>00761</t>
  </si>
  <si>
    <t>00762</t>
  </si>
  <si>
    <t>00764</t>
  </si>
  <si>
    <t>00765</t>
  </si>
  <si>
    <t>00766</t>
  </si>
  <si>
    <t>00767</t>
  </si>
  <si>
    <t>00769</t>
  </si>
  <si>
    <t>00772</t>
  </si>
  <si>
    <t>00773</t>
  </si>
  <si>
    <t>00774</t>
  </si>
  <si>
    <t>00775</t>
  </si>
  <si>
    <t>00776</t>
  </si>
  <si>
    <t>00777</t>
  </si>
  <si>
    <t>00778</t>
  </si>
  <si>
    <t>00779</t>
  </si>
  <si>
    <t>00781</t>
  </si>
  <si>
    <t>00782</t>
  </si>
  <si>
    <t>00783</t>
  </si>
  <si>
    <t>00784</t>
  </si>
  <si>
    <t>00785</t>
  </si>
  <si>
    <t>00786</t>
  </si>
  <si>
    <t>00787</t>
  </si>
  <si>
    <t>00788</t>
  </si>
  <si>
    <t>00789</t>
  </si>
  <si>
    <t>00790</t>
  </si>
  <si>
    <t>00792</t>
  </si>
  <si>
    <t>00793</t>
  </si>
  <si>
    <t>00794</t>
  </si>
  <si>
    <t>00795</t>
  </si>
  <si>
    <t>00796</t>
  </si>
  <si>
    <t>00797</t>
  </si>
  <si>
    <t>00798</t>
  </si>
  <si>
    <t>00799</t>
  </si>
  <si>
    <t>00800</t>
  </si>
  <si>
    <t>00801</t>
  </si>
  <si>
    <t>00802</t>
  </si>
  <si>
    <t>00803</t>
  </si>
  <si>
    <t>00805</t>
  </si>
  <si>
    <t>00807</t>
  </si>
  <si>
    <t>00808</t>
  </si>
  <si>
    <t>00810</t>
  </si>
  <si>
    <t>00811</t>
  </si>
  <si>
    <t>00812</t>
  </si>
  <si>
    <t>00814</t>
  </si>
  <si>
    <t>00815</t>
  </si>
  <si>
    <t>00816</t>
  </si>
  <si>
    <t>00817</t>
  </si>
  <si>
    <t>00818</t>
  </si>
  <si>
    <t>00819</t>
  </si>
  <si>
    <t>00820</t>
  </si>
  <si>
    <t>00821</t>
  </si>
  <si>
    <t>00822</t>
  </si>
  <si>
    <t>00823</t>
  </si>
  <si>
    <t>00826</t>
  </si>
  <si>
    <t>00827</t>
  </si>
  <si>
    <t>00828</t>
  </si>
  <si>
    <t>00829</t>
  </si>
  <si>
    <t>00830</t>
  </si>
  <si>
    <t>00831</t>
  </si>
  <si>
    <t>00832</t>
  </si>
  <si>
    <t>00833</t>
  </si>
  <si>
    <t>00834</t>
  </si>
  <si>
    <t>00835</t>
  </si>
  <si>
    <t>00836</t>
  </si>
  <si>
    <t>00837</t>
  </si>
  <si>
    <t>00838</t>
  </si>
  <si>
    <t>00839</t>
    <phoneticPr fontId="21"/>
  </si>
  <si>
    <t>00840</t>
  </si>
  <si>
    <t>00841</t>
  </si>
  <si>
    <t>00842</t>
  </si>
  <si>
    <t>00843</t>
  </si>
  <si>
    <t>00844</t>
  </si>
  <si>
    <t>00845</t>
  </si>
  <si>
    <t>00846</t>
  </si>
  <si>
    <t>00847</t>
  </si>
  <si>
    <t>00848</t>
  </si>
  <si>
    <t>00849</t>
  </si>
  <si>
    <t>00850</t>
  </si>
  <si>
    <t>00851</t>
  </si>
  <si>
    <t>00852</t>
  </si>
  <si>
    <t>00853</t>
  </si>
  <si>
    <t>00856</t>
  </si>
  <si>
    <t>00857</t>
  </si>
  <si>
    <t>00859</t>
  </si>
  <si>
    <t>00861</t>
  </si>
  <si>
    <t>00862</t>
  </si>
  <si>
    <t>00865</t>
  </si>
  <si>
    <t>00866</t>
  </si>
  <si>
    <t>00867</t>
  </si>
  <si>
    <t>00868</t>
  </si>
  <si>
    <t>00869</t>
  </si>
  <si>
    <t>00870</t>
  </si>
  <si>
    <t>00871</t>
  </si>
  <si>
    <t>00872</t>
  </si>
  <si>
    <t>00874</t>
  </si>
  <si>
    <t>00876</t>
  </si>
  <si>
    <t>00877</t>
  </si>
  <si>
    <t>00878</t>
  </si>
  <si>
    <t>00879</t>
  </si>
  <si>
    <t>00880</t>
  </si>
  <si>
    <t>00881</t>
  </si>
  <si>
    <t>00882</t>
  </si>
  <si>
    <t>00883</t>
  </si>
  <si>
    <t>00884</t>
  </si>
  <si>
    <t>00885</t>
  </si>
  <si>
    <t>00886</t>
  </si>
  <si>
    <t>00887</t>
  </si>
  <si>
    <t>00888</t>
  </si>
  <si>
    <t>00890</t>
  </si>
  <si>
    <t>00891</t>
  </si>
  <si>
    <t>00892</t>
  </si>
  <si>
    <t>00893</t>
  </si>
  <si>
    <t>00894</t>
  </si>
  <si>
    <t>00895</t>
  </si>
  <si>
    <t>00896</t>
  </si>
  <si>
    <t>00901</t>
  </si>
  <si>
    <t>00902</t>
  </si>
  <si>
    <t>00903</t>
  </si>
  <si>
    <t>00906</t>
  </si>
  <si>
    <t>00908</t>
  </si>
  <si>
    <t>00909</t>
  </si>
  <si>
    <t>00910</t>
  </si>
  <si>
    <t>00912</t>
  </si>
  <si>
    <t>00913</t>
  </si>
  <si>
    <t>00915</t>
  </si>
  <si>
    <t>00916</t>
  </si>
  <si>
    <t>00917</t>
  </si>
  <si>
    <t>00918</t>
  </si>
  <si>
    <t>00919</t>
  </si>
  <si>
    <t>00920</t>
  </si>
  <si>
    <t>00922</t>
  </si>
  <si>
    <t>00923</t>
  </si>
  <si>
    <t>00924</t>
  </si>
  <si>
    <t>00928</t>
  </si>
  <si>
    <t>00929</t>
  </si>
  <si>
    <t>00938</t>
  </si>
  <si>
    <t>00941</t>
  </si>
  <si>
    <t>00943</t>
  </si>
  <si>
    <t>00944</t>
  </si>
  <si>
    <t>00945</t>
  </si>
  <si>
    <t>00946</t>
  </si>
  <si>
    <t>00951</t>
  </si>
  <si>
    <t>00953</t>
  </si>
  <si>
    <t>00955</t>
  </si>
  <si>
    <t>00958</t>
  </si>
  <si>
    <t>00960</t>
  </si>
  <si>
    <t>00961</t>
  </si>
  <si>
    <t>00962</t>
  </si>
  <si>
    <t>00963</t>
  </si>
  <si>
    <t>00964</t>
  </si>
  <si>
    <t>00965</t>
  </si>
  <si>
    <t>00966</t>
  </si>
  <si>
    <t>00967</t>
  </si>
  <si>
    <t>00969</t>
  </si>
  <si>
    <t>00970</t>
  </si>
  <si>
    <t>00972</t>
  </si>
  <si>
    <t>00974</t>
  </si>
  <si>
    <t>00975</t>
  </si>
  <si>
    <t>00976</t>
  </si>
  <si>
    <t>00977</t>
  </si>
  <si>
    <t>00978</t>
  </si>
  <si>
    <t>00979</t>
  </si>
  <si>
    <t>00980</t>
  </si>
  <si>
    <t>00981</t>
  </si>
  <si>
    <t>00982</t>
  </si>
  <si>
    <t>00983</t>
  </si>
  <si>
    <t>00984</t>
  </si>
  <si>
    <t>00985</t>
  </si>
  <si>
    <t>00986</t>
  </si>
  <si>
    <t>00987</t>
  </si>
  <si>
    <t>00988</t>
  </si>
  <si>
    <t>00989</t>
  </si>
  <si>
    <t>00990</t>
  </si>
  <si>
    <t>00991</t>
  </si>
  <si>
    <t>00993</t>
  </si>
  <si>
    <t>00994</t>
  </si>
  <si>
    <t>00995</t>
  </si>
  <si>
    <t>00996</t>
  </si>
  <si>
    <t>00997</t>
  </si>
  <si>
    <t>00998</t>
  </si>
  <si>
    <t>00999</t>
  </si>
  <si>
    <t>01000</t>
  </si>
  <si>
    <t>01001</t>
  </si>
  <si>
    <t>01003</t>
  </si>
  <si>
    <t>01005</t>
  </si>
  <si>
    <t>01006</t>
  </si>
  <si>
    <t>01007</t>
  </si>
  <si>
    <t>01008</t>
  </si>
  <si>
    <t>01009</t>
  </si>
  <si>
    <t>01010</t>
  </si>
  <si>
    <t>01011</t>
  </si>
  <si>
    <t>01012</t>
  </si>
  <si>
    <t>01014</t>
  </si>
  <si>
    <t>01015</t>
  </si>
  <si>
    <t>01016</t>
  </si>
  <si>
    <t>01017</t>
  </si>
  <si>
    <t>01018</t>
  </si>
  <si>
    <t>01019</t>
  </si>
  <si>
    <t>01020</t>
  </si>
  <si>
    <t>01021</t>
  </si>
  <si>
    <t>01022</t>
    <phoneticPr fontId="2"/>
  </si>
  <si>
    <t>01023</t>
  </si>
  <si>
    <t>01024</t>
  </si>
  <si>
    <t>01025</t>
  </si>
  <si>
    <t>01026</t>
  </si>
  <si>
    <t>01027</t>
  </si>
  <si>
    <t>01029</t>
  </si>
  <si>
    <t>01030</t>
  </si>
  <si>
    <t>01031</t>
  </si>
  <si>
    <t>01032</t>
  </si>
  <si>
    <t>01033</t>
  </si>
  <si>
    <t>01034</t>
    <phoneticPr fontId="20"/>
  </si>
  <si>
    <t>01035</t>
  </si>
  <si>
    <t>01036</t>
  </si>
  <si>
    <t>01037</t>
  </si>
  <si>
    <t>01038</t>
  </si>
  <si>
    <t>01039</t>
    <phoneticPr fontId="20"/>
  </si>
  <si>
    <t>01040</t>
  </si>
  <si>
    <t>01041</t>
  </si>
  <si>
    <t>01042</t>
  </si>
  <si>
    <t>01043</t>
  </si>
  <si>
    <t>01044</t>
  </si>
  <si>
    <t>01046</t>
  </si>
  <si>
    <t>01047</t>
  </si>
  <si>
    <t>01049</t>
    <phoneticPr fontId="20"/>
  </si>
  <si>
    <t>01050</t>
  </si>
  <si>
    <t>01051</t>
  </si>
  <si>
    <t>01052</t>
  </si>
  <si>
    <t>01053</t>
    <phoneticPr fontId="20"/>
  </si>
  <si>
    <t>01054</t>
  </si>
  <si>
    <t>01055</t>
  </si>
  <si>
    <t>01056</t>
  </si>
  <si>
    <t>01057</t>
  </si>
  <si>
    <t>01059</t>
  </si>
  <si>
    <t>01060</t>
  </si>
  <si>
    <t>01062</t>
  </si>
  <si>
    <t>01063</t>
  </si>
  <si>
    <t>01064</t>
  </si>
  <si>
    <t>01065</t>
  </si>
  <si>
    <t>01066</t>
  </si>
  <si>
    <t>01067</t>
  </si>
  <si>
    <t>01068</t>
    <phoneticPr fontId="20"/>
  </si>
  <si>
    <t>01069</t>
  </si>
  <si>
    <t>01070</t>
  </si>
  <si>
    <t>01071</t>
    <phoneticPr fontId="20"/>
  </si>
  <si>
    <t>01072</t>
  </si>
  <si>
    <t>01073</t>
    <phoneticPr fontId="20"/>
  </si>
  <si>
    <t>01074</t>
  </si>
  <si>
    <t>01075</t>
  </si>
  <si>
    <t>01076</t>
  </si>
  <si>
    <t>01077</t>
  </si>
  <si>
    <t>01078</t>
  </si>
  <si>
    <t>01079</t>
  </si>
  <si>
    <t>01080</t>
  </si>
  <si>
    <t>01082</t>
  </si>
  <si>
    <t>01083</t>
  </si>
  <si>
    <t>01084</t>
  </si>
  <si>
    <t>01086</t>
  </si>
  <si>
    <t>01087</t>
  </si>
  <si>
    <t>01088</t>
  </si>
  <si>
    <t>01089</t>
  </si>
  <si>
    <t>01090</t>
  </si>
  <si>
    <t>01091</t>
  </si>
  <si>
    <t>01092</t>
  </si>
  <si>
    <t>01093</t>
  </si>
  <si>
    <t>01094</t>
    <phoneticPr fontId="18"/>
  </si>
  <si>
    <t>01095</t>
  </si>
  <si>
    <t>01096</t>
  </si>
  <si>
    <t>01097</t>
  </si>
  <si>
    <t>01098</t>
  </si>
  <si>
    <t>01099</t>
  </si>
  <si>
    <t>01100</t>
  </si>
  <si>
    <t>01101</t>
  </si>
  <si>
    <t>01102</t>
  </si>
  <si>
    <t>01103</t>
  </si>
  <si>
    <t>01104</t>
  </si>
  <si>
    <t>01105</t>
  </si>
  <si>
    <t>01106</t>
  </si>
  <si>
    <t>01107</t>
  </si>
  <si>
    <t>01108</t>
  </si>
  <si>
    <t>01109</t>
  </si>
  <si>
    <t>01110</t>
  </si>
  <si>
    <t>01111</t>
    <phoneticPr fontId="4"/>
  </si>
  <si>
    <t>01113</t>
  </si>
  <si>
    <t>01114</t>
  </si>
  <si>
    <t>01115</t>
  </si>
  <si>
    <t>01116</t>
  </si>
  <si>
    <t>01117</t>
  </si>
  <si>
    <t>01118</t>
  </si>
  <si>
    <t>01119</t>
  </si>
  <si>
    <t>01120</t>
  </si>
  <si>
    <t>01121</t>
  </si>
  <si>
    <t>01122</t>
  </si>
  <si>
    <t>01123</t>
  </si>
  <si>
    <t>01124</t>
  </si>
  <si>
    <t>01125</t>
  </si>
  <si>
    <t>01126</t>
  </si>
  <si>
    <t>01127</t>
  </si>
  <si>
    <t>01128</t>
  </si>
  <si>
    <t>01130</t>
  </si>
  <si>
    <t>01131</t>
  </si>
  <si>
    <t>01132</t>
  </si>
  <si>
    <t>01133</t>
  </si>
  <si>
    <t>01134</t>
  </si>
  <si>
    <t>01135</t>
  </si>
  <si>
    <t>01136</t>
  </si>
  <si>
    <t>01137</t>
  </si>
  <si>
    <t>01138</t>
  </si>
  <si>
    <t>01139</t>
  </si>
  <si>
    <t>01140</t>
  </si>
  <si>
    <t>01141</t>
  </si>
  <si>
    <t>01142</t>
  </si>
  <si>
    <t>01143</t>
  </si>
  <si>
    <t>01144</t>
  </si>
  <si>
    <t>01145</t>
  </si>
  <si>
    <t>01146</t>
  </si>
  <si>
    <t>01147</t>
  </si>
  <si>
    <t>01148</t>
  </si>
  <si>
    <t>01149</t>
  </si>
  <si>
    <t>01150</t>
  </si>
  <si>
    <t>01151</t>
  </si>
  <si>
    <t>01153</t>
  </si>
  <si>
    <t>01154</t>
  </si>
  <si>
    <t>01155</t>
  </si>
  <si>
    <t>01156</t>
  </si>
  <si>
    <t>01157</t>
  </si>
  <si>
    <t>01158</t>
  </si>
  <si>
    <t>01159</t>
  </si>
  <si>
    <t>01160</t>
  </si>
  <si>
    <t>01161</t>
  </si>
  <si>
    <t>01162</t>
  </si>
  <si>
    <t>01163</t>
  </si>
  <si>
    <t>01164</t>
  </si>
  <si>
    <t>01165</t>
  </si>
  <si>
    <t>01166</t>
  </si>
  <si>
    <t>01167</t>
  </si>
  <si>
    <t>01168</t>
  </si>
  <si>
    <t>01169</t>
  </si>
  <si>
    <t>01171</t>
  </si>
  <si>
    <t>01172</t>
    <phoneticPr fontId="1"/>
  </si>
  <si>
    <t>01173</t>
  </si>
  <si>
    <t>01174</t>
  </si>
  <si>
    <t>01175</t>
  </si>
  <si>
    <t>01177</t>
  </si>
  <si>
    <t>01178</t>
  </si>
  <si>
    <t>01179</t>
  </si>
  <si>
    <t>01180</t>
  </si>
  <si>
    <t>01181</t>
  </si>
  <si>
    <t>01182</t>
  </si>
  <si>
    <t>01183</t>
  </si>
  <si>
    <t>01184</t>
  </si>
  <si>
    <t>01185</t>
  </si>
  <si>
    <t>01186</t>
  </si>
  <si>
    <t>01187</t>
  </si>
  <si>
    <t>01188</t>
  </si>
  <si>
    <t>01190</t>
  </si>
  <si>
    <t>01191</t>
    <phoneticPr fontId="20"/>
  </si>
  <si>
    <t>01192</t>
  </si>
  <si>
    <t>01193</t>
  </si>
  <si>
    <t>01195</t>
  </si>
  <si>
    <t>01196</t>
  </si>
  <si>
    <t>01197</t>
  </si>
  <si>
    <t>01198</t>
  </si>
  <si>
    <t>01200</t>
  </si>
  <si>
    <t>01202</t>
  </si>
  <si>
    <t>01203</t>
  </si>
  <si>
    <t>01204</t>
  </si>
  <si>
    <t>01205</t>
  </si>
  <si>
    <t>01206</t>
  </si>
  <si>
    <t>01207</t>
  </si>
  <si>
    <t>01208</t>
  </si>
  <si>
    <t>01209</t>
  </si>
  <si>
    <t>01210</t>
    <phoneticPr fontId="20"/>
  </si>
  <si>
    <t>01211</t>
  </si>
  <si>
    <t>01212</t>
  </si>
  <si>
    <t>01213</t>
  </si>
  <si>
    <t>01215</t>
  </si>
  <si>
    <t>01217</t>
  </si>
  <si>
    <t>01219</t>
  </si>
  <si>
    <t>01220</t>
  </si>
  <si>
    <t>01222</t>
  </si>
  <si>
    <t>01223</t>
  </si>
  <si>
    <t>01224</t>
  </si>
  <si>
    <t>01225</t>
  </si>
  <si>
    <t>01227</t>
  </si>
  <si>
    <t>01228</t>
  </si>
  <si>
    <t>01229</t>
  </si>
  <si>
    <t>01230</t>
  </si>
  <si>
    <t>01231</t>
  </si>
  <si>
    <t>01232</t>
  </si>
  <si>
    <t>01233</t>
  </si>
  <si>
    <t>01234</t>
  </si>
  <si>
    <t>01235</t>
  </si>
  <si>
    <t>01236</t>
  </si>
  <si>
    <t>01237</t>
  </si>
  <si>
    <t>01238</t>
  </si>
  <si>
    <t>01239</t>
  </si>
  <si>
    <t>01240</t>
  </si>
  <si>
    <t>01241</t>
  </si>
  <si>
    <t>01242</t>
  </si>
  <si>
    <t>01244</t>
  </si>
  <si>
    <t>01245</t>
  </si>
  <si>
    <t>01247</t>
  </si>
  <si>
    <t>01248</t>
  </si>
  <si>
    <t>01249</t>
  </si>
  <si>
    <t>01250</t>
  </si>
  <si>
    <t>01251</t>
  </si>
  <si>
    <t>01252</t>
  </si>
  <si>
    <t>01253</t>
  </si>
  <si>
    <t>01254</t>
  </si>
  <si>
    <t>01255</t>
  </si>
  <si>
    <t>01256</t>
  </si>
  <si>
    <t>01258</t>
  </si>
  <si>
    <t>01259</t>
  </si>
  <si>
    <t>01260</t>
  </si>
  <si>
    <t>01261</t>
  </si>
  <si>
    <t>01262</t>
  </si>
  <si>
    <t>01263</t>
  </si>
  <si>
    <t>01264</t>
  </si>
  <si>
    <t>01265</t>
  </si>
  <si>
    <t>01266</t>
  </si>
  <si>
    <t>01267</t>
  </si>
  <si>
    <t>01269</t>
  </si>
  <si>
    <t>01270</t>
  </si>
  <si>
    <t>01271</t>
  </si>
  <si>
    <t>01272</t>
  </si>
  <si>
    <t>01273</t>
  </si>
  <si>
    <t>01274</t>
  </si>
  <si>
    <t>01275</t>
  </si>
  <si>
    <t>01276</t>
  </si>
  <si>
    <t>01277</t>
  </si>
  <si>
    <t>01278</t>
  </si>
  <si>
    <t>01280</t>
  </si>
  <si>
    <t>01281</t>
  </si>
  <si>
    <t>01282</t>
  </si>
  <si>
    <t>01283</t>
  </si>
  <si>
    <t>01284</t>
  </si>
  <si>
    <t>01286</t>
  </si>
  <si>
    <t>01288</t>
  </si>
  <si>
    <t>01289</t>
  </si>
  <si>
    <t>01291</t>
  </si>
  <si>
    <t>01292</t>
  </si>
  <si>
    <t>01293</t>
  </si>
  <si>
    <t>01294</t>
  </si>
  <si>
    <t>01295</t>
  </si>
  <si>
    <t>01297</t>
  </si>
  <si>
    <t>01298</t>
  </si>
  <si>
    <t>01299</t>
  </si>
  <si>
    <t>01300</t>
  </si>
  <si>
    <t>01301</t>
  </si>
  <si>
    <t>01302</t>
  </si>
  <si>
    <t>01303</t>
  </si>
  <si>
    <t>01304</t>
  </si>
  <si>
    <t>01305</t>
  </si>
  <si>
    <t>01306</t>
  </si>
  <si>
    <t>01307</t>
  </si>
  <si>
    <t>01308</t>
  </si>
  <si>
    <t>01309</t>
  </si>
  <si>
    <t>01310</t>
  </si>
  <si>
    <t>01311</t>
  </si>
  <si>
    <t>01312</t>
  </si>
  <si>
    <t>01314</t>
  </si>
  <si>
    <t>01315</t>
  </si>
  <si>
    <t>01316</t>
    <phoneticPr fontId="21"/>
  </si>
  <si>
    <t>01317</t>
  </si>
  <si>
    <t>01318</t>
  </si>
  <si>
    <t>01321</t>
  </si>
  <si>
    <t>01322</t>
  </si>
  <si>
    <t>01324</t>
  </si>
  <si>
    <t>01325</t>
  </si>
  <si>
    <t>01326</t>
  </si>
  <si>
    <t>01327</t>
  </si>
  <si>
    <t>01328</t>
  </si>
  <si>
    <t>01329</t>
  </si>
  <si>
    <t>01331</t>
  </si>
  <si>
    <t>01333</t>
  </si>
  <si>
    <t>01334</t>
  </si>
  <si>
    <t>01335</t>
  </si>
  <si>
    <t>01336</t>
  </si>
  <si>
    <t>01337</t>
  </si>
  <si>
    <t>01338</t>
  </si>
  <si>
    <t>01339</t>
  </si>
  <si>
    <t>01349</t>
  </si>
  <si>
    <t>01350</t>
  </si>
  <si>
    <t>01351</t>
  </si>
  <si>
    <t>01352</t>
    <phoneticPr fontId="20"/>
  </si>
  <si>
    <t>01354</t>
  </si>
  <si>
    <t>01355</t>
  </si>
  <si>
    <t>01356</t>
  </si>
  <si>
    <t>01357</t>
  </si>
  <si>
    <t>01358</t>
  </si>
  <si>
    <t>01359</t>
  </si>
  <si>
    <t>01360</t>
  </si>
  <si>
    <t>01361</t>
  </si>
  <si>
    <t>01362</t>
  </si>
  <si>
    <t>01363</t>
  </si>
  <si>
    <t>01364</t>
  </si>
  <si>
    <t>01365</t>
  </si>
  <si>
    <t>01366</t>
  </si>
  <si>
    <t>01367</t>
  </si>
  <si>
    <t>01368</t>
  </si>
  <si>
    <t>01369</t>
    <phoneticPr fontId="21"/>
  </si>
  <si>
    <t>01370</t>
  </si>
  <si>
    <t>01371</t>
  </si>
  <si>
    <t>01372</t>
  </si>
  <si>
    <t>01373</t>
  </si>
  <si>
    <t>01374</t>
  </si>
  <si>
    <t>01375</t>
  </si>
  <si>
    <t>01376</t>
  </si>
  <si>
    <t>01377</t>
  </si>
  <si>
    <t>01378</t>
  </si>
  <si>
    <t>01381</t>
  </si>
  <si>
    <t>01383</t>
  </si>
  <si>
    <t>01384</t>
  </si>
  <si>
    <t>01386</t>
  </si>
  <si>
    <t>01387</t>
  </si>
  <si>
    <t>01389</t>
  </si>
  <si>
    <t>01390</t>
  </si>
  <si>
    <t>01391</t>
  </si>
  <si>
    <t>01392</t>
  </si>
  <si>
    <t>01393</t>
  </si>
  <si>
    <t>01394</t>
  </si>
  <si>
    <t>01395</t>
  </si>
  <si>
    <t>01396</t>
  </si>
  <si>
    <t>01401</t>
  </si>
  <si>
    <t>01402</t>
  </si>
  <si>
    <t>01403</t>
  </si>
  <si>
    <t>01404</t>
    <phoneticPr fontId="18"/>
  </si>
  <si>
    <t>01405</t>
  </si>
  <si>
    <t>01406</t>
  </si>
  <si>
    <t>01407</t>
  </si>
  <si>
    <t>01408</t>
  </si>
  <si>
    <t>01411</t>
  </si>
  <si>
    <t>01412</t>
  </si>
  <si>
    <t>01413</t>
  </si>
  <si>
    <t>01414</t>
  </si>
  <si>
    <t>01415</t>
  </si>
  <si>
    <t>01416</t>
  </si>
  <si>
    <t>01417</t>
  </si>
  <si>
    <t>01418</t>
  </si>
  <si>
    <t>01419</t>
    <phoneticPr fontId="21"/>
  </si>
  <si>
    <t>01420</t>
  </si>
  <si>
    <t>01421</t>
  </si>
  <si>
    <t>01422</t>
  </si>
  <si>
    <t>01424</t>
  </si>
  <si>
    <t>01425</t>
  </si>
  <si>
    <t>01426</t>
    <phoneticPr fontId="1"/>
  </si>
  <si>
    <t>01427</t>
  </si>
  <si>
    <t>01428</t>
  </si>
  <si>
    <t>01429</t>
  </si>
  <si>
    <t>01430</t>
  </si>
  <si>
    <t>01431</t>
  </si>
  <si>
    <t>01432</t>
  </si>
  <si>
    <t>01433</t>
    <phoneticPr fontId="1"/>
  </si>
  <si>
    <t>01434</t>
    <phoneticPr fontId="1"/>
  </si>
  <si>
    <t>01435</t>
  </si>
  <si>
    <t>01437</t>
  </si>
  <si>
    <t>01438</t>
  </si>
  <si>
    <t>01439</t>
  </si>
  <si>
    <t>01440</t>
  </si>
  <si>
    <t>01441</t>
  </si>
  <si>
    <t>01443</t>
  </si>
  <si>
    <t>01444</t>
  </si>
  <si>
    <t>01445</t>
  </si>
  <si>
    <t>01446</t>
  </si>
  <si>
    <t>01447</t>
  </si>
  <si>
    <t>01448</t>
  </si>
  <si>
    <t>01450</t>
  </si>
  <si>
    <t>01451</t>
  </si>
  <si>
    <t>01452</t>
  </si>
  <si>
    <t>01453</t>
  </si>
  <si>
    <t>01454</t>
  </si>
  <si>
    <t>01456</t>
  </si>
  <si>
    <t>01459</t>
  </si>
  <si>
    <t>01460</t>
  </si>
  <si>
    <t>01461</t>
  </si>
  <si>
    <t>01462</t>
  </si>
  <si>
    <t>01463</t>
  </si>
  <si>
    <t>01464</t>
  </si>
  <si>
    <t>01465</t>
  </si>
  <si>
    <t>01466</t>
  </si>
  <si>
    <t>01467</t>
  </si>
  <si>
    <t>01468</t>
  </si>
  <si>
    <t>01470</t>
  </si>
  <si>
    <t>01471</t>
  </si>
  <si>
    <t>01473</t>
    <phoneticPr fontId="1"/>
  </si>
  <si>
    <t>01474</t>
  </si>
  <si>
    <t>01475</t>
  </si>
  <si>
    <t>01477</t>
  </si>
  <si>
    <t>01478</t>
  </si>
  <si>
    <t>01480</t>
  </si>
  <si>
    <t>01481</t>
  </si>
  <si>
    <t>01482</t>
  </si>
  <si>
    <t>01483</t>
  </si>
  <si>
    <t>01484</t>
  </si>
  <si>
    <t>01485</t>
  </si>
  <si>
    <t>01486</t>
  </si>
  <si>
    <t>01487</t>
  </si>
  <si>
    <t>01488</t>
  </si>
  <si>
    <t>01489</t>
  </si>
  <si>
    <t>01491</t>
  </si>
  <si>
    <t>01492</t>
  </si>
  <si>
    <t>01493</t>
  </si>
  <si>
    <t>01494</t>
  </si>
  <si>
    <t>01495</t>
  </si>
  <si>
    <t>01496</t>
  </si>
  <si>
    <t>01497</t>
  </si>
  <si>
    <t>01498</t>
  </si>
  <si>
    <t>01499</t>
  </si>
  <si>
    <t>01500</t>
  </si>
  <si>
    <t>01501</t>
  </si>
  <si>
    <t>01502</t>
  </si>
  <si>
    <t>01503</t>
  </si>
  <si>
    <t>01504</t>
  </si>
  <si>
    <t>01506</t>
  </si>
  <si>
    <t>01507</t>
  </si>
  <si>
    <t>01508</t>
  </si>
  <si>
    <t>01509</t>
    <phoneticPr fontId="1"/>
  </si>
  <si>
    <t>01510</t>
  </si>
  <si>
    <t>01511</t>
  </si>
  <si>
    <t>01512</t>
  </si>
  <si>
    <t>01514</t>
  </si>
  <si>
    <t>01515</t>
  </si>
  <si>
    <t>01517</t>
  </si>
  <si>
    <t>01518</t>
  </si>
  <si>
    <t>01520</t>
  </si>
  <si>
    <t>01521</t>
  </si>
  <si>
    <t>01523</t>
  </si>
  <si>
    <t>01526</t>
  </si>
  <si>
    <t>01527</t>
  </si>
  <si>
    <t>01528</t>
  </si>
  <si>
    <t>01529</t>
  </si>
  <si>
    <t>01530</t>
  </si>
  <si>
    <t>01531</t>
  </si>
  <si>
    <t>01532</t>
  </si>
  <si>
    <t>01534</t>
  </si>
  <si>
    <t>01535</t>
  </si>
  <si>
    <t>01538</t>
  </si>
  <si>
    <t>01539</t>
  </si>
  <si>
    <t>01540</t>
  </si>
  <si>
    <t>01541</t>
  </si>
  <si>
    <t>01542</t>
  </si>
  <si>
    <t>01543</t>
  </si>
  <si>
    <t>01544</t>
  </si>
  <si>
    <t>01545</t>
  </si>
  <si>
    <t>01546</t>
  </si>
  <si>
    <t>01548</t>
  </si>
  <si>
    <t>01549</t>
  </si>
  <si>
    <t>01550</t>
  </si>
  <si>
    <t>01551</t>
  </si>
  <si>
    <t>01552</t>
  </si>
  <si>
    <t>01553</t>
  </si>
  <si>
    <t>01554</t>
  </si>
  <si>
    <t>01555</t>
  </si>
  <si>
    <t>01556</t>
  </si>
  <si>
    <t>01557</t>
  </si>
  <si>
    <t>01558</t>
  </si>
  <si>
    <t>01559</t>
  </si>
  <si>
    <t>01561</t>
  </si>
  <si>
    <t>01562</t>
  </si>
  <si>
    <t>01563</t>
  </si>
  <si>
    <t>01565</t>
  </si>
  <si>
    <t>01566</t>
  </si>
  <si>
    <t>01567</t>
  </si>
  <si>
    <t>01568</t>
  </si>
  <si>
    <t>01569</t>
  </si>
  <si>
    <t>01572</t>
  </si>
  <si>
    <t>01573</t>
  </si>
  <si>
    <t>01574</t>
  </si>
  <si>
    <t>01576</t>
  </si>
  <si>
    <t>01579</t>
  </si>
  <si>
    <t>01580</t>
  </si>
  <si>
    <t>01582</t>
  </si>
  <si>
    <t>01583</t>
  </si>
  <si>
    <t>01585</t>
  </si>
  <si>
    <t>01586</t>
  </si>
  <si>
    <t>01587</t>
  </si>
  <si>
    <t>01588</t>
  </si>
  <si>
    <t>01590</t>
  </si>
  <si>
    <t>01591</t>
  </si>
  <si>
    <t>01592</t>
  </si>
  <si>
    <t>01594</t>
  </si>
  <si>
    <t>01595</t>
  </si>
  <si>
    <t>01596</t>
  </si>
  <si>
    <t>01597</t>
  </si>
  <si>
    <t>01598</t>
  </si>
  <si>
    <t>01600</t>
  </si>
  <si>
    <t>01602</t>
  </si>
  <si>
    <t>01604</t>
  </si>
  <si>
    <t>01607</t>
  </si>
  <si>
    <t>01608</t>
  </si>
  <si>
    <t>01610</t>
  </si>
  <si>
    <t>01612</t>
  </si>
  <si>
    <t>01613</t>
  </si>
  <si>
    <t>01614</t>
  </si>
  <si>
    <t>01615</t>
  </si>
  <si>
    <t>01616</t>
  </si>
  <si>
    <t>01617</t>
  </si>
  <si>
    <t>01618</t>
  </si>
  <si>
    <t>01619</t>
  </si>
  <si>
    <t>01620</t>
  </si>
  <si>
    <t>01621</t>
  </si>
  <si>
    <t>01622</t>
  </si>
  <si>
    <t>01623</t>
  </si>
  <si>
    <t>01625</t>
  </si>
  <si>
    <t>01626</t>
  </si>
  <si>
    <t>01627</t>
  </si>
  <si>
    <t>01629</t>
  </si>
  <si>
    <t>01630</t>
  </si>
  <si>
    <t>01631</t>
  </si>
  <si>
    <t>01635</t>
  </si>
  <si>
    <t>01637</t>
  </si>
  <si>
    <t>01639</t>
  </si>
  <si>
    <t>01640</t>
  </si>
  <si>
    <t>01641</t>
  </si>
  <si>
    <t>01643</t>
  </si>
  <si>
    <t>01644</t>
    <phoneticPr fontId="4"/>
  </si>
  <si>
    <t>01645</t>
  </si>
  <si>
    <t>01650</t>
    <phoneticPr fontId="18"/>
  </si>
  <si>
    <t>01652</t>
  </si>
  <si>
    <t>01653</t>
  </si>
  <si>
    <t>01654</t>
  </si>
  <si>
    <t>01655</t>
  </si>
  <si>
    <t>01657</t>
  </si>
  <si>
    <t>01658</t>
  </si>
  <si>
    <t>01659</t>
  </si>
  <si>
    <t>01660</t>
  </si>
  <si>
    <t>01661</t>
  </si>
  <si>
    <t>01663</t>
  </si>
  <si>
    <t>01664</t>
  </si>
  <si>
    <t>01665</t>
  </si>
  <si>
    <t>01668</t>
  </si>
  <si>
    <t>01669</t>
  </si>
  <si>
    <t>01670</t>
  </si>
  <si>
    <t>01671</t>
    <phoneticPr fontId="4"/>
  </si>
  <si>
    <t>01672</t>
  </si>
  <si>
    <t>01674</t>
  </si>
  <si>
    <t>01675</t>
  </si>
  <si>
    <t>01676</t>
  </si>
  <si>
    <t>01677</t>
  </si>
  <si>
    <t>01678</t>
  </si>
  <si>
    <t>01679</t>
  </si>
  <si>
    <t>01680</t>
  </si>
  <si>
    <t>01681</t>
  </si>
  <si>
    <t>01683</t>
  </si>
  <si>
    <t>01684</t>
  </si>
  <si>
    <t>01685</t>
  </si>
  <si>
    <t>01686</t>
  </si>
  <si>
    <t>01687</t>
  </si>
  <si>
    <t>01688</t>
  </si>
  <si>
    <t>01689</t>
  </si>
  <si>
    <t>01690</t>
  </si>
  <si>
    <t>01691</t>
  </si>
  <si>
    <t>01692</t>
  </si>
  <si>
    <t>01693</t>
  </si>
  <si>
    <t>01694</t>
  </si>
  <si>
    <t>01695</t>
  </si>
  <si>
    <t>01697</t>
  </si>
  <si>
    <t>01698</t>
  </si>
  <si>
    <t>01699</t>
  </si>
  <si>
    <t>01700</t>
  </si>
  <si>
    <t>01701</t>
  </si>
  <si>
    <t>01702</t>
  </si>
  <si>
    <t>01703</t>
  </si>
  <si>
    <t>01704</t>
  </si>
  <si>
    <t>01705</t>
  </si>
  <si>
    <t>01706</t>
  </si>
  <si>
    <t>01709</t>
  </si>
  <si>
    <t>01711</t>
  </si>
  <si>
    <t>01715</t>
  </si>
  <si>
    <t>01717</t>
  </si>
  <si>
    <t>01718</t>
  </si>
  <si>
    <t>01720</t>
  </si>
  <si>
    <t>01721</t>
  </si>
  <si>
    <t>01724</t>
  </si>
  <si>
    <t>01725</t>
  </si>
  <si>
    <t>01727</t>
  </si>
  <si>
    <t>01728</t>
  </si>
  <si>
    <t>01729</t>
  </si>
  <si>
    <t>01730</t>
  </si>
  <si>
    <t>01731</t>
  </si>
  <si>
    <t>01732</t>
  </si>
  <si>
    <t>01733</t>
  </si>
  <si>
    <t>01734</t>
  </si>
  <si>
    <t>01735</t>
  </si>
  <si>
    <t>01736</t>
  </si>
  <si>
    <t>01738</t>
  </si>
  <si>
    <t>01739</t>
  </si>
  <si>
    <t>01741</t>
  </si>
  <si>
    <t>01742</t>
  </si>
  <si>
    <t>01743</t>
  </si>
  <si>
    <t>01744</t>
  </si>
  <si>
    <t>01745</t>
  </si>
  <si>
    <t>01746</t>
  </si>
  <si>
    <t>01748</t>
  </si>
  <si>
    <t>01749</t>
  </si>
  <si>
    <t>01750</t>
  </si>
  <si>
    <t>01752</t>
  </si>
  <si>
    <t>01753</t>
  </si>
  <si>
    <t>01754</t>
  </si>
  <si>
    <t>01755</t>
  </si>
  <si>
    <t>01756</t>
  </si>
  <si>
    <t>01757</t>
  </si>
  <si>
    <t>01758</t>
  </si>
  <si>
    <t>01760</t>
  </si>
  <si>
    <t>01761</t>
  </si>
  <si>
    <t>01762</t>
  </si>
  <si>
    <t>01763</t>
  </si>
  <si>
    <t>01764</t>
    <phoneticPr fontId="18"/>
  </si>
  <si>
    <t>01768</t>
  </si>
  <si>
    <t>01769</t>
  </si>
  <si>
    <t>01770</t>
    <phoneticPr fontId="20"/>
  </si>
  <si>
    <t>01771</t>
  </si>
  <si>
    <t>01772</t>
  </si>
  <si>
    <t>01773</t>
  </si>
  <si>
    <t>01774</t>
  </si>
  <si>
    <t>01776</t>
  </si>
  <si>
    <t>01777</t>
  </si>
  <si>
    <t>01778</t>
  </si>
  <si>
    <t>01779</t>
  </si>
  <si>
    <t>01782</t>
  </si>
  <si>
    <t>01783</t>
  </si>
  <si>
    <t>01784</t>
  </si>
  <si>
    <t>01786</t>
  </si>
  <si>
    <t>01787</t>
  </si>
  <si>
    <t>01788</t>
    <phoneticPr fontId="1"/>
  </si>
  <si>
    <t>01789</t>
  </si>
  <si>
    <t>01790</t>
  </si>
  <si>
    <t>01791</t>
    <phoneticPr fontId="1"/>
  </si>
  <si>
    <t>01792</t>
  </si>
  <si>
    <t>01793</t>
  </si>
  <si>
    <t>01794</t>
  </si>
  <si>
    <t>01795</t>
  </si>
  <si>
    <t>01796</t>
  </si>
  <si>
    <t>01797</t>
  </si>
  <si>
    <t>01798</t>
  </si>
  <si>
    <t>01799</t>
  </si>
  <si>
    <t>01801</t>
  </si>
  <si>
    <t>01802</t>
  </si>
  <si>
    <t>01803</t>
  </si>
  <si>
    <t>01805</t>
  </si>
  <si>
    <t>01806</t>
  </si>
  <si>
    <t>01808</t>
  </si>
  <si>
    <t>01811</t>
  </si>
  <si>
    <t>01812</t>
  </si>
  <si>
    <t>01813</t>
  </si>
  <si>
    <t>01814</t>
  </si>
  <si>
    <t>01815</t>
  </si>
  <si>
    <t>01816</t>
  </si>
  <si>
    <t>01818</t>
  </si>
  <si>
    <t>01824</t>
  </si>
  <si>
    <t>01825</t>
  </si>
  <si>
    <t>01826</t>
  </si>
  <si>
    <t>01827</t>
  </si>
  <si>
    <t>01829</t>
  </si>
  <si>
    <t>01830</t>
  </si>
  <si>
    <t>01832</t>
  </si>
  <si>
    <t>01833</t>
  </si>
  <si>
    <t>01834</t>
  </si>
  <si>
    <t>01835</t>
  </si>
  <si>
    <t>01836</t>
  </si>
  <si>
    <t>01837</t>
  </si>
  <si>
    <t>01839</t>
  </si>
  <si>
    <t>01840</t>
  </si>
  <si>
    <t>01841</t>
  </si>
  <si>
    <t>01842</t>
  </si>
  <si>
    <t>01843</t>
  </si>
  <si>
    <t>01844</t>
  </si>
  <si>
    <t>01845</t>
  </si>
  <si>
    <t>01846</t>
  </si>
  <si>
    <t>01848</t>
  </si>
  <si>
    <t>01849</t>
  </si>
  <si>
    <t>01850</t>
  </si>
  <si>
    <t>01851</t>
  </si>
  <si>
    <t>01852</t>
  </si>
  <si>
    <t>01853</t>
  </si>
  <si>
    <t>01855</t>
  </si>
  <si>
    <t>01856</t>
  </si>
  <si>
    <t>01858</t>
  </si>
  <si>
    <t>01859</t>
  </si>
  <si>
    <t>01860</t>
  </si>
  <si>
    <t>01862</t>
  </si>
  <si>
    <t>01863</t>
  </si>
  <si>
    <t>01864</t>
  </si>
  <si>
    <t>01865</t>
  </si>
  <si>
    <t>01866</t>
  </si>
  <si>
    <t>01867</t>
  </si>
  <si>
    <t>01868</t>
  </si>
  <si>
    <t>01869</t>
  </si>
  <si>
    <t>01870</t>
  </si>
  <si>
    <t>01871</t>
  </si>
  <si>
    <t>01872</t>
  </si>
  <si>
    <t>01874</t>
  </si>
  <si>
    <t>01875</t>
  </si>
  <si>
    <t>01876</t>
  </si>
  <si>
    <t>01877</t>
  </si>
  <si>
    <t>01878</t>
  </si>
  <si>
    <t>01879</t>
  </si>
  <si>
    <t>01880</t>
  </si>
  <si>
    <t>01882</t>
  </si>
  <si>
    <t>01884</t>
  </si>
  <si>
    <t>01885</t>
  </si>
  <si>
    <t>01886</t>
  </si>
  <si>
    <t>01889</t>
  </si>
  <si>
    <t>01890</t>
  </si>
  <si>
    <t>01891</t>
  </si>
  <si>
    <t>01892</t>
  </si>
  <si>
    <t>01893</t>
  </si>
  <si>
    <t>01894</t>
  </si>
  <si>
    <t>01895</t>
  </si>
  <si>
    <t>01896</t>
  </si>
  <si>
    <t>01898</t>
  </si>
  <si>
    <t>01899</t>
  </si>
  <si>
    <t>01900</t>
  </si>
  <si>
    <t>01901</t>
  </si>
  <si>
    <t>01902</t>
    <phoneticPr fontId="1"/>
  </si>
  <si>
    <t>01903</t>
  </si>
  <si>
    <t>01904</t>
  </si>
  <si>
    <t>01906</t>
  </si>
  <si>
    <t>01907</t>
  </si>
  <si>
    <t>01910</t>
  </si>
  <si>
    <t>01912</t>
  </si>
  <si>
    <t>01913</t>
  </si>
  <si>
    <t>01914</t>
  </si>
  <si>
    <t>01915</t>
  </si>
  <si>
    <t>01917</t>
    <phoneticPr fontId="18"/>
  </si>
  <si>
    <t>01918</t>
  </si>
  <si>
    <t>01919</t>
    <phoneticPr fontId="1"/>
  </si>
  <si>
    <t>01920</t>
  </si>
  <si>
    <t>01921</t>
  </si>
  <si>
    <t>01922</t>
  </si>
  <si>
    <t>01923</t>
  </si>
  <si>
    <t>01924</t>
    <phoneticPr fontId="1"/>
  </si>
  <si>
    <t>01925</t>
  </si>
  <si>
    <t>01926</t>
    <phoneticPr fontId="20"/>
  </si>
  <si>
    <t>01927</t>
    <phoneticPr fontId="20"/>
  </si>
  <si>
    <t>01928</t>
  </si>
  <si>
    <t>01929</t>
  </si>
  <si>
    <t>01930</t>
  </si>
  <si>
    <t>01931</t>
  </si>
  <si>
    <t>01933</t>
  </si>
  <si>
    <t>01934</t>
  </si>
  <si>
    <t>01935</t>
  </si>
  <si>
    <t>01936</t>
  </si>
  <si>
    <t>01937</t>
  </si>
  <si>
    <t>01938</t>
  </si>
  <si>
    <t>01939</t>
  </si>
  <si>
    <t>01941</t>
  </si>
  <si>
    <t>01942</t>
  </si>
  <si>
    <t>01943</t>
    <phoneticPr fontId="18"/>
  </si>
  <si>
    <t>01945</t>
  </si>
  <si>
    <t>01947</t>
  </si>
  <si>
    <t>01948</t>
  </si>
  <si>
    <t>01949</t>
  </si>
  <si>
    <t>01950</t>
  </si>
  <si>
    <t>01951</t>
  </si>
  <si>
    <t>01952</t>
  </si>
  <si>
    <t>01954</t>
  </si>
  <si>
    <t>01955</t>
  </si>
  <si>
    <t>01956</t>
  </si>
  <si>
    <t>01957</t>
  </si>
  <si>
    <t>01958</t>
  </si>
  <si>
    <t>01959</t>
  </si>
  <si>
    <t>01960</t>
  </si>
  <si>
    <t>01961</t>
  </si>
  <si>
    <t>01962</t>
  </si>
  <si>
    <t>01963</t>
  </si>
  <si>
    <t>01964</t>
  </si>
  <si>
    <t>01965</t>
  </si>
  <si>
    <t>01966</t>
  </si>
  <si>
    <t>01967</t>
  </si>
  <si>
    <t>01968</t>
  </si>
  <si>
    <t>01969</t>
  </si>
  <si>
    <t>01970</t>
  </si>
  <si>
    <t>01971</t>
  </si>
  <si>
    <t>01972</t>
  </si>
  <si>
    <t>01973</t>
  </si>
  <si>
    <t>01974</t>
  </si>
  <si>
    <t>01975</t>
  </si>
  <si>
    <t>01978</t>
  </si>
  <si>
    <t>01979</t>
  </si>
  <si>
    <t>01980</t>
  </si>
  <si>
    <t>01981</t>
  </si>
  <si>
    <t>01983</t>
  </si>
  <si>
    <t>01984</t>
  </si>
  <si>
    <t>01985</t>
  </si>
  <si>
    <t>01987</t>
  </si>
  <si>
    <t>01990</t>
  </si>
  <si>
    <t>01992</t>
  </si>
  <si>
    <t>01994</t>
  </si>
  <si>
    <t>01997</t>
  </si>
  <si>
    <t>01998</t>
  </si>
  <si>
    <t>02001</t>
  </si>
  <si>
    <t>02003</t>
  </si>
  <si>
    <t>02008</t>
  </si>
  <si>
    <t>02009</t>
  </si>
  <si>
    <t>02010</t>
  </si>
  <si>
    <t>02013</t>
    <phoneticPr fontId="20"/>
  </si>
  <si>
    <t>02014</t>
    <phoneticPr fontId="20"/>
  </si>
  <si>
    <t>02015</t>
  </si>
  <si>
    <t>02016</t>
  </si>
  <si>
    <t>02020</t>
  </si>
  <si>
    <t>02021</t>
  </si>
  <si>
    <t>02025</t>
    <phoneticPr fontId="20"/>
  </si>
  <si>
    <t>02026</t>
    <phoneticPr fontId="20"/>
  </si>
  <si>
    <t>02029</t>
  </si>
  <si>
    <t>02030</t>
  </si>
  <si>
    <t>02031</t>
  </si>
  <si>
    <t>02034</t>
  </si>
  <si>
    <t>02035</t>
  </si>
  <si>
    <t>02036</t>
    <phoneticPr fontId="1"/>
  </si>
  <si>
    <t>02037</t>
    <phoneticPr fontId="1"/>
  </si>
  <si>
    <t>02038</t>
  </si>
  <si>
    <t>02040</t>
  </si>
  <si>
    <t>02041</t>
  </si>
  <si>
    <t>02043</t>
  </si>
  <si>
    <t>02044</t>
  </si>
  <si>
    <t>02045</t>
  </si>
  <si>
    <t>02047</t>
  </si>
  <si>
    <t>02048</t>
  </si>
  <si>
    <t>02049</t>
  </si>
  <si>
    <t>02050</t>
  </si>
  <si>
    <t>02051</t>
  </si>
  <si>
    <t>02052</t>
  </si>
  <si>
    <t>02055</t>
  </si>
  <si>
    <t>02056</t>
  </si>
  <si>
    <t>02057</t>
  </si>
  <si>
    <t>02059</t>
  </si>
  <si>
    <t>02061</t>
  </si>
  <si>
    <t>02062</t>
  </si>
  <si>
    <t>02063</t>
  </si>
  <si>
    <t>02065</t>
  </si>
  <si>
    <t>02066</t>
  </si>
  <si>
    <t>02067</t>
  </si>
  <si>
    <t>02069</t>
  </si>
  <si>
    <t>02071</t>
  </si>
  <si>
    <t>02072</t>
  </si>
  <si>
    <t>02075</t>
  </si>
  <si>
    <t>02076</t>
  </si>
  <si>
    <t>02077</t>
  </si>
  <si>
    <t>02078</t>
  </si>
  <si>
    <t>02079</t>
  </si>
  <si>
    <t>02080</t>
  </si>
  <si>
    <t>02081</t>
  </si>
  <si>
    <t>02084</t>
  </si>
  <si>
    <t>02085</t>
  </si>
  <si>
    <t>02087</t>
  </si>
  <si>
    <t>02091</t>
  </si>
  <si>
    <t>02092</t>
  </si>
  <si>
    <t>02093</t>
  </si>
  <si>
    <t>02094</t>
  </si>
  <si>
    <t>02095</t>
  </si>
  <si>
    <t>02097</t>
  </si>
  <si>
    <t>02098</t>
  </si>
  <si>
    <t>02101</t>
  </si>
  <si>
    <t>02103</t>
  </si>
  <si>
    <t>02105</t>
  </si>
  <si>
    <t>02106</t>
  </si>
  <si>
    <t>02107</t>
  </si>
  <si>
    <t>02108</t>
  </si>
  <si>
    <t>02109</t>
  </si>
  <si>
    <t>02110</t>
  </si>
  <si>
    <t>02111</t>
  </si>
  <si>
    <t>02113</t>
  </si>
  <si>
    <t>02115</t>
  </si>
  <si>
    <t>02116</t>
  </si>
  <si>
    <t>02118</t>
  </si>
  <si>
    <t>02119</t>
  </si>
  <si>
    <t>02121</t>
  </si>
  <si>
    <t>02122</t>
  </si>
  <si>
    <t>02124</t>
  </si>
  <si>
    <t>02125</t>
  </si>
  <si>
    <t>02126</t>
  </si>
  <si>
    <t>02127</t>
  </si>
  <si>
    <t>02128</t>
  </si>
  <si>
    <t>02130</t>
  </si>
  <si>
    <t>02131</t>
  </si>
  <si>
    <t>02132</t>
  </si>
  <si>
    <t>02135</t>
  </si>
  <si>
    <t>02136</t>
  </si>
  <si>
    <t>02137</t>
  </si>
  <si>
    <t>02138</t>
  </si>
  <si>
    <t>02139</t>
  </si>
  <si>
    <t>02140</t>
  </si>
  <si>
    <t>02141</t>
  </si>
  <si>
    <t>02142</t>
  </si>
  <si>
    <t>02143</t>
  </si>
  <si>
    <t>02144</t>
  </si>
  <si>
    <t>02145</t>
  </si>
  <si>
    <t>02148</t>
  </si>
  <si>
    <t>02149</t>
  </si>
  <si>
    <t>02150</t>
  </si>
  <si>
    <t>02151</t>
  </si>
  <si>
    <t>02157</t>
  </si>
  <si>
    <t>02158</t>
  </si>
  <si>
    <t>02159</t>
  </si>
  <si>
    <t>02161</t>
  </si>
  <si>
    <t>02162</t>
  </si>
  <si>
    <t>02163</t>
  </si>
  <si>
    <t>02164</t>
  </si>
  <si>
    <t>02165</t>
  </si>
  <si>
    <t>02166</t>
  </si>
  <si>
    <t>02169</t>
  </si>
  <si>
    <t>02170</t>
  </si>
  <si>
    <t>02171</t>
  </si>
  <si>
    <t>02173</t>
  </si>
  <si>
    <t>02175</t>
  </si>
  <si>
    <t>02176</t>
  </si>
  <si>
    <t>02177</t>
  </si>
  <si>
    <t>02178</t>
  </si>
  <si>
    <t>02180</t>
  </si>
  <si>
    <t>02183</t>
  </si>
  <si>
    <t>02185</t>
  </si>
  <si>
    <t>02187</t>
  </si>
  <si>
    <t>02188</t>
  </si>
  <si>
    <t>02189</t>
  </si>
  <si>
    <t>02190</t>
  </si>
  <si>
    <t>02191</t>
  </si>
  <si>
    <t>02192</t>
  </si>
  <si>
    <t>02193</t>
  </si>
  <si>
    <t>02194</t>
  </si>
  <si>
    <t>02196</t>
  </si>
  <si>
    <t>02197</t>
  </si>
  <si>
    <t>02199</t>
  </si>
  <si>
    <t>02200</t>
  </si>
  <si>
    <t>02201</t>
  </si>
  <si>
    <t>02202</t>
  </si>
  <si>
    <t>02203</t>
  </si>
  <si>
    <t>02205</t>
  </si>
  <si>
    <t>02206</t>
  </si>
  <si>
    <t>02207</t>
  </si>
  <si>
    <t>02208</t>
  </si>
  <si>
    <t>02209</t>
  </si>
  <si>
    <t>02210</t>
  </si>
  <si>
    <t>02211</t>
  </si>
  <si>
    <t>02213</t>
    <phoneticPr fontId="21"/>
  </si>
  <si>
    <t>02214</t>
  </si>
  <si>
    <t>02215</t>
  </si>
  <si>
    <t>02216</t>
  </si>
  <si>
    <t>02218</t>
  </si>
  <si>
    <t>02221</t>
  </si>
  <si>
    <t>02222</t>
  </si>
  <si>
    <t>02223</t>
  </si>
  <si>
    <t>02224</t>
  </si>
  <si>
    <t>02226</t>
  </si>
  <si>
    <t>02227</t>
  </si>
  <si>
    <t>02228</t>
  </si>
  <si>
    <t>02229</t>
  </si>
  <si>
    <t>02230</t>
  </si>
  <si>
    <t>02231</t>
  </si>
  <si>
    <t>02233</t>
    <phoneticPr fontId="20"/>
  </si>
  <si>
    <t>02235</t>
    <phoneticPr fontId="20"/>
  </si>
  <si>
    <t>02236</t>
    <phoneticPr fontId="1"/>
  </si>
  <si>
    <t>02237</t>
  </si>
  <si>
    <t>02238</t>
  </si>
  <si>
    <t>02239</t>
    <phoneticPr fontId="1"/>
  </si>
  <si>
    <t>02240</t>
  </si>
  <si>
    <t>02243</t>
  </si>
  <si>
    <t>02245</t>
  </si>
  <si>
    <t>02246</t>
  </si>
  <si>
    <t>02247</t>
  </si>
  <si>
    <t>02248</t>
  </si>
  <si>
    <t>02250</t>
  </si>
  <si>
    <t>02251</t>
  </si>
  <si>
    <t>02252</t>
  </si>
  <si>
    <t>02253</t>
  </si>
  <si>
    <t>02254</t>
  </si>
  <si>
    <t>02256</t>
  </si>
  <si>
    <t>02257</t>
  </si>
  <si>
    <t>02258</t>
  </si>
  <si>
    <t>02259</t>
  </si>
  <si>
    <t>02260</t>
  </si>
  <si>
    <t>02261</t>
  </si>
  <si>
    <t>02263</t>
  </si>
  <si>
    <t>02265</t>
  </si>
  <si>
    <t>02266</t>
  </si>
  <si>
    <t>02267</t>
  </si>
  <si>
    <t>02271</t>
  </si>
  <si>
    <t>02272</t>
  </si>
  <si>
    <t>02275</t>
  </si>
  <si>
    <t>02276</t>
  </si>
  <si>
    <t>02278</t>
  </si>
  <si>
    <t>02279</t>
  </si>
  <si>
    <t>02280</t>
  </si>
  <si>
    <t>02281</t>
  </si>
  <si>
    <t>02282</t>
  </si>
  <si>
    <t>02283</t>
  </si>
  <si>
    <t>02284</t>
  </si>
  <si>
    <t>02285</t>
  </si>
  <si>
    <t>02286</t>
  </si>
  <si>
    <t>02287</t>
  </si>
  <si>
    <t>02289</t>
  </si>
  <si>
    <t>02291</t>
    <phoneticPr fontId="1"/>
  </si>
  <si>
    <t>02293</t>
  </si>
  <si>
    <t>02296</t>
  </si>
  <si>
    <t>02298</t>
  </si>
  <si>
    <t>02300</t>
  </si>
  <si>
    <t>02302</t>
  </si>
  <si>
    <t>02305</t>
  </si>
  <si>
    <t>02306</t>
  </si>
  <si>
    <t>02307</t>
  </si>
  <si>
    <t>02308</t>
  </si>
  <si>
    <t>02309</t>
  </si>
  <si>
    <t>02316</t>
  </si>
  <si>
    <t>02317</t>
  </si>
  <si>
    <t>02318</t>
  </si>
  <si>
    <t>02320</t>
  </si>
  <si>
    <t>02321</t>
  </si>
  <si>
    <t>02323</t>
    <phoneticPr fontId="1"/>
  </si>
  <si>
    <t>02324</t>
  </si>
  <si>
    <t>02326</t>
  </si>
  <si>
    <t>02327</t>
  </si>
  <si>
    <t>02328</t>
  </si>
  <si>
    <t>02329</t>
  </si>
  <si>
    <t>02330</t>
  </si>
  <si>
    <t>02331</t>
  </si>
  <si>
    <t>02332</t>
  </si>
  <si>
    <t>02333</t>
  </si>
  <si>
    <t>02334</t>
  </si>
  <si>
    <t>02335</t>
  </si>
  <si>
    <t>02338</t>
  </si>
  <si>
    <t>02339</t>
  </si>
  <si>
    <t>02341</t>
  </si>
  <si>
    <t>02342</t>
  </si>
  <si>
    <t>02343</t>
  </si>
  <si>
    <t>02344</t>
  </si>
  <si>
    <t>02345</t>
  </si>
  <si>
    <t>02346</t>
  </si>
  <si>
    <t>02348</t>
  </si>
  <si>
    <t>02349</t>
  </si>
  <si>
    <t>02351</t>
  </si>
  <si>
    <t>02352</t>
  </si>
  <si>
    <t>02353</t>
  </si>
  <si>
    <t>02354</t>
  </si>
  <si>
    <t>02355</t>
  </si>
  <si>
    <t>02356</t>
  </si>
  <si>
    <t>02358</t>
  </si>
  <si>
    <t>02359</t>
  </si>
  <si>
    <t>02360</t>
  </si>
  <si>
    <t>02364</t>
  </si>
  <si>
    <t>02368</t>
  </si>
  <si>
    <t>02369</t>
  </si>
  <si>
    <t>02370</t>
  </si>
  <si>
    <t>02371</t>
  </si>
  <si>
    <t>02372</t>
  </si>
  <si>
    <t>02375</t>
  </si>
  <si>
    <t>02378</t>
    <phoneticPr fontId="4"/>
  </si>
  <si>
    <t>02379</t>
  </si>
  <si>
    <t>02382</t>
  </si>
  <si>
    <t>02384</t>
  </si>
  <si>
    <t>02386</t>
  </si>
  <si>
    <t>02387</t>
  </si>
  <si>
    <t>02388</t>
  </si>
  <si>
    <t>02389</t>
  </si>
  <si>
    <t>02390</t>
  </si>
  <si>
    <t>02391</t>
  </si>
  <si>
    <t>02393</t>
  </si>
  <si>
    <t>02396</t>
  </si>
  <si>
    <t>02397</t>
  </si>
  <si>
    <t>02398</t>
  </si>
  <si>
    <t>02400</t>
  </si>
  <si>
    <t>02401</t>
  </si>
  <si>
    <t>02404</t>
  </si>
  <si>
    <t>02405</t>
  </si>
  <si>
    <t>02406</t>
  </si>
  <si>
    <t>02407</t>
  </si>
  <si>
    <t>02408</t>
  </si>
  <si>
    <t>02409</t>
  </si>
  <si>
    <t>02410</t>
  </si>
  <si>
    <t>02411</t>
  </si>
  <si>
    <t>02412</t>
  </si>
  <si>
    <t>02414</t>
  </si>
  <si>
    <t>02416</t>
  </si>
  <si>
    <t>02418</t>
  </si>
  <si>
    <t>02419</t>
  </si>
  <si>
    <t>02421</t>
  </si>
  <si>
    <t>02423</t>
  </si>
  <si>
    <t>02425</t>
  </si>
  <si>
    <t>02428</t>
  </si>
  <si>
    <t>02433</t>
  </si>
  <si>
    <t>02434</t>
  </si>
  <si>
    <t>02435</t>
    <phoneticPr fontId="4"/>
  </si>
  <si>
    <t>02436</t>
  </si>
  <si>
    <t>02439</t>
  </si>
  <si>
    <t>02440</t>
  </si>
  <si>
    <t>02441</t>
  </si>
  <si>
    <t>02442</t>
    <phoneticPr fontId="18"/>
  </si>
  <si>
    <t>02446</t>
  </si>
  <si>
    <t>02447</t>
  </si>
  <si>
    <t>02448</t>
  </si>
  <si>
    <t>02449</t>
  </si>
  <si>
    <t>02450</t>
  </si>
  <si>
    <t>02455</t>
  </si>
  <si>
    <t>02457</t>
  </si>
  <si>
    <t>02461</t>
  </si>
  <si>
    <t>02463</t>
  </si>
  <si>
    <t>02465</t>
  </si>
  <si>
    <t>02467</t>
  </si>
  <si>
    <t>02471</t>
  </si>
  <si>
    <t>02472</t>
  </si>
  <si>
    <t>02473</t>
  </si>
  <si>
    <t>02476</t>
  </si>
  <si>
    <t>02477</t>
  </si>
  <si>
    <t>02479</t>
  </si>
  <si>
    <t>02480</t>
  </si>
  <si>
    <t>02481</t>
  </si>
  <si>
    <t>02482</t>
  </si>
  <si>
    <t>02483</t>
  </si>
  <si>
    <t>02484</t>
  </si>
  <si>
    <t>02486</t>
  </si>
  <si>
    <t>02487</t>
  </si>
  <si>
    <t>02488</t>
  </si>
  <si>
    <t>02491</t>
  </si>
  <si>
    <t>02493</t>
  </si>
  <si>
    <t>02494</t>
  </si>
  <si>
    <t>02495</t>
  </si>
  <si>
    <t>02498</t>
  </si>
  <si>
    <t>02499</t>
  </si>
  <si>
    <t>02502</t>
  </si>
  <si>
    <t>02503</t>
  </si>
  <si>
    <t>02505</t>
  </si>
  <si>
    <t>02506</t>
  </si>
  <si>
    <t>02507</t>
  </si>
  <si>
    <t>02508</t>
  </si>
  <si>
    <t>02509</t>
  </si>
  <si>
    <t>02510</t>
  </si>
  <si>
    <t>02512</t>
  </si>
  <si>
    <t>02513</t>
  </si>
  <si>
    <t>02515</t>
  </si>
  <si>
    <t>02516</t>
  </si>
  <si>
    <t>02518</t>
  </si>
  <si>
    <t>02519</t>
  </si>
  <si>
    <t>02520</t>
  </si>
  <si>
    <t>02521</t>
  </si>
  <si>
    <t>02522</t>
  </si>
  <si>
    <t>02524</t>
  </si>
  <si>
    <t>02526</t>
  </si>
  <si>
    <t>02528</t>
  </si>
  <si>
    <t>02531</t>
  </si>
  <si>
    <t>02532</t>
  </si>
  <si>
    <t>02533</t>
  </si>
  <si>
    <t>02534</t>
  </si>
  <si>
    <t>02535</t>
  </si>
  <si>
    <t>02536</t>
  </si>
  <si>
    <t>02537</t>
  </si>
  <si>
    <t>02538</t>
  </si>
  <si>
    <t>02539</t>
  </si>
  <si>
    <t>02542</t>
  </si>
  <si>
    <t>02543</t>
  </si>
  <si>
    <t>02545</t>
  </si>
  <si>
    <t>02546</t>
  </si>
  <si>
    <t>02547</t>
  </si>
  <si>
    <t>02548</t>
  </si>
  <si>
    <t>02550</t>
  </si>
  <si>
    <t>02551</t>
  </si>
  <si>
    <t>02553</t>
  </si>
  <si>
    <t>02554</t>
  </si>
  <si>
    <t>02556</t>
  </si>
  <si>
    <t>02557</t>
  </si>
  <si>
    <t>02558</t>
  </si>
  <si>
    <t>02559</t>
  </si>
  <si>
    <t>02561</t>
  </si>
  <si>
    <t>02562</t>
  </si>
  <si>
    <t>02566</t>
  </si>
  <si>
    <t>02568</t>
  </si>
  <si>
    <t>02569</t>
  </si>
  <si>
    <t>02571</t>
  </si>
  <si>
    <t>02572</t>
  </si>
  <si>
    <t>02573</t>
  </si>
  <si>
    <t>02574</t>
  </si>
  <si>
    <t>02575</t>
  </si>
  <si>
    <t>02576</t>
  </si>
  <si>
    <t>02577</t>
  </si>
  <si>
    <t>02580</t>
  </si>
  <si>
    <t>02582</t>
  </si>
  <si>
    <t>02584</t>
  </si>
  <si>
    <t>02586</t>
  </si>
  <si>
    <t>02587</t>
  </si>
  <si>
    <t>02588</t>
  </si>
  <si>
    <t>02590</t>
  </si>
  <si>
    <t>02592</t>
  </si>
  <si>
    <t>02593</t>
  </si>
  <si>
    <t>02595</t>
  </si>
  <si>
    <t>02596</t>
  </si>
  <si>
    <t>02599</t>
  </si>
  <si>
    <t>02600</t>
  </si>
  <si>
    <t>02601</t>
  </si>
  <si>
    <t>02602</t>
  </si>
  <si>
    <t>02603</t>
  </si>
  <si>
    <t>02605</t>
  </si>
  <si>
    <t>02609</t>
  </si>
  <si>
    <t>02610</t>
  </si>
  <si>
    <t>02611</t>
  </si>
  <si>
    <t>02612</t>
  </si>
  <si>
    <t>02616</t>
  </si>
  <si>
    <t>02619</t>
  </si>
  <si>
    <t>02620</t>
  </si>
  <si>
    <t>02621</t>
    <phoneticPr fontId="1"/>
  </si>
  <si>
    <t>02622</t>
  </si>
  <si>
    <t>02623</t>
  </si>
  <si>
    <t>02624</t>
  </si>
  <si>
    <t>02625</t>
    <phoneticPr fontId="1"/>
  </si>
  <si>
    <t>02626</t>
  </si>
  <si>
    <t>02627</t>
  </si>
  <si>
    <t>02630</t>
  </si>
  <si>
    <t>02631</t>
  </si>
  <si>
    <t>02637</t>
  </si>
  <si>
    <t>02638</t>
  </si>
  <si>
    <t>02640</t>
  </si>
  <si>
    <t>02641</t>
  </si>
  <si>
    <t>02642</t>
  </si>
  <si>
    <t>02643</t>
  </si>
  <si>
    <t>02645</t>
  </si>
  <si>
    <t>02646</t>
    <phoneticPr fontId="18"/>
  </si>
  <si>
    <t>02648</t>
  </si>
  <si>
    <t>02650</t>
  </si>
  <si>
    <t>02657</t>
  </si>
  <si>
    <t>02658</t>
  </si>
  <si>
    <t>02659</t>
  </si>
  <si>
    <t>02664</t>
  </si>
  <si>
    <t>02671</t>
  </si>
  <si>
    <t>02677</t>
  </si>
  <si>
    <t>02679</t>
  </si>
  <si>
    <t>02681</t>
  </si>
  <si>
    <t>02685</t>
  </si>
  <si>
    <t>02691</t>
  </si>
  <si>
    <t>02700</t>
  </si>
  <si>
    <t>02702</t>
    <phoneticPr fontId="1"/>
  </si>
  <si>
    <t>02706</t>
  </si>
  <si>
    <t>02709</t>
  </si>
  <si>
    <t>02716</t>
  </si>
  <si>
    <t>02720</t>
  </si>
  <si>
    <t>02721</t>
  </si>
  <si>
    <t>02724</t>
    <phoneticPr fontId="1"/>
  </si>
  <si>
    <t>02725</t>
  </si>
  <si>
    <t>02726</t>
  </si>
  <si>
    <t>02728</t>
  </si>
  <si>
    <t>02731</t>
  </si>
  <si>
    <t>02732</t>
  </si>
  <si>
    <t>02733</t>
  </si>
  <si>
    <t>02741</t>
  </si>
  <si>
    <t>02743</t>
  </si>
  <si>
    <t>02744</t>
  </si>
  <si>
    <t>02751</t>
  </si>
  <si>
    <t>02752</t>
  </si>
  <si>
    <t>02754</t>
  </si>
  <si>
    <t>02768</t>
    <phoneticPr fontId="1"/>
  </si>
  <si>
    <t>02769</t>
  </si>
  <si>
    <t>02770</t>
  </si>
  <si>
    <t>02772</t>
  </si>
  <si>
    <t>02773</t>
  </si>
  <si>
    <t>02783</t>
  </si>
  <si>
    <t>02787</t>
  </si>
  <si>
    <t>02793</t>
  </si>
  <si>
    <t>02797</t>
  </si>
  <si>
    <t>02799</t>
  </si>
  <si>
    <t>02807</t>
  </si>
  <si>
    <t>02811</t>
  </si>
  <si>
    <t>02819</t>
  </si>
  <si>
    <t>02826</t>
  </si>
  <si>
    <t>02828</t>
  </si>
  <si>
    <t>02831</t>
  </si>
  <si>
    <t>02834</t>
  </si>
  <si>
    <t>02835</t>
  </si>
  <si>
    <t>02838</t>
  </si>
  <si>
    <t>02840</t>
  </si>
  <si>
    <t>02844</t>
  </si>
  <si>
    <t>02845</t>
  </si>
  <si>
    <t>02847</t>
  </si>
  <si>
    <t>02849</t>
  </si>
  <si>
    <t>02851</t>
  </si>
  <si>
    <t>02853</t>
  </si>
  <si>
    <t>02855</t>
  </si>
  <si>
    <t>02859</t>
  </si>
  <si>
    <t>02860</t>
  </si>
  <si>
    <t>02864</t>
  </si>
  <si>
    <t>02868</t>
  </si>
  <si>
    <t>02869</t>
  </si>
  <si>
    <t>02876</t>
  </si>
  <si>
    <t>02877</t>
  </si>
  <si>
    <t>02878</t>
    <phoneticPr fontId="21"/>
  </si>
  <si>
    <t>02879</t>
  </si>
  <si>
    <t>02882</t>
  </si>
  <si>
    <t>02883</t>
  </si>
  <si>
    <t>02884</t>
  </si>
  <si>
    <t>02888</t>
  </si>
  <si>
    <t>02890</t>
  </si>
  <si>
    <t>02891</t>
  </si>
  <si>
    <t>02894</t>
  </si>
  <si>
    <t>02895</t>
  </si>
  <si>
    <t>02896</t>
  </si>
  <si>
    <t>02899</t>
  </si>
  <si>
    <t>02903</t>
  </si>
  <si>
    <t>02904</t>
  </si>
  <si>
    <t>02905</t>
  </si>
  <si>
    <t>02906</t>
  </si>
  <si>
    <t>02907</t>
  </si>
  <si>
    <t>02911</t>
  </si>
  <si>
    <t>02912</t>
  </si>
  <si>
    <t>02913</t>
  </si>
  <si>
    <t>02914</t>
  </si>
  <si>
    <t>02916</t>
  </si>
  <si>
    <t>02918</t>
  </si>
  <si>
    <t>02919</t>
  </si>
  <si>
    <t>02920</t>
  </si>
  <si>
    <t>02921</t>
  </si>
  <si>
    <t>02923</t>
  </si>
  <si>
    <t>02925</t>
  </si>
  <si>
    <t>02927</t>
  </si>
  <si>
    <t>02928</t>
  </si>
  <si>
    <t>02929</t>
  </si>
  <si>
    <t>02932</t>
  </si>
  <si>
    <t>02933</t>
  </si>
  <si>
    <t>02934</t>
  </si>
  <si>
    <t>02936</t>
  </si>
  <si>
    <t>02939</t>
  </si>
  <si>
    <t>02941</t>
  </si>
  <si>
    <t>02966</t>
  </si>
  <si>
    <t>02970</t>
  </si>
  <si>
    <t>02974</t>
  </si>
  <si>
    <t>02977</t>
  </si>
  <si>
    <t>02983</t>
  </si>
  <si>
    <t>02986</t>
    <phoneticPr fontId="1"/>
  </si>
  <si>
    <t>02987</t>
  </si>
  <si>
    <t>02993</t>
  </si>
  <si>
    <t>02996</t>
  </si>
  <si>
    <t>02997</t>
  </si>
  <si>
    <t>02999</t>
  </si>
  <si>
    <t>03002</t>
  </si>
  <si>
    <t>03009</t>
    <phoneticPr fontId="2"/>
  </si>
  <si>
    <t>03012</t>
  </si>
  <si>
    <t>03013</t>
    <phoneticPr fontId="20"/>
  </si>
  <si>
    <t>03015</t>
  </si>
  <si>
    <t>03016</t>
  </si>
  <si>
    <t>03017</t>
    <phoneticPr fontId="20"/>
  </si>
  <si>
    <t>03023</t>
  </si>
  <si>
    <t>03032</t>
  </si>
  <si>
    <t>03039</t>
    <phoneticPr fontId="20"/>
  </si>
  <si>
    <t>03043</t>
  </si>
  <si>
    <t>03045</t>
  </si>
  <si>
    <t>03047</t>
  </si>
  <si>
    <t>03048</t>
  </si>
  <si>
    <t>03049</t>
  </si>
  <si>
    <t>03062</t>
  </si>
  <si>
    <t>03064</t>
  </si>
  <si>
    <t>03065</t>
  </si>
  <si>
    <t>03066</t>
  </si>
  <si>
    <t>03069</t>
  </si>
  <si>
    <t>03071</t>
  </si>
  <si>
    <t>03073</t>
  </si>
  <si>
    <t>03076</t>
  </si>
  <si>
    <t>03099</t>
  </si>
  <si>
    <t>03100</t>
  </si>
  <si>
    <t>03102</t>
  </si>
  <si>
    <t>03103</t>
  </si>
  <si>
    <t>03107</t>
  </si>
  <si>
    <t>03108</t>
  </si>
  <si>
    <t>03110</t>
  </si>
  <si>
    <t>03114</t>
  </si>
  <si>
    <t>03117</t>
  </si>
  <si>
    <t>03118</t>
  </si>
  <si>
    <t>03119</t>
  </si>
  <si>
    <t>03120</t>
  </si>
  <si>
    <t>03122</t>
  </si>
  <si>
    <t>03124</t>
  </si>
  <si>
    <t>03128</t>
  </si>
  <si>
    <t>03129</t>
  </si>
  <si>
    <t>03130</t>
  </si>
  <si>
    <t>03135</t>
  </si>
  <si>
    <t>03136</t>
  </si>
  <si>
    <t>03143</t>
  </si>
  <si>
    <t>03148</t>
  </si>
  <si>
    <t>03149</t>
  </si>
  <si>
    <t>03150</t>
  </si>
  <si>
    <t>03152</t>
  </si>
  <si>
    <t>03158</t>
  </si>
  <si>
    <t>03161</t>
  </si>
  <si>
    <t>03162</t>
  </si>
  <si>
    <t>03163</t>
  </si>
  <si>
    <t>03164</t>
  </si>
  <si>
    <t>03167</t>
  </si>
  <si>
    <t>03168</t>
  </si>
  <si>
    <t>03170</t>
  </si>
  <si>
    <t>03171</t>
  </si>
  <si>
    <t>03172</t>
  </si>
  <si>
    <t>03173</t>
  </si>
  <si>
    <t>03174</t>
  </si>
  <si>
    <t>03175</t>
  </si>
  <si>
    <t>03177</t>
  </si>
  <si>
    <t>03179</t>
  </si>
  <si>
    <t>03181</t>
  </si>
  <si>
    <t>03182</t>
  </si>
  <si>
    <t>03183</t>
    <phoneticPr fontId="18"/>
  </si>
  <si>
    <t>03187</t>
  </si>
  <si>
    <t>03188</t>
  </si>
  <si>
    <t>03189</t>
  </si>
  <si>
    <t>03190</t>
  </si>
  <si>
    <t>03191</t>
  </si>
  <si>
    <t>03193</t>
  </si>
  <si>
    <t>03194</t>
  </si>
  <si>
    <t>03195</t>
  </si>
  <si>
    <t>03196</t>
  </si>
  <si>
    <t>03200</t>
  </si>
  <si>
    <t>03201</t>
  </si>
  <si>
    <t>03206</t>
  </si>
  <si>
    <t>03209</t>
  </si>
  <si>
    <t>03213</t>
  </si>
  <si>
    <t>03214</t>
  </si>
  <si>
    <t>03215</t>
  </si>
  <si>
    <t>03223</t>
  </si>
  <si>
    <t>03224</t>
  </si>
  <si>
    <t>03231</t>
    <phoneticPr fontId="1"/>
  </si>
  <si>
    <t>03234</t>
    <phoneticPr fontId="4"/>
  </si>
  <si>
    <t>03236</t>
    <phoneticPr fontId="20"/>
  </si>
  <si>
    <t>03238</t>
  </si>
  <si>
    <t>03240</t>
  </si>
  <si>
    <t>03242</t>
  </si>
  <si>
    <t>03249</t>
  </si>
  <si>
    <t>03251</t>
  </si>
  <si>
    <t>03257</t>
  </si>
  <si>
    <t>03260</t>
  </si>
  <si>
    <t>03270</t>
  </si>
  <si>
    <t>03271</t>
  </si>
  <si>
    <t>03272</t>
  </si>
  <si>
    <t>03277</t>
  </si>
  <si>
    <t>03278</t>
  </si>
  <si>
    <t>03282</t>
  </si>
  <si>
    <t>03284</t>
  </si>
  <si>
    <t>03285</t>
  </si>
  <si>
    <t>03288</t>
  </si>
  <si>
    <t>03290</t>
  </si>
  <si>
    <t>03293</t>
  </si>
  <si>
    <t>03294</t>
  </si>
  <si>
    <t>03303</t>
  </si>
  <si>
    <t>03310</t>
  </si>
  <si>
    <t>03311</t>
  </si>
  <si>
    <t>03318</t>
  </si>
  <si>
    <t>03319</t>
  </si>
  <si>
    <t>03321</t>
  </si>
  <si>
    <t>03322</t>
  </si>
  <si>
    <t>03328</t>
  </si>
  <si>
    <t>03329</t>
  </si>
  <si>
    <t>03332</t>
  </si>
  <si>
    <t>03333</t>
  </si>
  <si>
    <t>03335</t>
  </si>
  <si>
    <t>03337</t>
  </si>
  <si>
    <t>03340</t>
  </si>
  <si>
    <t>03341</t>
  </si>
  <si>
    <t>03342</t>
  </si>
  <si>
    <t>03343</t>
  </si>
  <si>
    <t>03348</t>
  </si>
  <si>
    <t>03350</t>
  </si>
  <si>
    <t>03351</t>
  </si>
  <si>
    <t>03354</t>
  </si>
  <si>
    <t>03359</t>
  </si>
  <si>
    <t>03366</t>
    <phoneticPr fontId="4"/>
  </si>
  <si>
    <t>03368</t>
  </si>
  <si>
    <t>03373</t>
  </si>
  <si>
    <t>03374</t>
  </si>
  <si>
    <t>03375</t>
  </si>
  <si>
    <t>03376</t>
  </si>
  <si>
    <t>03377</t>
  </si>
  <si>
    <t>03379</t>
  </si>
  <si>
    <t>03381</t>
  </si>
  <si>
    <t>03382</t>
  </si>
  <si>
    <t>03383</t>
  </si>
  <si>
    <t>03385</t>
  </si>
  <si>
    <t>03386</t>
  </si>
  <si>
    <t>03387</t>
  </si>
  <si>
    <t>03388</t>
  </si>
  <si>
    <t>03389</t>
  </si>
  <si>
    <t>03390</t>
  </si>
  <si>
    <t>03391</t>
  </si>
  <si>
    <t>03392</t>
  </si>
  <si>
    <t>03398</t>
  </si>
  <si>
    <t>03400</t>
  </si>
  <si>
    <t>03402</t>
  </si>
  <si>
    <t>03403</t>
  </si>
  <si>
    <t>03404</t>
  </si>
  <si>
    <t>03407</t>
  </si>
  <si>
    <t>03408</t>
  </si>
  <si>
    <t>03409</t>
  </si>
  <si>
    <t>03410</t>
  </si>
  <si>
    <t>03411</t>
  </si>
  <si>
    <t>03412</t>
  </si>
  <si>
    <t>03414</t>
  </si>
  <si>
    <t>03415</t>
  </si>
  <si>
    <t>03418</t>
  </si>
  <si>
    <t>03419</t>
  </si>
  <si>
    <t>03420</t>
  </si>
  <si>
    <t>03425</t>
  </si>
  <si>
    <t>03427</t>
  </si>
  <si>
    <t>03430</t>
  </si>
  <si>
    <t>03432</t>
    <phoneticPr fontId="18"/>
  </si>
  <si>
    <t>03434</t>
  </si>
  <si>
    <t>03436</t>
  </si>
  <si>
    <t>03439</t>
  </si>
  <si>
    <t>03440</t>
  </si>
  <si>
    <t>03442</t>
  </si>
  <si>
    <t>03443</t>
  </si>
  <si>
    <t>03444</t>
  </si>
  <si>
    <t>03449</t>
  </si>
  <si>
    <t>03450</t>
  </si>
  <si>
    <t>03451</t>
  </si>
  <si>
    <t>03452</t>
  </si>
  <si>
    <t>03454</t>
  </si>
  <si>
    <t>03458</t>
  </si>
  <si>
    <t>03459</t>
  </si>
  <si>
    <t>03462</t>
  </si>
  <si>
    <t>03464</t>
  </si>
  <si>
    <t>03465</t>
  </si>
  <si>
    <t>03468</t>
  </si>
  <si>
    <t>03472</t>
    <phoneticPr fontId="2"/>
  </si>
  <si>
    <t>03474</t>
    <phoneticPr fontId="2"/>
  </si>
  <si>
    <t>03476</t>
  </si>
  <si>
    <t>03477</t>
  </si>
  <si>
    <t>03478</t>
  </si>
  <si>
    <t>03479</t>
  </si>
  <si>
    <t>03486</t>
  </si>
  <si>
    <t>03487</t>
  </si>
  <si>
    <t>03488</t>
  </si>
  <si>
    <t>03489</t>
  </si>
  <si>
    <t>03490</t>
  </si>
  <si>
    <t>03493</t>
  </si>
  <si>
    <t>03496</t>
  </si>
  <si>
    <t>03503</t>
  </si>
  <si>
    <t>03504</t>
  </si>
  <si>
    <t>03505</t>
  </si>
  <si>
    <t>03506</t>
  </si>
  <si>
    <t>03507</t>
  </si>
  <si>
    <t>03511</t>
  </si>
  <si>
    <t>03518</t>
    <phoneticPr fontId="1"/>
  </si>
  <si>
    <t>03519</t>
  </si>
  <si>
    <t>03522</t>
  </si>
  <si>
    <t>03523</t>
  </si>
  <si>
    <t>03524</t>
  </si>
  <si>
    <t>03525</t>
  </si>
  <si>
    <t>03526</t>
  </si>
  <si>
    <t>03527</t>
  </si>
  <si>
    <t>03529</t>
  </si>
  <si>
    <t>03531</t>
  </si>
  <si>
    <t>03533</t>
  </si>
  <si>
    <t>03535</t>
  </si>
  <si>
    <t>03536</t>
  </si>
  <si>
    <t>03537</t>
  </si>
  <si>
    <t>03539</t>
  </si>
  <si>
    <t>03540</t>
  </si>
  <si>
    <t>03541</t>
  </si>
  <si>
    <t>03544</t>
  </si>
  <si>
    <t>03547</t>
  </si>
  <si>
    <t>03548</t>
  </si>
  <si>
    <t>03550</t>
  </si>
  <si>
    <t>03552</t>
  </si>
  <si>
    <t>03554</t>
  </si>
  <si>
    <t>03557</t>
  </si>
  <si>
    <t>03560</t>
  </si>
  <si>
    <t>03562</t>
  </si>
  <si>
    <t>03567</t>
  </si>
  <si>
    <t>03570</t>
  </si>
  <si>
    <t>03573</t>
  </si>
  <si>
    <t>03575</t>
    <phoneticPr fontId="1"/>
  </si>
  <si>
    <t>03578</t>
  </si>
  <si>
    <t>03579</t>
  </si>
  <si>
    <t>03582</t>
  </si>
  <si>
    <t>03585</t>
  </si>
  <si>
    <t>03586</t>
  </si>
  <si>
    <t>03587</t>
  </si>
  <si>
    <t>03591</t>
  </si>
  <si>
    <t>03592</t>
  </si>
  <si>
    <t>03596</t>
  </si>
  <si>
    <t>03597</t>
    <phoneticPr fontId="20"/>
  </si>
  <si>
    <t>03600</t>
  </si>
  <si>
    <t>03601</t>
  </si>
  <si>
    <t>03604</t>
  </si>
  <si>
    <t>03605</t>
  </si>
  <si>
    <t>03606</t>
  </si>
  <si>
    <t>03607</t>
  </si>
  <si>
    <t>03611</t>
  </si>
  <si>
    <t>03615</t>
  </si>
  <si>
    <t>03618</t>
  </si>
  <si>
    <t>03624</t>
  </si>
  <si>
    <t>03626</t>
  </si>
  <si>
    <t>03629</t>
  </si>
  <si>
    <t>03630</t>
  </si>
  <si>
    <t>03631</t>
  </si>
  <si>
    <t>03632</t>
  </si>
  <si>
    <t>03633</t>
  </si>
  <si>
    <t>03634</t>
  </si>
  <si>
    <t>03636</t>
  </si>
  <si>
    <t>03641</t>
    <phoneticPr fontId="20"/>
  </si>
  <si>
    <t>03642</t>
  </si>
  <si>
    <t>03645</t>
  </si>
  <si>
    <t>03648</t>
  </si>
  <si>
    <t>03649</t>
  </si>
  <si>
    <t>03653</t>
  </si>
  <si>
    <t>03660</t>
  </si>
  <si>
    <t>03665</t>
    <phoneticPr fontId="1"/>
  </si>
  <si>
    <t>03666</t>
  </si>
  <si>
    <t>03671</t>
  </si>
  <si>
    <t>03673</t>
  </si>
  <si>
    <t>03675</t>
  </si>
  <si>
    <t>03677</t>
    <phoneticPr fontId="1"/>
  </si>
  <si>
    <t>03678</t>
  </si>
  <si>
    <t>03681</t>
  </si>
  <si>
    <t>03684</t>
  </si>
  <si>
    <t>03685</t>
  </si>
  <si>
    <t>03691</t>
  </si>
  <si>
    <t>03693</t>
  </si>
  <si>
    <t>03695</t>
    <phoneticPr fontId="1"/>
  </si>
  <si>
    <t>03697</t>
    <phoneticPr fontId="1"/>
  </si>
  <si>
    <t>03699</t>
  </si>
  <si>
    <t>03701</t>
  </si>
  <si>
    <t>03702</t>
  </si>
  <si>
    <t>03706</t>
  </si>
  <si>
    <t>03708</t>
  </si>
  <si>
    <t>03710</t>
  </si>
  <si>
    <t>03721</t>
  </si>
  <si>
    <t>03722</t>
  </si>
  <si>
    <t>03727</t>
  </si>
  <si>
    <t>03730</t>
  </si>
  <si>
    <t>03737</t>
  </si>
  <si>
    <t>03738</t>
  </si>
  <si>
    <t>03742</t>
  </si>
  <si>
    <t>03746</t>
  </si>
  <si>
    <t>03747</t>
  </si>
  <si>
    <t>03751</t>
  </si>
  <si>
    <t>03754</t>
  </si>
  <si>
    <t>03758</t>
    <phoneticPr fontId="1"/>
  </si>
  <si>
    <t>03764</t>
  </si>
  <si>
    <t>03766</t>
  </si>
  <si>
    <t>03769</t>
  </si>
  <si>
    <t>03770</t>
  </si>
  <si>
    <t>03771</t>
    <phoneticPr fontId="1"/>
  </si>
  <si>
    <t>03772</t>
  </si>
  <si>
    <t>03773</t>
  </si>
  <si>
    <t>03775</t>
  </si>
  <si>
    <t>03776</t>
  </si>
  <si>
    <t>03777</t>
  </si>
  <si>
    <t>03778</t>
  </si>
  <si>
    <t>03779</t>
  </si>
  <si>
    <t>03780</t>
  </si>
  <si>
    <t>03782</t>
  </si>
  <si>
    <t>03783</t>
  </si>
  <si>
    <t>03784</t>
  </si>
  <si>
    <t>03785</t>
  </si>
  <si>
    <t>03790</t>
  </si>
  <si>
    <t>03791</t>
  </si>
  <si>
    <t>03794</t>
  </si>
  <si>
    <t>03803</t>
  </si>
  <si>
    <t>03805</t>
  </si>
  <si>
    <t>03806</t>
  </si>
  <si>
    <t>03807</t>
  </si>
  <si>
    <t>03808</t>
  </si>
  <si>
    <t>03809</t>
  </si>
  <si>
    <t>03811</t>
  </si>
  <si>
    <t>03814</t>
  </si>
  <si>
    <t>03818</t>
  </si>
  <si>
    <t>03819</t>
  </si>
  <si>
    <t>03820</t>
  </si>
  <si>
    <t>03821</t>
  </si>
  <si>
    <t>03822</t>
  </si>
  <si>
    <t>03825</t>
  </si>
  <si>
    <t>03826</t>
  </si>
  <si>
    <t>03827</t>
  </si>
  <si>
    <t>03828</t>
  </si>
  <si>
    <t>03829</t>
  </si>
  <si>
    <t>03830</t>
  </si>
  <si>
    <t>03831</t>
  </si>
  <si>
    <t>03837</t>
  </si>
  <si>
    <t>03839</t>
  </si>
  <si>
    <t>03841</t>
  </si>
  <si>
    <t>03842</t>
  </si>
  <si>
    <t>03844</t>
  </si>
  <si>
    <t>03845</t>
  </si>
  <si>
    <t>03846</t>
  </si>
  <si>
    <t>03847</t>
  </si>
  <si>
    <t>03848</t>
  </si>
  <si>
    <t>03849</t>
  </si>
  <si>
    <t>03850</t>
  </si>
  <si>
    <t>03851</t>
  </si>
  <si>
    <t>03853</t>
  </si>
  <si>
    <t>03854</t>
  </si>
  <si>
    <t>03855</t>
  </si>
  <si>
    <t>03856</t>
  </si>
  <si>
    <t>03858</t>
  </si>
  <si>
    <t>03859</t>
  </si>
  <si>
    <t>03860</t>
  </si>
  <si>
    <t>03863</t>
  </si>
  <si>
    <t>03865</t>
  </si>
  <si>
    <t>03866</t>
  </si>
  <si>
    <t>03867</t>
  </si>
  <si>
    <t>03868</t>
  </si>
  <si>
    <t>03869</t>
  </si>
  <si>
    <t>03870</t>
  </si>
  <si>
    <t>03871</t>
  </si>
  <si>
    <t>03872</t>
  </si>
  <si>
    <t>03873</t>
  </si>
  <si>
    <t>03874</t>
  </si>
  <si>
    <t>03875</t>
  </si>
  <si>
    <t>03877</t>
  </si>
  <si>
    <t>03878</t>
    <phoneticPr fontId="2"/>
  </si>
  <si>
    <t>03881</t>
  </si>
  <si>
    <t>03882</t>
  </si>
  <si>
    <t>03883</t>
  </si>
  <si>
    <t>03884</t>
  </si>
  <si>
    <t>03887</t>
    <phoneticPr fontId="20"/>
  </si>
  <si>
    <t>03888</t>
  </si>
  <si>
    <t>03894</t>
  </si>
  <si>
    <t>03895</t>
  </si>
  <si>
    <t>03896</t>
  </si>
  <si>
    <t>03898</t>
  </si>
  <si>
    <t>03899</t>
  </si>
  <si>
    <t>03900</t>
  </si>
  <si>
    <t>03902</t>
  </si>
  <si>
    <t>03906</t>
  </si>
  <si>
    <t>03912</t>
  </si>
  <si>
    <t>03915</t>
  </si>
  <si>
    <t>03916</t>
  </si>
  <si>
    <t>03917</t>
  </si>
  <si>
    <t>03918</t>
  </si>
  <si>
    <t>03920</t>
  </si>
  <si>
    <t>03922</t>
  </si>
  <si>
    <t>03924</t>
    <phoneticPr fontId="2"/>
  </si>
  <si>
    <t>03925</t>
  </si>
  <si>
    <t>03926</t>
    <phoneticPr fontId="20"/>
  </si>
  <si>
    <t>03927</t>
  </si>
  <si>
    <t>03928</t>
  </si>
  <si>
    <t>03932</t>
  </si>
  <si>
    <t>03933</t>
  </si>
  <si>
    <t>03934</t>
  </si>
  <si>
    <t>03936</t>
  </si>
  <si>
    <t>03937</t>
  </si>
  <si>
    <t>03939</t>
  </si>
  <si>
    <t>03940</t>
  </si>
  <si>
    <t>03941</t>
  </si>
  <si>
    <t>03944</t>
  </si>
  <si>
    <t>03945</t>
  </si>
  <si>
    <t>03946</t>
  </si>
  <si>
    <t>03947</t>
  </si>
  <si>
    <t>03950</t>
  </si>
  <si>
    <t>03953</t>
  </si>
  <si>
    <t>03957</t>
  </si>
  <si>
    <t>03963</t>
  </si>
  <si>
    <t>03973</t>
  </si>
  <si>
    <t>03975</t>
  </si>
  <si>
    <t>03976</t>
  </si>
  <si>
    <t>03979</t>
  </si>
  <si>
    <t>03980</t>
  </si>
  <si>
    <t>03986</t>
  </si>
  <si>
    <t>03987</t>
  </si>
  <si>
    <t>03990</t>
  </si>
  <si>
    <t>03995</t>
  </si>
  <si>
    <t>03998</t>
  </si>
  <si>
    <t>03999</t>
  </si>
  <si>
    <t>04004</t>
  </si>
  <si>
    <t>04007</t>
  </si>
  <si>
    <t>04010</t>
  </si>
  <si>
    <t>04012</t>
  </si>
  <si>
    <t>04014</t>
    <phoneticPr fontId="19"/>
  </si>
  <si>
    <t>04015</t>
  </si>
  <si>
    <t>04016</t>
  </si>
  <si>
    <t>04017</t>
  </si>
  <si>
    <t>04018</t>
  </si>
  <si>
    <t>04019</t>
  </si>
  <si>
    <t>04020</t>
  </si>
  <si>
    <t>04021</t>
  </si>
  <si>
    <t>04022</t>
  </si>
  <si>
    <t>04024</t>
  </si>
  <si>
    <t>04028</t>
  </si>
  <si>
    <t>04029</t>
  </si>
  <si>
    <t>04030</t>
  </si>
  <si>
    <t>04031</t>
  </si>
  <si>
    <t>04032</t>
  </si>
  <si>
    <t>04033</t>
  </si>
  <si>
    <t>04034</t>
  </si>
  <si>
    <t>04035</t>
  </si>
  <si>
    <t>04036</t>
  </si>
  <si>
    <t>04037</t>
  </si>
  <si>
    <t>04038</t>
  </si>
  <si>
    <t>04039</t>
  </si>
  <si>
    <t>04041</t>
  </si>
  <si>
    <t>04042</t>
  </si>
  <si>
    <t>04045</t>
  </si>
  <si>
    <t>04046</t>
  </si>
  <si>
    <t>04047</t>
    <phoneticPr fontId="20"/>
  </si>
  <si>
    <t>04048</t>
  </si>
  <si>
    <t>04049</t>
  </si>
  <si>
    <t>04051</t>
  </si>
  <si>
    <t>04052</t>
  </si>
  <si>
    <t>04053</t>
  </si>
  <si>
    <t>04055</t>
  </si>
  <si>
    <t>04057</t>
  </si>
  <si>
    <t>04058</t>
  </si>
  <si>
    <t>04061</t>
  </si>
  <si>
    <t>04063</t>
  </si>
  <si>
    <t>04065</t>
  </si>
  <si>
    <t>04066</t>
  </si>
  <si>
    <t>04069</t>
    <phoneticPr fontId="1"/>
  </si>
  <si>
    <t>04071</t>
  </si>
  <si>
    <t>04075</t>
  </si>
  <si>
    <t>04077</t>
    <phoneticPr fontId="1"/>
  </si>
  <si>
    <t>04079</t>
  </si>
  <si>
    <t>04082</t>
  </si>
  <si>
    <t>04083</t>
  </si>
  <si>
    <t>04087</t>
  </si>
  <si>
    <t>04091</t>
  </si>
  <si>
    <t>04092</t>
  </si>
  <si>
    <t>04093</t>
  </si>
  <si>
    <t>04095</t>
  </si>
  <si>
    <t>04098</t>
  </si>
  <si>
    <t>04099</t>
  </si>
  <si>
    <t>04101</t>
  </si>
  <si>
    <t>04102</t>
  </si>
  <si>
    <t>04103</t>
  </si>
  <si>
    <t>04104</t>
  </si>
  <si>
    <t>04105</t>
  </si>
  <si>
    <t>04107</t>
  </si>
  <si>
    <t>04109</t>
  </si>
  <si>
    <t>04110</t>
  </si>
  <si>
    <t>04111</t>
  </si>
  <si>
    <t>04112</t>
  </si>
  <si>
    <t>04113</t>
  </si>
  <si>
    <t>04114</t>
  </si>
  <si>
    <t>04115</t>
  </si>
  <si>
    <t>04117</t>
  </si>
  <si>
    <t>04118</t>
  </si>
  <si>
    <t>04119</t>
  </si>
  <si>
    <t>04122</t>
  </si>
  <si>
    <t>04124</t>
  </si>
  <si>
    <t>04127</t>
  </si>
  <si>
    <t>04132</t>
    <phoneticPr fontId="2"/>
  </si>
  <si>
    <t>04134</t>
  </si>
  <si>
    <t>04138</t>
  </si>
  <si>
    <t>04141</t>
  </si>
  <si>
    <t>04142</t>
  </si>
  <si>
    <t>04147</t>
  </si>
  <si>
    <t>04148</t>
  </si>
  <si>
    <t>04150</t>
  </si>
  <si>
    <t>04155</t>
  </si>
  <si>
    <t>04157</t>
  </si>
  <si>
    <t>04158</t>
  </si>
  <si>
    <t>04159</t>
  </si>
  <si>
    <t>04160</t>
  </si>
  <si>
    <t>04161</t>
  </si>
  <si>
    <t>04167</t>
  </si>
  <si>
    <t>04171</t>
  </si>
  <si>
    <t>04172</t>
  </si>
  <si>
    <t>04173</t>
  </si>
  <si>
    <t>04177</t>
  </si>
  <si>
    <t>04179</t>
  </si>
  <si>
    <t>04182</t>
  </si>
  <si>
    <t>04183</t>
  </si>
  <si>
    <t>04184</t>
    <phoneticPr fontId="21"/>
  </si>
  <si>
    <t>04192</t>
  </si>
  <si>
    <t>04193</t>
    <phoneticPr fontId="20"/>
  </si>
  <si>
    <t>04197</t>
  </si>
  <si>
    <t>04198</t>
  </si>
  <si>
    <t>04200</t>
  </si>
  <si>
    <t>04202</t>
  </si>
  <si>
    <t>04203</t>
  </si>
  <si>
    <t>04206</t>
  </si>
  <si>
    <t>04207</t>
    <phoneticPr fontId="20"/>
  </si>
  <si>
    <t>04208</t>
  </si>
  <si>
    <t>04210</t>
  </si>
  <si>
    <t>04211</t>
  </si>
  <si>
    <t>04212</t>
  </si>
  <si>
    <t>04213</t>
  </si>
  <si>
    <t>04214</t>
  </si>
  <si>
    <t>04215</t>
  </si>
  <si>
    <t>04217</t>
  </si>
  <si>
    <t>04219</t>
  </si>
  <si>
    <t>04220</t>
  </si>
  <si>
    <t>04221</t>
  </si>
  <si>
    <t>04222</t>
  </si>
  <si>
    <t>04223</t>
  </si>
  <si>
    <t>04224</t>
  </si>
  <si>
    <t>04228</t>
  </si>
  <si>
    <t>04230</t>
  </si>
  <si>
    <t>04231</t>
  </si>
  <si>
    <t>04237</t>
  </si>
  <si>
    <t>04238</t>
  </si>
  <si>
    <t>04242</t>
  </si>
  <si>
    <t>04243</t>
  </si>
  <si>
    <t>04244</t>
  </si>
  <si>
    <t>04245</t>
  </si>
  <si>
    <t>04246</t>
  </si>
  <si>
    <t>04247</t>
    <phoneticPr fontId="20"/>
  </si>
  <si>
    <t>04249</t>
  </si>
  <si>
    <t>04252</t>
  </si>
  <si>
    <t>04256</t>
  </si>
  <si>
    <t>04259</t>
  </si>
  <si>
    <t>04263</t>
  </si>
  <si>
    <t>04264</t>
  </si>
  <si>
    <t>04265</t>
  </si>
  <si>
    <t>04267</t>
  </si>
  <si>
    <t>04270</t>
  </si>
  <si>
    <t>04271</t>
  </si>
  <si>
    <t>04272</t>
  </si>
  <si>
    <t>04273</t>
  </si>
  <si>
    <t>04277</t>
  </si>
  <si>
    <t>04280</t>
  </si>
  <si>
    <t>04286</t>
  </si>
  <si>
    <t>04289</t>
    <phoneticPr fontId="20"/>
  </si>
  <si>
    <t>04291</t>
  </si>
  <si>
    <t>04293</t>
  </si>
  <si>
    <t>04295</t>
  </si>
  <si>
    <t>04297</t>
  </si>
  <si>
    <t>04298</t>
  </si>
  <si>
    <t>04305</t>
  </si>
  <si>
    <t>04308</t>
  </si>
  <si>
    <t>04313</t>
  </si>
  <si>
    <t>04316</t>
  </si>
  <si>
    <t>04317</t>
  </si>
  <si>
    <t>04321</t>
  </si>
  <si>
    <t>04322</t>
  </si>
  <si>
    <t>04325</t>
  </si>
  <si>
    <t>04326</t>
  </si>
  <si>
    <t>04332</t>
  </si>
  <si>
    <t>04336</t>
  </si>
  <si>
    <t>04338</t>
  </si>
  <si>
    <t>04342</t>
  </si>
  <si>
    <t>04343</t>
  </si>
  <si>
    <t>04344</t>
  </si>
  <si>
    <t>04345</t>
  </si>
  <si>
    <t>04346</t>
  </si>
  <si>
    <t>04348</t>
  </si>
  <si>
    <t>04349</t>
  </si>
  <si>
    <t>04353</t>
  </si>
  <si>
    <t>04354</t>
  </si>
  <si>
    <t>04356</t>
  </si>
  <si>
    <t>04357</t>
  </si>
  <si>
    <t>04359</t>
  </si>
  <si>
    <t>04360</t>
  </si>
  <si>
    <t>04361</t>
  </si>
  <si>
    <t>04362</t>
  </si>
  <si>
    <t>04363</t>
  </si>
  <si>
    <t>04364</t>
  </si>
  <si>
    <t>04365</t>
  </si>
  <si>
    <t>04366</t>
  </si>
  <si>
    <t>04368</t>
  </si>
  <si>
    <t>04371</t>
  </si>
  <si>
    <t>04374</t>
  </si>
  <si>
    <t>04375</t>
  </si>
  <si>
    <t>04378</t>
  </si>
  <si>
    <t>04382</t>
  </si>
  <si>
    <t>04383</t>
  </si>
  <si>
    <t>04386</t>
  </si>
  <si>
    <t>04389</t>
    <phoneticPr fontId="20"/>
  </si>
  <si>
    <t>04393</t>
  </si>
  <si>
    <t>04400</t>
  </si>
  <si>
    <t>04401</t>
  </si>
  <si>
    <t>04403</t>
  </si>
  <si>
    <t>04404</t>
  </si>
  <si>
    <t>04405</t>
  </si>
  <si>
    <t>04407</t>
  </si>
  <si>
    <t>04410</t>
  </si>
  <si>
    <t>04411</t>
  </si>
  <si>
    <t>04413</t>
  </si>
  <si>
    <t>04414</t>
  </si>
  <si>
    <t>04415</t>
  </si>
  <si>
    <t>04416</t>
    <phoneticPr fontId="20"/>
  </si>
  <si>
    <t>04417</t>
  </si>
  <si>
    <t>04418</t>
    <phoneticPr fontId="20"/>
  </si>
  <si>
    <t>04419</t>
  </si>
  <si>
    <t>04422</t>
  </si>
  <si>
    <t>04424</t>
  </si>
  <si>
    <t>04425</t>
  </si>
  <si>
    <t>04426</t>
  </si>
  <si>
    <t>04428</t>
  </si>
  <si>
    <t>04429</t>
  </si>
  <si>
    <t>04431</t>
    <phoneticPr fontId="20"/>
  </si>
  <si>
    <t>04432</t>
  </si>
  <si>
    <t>04435</t>
  </si>
  <si>
    <t>04436</t>
    <phoneticPr fontId="20"/>
  </si>
  <si>
    <t>04438</t>
  </si>
  <si>
    <t>04439</t>
  </si>
  <si>
    <t>04440</t>
  </si>
  <si>
    <t>04442</t>
  </si>
  <si>
    <t>04443</t>
  </si>
  <si>
    <t>04444</t>
  </si>
  <si>
    <t>04446</t>
  </si>
  <si>
    <t>04447</t>
  </si>
  <si>
    <t>04448</t>
  </si>
  <si>
    <t>04449</t>
  </si>
  <si>
    <t>04452</t>
  </si>
  <si>
    <t>04454</t>
  </si>
  <si>
    <t>04455</t>
  </si>
  <si>
    <t>04456</t>
  </si>
  <si>
    <t>04457</t>
  </si>
  <si>
    <t>04458</t>
  </si>
  <si>
    <t>04459</t>
  </si>
  <si>
    <t>04462</t>
  </si>
  <si>
    <t>04463</t>
  </si>
  <si>
    <t>04465</t>
  </si>
  <si>
    <t>04467</t>
  </si>
  <si>
    <t>04468</t>
  </si>
  <si>
    <t>04470</t>
  </si>
  <si>
    <t>04472</t>
  </si>
  <si>
    <t>04473</t>
  </si>
  <si>
    <t>04475</t>
  </si>
  <si>
    <t>04477</t>
  </si>
  <si>
    <t>04478</t>
  </si>
  <si>
    <t>04479</t>
  </si>
  <si>
    <t>04485</t>
  </si>
  <si>
    <t>04491</t>
  </si>
  <si>
    <t>04494</t>
  </si>
  <si>
    <t>04496</t>
  </si>
  <si>
    <t>04497</t>
  </si>
  <si>
    <t>04499</t>
  </si>
  <si>
    <t>04501</t>
  </si>
  <si>
    <t>04502</t>
  </si>
  <si>
    <t>04503</t>
  </si>
  <si>
    <t>04510</t>
  </si>
  <si>
    <t>04512</t>
  </si>
  <si>
    <t>04516</t>
  </si>
  <si>
    <t>04520</t>
  </si>
  <si>
    <t>04527</t>
  </si>
  <si>
    <t>04528</t>
  </si>
  <si>
    <t>04530</t>
    <phoneticPr fontId="20"/>
  </si>
  <si>
    <t>04533</t>
  </si>
  <si>
    <t>04534</t>
  </si>
  <si>
    <t>04535</t>
  </si>
  <si>
    <t>04537</t>
  </si>
  <si>
    <t>04539</t>
  </si>
  <si>
    <t>04540</t>
    <phoneticPr fontId="19"/>
  </si>
  <si>
    <t>04542</t>
    <phoneticPr fontId="19"/>
  </si>
  <si>
    <t>04545</t>
  </si>
  <si>
    <t>04546</t>
  </si>
  <si>
    <t>04547</t>
  </si>
  <si>
    <t>04548</t>
  </si>
  <si>
    <t>04549</t>
  </si>
  <si>
    <t>04551</t>
  </si>
  <si>
    <t>04553</t>
  </si>
  <si>
    <t>04554</t>
  </si>
  <si>
    <t>04555</t>
  </si>
  <si>
    <t>04556</t>
  </si>
  <si>
    <t>04558</t>
  </si>
  <si>
    <t>04559</t>
  </si>
  <si>
    <t>04560</t>
  </si>
  <si>
    <t>04563</t>
  </si>
  <si>
    <t>04565</t>
  </si>
  <si>
    <t>04566</t>
  </si>
  <si>
    <t>04569</t>
  </si>
  <si>
    <t>04572</t>
  </si>
  <si>
    <t>04573</t>
  </si>
  <si>
    <t>04574</t>
  </si>
  <si>
    <t>04576</t>
  </si>
  <si>
    <t>04579</t>
  </si>
  <si>
    <t>04586</t>
  </si>
  <si>
    <t>04587</t>
  </si>
  <si>
    <t>04589</t>
  </si>
  <si>
    <t>04592</t>
  </si>
  <si>
    <t>04595</t>
  </si>
  <si>
    <t>04597</t>
  </si>
  <si>
    <t>04599</t>
  </si>
  <si>
    <t>04600</t>
  </si>
  <si>
    <t>04601</t>
  </si>
  <si>
    <t>04609</t>
    <phoneticPr fontId="20"/>
  </si>
  <si>
    <t>04611</t>
  </si>
  <si>
    <t>04613</t>
  </si>
  <si>
    <t>04616</t>
  </si>
  <si>
    <t>04621</t>
  </si>
  <si>
    <t>04627</t>
  </si>
  <si>
    <t>04629</t>
  </si>
  <si>
    <t>04630</t>
  </si>
  <si>
    <t>04632</t>
  </si>
  <si>
    <t>04634</t>
  </si>
  <si>
    <t>04635</t>
  </si>
  <si>
    <t>04636</t>
  </si>
  <si>
    <t>04637</t>
  </si>
  <si>
    <t>04638</t>
    <phoneticPr fontId="20"/>
  </si>
  <si>
    <t>04639</t>
  </si>
  <si>
    <t>04641</t>
  </si>
  <si>
    <t>04642</t>
  </si>
  <si>
    <t>04648</t>
  </si>
  <si>
    <t>04653</t>
  </si>
  <si>
    <t>04655</t>
  </si>
  <si>
    <t>04657</t>
  </si>
  <si>
    <t>04660</t>
  </si>
  <si>
    <t>04667</t>
  </si>
  <si>
    <t>04668</t>
  </si>
  <si>
    <t>04671</t>
  </si>
  <si>
    <t>04674</t>
  </si>
  <si>
    <t>04681</t>
  </si>
  <si>
    <t>04685</t>
  </si>
  <si>
    <t>04686</t>
  </si>
  <si>
    <t>04691</t>
  </si>
  <si>
    <t>04694</t>
  </si>
  <si>
    <t>04696</t>
  </si>
  <si>
    <t>04697</t>
  </si>
  <si>
    <t>04701</t>
  </si>
  <si>
    <t>04703</t>
  </si>
  <si>
    <t>04704</t>
  </si>
  <si>
    <t>04707</t>
  </si>
  <si>
    <t>04708</t>
  </si>
  <si>
    <t>04709</t>
  </si>
  <si>
    <t>04712</t>
  </si>
  <si>
    <t>04713</t>
  </si>
  <si>
    <t>04716</t>
  </si>
  <si>
    <t>04718</t>
  </si>
  <si>
    <t>04724</t>
  </si>
  <si>
    <t>04726</t>
  </si>
  <si>
    <t>04727</t>
  </si>
  <si>
    <t>04732</t>
  </si>
  <si>
    <t>04733</t>
  </si>
  <si>
    <t>04734</t>
  </si>
  <si>
    <t>04737</t>
  </si>
  <si>
    <t>04739</t>
  </si>
  <si>
    <t>04740</t>
  </si>
  <si>
    <t>04741</t>
  </si>
  <si>
    <t>04742</t>
  </si>
  <si>
    <t>04743</t>
  </si>
  <si>
    <t>04746</t>
  </si>
  <si>
    <t>04753</t>
  </si>
  <si>
    <t>04758</t>
  </si>
  <si>
    <t>04762</t>
  </si>
  <si>
    <t>04763</t>
  </si>
  <si>
    <t>04764</t>
  </si>
  <si>
    <t>04767</t>
  </si>
  <si>
    <t>04768</t>
  </si>
  <si>
    <t>04769</t>
  </si>
  <si>
    <t>04772</t>
  </si>
  <si>
    <t>04773</t>
  </si>
  <si>
    <t>04775</t>
  </si>
  <si>
    <t>04776</t>
  </si>
  <si>
    <t>04778</t>
  </si>
  <si>
    <t>04779</t>
  </si>
  <si>
    <t>04780</t>
  </si>
  <si>
    <t>04782</t>
  </si>
  <si>
    <t>04783</t>
  </si>
  <si>
    <t>04785</t>
  </si>
  <si>
    <t>04787</t>
  </si>
  <si>
    <t>04791</t>
  </si>
  <si>
    <t>04792</t>
  </si>
  <si>
    <t>04793</t>
  </si>
  <si>
    <t>04794</t>
  </si>
  <si>
    <t>04797</t>
  </si>
  <si>
    <t>04798</t>
  </si>
  <si>
    <t>04801</t>
  </si>
  <si>
    <t>04803</t>
  </si>
  <si>
    <t>04808</t>
  </si>
  <si>
    <t>04809</t>
  </si>
  <si>
    <t>04811</t>
  </si>
  <si>
    <t>04813</t>
  </si>
  <si>
    <t>04814</t>
  </si>
  <si>
    <t>04816</t>
  </si>
  <si>
    <t>04819</t>
  </si>
  <si>
    <t>04824</t>
  </si>
  <si>
    <t>04826</t>
  </si>
  <si>
    <t>04832</t>
  </si>
  <si>
    <t>04833</t>
  </si>
  <si>
    <t>04834</t>
  </si>
  <si>
    <t>04836</t>
  </si>
  <si>
    <t>04844</t>
  </si>
  <si>
    <t>04845</t>
  </si>
  <si>
    <t>04846</t>
  </si>
  <si>
    <t>04849</t>
  </si>
  <si>
    <t>04850</t>
  </si>
  <si>
    <t>04852</t>
  </si>
  <si>
    <t>04853</t>
  </si>
  <si>
    <t>04855</t>
  </si>
  <si>
    <t>04856</t>
  </si>
  <si>
    <t>04860</t>
  </si>
  <si>
    <t>04861</t>
  </si>
  <si>
    <t>04869</t>
  </si>
  <si>
    <t>04871</t>
  </si>
  <si>
    <t>04872</t>
  </si>
  <si>
    <t>04874</t>
  </si>
  <si>
    <t>04878</t>
  </si>
  <si>
    <t>04880</t>
  </si>
  <si>
    <t>04885</t>
  </si>
  <si>
    <t>04887</t>
  </si>
  <si>
    <t>04888</t>
  </si>
  <si>
    <t>04889</t>
  </si>
  <si>
    <t>04890</t>
  </si>
  <si>
    <t>04891</t>
  </si>
  <si>
    <t>04892</t>
  </si>
  <si>
    <t>04893</t>
  </si>
  <si>
    <t>04894</t>
  </si>
  <si>
    <t>04896</t>
  </si>
  <si>
    <t>04897</t>
  </si>
  <si>
    <t>04898</t>
  </si>
  <si>
    <t>04899</t>
  </si>
  <si>
    <t>04901</t>
  </si>
  <si>
    <t>04902</t>
  </si>
  <si>
    <t>04903</t>
  </si>
  <si>
    <t>04908</t>
  </si>
  <si>
    <t>04911</t>
  </si>
  <si>
    <t>04914</t>
  </si>
  <si>
    <t>04920</t>
  </si>
  <si>
    <t>04924</t>
  </si>
  <si>
    <t>04926</t>
  </si>
  <si>
    <t>04928</t>
  </si>
  <si>
    <t>04929</t>
  </si>
  <si>
    <t>04935</t>
  </si>
  <si>
    <t>04936</t>
  </si>
  <si>
    <t>04938</t>
  </si>
  <si>
    <t>04939</t>
  </si>
  <si>
    <t>04946</t>
  </si>
  <si>
    <t>04947</t>
  </si>
  <si>
    <t>04948</t>
  </si>
  <si>
    <t>04953</t>
  </si>
  <si>
    <t>04959</t>
  </si>
  <si>
    <t>04963</t>
  </si>
  <si>
    <t>04966</t>
  </si>
  <si>
    <t>04967</t>
  </si>
  <si>
    <t>04968</t>
  </si>
  <si>
    <t>04969</t>
  </si>
  <si>
    <t>04976</t>
  </si>
  <si>
    <t>04982</t>
  </si>
  <si>
    <t>04986</t>
  </si>
  <si>
    <t>04987</t>
  </si>
  <si>
    <t>04990</t>
  </si>
  <si>
    <t>04993</t>
  </si>
  <si>
    <t>04998</t>
  </si>
  <si>
    <t>04999</t>
  </si>
  <si>
    <t>05001</t>
  </si>
  <si>
    <t>05007</t>
  </si>
  <si>
    <t>05008</t>
  </si>
  <si>
    <t>05009</t>
  </si>
  <si>
    <t>05010</t>
  </si>
  <si>
    <t>05013</t>
  </si>
  <si>
    <t>05014</t>
  </si>
  <si>
    <t>05015</t>
  </si>
  <si>
    <t>05017</t>
  </si>
  <si>
    <t>05019</t>
  </si>
  <si>
    <t>05020</t>
  </si>
  <si>
    <t>05026</t>
  </si>
  <si>
    <t>05029</t>
  </si>
  <si>
    <t>05034</t>
  </si>
  <si>
    <t>05036</t>
  </si>
  <si>
    <t>05041</t>
  </si>
  <si>
    <t>05043</t>
  </si>
  <si>
    <t>05046</t>
  </si>
  <si>
    <t>05047</t>
  </si>
  <si>
    <t>05049</t>
  </si>
  <si>
    <t>05050</t>
  </si>
  <si>
    <t>05053</t>
  </si>
  <si>
    <t>05055</t>
  </si>
  <si>
    <t>05057</t>
  </si>
  <si>
    <t>05058</t>
  </si>
  <si>
    <t>05062</t>
  </si>
  <si>
    <t>05063</t>
  </si>
  <si>
    <t>05064</t>
  </si>
  <si>
    <t>05066</t>
  </si>
  <si>
    <t>05067</t>
  </si>
  <si>
    <t>05073</t>
  </si>
  <si>
    <t>05075</t>
  </si>
  <si>
    <t>05076</t>
  </si>
  <si>
    <t>05078</t>
  </si>
  <si>
    <t>05080</t>
  </si>
  <si>
    <t>05082</t>
    <phoneticPr fontId="20"/>
  </si>
  <si>
    <t>05093</t>
  </si>
  <si>
    <t>05095</t>
  </si>
  <si>
    <t>05096</t>
  </si>
  <si>
    <t>05098</t>
    <phoneticPr fontId="20"/>
  </si>
  <si>
    <t>05099</t>
  </si>
  <si>
    <t>05100</t>
  </si>
  <si>
    <t>05102</t>
  </si>
  <si>
    <t>05103</t>
  </si>
  <si>
    <t>05106</t>
  </si>
  <si>
    <t>05107</t>
    <phoneticPr fontId="20"/>
  </si>
  <si>
    <t>05109</t>
  </si>
  <si>
    <t>05111</t>
  </si>
  <si>
    <t>05112</t>
  </si>
  <si>
    <t>05113</t>
  </si>
  <si>
    <t>05115</t>
    <phoneticPr fontId="20"/>
  </si>
  <si>
    <t>05116</t>
  </si>
  <si>
    <t>05117</t>
  </si>
  <si>
    <t>05118</t>
  </si>
  <si>
    <t>05123</t>
  </si>
  <si>
    <t>05124</t>
    <phoneticPr fontId="18"/>
  </si>
  <si>
    <t>05125</t>
  </si>
  <si>
    <t>05126</t>
  </si>
  <si>
    <t>05127</t>
  </si>
  <si>
    <t>05128</t>
  </si>
  <si>
    <t>05129</t>
  </si>
  <si>
    <t>05133</t>
  </si>
  <si>
    <t>05134</t>
  </si>
  <si>
    <t>05137</t>
  </si>
  <si>
    <t>05139</t>
  </si>
  <si>
    <t>05146</t>
  </si>
  <si>
    <t>05147</t>
  </si>
  <si>
    <t>05149</t>
  </si>
  <si>
    <t>05150</t>
  </si>
  <si>
    <t>05152</t>
  </si>
  <si>
    <t>05153</t>
  </si>
  <si>
    <t>05155</t>
  </si>
  <si>
    <t>05156</t>
  </si>
  <si>
    <t>05157</t>
  </si>
  <si>
    <t>05158</t>
  </si>
  <si>
    <t>05160</t>
  </si>
  <si>
    <t>05161</t>
  </si>
  <si>
    <t>05162</t>
  </si>
  <si>
    <t>05165</t>
  </si>
  <si>
    <t>05167</t>
  </si>
  <si>
    <t>05168</t>
  </si>
  <si>
    <t>05169</t>
  </si>
  <si>
    <t>05181</t>
  </si>
  <si>
    <t>05182</t>
  </si>
  <si>
    <t>05183</t>
  </si>
  <si>
    <t>05184</t>
  </si>
  <si>
    <t>05187</t>
  </si>
  <si>
    <t>05188</t>
  </si>
  <si>
    <t>05190</t>
  </si>
  <si>
    <t>05191</t>
  </si>
  <si>
    <t>05196</t>
  </si>
  <si>
    <t>05197</t>
  </si>
  <si>
    <t>05198</t>
  </si>
  <si>
    <t>05202</t>
  </si>
  <si>
    <t>05203</t>
  </si>
  <si>
    <t>05205</t>
  </si>
  <si>
    <t>05207</t>
  </si>
  <si>
    <t>05208</t>
  </si>
  <si>
    <t>05209</t>
  </si>
  <si>
    <t>05210</t>
  </si>
  <si>
    <t>05212</t>
  </si>
  <si>
    <t>05216</t>
  </si>
  <si>
    <t>05217</t>
  </si>
  <si>
    <t>05220</t>
  </si>
  <si>
    <t>05221</t>
  </si>
  <si>
    <t>05223</t>
    <phoneticPr fontId="20"/>
  </si>
  <si>
    <t>05226</t>
  </si>
  <si>
    <t>05227</t>
  </si>
  <si>
    <t>05228</t>
  </si>
  <si>
    <t>05229</t>
  </si>
  <si>
    <t>05231</t>
  </si>
  <si>
    <t>05232</t>
  </si>
  <si>
    <t>05233</t>
  </si>
  <si>
    <t>05236</t>
    <phoneticPr fontId="20"/>
  </si>
  <si>
    <t>05241</t>
  </si>
  <si>
    <t>05242</t>
  </si>
  <si>
    <t>05243</t>
  </si>
  <si>
    <t>05244</t>
  </si>
  <si>
    <t>05247</t>
  </si>
  <si>
    <t>05249</t>
  </si>
  <si>
    <t>05250</t>
  </si>
  <si>
    <t>05251</t>
  </si>
  <si>
    <t>05253</t>
  </si>
  <si>
    <t>05257</t>
  </si>
  <si>
    <t>05259</t>
  </si>
  <si>
    <t>05260</t>
  </si>
  <si>
    <t>05261</t>
  </si>
  <si>
    <t>05262</t>
  </si>
  <si>
    <t>05263</t>
  </si>
  <si>
    <t>05264</t>
  </si>
  <si>
    <t>05265</t>
  </si>
  <si>
    <t>03371</t>
  </si>
  <si>
    <t>04152</t>
  </si>
  <si>
    <t>04394</t>
  </si>
  <si>
    <t>04399</t>
  </si>
  <si>
    <t>04445</t>
  </si>
  <si>
    <t>04645</t>
  </si>
  <si>
    <t>04656</t>
  </si>
  <si>
    <t>04690</t>
  </si>
  <si>
    <t>LÊ CÔNG KHANH</t>
  </si>
  <si>
    <t>NGUYỄN ĐỨC YÊN</t>
  </si>
  <si>
    <t>PHẠM VIỆT HÙNG</t>
  </si>
  <si>
    <t>NGUYỄN NGỌC DƯƠNG</t>
  </si>
  <si>
    <t>NGUYỄN ĐỨC CẢNH</t>
  </si>
  <si>
    <t>NGUYỄN THỊ THANH XUYẾN</t>
  </si>
  <si>
    <t>NGUYỄN VĂN BIÊN</t>
  </si>
  <si>
    <t>HOÀNG LIÊN SƠN</t>
  </si>
  <si>
    <t>NGUYỄN VĂN BA</t>
  </si>
  <si>
    <t>TRẦN THỊ QUẾ</t>
  </si>
  <si>
    <t>NGUYỄN QUANG VĂN</t>
  </si>
  <si>
    <t>ĐỒNG TRUNG DŨNG</t>
  </si>
  <si>
    <t>ĐỒNG XUÂN MẠNH</t>
  </si>
  <si>
    <t>NGUYỄN THỊ BÍCH VÂN</t>
  </si>
  <si>
    <t>VŨ VIẾT HẢO</t>
  </si>
  <si>
    <t>NGUYỄN QUANG LUYẾN</t>
  </si>
  <si>
    <t xml:space="preserve">HOÀNG THỊ HOAN </t>
  </si>
  <si>
    <t>HOÀNG QUỐC TOẢN</t>
  </si>
  <si>
    <t>NGUYỄN THỊ THU HỢP</t>
  </si>
  <si>
    <t>ĐỒNG THỊ THIỆN</t>
  </si>
  <si>
    <t>ĐỒNG THỊ LỆ THU</t>
  </si>
  <si>
    <t>TRƯƠNG THỊ THU CHANG</t>
  </si>
  <si>
    <t>DƯƠNG THỊ VỤ</t>
  </si>
  <si>
    <t>HOÀNG TÂN THỜI</t>
  </si>
  <si>
    <t>NGUYỄN VĂN GIÁP</t>
  </si>
  <si>
    <t>CAO THỊ THANH BÌNH</t>
  </si>
  <si>
    <t>LƯU THỊ PHÚC</t>
  </si>
  <si>
    <t>NGUYỄN THỊ NHUNG B</t>
  </si>
  <si>
    <t>LÊ THỊ MINH NGUYỆT</t>
  </si>
  <si>
    <t>TRƯƠNG THỊ THANH NGA</t>
  </si>
  <si>
    <t>ĐỒNG VĂN CÔNG</t>
  </si>
  <si>
    <t>LÊ THỊ TUYẾT</t>
  </si>
  <si>
    <t>HOÀNG LAN PHƯƠNG</t>
  </si>
  <si>
    <t>HOÀNG THỊ HỒNG LAN</t>
  </si>
  <si>
    <t>VŨ THỊ THU HƯƠNG</t>
  </si>
  <si>
    <t>VŨ QUYẾT THẮNG</t>
  </si>
  <si>
    <t>VŨ THỊ TUYẾT</t>
  </si>
  <si>
    <t>TRẦN THỊ KIM OANH</t>
  </si>
  <si>
    <t>DƯƠNG TIẾN BẰNG</t>
  </si>
  <si>
    <t>TRẦN THỊ MINH PHƯƠNG</t>
  </si>
  <si>
    <t>LÝ SINH TÀI</t>
  </si>
  <si>
    <t>NGUYỄN ĐĂNG TRUNG</t>
  </si>
  <si>
    <t>ĐỒNG VĂN GIANG</t>
  </si>
  <si>
    <t>TRẦN VĂN SƠN</t>
  </si>
  <si>
    <t>TRẦN THỊ PHƯỢNG</t>
  </si>
  <si>
    <t>VŨ THỊ MAI</t>
  </si>
  <si>
    <t>ĐÀO THI QUẾ</t>
  </si>
  <si>
    <t>TẠ QUANG DŨNG</t>
  </si>
  <si>
    <t>NGUYỄN MAI HƯƠNG</t>
  </si>
  <si>
    <t>LƯU THỊ HÀ</t>
  </si>
  <si>
    <t>VŨ THÙY GIANG</t>
  </si>
  <si>
    <t>NGUYỄN QUANG HÙNG</t>
  </si>
  <si>
    <t>VŨ CAO CƯỜNG</t>
  </si>
  <si>
    <t>LÊ THỊ THANH HUYỀN</t>
  </si>
  <si>
    <t>VŨ THỊ GẤM</t>
  </si>
  <si>
    <t>ĐÀO THỊ HỒNG THU</t>
  </si>
  <si>
    <t>NGUYỄN THỊ THANH THẢO</t>
  </si>
  <si>
    <t xml:space="preserve">PHẠM THỊ TRUNG </t>
  </si>
  <si>
    <t>ĐÀO VŨ THẮM</t>
  </si>
  <si>
    <t>PHẠM THỊ HỒNG DIỆP</t>
  </si>
  <si>
    <t>ĐÀO THỊ LỤA</t>
  </si>
  <si>
    <t>NGUYỄN THỊ NGUYỆT NGA</t>
  </si>
  <si>
    <t>PHẠM ĐỨC ĐẠI</t>
  </si>
  <si>
    <t>AN THỊ BÍCH HÀ</t>
  </si>
  <si>
    <t>TRƯƠNG HUY TOÀN</t>
  </si>
  <si>
    <t>NGUYỄN THỊ MINH THU</t>
  </si>
  <si>
    <t>NGUYỄN ĐỨC THUẬN</t>
  </si>
  <si>
    <t>NGUYỄN THỊ TUYẾT A</t>
  </si>
  <si>
    <t>DƯƠNG QUỐC DOANH</t>
  </si>
  <si>
    <t>BÙI THỊ HINH</t>
  </si>
  <si>
    <t>ĐÀO NGỌC MẠNH</t>
  </si>
  <si>
    <t>NGUYỄN HẰNG</t>
  </si>
  <si>
    <t>THÂN TRỌNG DŨNG</t>
  </si>
  <si>
    <t>VŨ THỊ HUẾ</t>
  </si>
  <si>
    <t>ĐÀO THỊ ANH</t>
  </si>
  <si>
    <t>NGUYỄN XUÂN MỸ</t>
  </si>
  <si>
    <t>NGÔ THƯỢNG NGỮ</t>
  </si>
  <si>
    <t>BÁ THỊ NGỌC</t>
  </si>
  <si>
    <t>NGUYỄN THỊ HỒNG THẮM</t>
  </si>
  <si>
    <t>ĐỒNG THỊ LINH</t>
  </si>
  <si>
    <t>NGUYỄN DIỄM THI</t>
  </si>
  <si>
    <t>LƯU THỊ HƯỜNG</t>
  </si>
  <si>
    <t>LÊ THỊ PHƯƠNG</t>
  </si>
  <si>
    <t>TRẦN THỊ THÙY LINH</t>
  </si>
  <si>
    <t>THÂN THỊ VÂN LAN</t>
  </si>
  <si>
    <t>PHẠM THỊ BÍCH HỒNG</t>
  </si>
  <si>
    <t>LÊ THỊ VỸ</t>
  </si>
  <si>
    <t>TRƯƠNG THỊ NGA</t>
  </si>
  <si>
    <t>HOÀNG HẢI YẾN</t>
  </si>
  <si>
    <t>ĐÀO THỊ HỒNG NHUNG</t>
  </si>
  <si>
    <t>TRƯƠNG THỊ VÂN</t>
  </si>
  <si>
    <t>CAO HỒNG NHUNG</t>
  </si>
  <si>
    <t>NGUYỄN THỊ ĐÔNG</t>
  </si>
  <si>
    <t>ĐỒNG THỊ LỆ</t>
  </si>
  <si>
    <t>ĐINH THỊ HƯƠNG</t>
  </si>
  <si>
    <t>DƯƠNG THỊ VÂN ANH</t>
  </si>
  <si>
    <t>LÊ TÚ ANH</t>
  </si>
  <si>
    <t>BÙI NHƯ VIẾT</t>
  </si>
  <si>
    <t>HOÀNG CÔNG HỮU</t>
  </si>
  <si>
    <t>DƯƠNG THỊ HƯƠNG GIANG</t>
  </si>
  <si>
    <t>DƯƠNG THỊ HOÀI THƠ</t>
  </si>
  <si>
    <t>VŨ VĂN TUYÊN</t>
  </si>
  <si>
    <t>DƯƠNG THỊ MAI PHƯƠNG</t>
  </si>
  <si>
    <t>HÀ THỊ NGUYỆN</t>
  </si>
  <si>
    <t>LƯU THỊ YẾN</t>
  </si>
  <si>
    <t>HOÀNG THỊ BIÊN THÙY</t>
  </si>
  <si>
    <t>HOÀNG VĂN CƯỜNG</t>
  </si>
  <si>
    <t>MAI ĐỨC ANH</t>
  </si>
  <si>
    <t>LƯU NGỌC TÚ</t>
  </si>
  <si>
    <t>NGUYỄN VĂN TOẢN</t>
  </si>
  <si>
    <t>NGUYỄN THÀNH CHUNG</t>
  </si>
  <si>
    <t>DƯƠNG THỊ HOÀN</t>
  </si>
  <si>
    <t>NGUYỄN THANH LOAN</t>
  </si>
  <si>
    <t>ĐỒNG THỊ MAI LIỄU</t>
  </si>
  <si>
    <t>LÊ THỊ THÚY HÀ</t>
  </si>
  <si>
    <t>TRỊNH THỊ HẢI HẬU</t>
  </si>
  <si>
    <t>LÊ THÚY TRANG</t>
  </si>
  <si>
    <t>ĐÀO THANH HÀ</t>
  </si>
  <si>
    <t>NGUYỄN THỊ GIẢNG</t>
  </si>
  <si>
    <t>TRẦN THỊ MAI HOA</t>
  </si>
  <si>
    <t>TRẦN HẢI LÂM</t>
  </si>
  <si>
    <t>NGUYỄN MINH HẢO</t>
  </si>
  <si>
    <t>TRƯƠNG THỊ TRANG</t>
  </si>
  <si>
    <t>LÊ THỊ THÚY PHƯỢNG</t>
  </si>
  <si>
    <t>CHU THỊ NGỌC CHÂU</t>
  </si>
  <si>
    <t>NGUYỄN THỊ LAN HƯƠNG A</t>
  </si>
  <si>
    <t>NGUYỄN QUỐC HOÀN</t>
  </si>
  <si>
    <t>BÙI VĂN HIẾU</t>
  </si>
  <si>
    <t>NGUYỄN THỊ THÙY NINH</t>
  </si>
  <si>
    <t>LƯU THỊ HỒNG THUÝ</t>
  </si>
  <si>
    <t>NGÔ THỊ NGUYỆT</t>
  </si>
  <si>
    <t>PHAN THỊ THANH NGA</t>
  </si>
  <si>
    <t xml:space="preserve">PHẠM THỊ NGỌC </t>
  </si>
  <si>
    <t>TRỊNH THỊ LƯƠNG</t>
  </si>
  <si>
    <t>NGUYỄN VĂN HIỂN</t>
  </si>
  <si>
    <t>ĐẶNG QUANG DUY</t>
  </si>
  <si>
    <t>HOÀNG THỊ VUI</t>
  </si>
  <si>
    <t>LƯU THỊ MAI OANH</t>
  </si>
  <si>
    <t>NGUYỄN VĂN NGHỊ</t>
  </si>
  <si>
    <t>TRỊNH THỊ THU HUYỀN</t>
  </si>
  <si>
    <t>TRỊNH THỊ NGA</t>
  </si>
  <si>
    <t>TRƯƠNG THỊ SON</t>
  </si>
  <si>
    <t>DƯƠNG QUANG HUY</t>
  </si>
  <si>
    <t>LƯƠNG THẾ ĐẠT</t>
  </si>
  <si>
    <t>CHU MẠNH TIẾN</t>
  </si>
  <si>
    <t>TRỊNH VĂN SANG</t>
  </si>
  <si>
    <t>PHẠM THỊ HIỆP</t>
  </si>
  <si>
    <t>NGUYỄN NGỌC TUYÊN</t>
  </si>
  <si>
    <t>ĐỒNG SỸ NGUYÊN</t>
  </si>
  <si>
    <t>TRẦN THẾ ĐẠT</t>
  </si>
  <si>
    <t>LÊ THỊ PHƯƠNG NHUNG</t>
  </si>
  <si>
    <t>NGUYỄN VĂN THÁI</t>
  </si>
  <si>
    <t>NGUYỄN THỊ BÍCH THÀNH</t>
  </si>
  <si>
    <t xml:space="preserve">TẠ THỊ HUYỀN </t>
  </si>
  <si>
    <t>NGUYỄN THỊ YÊN</t>
  </si>
  <si>
    <t>MAI LỊCH SỬ</t>
  </si>
  <si>
    <t>NGUYỄN THỊ ÁNH QUYÊN</t>
  </si>
  <si>
    <t>NGUYỄN THỊ THANH THÚY</t>
  </si>
  <si>
    <t>TRẦN THỊ HẠNH PHÚC</t>
  </si>
  <si>
    <t>LÃ THỊ LOAN</t>
  </si>
  <si>
    <t>MẪN THỊ HUYỀN</t>
  </si>
  <si>
    <t>NGUYỄN THỊ HUYỀN A</t>
  </si>
  <si>
    <t>NGUYỄN THỊ THÚY LAN</t>
  </si>
  <si>
    <t>TRƯƠNG THỊ HIỀN</t>
  </si>
  <si>
    <t>PHẠM ANH TUẤN</t>
  </si>
  <si>
    <t>LÊ THỊ HỒNG PHƯỢNG</t>
  </si>
  <si>
    <t>ĐẶNG VĂN PHONG</t>
  </si>
  <si>
    <t>BÁ THỊ THUÝ</t>
  </si>
  <si>
    <t>LƯU TUYẾT NHUNG</t>
  </si>
  <si>
    <t>TRẦN THỊ THANH TRANG</t>
  </si>
  <si>
    <t>NGUYỄN THỊ ĐƯỜNG</t>
  </si>
  <si>
    <t>LƯU THỊ THANH DUNG</t>
  </si>
  <si>
    <t>LÊ THỊ THUẬN</t>
  </si>
  <si>
    <t>NGUYỄN QUANG CẢNH</t>
  </si>
  <si>
    <t>LƯU MẠNH HÙNG</t>
  </si>
  <si>
    <t>NGUYỄN THỊ MAI B</t>
  </si>
  <si>
    <t>LƯU THỊ LAN HƯƠNG</t>
  </si>
  <si>
    <t>NGUYỄN THỊ DIỄM HẰNG</t>
  </si>
  <si>
    <t>LƯU THỊ HIỀN</t>
  </si>
  <si>
    <t>LƯU THỊ LÊ</t>
  </si>
  <si>
    <t>ĐẶNG THỊ NHẠN</t>
  </si>
  <si>
    <t>NGUYỄN THỊ HOÈ</t>
  </si>
  <si>
    <t>ĐỒNG THỊ LÊ</t>
  </si>
  <si>
    <t>LƯU THỊ MINH</t>
  </si>
  <si>
    <t>LÊ ĐÌNH DŨNG</t>
  </si>
  <si>
    <t>NGUYỄN MẠNH THẮNG</t>
  </si>
  <si>
    <t>NGUYỄN THỊ HỒNG NHUNG A</t>
  </si>
  <si>
    <t>VŨ THỊ SON</t>
  </si>
  <si>
    <t>ĐẶNG THỊ THANH</t>
  </si>
  <si>
    <t>DƯƠNG THỊ HUẾ</t>
  </si>
  <si>
    <t>HOÀNG THỊ THU HÀ</t>
  </si>
  <si>
    <t>TRƯƠNG THỊ ÁNH</t>
  </si>
  <si>
    <t>NGUYỄN THỊ THU NHẠN</t>
  </si>
  <si>
    <t>ĐỖ THỊ PHƯƠNG THÙY</t>
  </si>
  <si>
    <t>LÊ XUÂN TÚ</t>
  </si>
  <si>
    <t>NGUYỄN ĐỨC KIÊN</t>
  </si>
  <si>
    <t>PHẠM MẠNH CƯỜNG</t>
  </si>
  <si>
    <t>LÊ VĂN BẮC</t>
  </si>
  <si>
    <t>NGUYỄN VĂN QUỲNH</t>
  </si>
  <si>
    <t>LÊ THỊ THANH XUÂN</t>
  </si>
  <si>
    <t>TRƯƠNG THỊ YÊN</t>
  </si>
  <si>
    <t>NGUYỄN THỊ THÙY A</t>
  </si>
  <si>
    <t>THÂN MỸ TRANG</t>
  </si>
  <si>
    <t>LÊ THỊ LUYẾN</t>
  </si>
  <si>
    <t>LƯU THỊ BÌNH A</t>
  </si>
  <si>
    <t>NGUYỄN THỊ MAI QUỲNH</t>
  </si>
  <si>
    <t xml:space="preserve">PHẠM THỊ THƠM </t>
  </si>
  <si>
    <t>PHẠM TUẤN DŨNG</t>
  </si>
  <si>
    <t>HỒ THỊ HƯƠNG</t>
  </si>
  <si>
    <t>ĐỖ THỊ THUẦN</t>
  </si>
  <si>
    <t>TRỊNH THỊ HỒNG THƯ</t>
  </si>
  <si>
    <t>BÙI XUÂN THUỶ</t>
  </si>
  <si>
    <t>LÊ HỒNG PHONG</t>
  </si>
  <si>
    <t>NGUYỄN ĐỨC TOẢN</t>
  </si>
  <si>
    <t>NGUYỄN THỊ HẠNHB</t>
  </si>
  <si>
    <t>DƯƠNG THỊ THOA</t>
  </si>
  <si>
    <t>LƯU THỊ THÙY DUNG</t>
  </si>
  <si>
    <t>LƯU THỊ PHƯƠNG THẢO</t>
  </si>
  <si>
    <t>PHẠM VIỆT DŨNG</t>
  </si>
  <si>
    <t>NGUYỄN VĂN CƯƠNG</t>
  </si>
  <si>
    <t>DƯƠNG THỊ HƯƠNG</t>
  </si>
  <si>
    <t>HOÀNG THỊ HÀ</t>
  </si>
  <si>
    <t>ĐẶNG THỊ THANH PHƯƠNG</t>
  </si>
  <si>
    <t>NGUYỄN THỊ HỒNG THƠ</t>
  </si>
  <si>
    <t>NGUYỄN THỊ NGỌC DUNG</t>
  </si>
  <si>
    <t>NGUYỄN MẠNH QUÂN</t>
  </si>
  <si>
    <t>ĐẶNG THỊ PHƯƠNG</t>
  </si>
  <si>
    <t xml:space="preserve">NGUYỄN THỊ BÍCH LIÊN </t>
  </si>
  <si>
    <t>NGUYỄN THỊ THẢO D</t>
  </si>
  <si>
    <t>ĐÀO THỊ MẪN</t>
  </si>
  <si>
    <t>LÊ THỊ ÁI VÂN</t>
  </si>
  <si>
    <t>TRƯƠNG THANH VÂN</t>
  </si>
  <si>
    <t>KIỀU THỊ HOA</t>
  </si>
  <si>
    <t>TRẦN THỊ ÁNH TUYẾT</t>
  </si>
  <si>
    <t>LƯU THỊ NHUNG</t>
  </si>
  <si>
    <t>NGUYỄN THỊ MẾNA</t>
  </si>
  <si>
    <t>NGUYỄN THỊ THANH VÂN</t>
  </si>
  <si>
    <t>NGUYỄN VIẾT BÁU</t>
  </si>
  <si>
    <t>TRẦN THỊ LOAN A</t>
  </si>
  <si>
    <t>DƯƠNG THỊ HỒNG</t>
  </si>
  <si>
    <t>ĐẶNG THỊ KIM THƯƠNG</t>
  </si>
  <si>
    <t>NGUYỄN THỊ LÝ A</t>
  </si>
  <si>
    <t>QUẢN TÚ LAN</t>
  </si>
  <si>
    <t>ĐỖ THỊ HIỀN B</t>
  </si>
  <si>
    <t>ĐÀO THỊ TIẾP</t>
  </si>
  <si>
    <t>ĐÀO THỊ HƯỜNG</t>
  </si>
  <si>
    <t>PHẠM THỊ HẢI</t>
  </si>
  <si>
    <t>NGÔ HOÀI THƯƠNG</t>
  </si>
  <si>
    <t>NGUYỄN THỊ KIỀU OANH</t>
  </si>
  <si>
    <t>NGUYỄN THỊ HUYÊN</t>
  </si>
  <si>
    <t>TRỊNH THỊ LỤA</t>
  </si>
  <si>
    <t>TRỊNH THU HUYỀN</t>
  </si>
  <si>
    <t xml:space="preserve">ĐỖ THỊ XUYÊN </t>
  </si>
  <si>
    <t>HOÀNG THỊ BÍCH</t>
  </si>
  <si>
    <t>HOÀNG THỊ LIỄU</t>
  </si>
  <si>
    <t>BÙI THỊ XIÊM</t>
  </si>
  <si>
    <t>ĐỒNG THỊ NGỌC HÀ</t>
  </si>
  <si>
    <t>NGUYỄN VĂN TUẤN A</t>
  </si>
  <si>
    <t>NGUYỄN THỊ HỒNG VÂN A</t>
  </si>
  <si>
    <t>TẠ THỊ LONG</t>
  </si>
  <si>
    <t>DƯƠNG THỊ HẢO</t>
  </si>
  <si>
    <t>NGUYỄN THỊ TOÀN</t>
  </si>
  <si>
    <t>NGUYỄN THỊ THANH HUỆ</t>
  </si>
  <si>
    <t>TRƯƠNG THỊ HUYỀN CHANG</t>
  </si>
  <si>
    <t>ĐINH THỊ TÂM</t>
  </si>
  <si>
    <t>DƯƠNG THỊ THƯƠNG</t>
  </si>
  <si>
    <t>VŨ THỊ YẾN</t>
  </si>
  <si>
    <t>TRẦN THỊ HẰNG A</t>
  </si>
  <si>
    <t>TRỊNH THỊ CHINH</t>
  </si>
  <si>
    <t>DƯƠNG THỊ HOA</t>
  </si>
  <si>
    <t>ĐỒNG VĂN BẰNG</t>
  </si>
  <si>
    <t>TRẦN PHƯƠNG NHUNG</t>
  </si>
  <si>
    <t>NGUYỄN XINH QUÂN</t>
  </si>
  <si>
    <t>HÀ TUẤN ĐỨC</t>
  </si>
  <si>
    <t>TRẦN TRỌNG THỂ</t>
  </si>
  <si>
    <t>PHẠM THỊ MINH THU</t>
  </si>
  <si>
    <t>ĐỖ THỊ KIM HUỆ</t>
  </si>
  <si>
    <t>ĐỖ THỊ KIM LIÊN</t>
  </si>
  <si>
    <t>DƯƠNG THANH HIẾU</t>
  </si>
  <si>
    <t>ĐỒNG THỊ NGA</t>
  </si>
  <si>
    <t>HỨA THỊ LOAN</t>
  </si>
  <si>
    <t>DƯƠNG HẢI YẾN</t>
  </si>
  <si>
    <t>PHẠM THỊ THANH HƯƠNG</t>
  </si>
  <si>
    <t>LÊ THỊ HỒNG CHĂM</t>
  </si>
  <si>
    <t>PHẠM THỊ YẾN</t>
  </si>
  <si>
    <t>PHẠM THỊ HOAN</t>
  </si>
  <si>
    <t>DƯƠNG THỊ DUYÊN</t>
  </si>
  <si>
    <t>TRẦN THỊ NGỌC ÁNH</t>
  </si>
  <si>
    <t>BÁ THỊ VÂN</t>
  </si>
  <si>
    <t xml:space="preserve">VŨ XUÂN QUANG </t>
  </si>
  <si>
    <t>NGÔ QUANG TRUNG</t>
  </si>
  <si>
    <t>NGUYỄN KIỀU TRANG</t>
  </si>
  <si>
    <t>NGUYỄN MẠNH TUẤN</t>
  </si>
  <si>
    <t>BÙI VĂN TUYÊN</t>
  </si>
  <si>
    <t>NGÔ THỊ DUNG OANH</t>
  </si>
  <si>
    <t>GIANG THỊ NHƯ QUỲNH</t>
  </si>
  <si>
    <t>NGUYỄN MẠNH ĐÔNG</t>
  </si>
  <si>
    <t>DƯƠNG VĂN TÂN</t>
  </si>
  <si>
    <t>NGUYỄN MINH MẠNH</t>
  </si>
  <si>
    <t>BÙI VĂN BIÊN</t>
  </si>
  <si>
    <t>NGÔ THỊ LAN ANH</t>
  </si>
  <si>
    <t>PHẠM THỊ HỒNG AN</t>
  </si>
  <si>
    <t xml:space="preserve">TRẦN THỊ HỒNG ANH </t>
  </si>
  <si>
    <t>LÊ VĂN LÂM</t>
  </si>
  <si>
    <t>NGUYỄN THỊ PHƯƠNG THẢO A</t>
  </si>
  <si>
    <t>DƯƠNG THỊ THÚY TÌNH</t>
  </si>
  <si>
    <t>TRƯƠNG THỊ HÀ</t>
  </si>
  <si>
    <t>DƯƠNG THỊ THÙY</t>
  </si>
  <si>
    <t>DƯƠNG THỊ BÍCH HẠNH</t>
  </si>
  <si>
    <t>CAO THỊ HẢO</t>
  </si>
  <si>
    <t>TẠ THỊ NGỌC BÍCH</t>
  </si>
  <si>
    <t>BÁ THỊ VƯỢNG</t>
  </si>
  <si>
    <t>TRẦN THÚY BÌNH</t>
  </si>
  <si>
    <t>ĐỖ TUẤN KHIÊM</t>
  </si>
  <si>
    <t>TRƯƠNG ĐÌNH CÔNG</t>
  </si>
  <si>
    <t>NGUYỄN THỊ DUNG A</t>
  </si>
  <si>
    <t>TRẦN XUÂN TUÂN</t>
  </si>
  <si>
    <t>TRẦN VĂN PHÚ</t>
  </si>
  <si>
    <t>NGUYỄN VĂN HOÀN</t>
  </si>
  <si>
    <t>DƯƠNG VĂN TUẤN</t>
  </si>
  <si>
    <t>ĐỖ THỊ CAM</t>
  </si>
  <si>
    <t>TRẦN THỊ THUÝ HẰNG</t>
  </si>
  <si>
    <t>TRẦN THỊ PHƯƠNG THẢO</t>
  </si>
  <si>
    <t>NGUYỄN THỊ LƯƠNG A</t>
  </si>
  <si>
    <t>DOÃN THỊ HUYỀN</t>
  </si>
  <si>
    <t>KIM THỊ MINH NGUYỆT</t>
  </si>
  <si>
    <t>LƯU THỊ THUÝ THƠM</t>
  </si>
  <si>
    <t>PHẠM THỊ HỒNG</t>
  </si>
  <si>
    <t>HOÀNG THỊ THU</t>
  </si>
  <si>
    <t>HOÀNG ANH MINH</t>
  </si>
  <si>
    <t>LÊ THỊ HUẾ</t>
  </si>
  <si>
    <t>DUY THỊ HƯƠNG</t>
  </si>
  <si>
    <t>NGUYỄN MINH TUẤN</t>
  </si>
  <si>
    <t>NGÔ THỊ LÊ</t>
  </si>
  <si>
    <t>HOÀNG ĐÌNH HẠNH</t>
  </si>
  <si>
    <t>LA THỊ THUỶ</t>
  </si>
  <si>
    <t>CAO XUÂN HUÂN</t>
  </si>
  <si>
    <t>NGUYỄN THỊ HỒNG CHI</t>
  </si>
  <si>
    <t>PHẠM THỊ HỒNG THẮNG</t>
  </si>
  <si>
    <t>HÀ THỊ THÂN THƯƠNG</t>
  </si>
  <si>
    <t>HOÀNG NHƯ QUỲNH</t>
  </si>
  <si>
    <t>NGUYỄN THỊ THU HẢI</t>
  </si>
  <si>
    <t>LÊ THỊ LAN HƯƠNG</t>
  </si>
  <si>
    <t>NGUYỄN THỊ QUYÊN</t>
  </si>
  <si>
    <t>TRẦN THỊ HƯƠNG A</t>
  </si>
  <si>
    <t>NGUYỄN ANH VƯỢNG</t>
  </si>
  <si>
    <t>PHẠM TRÚC QUỲNH</t>
  </si>
  <si>
    <t>NGÔ KIỀU YẾN</t>
  </si>
  <si>
    <t>HOÀNG THỊ MINH NGUYỆT</t>
  </si>
  <si>
    <t>VŨ THỊ TUYẾT THANH</t>
  </si>
  <si>
    <t>TRẦN THANH THUỲ</t>
  </si>
  <si>
    <t>NGUYỄN THỊ HOÀ A</t>
  </si>
  <si>
    <t>LÊ THẾ MẠNH</t>
  </si>
  <si>
    <t>DƯƠNG THỊ LAN ANH</t>
  </si>
  <si>
    <t>LÊ THỊ HOÀN</t>
  </si>
  <si>
    <t>HOÀNG THỊ TÁM</t>
  </si>
  <si>
    <t>NGUYỄN THỊ HỒNG TUYẾT</t>
  </si>
  <si>
    <t>TRẦN THỊ DUNG</t>
  </si>
  <si>
    <t>NGUYỄN VĂN ĐIỂN</t>
  </si>
  <si>
    <t>NGỌ VĂN CHIẾN</t>
  </si>
  <si>
    <t>TRỊNH THỊ MINH PHƯỢNG</t>
  </si>
  <si>
    <t>ĐỖ LÊ LINH</t>
  </si>
  <si>
    <t>DƯƠNG VĂN THANH</t>
  </si>
  <si>
    <t>TRẦN THỊ KHUYÊN</t>
  </si>
  <si>
    <t>NGUYỄN THỊ NHUNG A</t>
  </si>
  <si>
    <t>DƯƠNG THỊ BÍCH HẰNG</t>
  </si>
  <si>
    <t>NGUYỄN THỊ THANH PHÚC</t>
  </si>
  <si>
    <t>TRẦN HÙNG VƯƠNG</t>
  </si>
  <si>
    <t>NGÔ QUANG TRƯỜNG</t>
  </si>
  <si>
    <t>LÊ THỊ TUYẾT MAI</t>
  </si>
  <si>
    <t>NGUYỄN MẠNH CƯƠNG</t>
  </si>
  <si>
    <t>BÙI ĐĂNG LƯỢNG</t>
  </si>
  <si>
    <t>VŨ VĂN THƯỞNG</t>
  </si>
  <si>
    <t>TRẦN XUÂN ANH</t>
  </si>
  <si>
    <t>LƯU THỊ HIỀN A</t>
  </si>
  <si>
    <t>VŨ THỊ CHUNG</t>
  </si>
  <si>
    <t>HOÀNG THÀNH ĐÔ</t>
  </si>
  <si>
    <t>HOÀNG THỊ THÙY</t>
  </si>
  <si>
    <t>DƯƠNG THỊ HỒNG HOAN</t>
  </si>
  <si>
    <t>VŨ KHẮC HUY</t>
  </si>
  <si>
    <t>PHẠM THỊ MAI HƯƠNG</t>
  </si>
  <si>
    <t>DƯƠNG THỊ LOAN</t>
  </si>
  <si>
    <t>ĐỒNG THỊ BÍCH VIỆT</t>
  </si>
  <si>
    <t>LÊ THỊ MẾN</t>
  </si>
  <si>
    <t>DƯƠNG THỊ THÁI TUYỂN</t>
  </si>
  <si>
    <t>LƯU THỊ HẢI YẾN</t>
  </si>
  <si>
    <t>NGUYỄN THỊ THU DUNG</t>
  </si>
  <si>
    <t>MA THỊ THOA</t>
  </si>
  <si>
    <t>PHẠM THỊ NA</t>
  </si>
  <si>
    <t>NGUYỄN THỊ YẾN A</t>
  </si>
  <si>
    <t>PHẠM THỊ HƯỜNG</t>
  </si>
  <si>
    <t>TRẦN THỊ ĐOÀN</t>
  </si>
  <si>
    <t>NGUYỄN THỊ THÁI A</t>
  </si>
  <si>
    <t>VŨ THỊ NHƯ HOA</t>
  </si>
  <si>
    <t>HOÀNG THỊ PHƯỢNG</t>
  </si>
  <si>
    <t>LÊ THỊ HIỀN</t>
  </si>
  <si>
    <t>NGUYỄN THỊ THÙY CHINH</t>
  </si>
  <si>
    <t>VŨ THỊ NGỌC</t>
  </si>
  <si>
    <t>ĐỖ HUYỀN TRANG</t>
  </si>
  <si>
    <t>TRẦN THỊ KIM LAN</t>
  </si>
  <si>
    <t>LÊ THỊ NGA</t>
  </si>
  <si>
    <t>DƯƠNG THỊ TUYẾT</t>
  </si>
  <si>
    <t>TRẦN THỊ THU TRANG</t>
  </si>
  <si>
    <t>NGUYỄN QUANG QUYỀN</t>
  </si>
  <si>
    <t>ĐINH NGỌC THÙY</t>
  </si>
  <si>
    <t xml:space="preserve">ĐẶNG THỊ MAI </t>
  </si>
  <si>
    <t>NGUYỄN THỊ HƯỚNG</t>
  </si>
  <si>
    <t>HÀ NGỌC THÚY</t>
  </si>
  <si>
    <t>NGUYỄN THỊ LAN HƯƠNG B</t>
  </si>
  <si>
    <t>NGUYỄN THỊ THẢO B</t>
  </si>
  <si>
    <t>NGUYỄN THỊ THU HỒNG A</t>
  </si>
  <si>
    <t>NGUYỄN KHẮC CƯỜNG</t>
  </si>
  <si>
    <t>HOÀNG THỊ HẢI YẾN</t>
  </si>
  <si>
    <t>LÊ THỊ HỒNG QUYÊN</t>
  </si>
  <si>
    <t>TRẦN THỊ LÝ</t>
  </si>
  <si>
    <t>LÊ THỊ BÍCH THUỶ</t>
  </si>
  <si>
    <t>NGUYỄN THỊ HỒNG ANH</t>
  </si>
  <si>
    <t>ĐỒNG QUANG CƯƠNG</t>
  </si>
  <si>
    <t>TRẦN VĂN KHOA</t>
  </si>
  <si>
    <t>ĐOÀN THỊ HOÀI</t>
  </si>
  <si>
    <t>ĐỒNG THỊ TRANG</t>
  </si>
  <si>
    <t>HOÀNG THỊ LAN</t>
  </si>
  <si>
    <t>HÀ THỊ PHƯƠNG THÙY</t>
  </si>
  <si>
    <t>NGUYỄN THU THÙY</t>
  </si>
  <si>
    <t>QUÁCH THỊ GIANG</t>
  </si>
  <si>
    <t>CHU THỊ QUYÊN</t>
  </si>
  <si>
    <t>NGUYỄN KỲ NAM</t>
  </si>
  <si>
    <t>DƯƠNG THỊ YÊN</t>
  </si>
  <si>
    <t>TRẦN THỊ THẮM</t>
  </si>
  <si>
    <t>ĐỖ THỊ THƯƠNG</t>
  </si>
  <si>
    <t>NGUYỄN THỊ HẠNHA</t>
  </si>
  <si>
    <t>PHẠM THỊ LAN ANH</t>
  </si>
  <si>
    <t>NGUYỄN THỊ HIẾU</t>
  </si>
  <si>
    <t>LÃ THỊ HỢP</t>
  </si>
  <si>
    <t>NGUYỄN THỊ HƯƠNG THƠM</t>
  </si>
  <si>
    <t>VÕ THỊ THƠ</t>
  </si>
  <si>
    <t>VŨ THỊ HÀ THU</t>
  </si>
  <si>
    <t>DƯƠNG THỊ NHUNG A</t>
  </si>
  <si>
    <t>HỨA THỊ QUỲNH</t>
  </si>
  <si>
    <t>NGUYỄN THỊ MAI A</t>
  </si>
  <si>
    <t>NGUYỄN HỒNG VÂN</t>
  </si>
  <si>
    <t>NGUYỄN TUYẾT LINH</t>
  </si>
  <si>
    <t>DƯƠNG THỊ QUỲNH TRANG</t>
  </si>
  <si>
    <t>VŨ THỊ NGẦN</t>
  </si>
  <si>
    <t>HOÀNG THỊ KIỀU</t>
  </si>
  <si>
    <t>DƯƠNG THỊ NHU</t>
  </si>
  <si>
    <t xml:space="preserve">NGUYỄN THỊ THẠCH </t>
  </si>
  <si>
    <t>NGUYỄN THỊ TUYẾT B</t>
  </si>
  <si>
    <t>HOÀNG THỊ THUỶ</t>
  </si>
  <si>
    <t>NGUYỄN THẾ HUY</t>
  </si>
  <si>
    <t>KIỀU VĂN KHẢI</t>
  </si>
  <si>
    <t>LƯU THỊ TUYẾT</t>
  </si>
  <si>
    <t>DƯƠNG THỊ PHƯƠNG NGA</t>
  </si>
  <si>
    <t>ĐÀO THIÊN HƯƠNG</t>
  </si>
  <si>
    <t>TRƯƠNG THỊ OANH</t>
  </si>
  <si>
    <t>LÊ VĂN VIỆT</t>
  </si>
  <si>
    <t>TRẦN THANH TĨNH</t>
  </si>
  <si>
    <t>TRẦN ANH TUẤN</t>
  </si>
  <si>
    <t>NGUYỄN VĂN THUẦN</t>
  </si>
  <si>
    <t>TRẦN THỊ HỒNG VÂN</t>
  </si>
  <si>
    <t>NGUYỄN THỊ KIM HUỆ</t>
  </si>
  <si>
    <t>TRẦN THỊ THANH HOA</t>
  </si>
  <si>
    <t>LƯU THỊ OANH</t>
  </si>
  <si>
    <t>ĐÀO THỊ THÚY VÂN</t>
  </si>
  <si>
    <t>PHẠM THỊ KIM THOA</t>
  </si>
  <si>
    <t>ĐỒNG THỊ VÂN</t>
  </si>
  <si>
    <t>HOÀNG THỊ HƯỚNG</t>
  </si>
  <si>
    <t>NGUYỄN THỊ HỒNG HÀ</t>
  </si>
  <si>
    <t>LÊ THỊ NHUNG</t>
  </si>
  <si>
    <t>ĐẶNG THỊ KHÁNH HUYỀN</t>
  </si>
  <si>
    <t>HOÀNG THI QUYÊN</t>
  </si>
  <si>
    <t>CHU THỊ CHÂM</t>
  </si>
  <si>
    <t>NGUYỄN THỊ DIỆN</t>
  </si>
  <si>
    <t>NGUYỄN THỊ HỒNG LUYẾN</t>
  </si>
  <si>
    <t>LƯU THỊ THUỶ</t>
  </si>
  <si>
    <t>TRẦN THỊ THU</t>
  </si>
  <si>
    <t>TRẦN THỊ THÌN</t>
  </si>
  <si>
    <t>TRẦN THỊ HUYỀN</t>
  </si>
  <si>
    <t>TRỊNH THỊ THU HƯƠNG</t>
  </si>
  <si>
    <t>NGỌC THỊ QUỲNH</t>
  </si>
  <si>
    <t>NGUYỄN THỊ THẮM A</t>
  </si>
  <si>
    <t>THÂN THỊ HUẾ</t>
  </si>
  <si>
    <t>NGUYỄN THỊ TRÂM</t>
  </si>
  <si>
    <t>HÀ THỊ QUYÊN</t>
  </si>
  <si>
    <t>NGUYỄN THỊ NGUYỆN</t>
  </si>
  <si>
    <t>PHẠM THỊ KIM XUÂN</t>
  </si>
  <si>
    <t>ĐỖ THỊ HỒNG YẾN</t>
  </si>
  <si>
    <t>PHẠM THỊ VÂN ANH</t>
  </si>
  <si>
    <t>TRẦN THỊ MAI</t>
  </si>
  <si>
    <t>HOÀNG THỊ HỒNG DUYÊN</t>
  </si>
  <si>
    <t>TRỊNH THỊ THU TRANG</t>
  </si>
  <si>
    <t>ĐÀO THỊ MAI VÂN</t>
  </si>
  <si>
    <t>VŨ THỊ GIANG</t>
  </si>
  <si>
    <t>ĐỒNG VĂN TỊNH</t>
  </si>
  <si>
    <t>PHẠM NGỌC KIÊN</t>
  </si>
  <si>
    <t>NGUYỄN THỊ THẾ</t>
  </si>
  <si>
    <t>TRẦN THỊ KIM YẾN</t>
  </si>
  <si>
    <t>LÊ THỊ LƯƠNG</t>
  </si>
  <si>
    <t>MAI THỊ HÀ</t>
  </si>
  <si>
    <t>NGUYỄN THỊ THƯƠNG A</t>
  </si>
  <si>
    <t>LÊ THỊ DƯƠNG</t>
  </si>
  <si>
    <t>ĐỒNG THỊ MẬN</t>
  </si>
  <si>
    <t>PHAN THỊ QUYÊN</t>
  </si>
  <si>
    <t>ĐỒNG THỊ TÂM</t>
  </si>
  <si>
    <t>NGUYỄN THỊ THƯƠNG</t>
  </si>
  <si>
    <t>PHAN THỊ NGUYÊN</t>
  </si>
  <si>
    <t>NGUYỄN THỊ TIỀN</t>
  </si>
  <si>
    <t>NGUYỄN THỊ HƯƠNG HUYỀN</t>
  </si>
  <si>
    <t>NGUYỄN THỊ THẢO A</t>
  </si>
  <si>
    <t>TẠ THỊ LÝ</t>
  </si>
  <si>
    <t>NGUYỄN THỊ NGA A</t>
  </si>
  <si>
    <t>NGUYỄN NGỌC TÚ</t>
  </si>
  <si>
    <t>HỨA VĂN DUY</t>
  </si>
  <si>
    <t>HOÀNG THỊ QUYÊN</t>
  </si>
  <si>
    <t>NGUYỄN THỊ THUÝ NGA</t>
  </si>
  <si>
    <t>DƯƠNG THỊ HẢI HỒNG</t>
  </si>
  <si>
    <t>VÕ  THƯƠNG THƯƠNG</t>
  </si>
  <si>
    <t>NGUYỄN THU HÒA</t>
  </si>
  <si>
    <t>LƯU THỊ HIÊN</t>
  </si>
  <si>
    <t>TRẦN THỊ MAI AN</t>
  </si>
  <si>
    <t>HOÀNG THỊ VẤN</t>
  </si>
  <si>
    <t>HOÀNG THỊ LUYẾN</t>
  </si>
  <si>
    <t>NGUYỄN THUÝ NHUNG</t>
  </si>
  <si>
    <t>PHẠM THỊ SINH</t>
  </si>
  <si>
    <t>NGUYỄN THUÝ QUYÊN</t>
  </si>
  <si>
    <t>PHẠM THỊ NHUNG</t>
  </si>
  <si>
    <t>NGUYỄN THỊ THƠM A</t>
  </si>
  <si>
    <t>TẠ THỊ MINH ÁNH</t>
  </si>
  <si>
    <t xml:space="preserve">ĐỖ THỊ HUẾ </t>
  </si>
  <si>
    <t>ĐỒNG THỊ VỤ</t>
  </si>
  <si>
    <t>HOÀNG THỊ BẢN</t>
  </si>
  <si>
    <t>DƯƠNG QUỐC HUY</t>
  </si>
  <si>
    <t xml:space="preserve">VŨ THỊ VÂN </t>
  </si>
  <si>
    <t>NGUYỄN THỊ TRINH</t>
  </si>
  <si>
    <t>LÊ THỊ VIÊN</t>
  </si>
  <si>
    <t>MẪN THỊ LỆ LOAN</t>
  </si>
  <si>
    <t>LÊ THỊ  XUÂN QUỲNH</t>
  </si>
  <si>
    <t>PHÓ THỊ MAI</t>
  </si>
  <si>
    <t>ĐÀO THỊ THÚY HƯƠNG</t>
  </si>
  <si>
    <t>ĐẶNG THỊ CHÂM</t>
  </si>
  <si>
    <t>LÊ THỊ THU HẢO</t>
  </si>
  <si>
    <t>TRỊNH THỊ THANH</t>
  </si>
  <si>
    <t>LÊ THỊ THÚY PHƯƠNG</t>
  </si>
  <si>
    <t>VŨ THỊ LIÊN</t>
  </si>
  <si>
    <t>DƯƠNG HẢI ANH</t>
  </si>
  <si>
    <t>LÊ TUẤN ANH</t>
  </si>
  <si>
    <t>BÙI THỊ THÀNH</t>
  </si>
  <si>
    <t xml:space="preserve">NGUYỄN THỊ MƠ </t>
  </si>
  <si>
    <t>NGUYỄN THỊ NHƯỜNG</t>
  </si>
  <si>
    <t>PHAN THỊ THUẬN</t>
  </si>
  <si>
    <t>NGUYỄN THỊ THỦY D</t>
  </si>
  <si>
    <t>MẪN THỊ NGA</t>
  </si>
  <si>
    <t>HÀ THỊ HOÀI</t>
  </si>
  <si>
    <t>DƯƠNG THỊ THẮM</t>
  </si>
  <si>
    <t>VŨ THỊ PHƯƠNG</t>
  </si>
  <si>
    <t>NGUYỄN THỊ MONG</t>
  </si>
  <si>
    <t>LÊ THUÝ NGÂN</t>
  </si>
  <si>
    <t>NGUYỄN THỊ THU HỒNG B</t>
  </si>
  <si>
    <t>DƯƠNG THỊ PHƯƠNG HẢO</t>
  </si>
  <si>
    <t>LÊ THỊ HẢI</t>
  </si>
  <si>
    <t>PHẠM THỊ UYÊN</t>
  </si>
  <si>
    <t>CAO THỊ THƠM</t>
  </si>
  <si>
    <t>DƯƠNG HỒNG QUÂN</t>
  </si>
  <si>
    <t>LƯU ĐỨC ÁNH</t>
  </si>
  <si>
    <t>TRƯƠNG THỊ HIẾU</t>
  </si>
  <si>
    <t>LƯU THỊ NGỌC HÀ</t>
  </si>
  <si>
    <t>LƯU THỊ UYÊN</t>
  </si>
  <si>
    <t>TRẦN VĂN TOẢN</t>
  </si>
  <si>
    <t>TRẦN KIM OANH</t>
  </si>
  <si>
    <t>TRẦN ĐỨC THIỆN</t>
  </si>
  <si>
    <t>ĐỖ KHẮC HOÀN</t>
  </si>
  <si>
    <t>DƯƠNG ĐỨC QUÝ</t>
  </si>
  <si>
    <t>BÙI THỊ QUÝ</t>
  </si>
  <si>
    <t>HOÀNG THỊ LOAN</t>
  </si>
  <si>
    <t>HOÀNG THỊ TÍM</t>
  </si>
  <si>
    <t>NGUYỄN VĂN HẠNH</t>
  </si>
  <si>
    <t>LƯU VĂN CHUẨN</t>
  </si>
  <si>
    <t>ĐÀO THỊ THÙY DƯƠNG</t>
  </si>
  <si>
    <t>VŨ THỊ PHƯƠNG THANH</t>
  </si>
  <si>
    <t>TRẦN THỊ THANH HÀ</t>
  </si>
  <si>
    <t>BÙI VĂN NAM</t>
  </si>
  <si>
    <t>NGHIÊM XUÂN VỸ</t>
  </si>
  <si>
    <t>ĐÀO ĐỨC LẬP</t>
  </si>
  <si>
    <t>PHẠM CÔNG SỸ</t>
  </si>
  <si>
    <t>NGUYỄN ĐĂNG HÀ</t>
  </si>
  <si>
    <t>HOÀNG ĐỨC THÚY</t>
  </si>
  <si>
    <t>ĐỖ NGUYÊN BÌNH</t>
  </si>
  <si>
    <t>NGUYỄN XUÂN NGUYÊN</t>
  </si>
  <si>
    <t>NGUYỄN VĂN THĂNG</t>
  </si>
  <si>
    <t>HOÀNG TÙNG</t>
  </si>
  <si>
    <t>DƯƠNG DUY BÌNH</t>
  </si>
  <si>
    <t>ĐỖ XUÂN TRƯỜNG</t>
  </si>
  <si>
    <t>ĐOÀN KHẮC HÒA</t>
  </si>
  <si>
    <t>NGUYỄN TIẾN ĐẠI</t>
  </si>
  <si>
    <t>DƯƠNG XUÂN KỲ</t>
  </si>
  <si>
    <t>NGUYỄN THẠC NGHĨA</t>
  </si>
  <si>
    <t>HOÀNG ANH HUẤN</t>
  </si>
  <si>
    <t>ĐÀO NGỌC QUỲNH</t>
  </si>
  <si>
    <t>TRẦN ĐỨC QUÂN</t>
  </si>
  <si>
    <t>NGUYỄN HỒNG VIỆT</t>
  </si>
  <si>
    <t>NGUYỄN VĂN ĐIỀU</t>
  </si>
  <si>
    <t>KHƯƠNG THỊ THẢO</t>
  </si>
  <si>
    <t>LÊ HUY HÙNG</t>
  </si>
  <si>
    <t>VŨ THỊ DẦN</t>
  </si>
  <si>
    <t>VŨ THỊ THƯ</t>
  </si>
  <si>
    <t>TRẦN THỊ ĐÔNG</t>
  </si>
  <si>
    <t>DƯƠNG VĂN PHONG</t>
  </si>
  <si>
    <t>KIỀU XUÂN CHIẾN</t>
  </si>
  <si>
    <t>ĐỖ XUÂN TÙNG</t>
  </si>
  <si>
    <t>NGUYỄN ĐỨC TÂN</t>
  </si>
  <si>
    <t>LƯU VĂN ÚT</t>
  </si>
  <si>
    <t>NGUYỄN VĂN ĐẠI</t>
  </si>
  <si>
    <t>NHỮ VĂN NGỪNG</t>
  </si>
  <si>
    <t>TRẦN THỊ SƠN</t>
  </si>
  <si>
    <t>NGUYỄN THẾ ANH</t>
  </si>
  <si>
    <t>ĐOÀN VĂN CA</t>
  </si>
  <si>
    <t>TRẦN THỊ BÍCH HẰNG</t>
  </si>
  <si>
    <t>HOÀNG THỊ HOAN</t>
  </si>
  <si>
    <t>VÕ THỊ HẰNG</t>
  </si>
  <si>
    <t>BÙI THỊ THANH THÚY</t>
  </si>
  <si>
    <t>DƯƠNG THỊ THANH XUÂN</t>
  </si>
  <si>
    <t>NGUYỄN THỊ HOÀNG YẾN</t>
  </si>
  <si>
    <t>NGUYỄN THỊ THU HỒNG</t>
  </si>
  <si>
    <t>DƯƠNG VĂN CHÍNH</t>
  </si>
  <si>
    <t>NGÔ VĂN QUANG</t>
  </si>
  <si>
    <t>TRẦN VĂN HẢO</t>
  </si>
  <si>
    <t>NGUYỄN THỊ CHẮT</t>
  </si>
  <si>
    <t>TRƯƠNG VĂN ĐẠT</t>
  </si>
  <si>
    <t>ĐỒNG MINH NGỌC</t>
  </si>
  <si>
    <t>VŨ THỊ BÍCH HÀ</t>
  </si>
  <si>
    <t>NGUYỄN THỊ NGỌC TUYẾT</t>
  </si>
  <si>
    <t>NÔNG THỊ HÀ</t>
  </si>
  <si>
    <t>ĐẶNG QUỐC TOÀN</t>
  </si>
  <si>
    <t>DƯƠNG VĂN TRUNG</t>
  </si>
  <si>
    <t>LÊ THẾ NAM</t>
  </si>
  <si>
    <t>DƯƠNG MINH HÙNG</t>
  </si>
  <si>
    <t>TRẦN THỊ HỒNG</t>
  </si>
  <si>
    <t>CAO ĐỨC THU</t>
  </si>
  <si>
    <t>TRẦN THỊ BÍCH HẢI</t>
  </si>
  <si>
    <t>MAI THỊ TUYẾT</t>
  </si>
  <si>
    <t>LÊ THỊ THANH LAN</t>
  </si>
  <si>
    <t>NGUYỄN THỊ NỤ</t>
  </si>
  <si>
    <t>NHỮ THỊ THANH THỦY</t>
  </si>
  <si>
    <t>NGUYỄN THỊ LIÊN HƯỜNG</t>
  </si>
  <si>
    <t>TRỊNH THỊ QUỲNH</t>
  </si>
  <si>
    <t>PHẠM THỊ MAI LINH</t>
  </si>
  <si>
    <t>TRỊNH THANH NAM</t>
  </si>
  <si>
    <t>NGUYỄN BÙI THẮNG</t>
  </si>
  <si>
    <t>DƯƠNG XUÂN VINH</t>
  </si>
  <si>
    <t>NGUYỄN TUẤN HÙNG</t>
  </si>
  <si>
    <t>DƯƠNG THỊ QUỲNH</t>
  </si>
  <si>
    <t>NGUYỄN DUY TRUNG</t>
  </si>
  <si>
    <t>HOÀNG VĂN THÀNH</t>
  </si>
  <si>
    <t>NGUYỄN XUÂN GIANG</t>
  </si>
  <si>
    <t>ĐÀO THỊ LÊ MAI</t>
  </si>
  <si>
    <t>DƯƠNG QUỐC HƯNG</t>
  </si>
  <si>
    <t xml:space="preserve">TRẦN THỊ THÚY </t>
  </si>
  <si>
    <t>PHẠM THỊ BẮC</t>
  </si>
  <si>
    <t>ĐÀO THỊ BÍCH</t>
  </si>
  <si>
    <t>NGUYỄN HỮU HUY</t>
  </si>
  <si>
    <t>NGUYỄN TRỌNG TUẤN</t>
  </si>
  <si>
    <t>HOÀNG THỊ HƯƠNG</t>
  </si>
  <si>
    <t xml:space="preserve">LƯƠNG THỊ TÂN </t>
  </si>
  <si>
    <t>HOÀNG THỊ VÂN ANH</t>
  </si>
  <si>
    <t>PHẠM THỊ THÚY MAI</t>
  </si>
  <si>
    <t>PHẠM TRỌNG SIÊNG</t>
  </si>
  <si>
    <t>ĐÀO QUYẾT CHIẾN</t>
  </si>
  <si>
    <t>TẠ QUANG VIỆT</t>
  </si>
  <si>
    <t>THÂN THỊ HẠNH</t>
  </si>
  <si>
    <t>VŨ THỊ NGỌC ANH</t>
  </si>
  <si>
    <t>PHẠM THỊ THANH</t>
  </si>
  <si>
    <t>TRẦN TRUNG THÀNH</t>
  </si>
  <si>
    <t>DƯƠNG TIẾN HƯNG</t>
  </si>
  <si>
    <t>ĐẶNG VĂN HẢI</t>
  </si>
  <si>
    <t>ĐỖ KHẮC MẠNH</t>
  </si>
  <si>
    <t>VŨ KHẮC QUYẾT</t>
  </si>
  <si>
    <t>TẠ ĐÌNH TUÂN</t>
  </si>
  <si>
    <t>HOÀNG THỊ KIM NGÂN</t>
  </si>
  <si>
    <t>ĐOÀN THỊ MINH</t>
  </si>
  <si>
    <t>PHẠM NGỌC MAI</t>
  </si>
  <si>
    <t>DƯƠNG THỊ TRỌNG</t>
  </si>
  <si>
    <t xml:space="preserve">LÊ NGỌC THANH MAI </t>
  </si>
  <si>
    <t>DƯƠNG THỊ TUYẾT NHUNG</t>
  </si>
  <si>
    <t>DƯƠNG THỊ NGỌC QUỲNH</t>
  </si>
  <si>
    <t>DƯƠNG THỊ THANH HUYỀN</t>
  </si>
  <si>
    <t xml:space="preserve">LÊ THỊ SEN </t>
  </si>
  <si>
    <t>NGUYỄN ĐÌNH CHIỂU</t>
  </si>
  <si>
    <t>NGUYỄN ĐỨC HỢP</t>
  </si>
  <si>
    <t>VŨ THỊ MINH THỦY</t>
  </si>
  <si>
    <t>LÊ THỊ MAI</t>
  </si>
  <si>
    <t>DƯƠNG NGỌC HẢI</t>
  </si>
  <si>
    <t>LÊ TRỌNG KIÊN</t>
  </si>
  <si>
    <t>NGUYỄN THỊ THÚY NGUYỆT</t>
  </si>
  <si>
    <t>DƯƠNG THỊ CHÂM</t>
  </si>
  <si>
    <t>NGUYỄN THỊ HỒNG A</t>
  </si>
  <si>
    <t>DƯƠNG THỊ NGUYÊN</t>
  </si>
  <si>
    <t>MAI THỊ DUNG</t>
  </si>
  <si>
    <t>PHẠM ĐĂNG HÙNG</t>
  </si>
  <si>
    <t>ĐỒNG THẾ QUANG</t>
  </si>
  <si>
    <t>ĐỖ THẾ TUYỂN</t>
  </si>
  <si>
    <t>NGUYỄN THỊ HƯỞNG</t>
  </si>
  <si>
    <t>HOÀNG THỊ BÍCH XOAN</t>
  </si>
  <si>
    <t>VŨ TIẾN TÙNG</t>
  </si>
  <si>
    <t>NGÔ VĂN CỪ</t>
  </si>
  <si>
    <t>TRƯƠNG HẢI LONG</t>
  </si>
  <si>
    <t>ĐÀO THỊ VIỆT HƯƠNG</t>
  </si>
  <si>
    <t>TRẦN THỊ DIỆN</t>
  </si>
  <si>
    <t>NGUYỄN THỊ MÂY</t>
  </si>
  <si>
    <t>VŨ VĂN THẾ</t>
  </si>
  <si>
    <t>ĐẶNG VĂN PHÚC</t>
  </si>
  <si>
    <t>TRẦN THỊ BÍCH HUỆ</t>
  </si>
  <si>
    <t>NGÔ THỊ PHƯƠNG THẢO</t>
  </si>
  <si>
    <t>CHU THỊ HỒNG LÝ</t>
  </si>
  <si>
    <t>LÊ NGUYÊN THU HẰNG</t>
  </si>
  <si>
    <t>ĐINH THỊ HUYỀN</t>
  </si>
  <si>
    <t>ĐINH HỮU THƯỜNG</t>
  </si>
  <si>
    <t>ĐÀO THỊ HỒNG XUYẾN</t>
  </si>
  <si>
    <t>HÀ THỊ MINH HUỆ</t>
  </si>
  <si>
    <t>TRỊNH THỊ THÚY</t>
  </si>
  <si>
    <t>BÙI THỊ PHƯƠNG THÙY</t>
  </si>
  <si>
    <t>VŨ THỊ THU HUỆ</t>
  </si>
  <si>
    <t>NGUYỄN THỊ CẬY</t>
  </si>
  <si>
    <t>NHỮ THỊ PHƯƠNG THẢO</t>
  </si>
  <si>
    <t>NGUYỄN THỊ BÌNH A</t>
  </si>
  <si>
    <t>PHẠM THỊ THU HIỀN</t>
  </si>
  <si>
    <t>ĐÀO THỊ MINH NGUYỆT</t>
  </si>
  <si>
    <t>ĐÀO THANH HƯƠNG</t>
  </si>
  <si>
    <t>DƯƠNG THÚY TRÂM</t>
  </si>
  <si>
    <t>LƯƠNG THỊ QUYÊN</t>
  </si>
  <si>
    <t>HÀ LAN HUỆ</t>
  </si>
  <si>
    <t>NGUYỄN THỊ BÌNH B</t>
  </si>
  <si>
    <t>LƯU THỊ VÂN</t>
  </si>
  <si>
    <t>ĐÀO THỊ CHINH</t>
  </si>
  <si>
    <t>DƯƠNG THỊ LIỄU</t>
  </si>
  <si>
    <t>CHU THỊ MIỀN</t>
  </si>
  <si>
    <t xml:space="preserve">ĐẶNG THU HƯỜNG </t>
  </si>
  <si>
    <t>TẠ THỊ HÒA</t>
  </si>
  <si>
    <t>VŨ THỊ HIỀN</t>
  </si>
  <si>
    <t>TRỊNH THỊ LAN ANH</t>
  </si>
  <si>
    <t xml:space="preserve"> LÊ THỊ PHƯƠNG HOA </t>
  </si>
  <si>
    <t>DƯƠNG VĂN HIỂN</t>
  </si>
  <si>
    <t>PHAN THU HÀ</t>
  </si>
  <si>
    <t>LÊ THẾ HƯNG</t>
  </si>
  <si>
    <t>NGUYỄN VĂN KHOA</t>
  </si>
  <si>
    <t>TRẦN MINH NGUYỆT</t>
  </si>
  <si>
    <t>PHẠM HỮU VINH</t>
  </si>
  <si>
    <t>LÊ NGỌC TRÂM</t>
  </si>
  <si>
    <t>TRƯƠNG THỊ HẰNG</t>
  </si>
  <si>
    <t>NGUYỄN THỊ THƠM B</t>
  </si>
  <si>
    <t>ĐỒNG THỊ LƯƠNG</t>
  </si>
  <si>
    <t xml:space="preserve">LƯU THỊ HƯƠNG </t>
  </si>
  <si>
    <t>NGUYỄN THỊ HUYỀNA</t>
  </si>
  <si>
    <t xml:space="preserve">NGUYỄN THỊ THU THÙY </t>
  </si>
  <si>
    <t xml:space="preserve">LÊ THỊ MINH </t>
  </si>
  <si>
    <t>DƯƠNG THỊ THANH THỦY</t>
  </si>
  <si>
    <t>TRẦN THỊ HẰNG C</t>
  </si>
  <si>
    <t>NGUYỄN THỊ ĐĂNG</t>
  </si>
  <si>
    <t>NGUYỄN THỊ HÙY</t>
  </si>
  <si>
    <t>NGUYỄN THỊ DUNG B</t>
  </si>
  <si>
    <t>NGUYỄN THỊ THAO B</t>
  </si>
  <si>
    <t>ĐẶNG THỊ KIM TRANG</t>
  </si>
  <si>
    <t>DƯƠNG THỊ BA</t>
  </si>
  <si>
    <t>NGUYỄN THỊ THƯƠNG YẾN</t>
  </si>
  <si>
    <t>NGUYỄN THỊ YẾN C</t>
  </si>
  <si>
    <t>BÁ THỊ ANH</t>
  </si>
  <si>
    <t>TRẦN THỊ CHUYỀN</t>
  </si>
  <si>
    <t>TRẦN THỊ NGUYỆT</t>
  </si>
  <si>
    <t>ĐẶNG THỊ THƯỜNG</t>
  </si>
  <si>
    <t>ĐẶNG THỊ TUYẾT</t>
  </si>
  <si>
    <t>TRẦN VĂN TRUNG</t>
  </si>
  <si>
    <t>ĐỒNG VĂN ĐỊNH</t>
  </si>
  <si>
    <t>NGUYỄN THỊ PHƯƠNG THÚY</t>
  </si>
  <si>
    <t xml:space="preserve">NGÔ THỊ THU HIỀN </t>
  </si>
  <si>
    <t>BÁ THỊ THÀNH</t>
  </si>
  <si>
    <t>LÊ THỊ DUYÊN</t>
  </si>
  <si>
    <t>ĐỒNG XUÂN SÁNG</t>
  </si>
  <si>
    <t>ĐẶNG ĐỨC THÌN</t>
  </si>
  <si>
    <t>TRẦN THỊ HƯƠNG GIANG</t>
  </si>
  <si>
    <t>NGUYỄN THỊ BẨY</t>
  </si>
  <si>
    <t>NGUYỄN THỊ TUYẾT C</t>
  </si>
  <si>
    <t>PHẠM T DIỆU HƯƠNG</t>
  </si>
  <si>
    <t>HOÀNG THỊ SỰ</t>
  </si>
  <si>
    <t>QUAN THỊ LAN</t>
  </si>
  <si>
    <t>PHAN QUANG HIẾU</t>
  </si>
  <si>
    <t>TRẦN VĂN ĐÔNG</t>
  </si>
  <si>
    <t>TRẦN THỊ THÚY NGÂN</t>
  </si>
  <si>
    <t>PHẠM THỊ HỢP</t>
  </si>
  <si>
    <t>TẠ THỊ THẮM</t>
  </si>
  <si>
    <t>VŨ THỊ BÍNH</t>
  </si>
  <si>
    <t>HOÀNG THỊ HUỆ B</t>
  </si>
  <si>
    <t>NGUYỄN THỊ HUYỀNB</t>
  </si>
  <si>
    <t>MAI THỊ LUYẾN</t>
  </si>
  <si>
    <t>NGUYỄN THỊ LAN C</t>
  </si>
  <si>
    <t>ĐINH THỊ DUYÊN</t>
  </si>
  <si>
    <t>ĐÀO THỊ TƯƠI</t>
  </si>
  <si>
    <t>ĐỖ ĐỨC KIỂM</t>
  </si>
  <si>
    <t>TRẦN THỊ THANH CHÂM</t>
  </si>
  <si>
    <t>DƯƠNG THỊ HẠNH</t>
  </si>
  <si>
    <t>MAI HẢI HUÂN</t>
  </si>
  <si>
    <t>LÊ VƯƠNG MẠNH</t>
  </si>
  <si>
    <t>ĐỒNG THỊ CHÂM</t>
  </si>
  <si>
    <t>NGUYỄN THỊ SINH</t>
  </si>
  <si>
    <t>LÃ THỊ HOAN</t>
  </si>
  <si>
    <t>NGUYỄN THỊ HỒNG ĐIỂM</t>
  </si>
  <si>
    <t>CHU THỊ DOANH</t>
  </si>
  <si>
    <t>TRẦN THỊ LIÊN</t>
  </si>
  <si>
    <t>LƯƠNG THỊ NHƯ TRANG</t>
  </si>
  <si>
    <t>ÔN THỊ THÊU</t>
  </si>
  <si>
    <t>DƯƠNG THỊ THU THỦY</t>
  </si>
  <si>
    <t>TRƯƠNG THỊ THÚY</t>
  </si>
  <si>
    <t xml:space="preserve">ĐỖ  THỊ VUI </t>
  </si>
  <si>
    <t>NGUYỄN THỊ HẰNGA</t>
  </si>
  <si>
    <t>NGUYỄN THỊ THỤY</t>
  </si>
  <si>
    <t>PHẠM THÚY KIỀU</t>
  </si>
  <si>
    <t xml:space="preserve">LÊ THỊ OANH </t>
  </si>
  <si>
    <t>LÊ THỊ TÂM</t>
  </si>
  <si>
    <t>ĐÀO THỊ LIỄU</t>
  </si>
  <si>
    <t>LÊ THỊ THÀ</t>
  </si>
  <si>
    <t>TRƯƠNG THỊ HUYỀN TRANG</t>
  </si>
  <si>
    <t>NGUYỄN THỊ OANH A</t>
  </si>
  <si>
    <t>CAO THỊ THẤT</t>
  </si>
  <si>
    <t>DƯƠNG THỊ THU HƯƠNG</t>
  </si>
  <si>
    <t>NGUYỄN THỊ YẾN D</t>
  </si>
  <si>
    <t>BÙI THỊ THỦY</t>
  </si>
  <si>
    <t>TRẦN THỊ DÂN</t>
  </si>
  <si>
    <t>HOÀNG THỊ LỘC</t>
  </si>
  <si>
    <t>ĐÀO THỊ LIÊN</t>
  </si>
  <si>
    <t>ĐÀO THỊ HƯƠNG</t>
  </si>
  <si>
    <t>DƯƠNG THỊ LAN ANH A</t>
  </si>
  <si>
    <t>LƯU THỊ THANH HÀ</t>
  </si>
  <si>
    <t>HOÀNG THỊ HOÀN</t>
  </si>
  <si>
    <t>ĐẶNG THỊ HẰNG</t>
  </si>
  <si>
    <t>PHẠM THỊ THÙY</t>
  </si>
  <si>
    <t>NGUYỄN THU HƯỜNG</t>
  </si>
  <si>
    <t>LÊ THỊ HỒNG VÂN</t>
  </si>
  <si>
    <t>TRẦN THỊ THUỲ DƯƠNG</t>
  </si>
  <si>
    <t>TRẦN THỊ THANHA</t>
  </si>
  <si>
    <t>NGUYỄN THỊ THU HẢO</t>
  </si>
  <si>
    <t xml:space="preserve">NGÔ THỊ ĐOAN </t>
  </si>
  <si>
    <t>VŨ THỊ QUYÊN</t>
  </si>
  <si>
    <t>LÊ THỊ HẢI QUỲNH</t>
  </si>
  <si>
    <t>ĐỒNG THỊ TƯ</t>
  </si>
  <si>
    <t>DƯƠNG THỊ CẨM VÂN</t>
  </si>
  <si>
    <t>MAI THỊ HƯỜNG</t>
  </si>
  <si>
    <t>NGUYỄN THỊ HIỀN B</t>
  </si>
  <si>
    <t>CHU THỊ HỒNG</t>
  </si>
  <si>
    <t>NGUYỄN THỊ PHƯỢNG A</t>
  </si>
  <si>
    <t>TRẦN THỊ GIANG</t>
  </si>
  <si>
    <t>NGUYỄN THỊ DẦN</t>
  </si>
  <si>
    <t xml:space="preserve">NGUYỄN THỊ HUYỀN </t>
  </si>
  <si>
    <t>ĐỖ THU HIỀN</t>
  </si>
  <si>
    <t>ĐỖ THỊ THƠ</t>
  </si>
  <si>
    <t>LƯU DIỆU LINH</t>
  </si>
  <si>
    <t>DƯƠNG THỊ ÁNH NGỌC</t>
  </si>
  <si>
    <t>NGÔ THỊ HỢI</t>
  </si>
  <si>
    <t>DƯƠNG THỊ THU THÙY</t>
  </si>
  <si>
    <t>TRỊNH THỊ KIỀU THƯƠNG</t>
  </si>
  <si>
    <t>NGUYỄN THANH HUỆ</t>
  </si>
  <si>
    <t>ĐẶNG THỊ LUYẾN</t>
  </si>
  <si>
    <t>ĐỒNG THUÝ LƯƠNG</t>
  </si>
  <si>
    <t>CÙ THỊ HOA</t>
  </si>
  <si>
    <t>DƯƠNG THỊ HẰNG</t>
  </si>
  <si>
    <t>TRỊNH THỊ HIỆP</t>
  </si>
  <si>
    <t>NGUYỄN THỊ CHÂM</t>
  </si>
  <si>
    <t>LƯU THỊ KIM HUỆ</t>
  </si>
  <si>
    <t>NHƯ THỊ TƯƠI</t>
  </si>
  <si>
    <t>HOÀNG THỊ LỤA</t>
  </si>
  <si>
    <t>NGUYỄN THỊ SAO</t>
  </si>
  <si>
    <t>LÊ HUYỀN TRANG</t>
  </si>
  <si>
    <t>NGUYỄN THỊ LIÊN A</t>
  </si>
  <si>
    <t>ĐỒNG THỊ KIM VÂN</t>
  </si>
  <si>
    <t>DƯƠNG THỊ MẬN</t>
  </si>
  <si>
    <t>ĐẶNG THỊ LƯƠNG</t>
  </si>
  <si>
    <t>PHẠM THỊ HẢI YẾN</t>
  </si>
  <si>
    <t>HOÀNG THỊ NỤ A</t>
  </si>
  <si>
    <t>NGUYỄN THỊ THAO A</t>
  </si>
  <si>
    <t>PHẠM THỊ HỒNG HIÊN</t>
  </si>
  <si>
    <t>PHÙNG THỊ HỒNG YẾN</t>
  </si>
  <si>
    <t>LƯU THỊ THU HIỀN</t>
  </si>
  <si>
    <t>LƯU THỊ DUYÊN</t>
  </si>
  <si>
    <t>TRẦN QUÂN</t>
  </si>
  <si>
    <t>LÊ THỊ CHI</t>
  </si>
  <si>
    <t>ĐỒNG THỊ THÚY</t>
  </si>
  <si>
    <t>ĐỖ THỊ MINH THỦY</t>
  </si>
  <si>
    <t>TRẦN THỊ NGỌC LIỄU</t>
  </si>
  <si>
    <t>NGUYỄN THỊ HƯỜNG A</t>
  </si>
  <si>
    <t>PHẠM QUANG HUY</t>
  </si>
  <si>
    <t>VŨ THỊ NGUYỆT</t>
  </si>
  <si>
    <t>NGUYỄN THU UYÊN</t>
  </si>
  <si>
    <t>NGUYỄN THỊ HẢO A</t>
  </si>
  <si>
    <t xml:space="preserve">
HOÀNG THỊ CHIẾN </t>
  </si>
  <si>
    <t>TRẦN THỊ TUYẾT MAI</t>
  </si>
  <si>
    <t>TRẦN THỊ THU HƯỜNG</t>
  </si>
  <si>
    <t>ĐỒNG THỊ PHƯỢNG</t>
  </si>
  <si>
    <t>HÀ THỊ ÁNH</t>
  </si>
  <si>
    <t>TRẦN THỊ YẾN</t>
  </si>
  <si>
    <t>NGUYỄN THỊ PHƯƠNGA</t>
  </si>
  <si>
    <t>DƯƠNG THỊ TUYỀN</t>
  </si>
  <si>
    <t>ĐỒNG THỊ KIM HUỆ</t>
  </si>
  <si>
    <t>DƯƠNG THỊ MINH VŨ</t>
  </si>
  <si>
    <t>LÊ BÁ ĐỊNH</t>
  </si>
  <si>
    <t>ĐỖ THỊ LUYỆN</t>
  </si>
  <si>
    <t xml:space="preserve">NGUYỄN THỊ THANH TÂM </t>
  </si>
  <si>
    <t>HOÀNG THỊ THÚY NGA</t>
  </si>
  <si>
    <t>VŨ THỊ THÀNH</t>
  </si>
  <si>
    <t>ĐỖ BÍCH HUỆ</t>
  </si>
  <si>
    <t>NGUYỄN NHƯ QUỲNH</t>
  </si>
  <si>
    <t>HÀ THỊ YẾN</t>
  </si>
  <si>
    <t>TRƯƠNG THỊ BẮC</t>
  </si>
  <si>
    <t>DƯƠNG THỊ NGHIÊM</t>
  </si>
  <si>
    <t>NGÔ THỊ THƠM</t>
  </si>
  <si>
    <t>NGUYỄN THỊ CƯƠNG</t>
  </si>
  <si>
    <t>VŨ PHƯƠNG HẢI</t>
  </si>
  <si>
    <t>NGUYỄN THỊ LÝ B</t>
  </si>
  <si>
    <t>NGUYỄN THỊ HÀ A</t>
  </si>
  <si>
    <t>NGUYỄN THỊ HẰNGB</t>
  </si>
  <si>
    <t>LÃ THỊ OANH</t>
  </si>
  <si>
    <t xml:space="preserve">HOÀNG THỊ HUỆ </t>
  </si>
  <si>
    <t>NGUYỄN THỊ THANH HIÊN</t>
  </si>
  <si>
    <t>TRƯƠNG THỊ HÂN</t>
  </si>
  <si>
    <t>DƯƠNG THỊ LÝ</t>
  </si>
  <si>
    <t>CAO ÁNH DƯƠNG</t>
  </si>
  <si>
    <t>MẪN THỊ CẦN</t>
  </si>
  <si>
    <t>HÀ THỊ NGÂN</t>
  </si>
  <si>
    <t>TRIỆU THỊ GIANG</t>
  </si>
  <si>
    <t>ĐÀM THỊ TÂM</t>
  </si>
  <si>
    <t>PHẠM THỊ NGÂN</t>
  </si>
  <si>
    <t>DƯƠNG THỊ HIỀN</t>
  </si>
  <si>
    <t>NGÔ THỊ LỆ</t>
  </si>
  <si>
    <t>HỒ THỊ HỒNG</t>
  </si>
  <si>
    <t xml:space="preserve">NGUYỄN THỊ NGUYÊNA </t>
  </si>
  <si>
    <t>HOÀNG THỊ MẬN</t>
  </si>
  <si>
    <t>LÊ NHỊ THÚY</t>
  </si>
  <si>
    <t>LÊ THỊ PHONG</t>
  </si>
  <si>
    <t>NGUYỄN THỊ CÚC PHƯƠNG</t>
  </si>
  <si>
    <t xml:space="preserve">NGUYỄN THỊ THẮNG </t>
  </si>
  <si>
    <t>ĐỖ THỊ QUỲNH</t>
  </si>
  <si>
    <t>NGÔ THỊ  CÚC</t>
  </si>
  <si>
    <t>ĐẶNG THỊ PHƯƠNG HOA</t>
  </si>
  <si>
    <t>TRẦN THỊ PHƯƠNG</t>
  </si>
  <si>
    <t>NGUYỄN THỊ THÚY KIỀU</t>
  </si>
  <si>
    <t>CHU THỊ THANH HOÀI</t>
  </si>
  <si>
    <t>ĐỖ THỊ KIM</t>
  </si>
  <si>
    <t>CHU THỊ HIỀN</t>
  </si>
  <si>
    <t>NGUYỄN ĐÌNH TƯ</t>
  </si>
  <si>
    <t>NGUYỄN THU LÀNH</t>
  </si>
  <si>
    <t>HỨA THỊ LIỄU</t>
  </si>
  <si>
    <t>ĐINH THU PHƯƠNG</t>
  </si>
  <si>
    <t>NGÔ THỊ HƯƠNG TRANG</t>
  </si>
  <si>
    <t>ĐẶNG ĐỨC THANH</t>
  </si>
  <si>
    <t>VŨ THỊ THÁI</t>
  </si>
  <si>
    <t>VŨ THỊ LÝ</t>
  </si>
  <si>
    <t>HOÀNG THỊ HUẾ</t>
  </si>
  <si>
    <t xml:space="preserve">TRẦN THỊ HOÀN </t>
  </si>
  <si>
    <t>ĐỒNG THỊ SÁNG</t>
  </si>
  <si>
    <t>NGUYỄN THỊ HOÀNG</t>
  </si>
  <si>
    <t>DƯƠNG THỊ ĐÀO</t>
  </si>
  <si>
    <t>LÊ THỊ CHÚC</t>
  </si>
  <si>
    <t>QUAN THỊ HƯƠNG</t>
  </si>
  <si>
    <t>DƯƠNG THỊ YẾN</t>
  </si>
  <si>
    <t>HOÀNG THỊ HƯƠNG A</t>
  </si>
  <si>
    <t>DƯƠNG THỊ LỰU</t>
  </si>
  <si>
    <t>ĐINH THỊ THANH TÂM</t>
  </si>
  <si>
    <t>NGUYỄN BÍCH PHƯỢNG</t>
  </si>
  <si>
    <t xml:space="preserve">NGUYỄN THỊ LAN B </t>
  </si>
  <si>
    <t>ĐỒNG THỊ KHUYẾN</t>
  </si>
  <si>
    <t>ĐỒNG THỊ LOAN</t>
  </si>
  <si>
    <t>LƯU THỊ LUYẾN</t>
  </si>
  <si>
    <t>TRẦN THỊ HẢI YẾN</t>
  </si>
  <si>
    <t>DƯƠNG THỊ MÙI</t>
  </si>
  <si>
    <t>NGÔ THỊ ANH</t>
  </si>
  <si>
    <t>PHAN THỊ ANH THƯ</t>
  </si>
  <si>
    <t>NGÔ THỊ BẮC</t>
  </si>
  <si>
    <t>HOÀNG THỊ NGÀ</t>
  </si>
  <si>
    <t>NGUYỄN THỊ QUỲNH MAI</t>
  </si>
  <si>
    <t>ĐẶNG THỊ VÂN</t>
  </si>
  <si>
    <t>PHẠM THỊ BÍCH HUỆ</t>
  </si>
  <si>
    <t>TRẦN THỊ TUYÊN</t>
  </si>
  <si>
    <t>TẠ THỊ THI</t>
  </si>
  <si>
    <t>NGUYỄN THỊ HUYỀN B</t>
  </si>
  <si>
    <t>TRẦN TÚ THOAN</t>
  </si>
  <si>
    <t>NGÔ THỊ GIANG</t>
  </si>
  <si>
    <t>ĐẶNG HUYỀN TRANG</t>
  </si>
  <si>
    <t>VŨ THỊ THANH</t>
  </si>
  <si>
    <t>TRẦN VĂN LÂM</t>
  </si>
  <si>
    <t>NGUYỄN THỊ NGUYÊN</t>
  </si>
  <si>
    <t>HOÀNG VĂN KHÁNH</t>
  </si>
  <si>
    <t>TRẦN DUY CƯỜNG</t>
  </si>
  <si>
    <t>TRẦN XUÂN HIẾU</t>
  </si>
  <si>
    <t>NGUYỄN THỊ HỒNG B</t>
  </si>
  <si>
    <t>PHẠM HOÀI THƯƠNG</t>
  </si>
  <si>
    <t>DƯƠNG THỊ XUÂN</t>
  </si>
  <si>
    <t>NGUYỄN QUANG SƠN</t>
  </si>
  <si>
    <t>DƯƠNG THỊ HOÀI</t>
  </si>
  <si>
    <t>LÊ VĂN KHIÊM</t>
  </si>
  <si>
    <t>LÊ THỊ CHINH B</t>
  </si>
  <si>
    <t xml:space="preserve">NGUYỄN THỊ CHÚC </t>
  </si>
  <si>
    <t>BÁ THỊ QUYÊN</t>
  </si>
  <si>
    <t>NGUYỄN THỊ HƯƠNG TRANG</t>
  </si>
  <si>
    <t>CÙ THỊ XUYẾN</t>
  </si>
  <si>
    <t>DƯƠNG THỊ LINH</t>
  </si>
  <si>
    <t>TRƯƠNG THỊ LIÊN</t>
  </si>
  <si>
    <t>ĐẶNG HÀ DUYÊN</t>
  </si>
  <si>
    <t>ĐÀO THẾ KHẢI</t>
  </si>
  <si>
    <t>LÊ HUY HOÀNG</t>
  </si>
  <si>
    <t>DƯƠNG THỊ BÍCH LIÊN</t>
  </si>
  <si>
    <t>HOÀNG THỊ HƯƠNG B</t>
  </si>
  <si>
    <t>TRẦN ĐỖ THỊ NGỌC MAI</t>
  </si>
  <si>
    <t>HOÀNG THỊ NỤ B</t>
  </si>
  <si>
    <t>ĐỒNG THỊ THANH HUYỀN</t>
  </si>
  <si>
    <t>LƯU THỊ KIM NGÂN</t>
  </si>
  <si>
    <t>ĐINH THỊ HIỀN</t>
  </si>
  <si>
    <t>MAI THỊ HUYỀN TRANG</t>
  </si>
  <si>
    <t>NGUYỄN THỊ HƯƠNG C</t>
  </si>
  <si>
    <t>TẠ THỊ LAN</t>
  </si>
  <si>
    <t>NGUYỄN THỊ THANH HÀ</t>
  </si>
  <si>
    <t>DƯƠNG THỊ THU HUYỀN</t>
  </si>
  <si>
    <t>DƯƠNG THỊ NHƯ QUỲNH</t>
  </si>
  <si>
    <t>ĐÀO THỊ PHƯỢNG</t>
  </si>
  <si>
    <t>TRƯƠNG THANH HƯƠNG</t>
  </si>
  <si>
    <t>NGUYỄN THỊ HỒNG THƯƠNG</t>
  </si>
  <si>
    <t>TRƯƠNG THỊ BẰNG</t>
  </si>
  <si>
    <t>DƯƠNG THỊ LỪNG</t>
  </si>
  <si>
    <t>MA THỊ HIỀN</t>
  </si>
  <si>
    <t>NGHIÊM THỊ NGỌC</t>
  </si>
  <si>
    <t>TRẦN THỊ NGỌC</t>
  </si>
  <si>
    <t>TẠ  THỊ VÂN</t>
  </si>
  <si>
    <t>LƯU THỊ CHÍN</t>
  </si>
  <si>
    <t>TRẦN THỊ HỒNG THẾ</t>
  </si>
  <si>
    <t>DƯƠNG ĐỨC HIỂN</t>
  </si>
  <si>
    <t>VŨ THỊ SÒN</t>
  </si>
  <si>
    <t>DƯƠNG THỊ THÚY VÂN</t>
  </si>
  <si>
    <t>MẪN THỊ TẦN</t>
  </si>
  <si>
    <t>NGUYỄN THỊ HIỀN LƯƠNG</t>
  </si>
  <si>
    <t>NGUYỄN THỊ HỒNG MAI</t>
  </si>
  <si>
    <t>ĐỒNG MINH TÂN</t>
  </si>
  <si>
    <t>NGUYỄN THANH SƠN</t>
  </si>
  <si>
    <t>ĐỒNG THỊ XUÂN</t>
  </si>
  <si>
    <t>HOÀNG THỊ NHÀI</t>
  </si>
  <si>
    <t>PHẠM THỊ THANH NHÀN</t>
  </si>
  <si>
    <t>ĐỒNG THỊ CÚC</t>
  </si>
  <si>
    <t>VŨ THỊ THÚY HẠNH</t>
  </si>
  <si>
    <t>DƯƠNG VĂN HIẾU</t>
  </si>
  <si>
    <t>DƯƠNG ĐÌNH PHƯƠNG</t>
  </si>
  <si>
    <t>LƯU VĂN THƯỚC</t>
  </si>
  <si>
    <t>VŨ ĐỨC THIỆN</t>
  </si>
  <si>
    <t>CHU VĂN TOÀN</t>
  </si>
  <si>
    <t>VŨ VĂN NGHĨA</t>
  </si>
  <si>
    <t>NGÔ THỊ KIM DUNG</t>
  </si>
  <si>
    <t>LÊ VĂN QUYẾT</t>
  </si>
  <si>
    <t>DƯƠNG THỊ THU TRANG</t>
  </si>
  <si>
    <t>ĐỒNG MINH DŨNG</t>
  </si>
  <si>
    <t>TRẦN THỊ HƯƠNG CHI</t>
  </si>
  <si>
    <t>NGUYỄN THỊ HOÀI THƯƠNG</t>
  </si>
  <si>
    <t>BÁ KIM TUYẾT</t>
  </si>
  <si>
    <t>NGÔ THỊ HÒA</t>
  </si>
  <si>
    <t>TRỊNH THỊ MẾN</t>
  </si>
  <si>
    <t>KIM THỊ TỴ</t>
  </si>
  <si>
    <t>HOÀNG THỊ ÁNH NGUYỆT</t>
  </si>
  <si>
    <t>NGUYỄN THỊ PHƯƠNG LAN</t>
  </si>
  <si>
    <t>BÙI THỊ ÁNH</t>
  </si>
  <si>
    <t>ĐỒNG VĂN CHINH</t>
  </si>
  <si>
    <t>LƯƠNG THỊ THU HIÊN</t>
  </si>
  <si>
    <t>DƯƠNG MẠNH TUẤN</t>
  </si>
  <si>
    <t>NGUYỄN THỊ NINH TRANG</t>
  </si>
  <si>
    <t>NGUYỄN THỊ ÁNH NGỌC</t>
  </si>
  <si>
    <t>NGÔ THỊ HẢI THÀNH</t>
  </si>
  <si>
    <t>PHẠM THỊ LOAN</t>
  </si>
  <si>
    <t>HOÀNG THỊ NINH</t>
  </si>
  <si>
    <t>BẾ TIẾN QUÂN</t>
  </si>
  <si>
    <t>NGUYỄN TRƯỜNG GIANG</t>
  </si>
  <si>
    <t>ĐỖ TRUNG THÁI</t>
  </si>
  <si>
    <t>DƯƠNG XUÂN THÀNH</t>
  </si>
  <si>
    <t>ĐẶNG THU HƯƠNG</t>
  </si>
  <si>
    <t>NGUYỄN THỊ NA</t>
  </si>
  <si>
    <t>TRẦN THỊ TÂM</t>
  </si>
  <si>
    <t>MAI THỊ YẾN</t>
  </si>
  <si>
    <t>CHU THỊ HUYỀN</t>
  </si>
  <si>
    <t>DƯƠNG ANH ĐỨC</t>
  </si>
  <si>
    <t>LƯỜNG THỊ THU</t>
  </si>
  <si>
    <t>PHẠM THỊ NGỌC ANH</t>
  </si>
  <si>
    <t>TRẦN THỊ LINH NHÂM</t>
  </si>
  <si>
    <t>LÊ VĂN CƯỜNG</t>
  </si>
  <si>
    <t>TRẦN THỊ HỒNG HẠNH</t>
  </si>
  <si>
    <t>PHẠM THỊ HOÀ</t>
  </si>
  <si>
    <t>HÀ THỊ LUẬN</t>
  </si>
  <si>
    <t>NGUYỄN THỊ HUYỀN THƯƠNG</t>
  </si>
  <si>
    <t>HOÀNG VĂN THỊNH</t>
  </si>
  <si>
    <t>NGUYỄN MINH NGỌC</t>
  </si>
  <si>
    <t>ĐỖ VIẾT TÍNH</t>
  </si>
  <si>
    <t>NGUYỄN THỊ HUY</t>
  </si>
  <si>
    <t>LÊ THỊ MINH THÚY</t>
  </si>
  <si>
    <t>NGỌC THỊ LIÊN</t>
  </si>
  <si>
    <t>ĐÀO MỸ LINH</t>
  </si>
  <si>
    <t>ĐÀO THỊ BẮC</t>
  </si>
  <si>
    <t>DƯƠNG THỊ KHANH</t>
  </si>
  <si>
    <t>NGUYỄN VIẾT MINH</t>
  </si>
  <si>
    <t>ĐỒNG THỊ TUYẾN</t>
  </si>
  <si>
    <t>NGUYỄN THANH THU</t>
  </si>
  <si>
    <t>KHƯƠNG THỊ THƯƠNG</t>
  </si>
  <si>
    <t>HOÀNG THỊ NGUYÊN</t>
  </si>
  <si>
    <t>ĐỒNG VĂN HÙNG</t>
  </si>
  <si>
    <t>HOÀNG THỊ TIỆP</t>
  </si>
  <si>
    <t>ĐỖ VĂN DUY</t>
  </si>
  <si>
    <t>NGUYỄN THỊ DIỄN</t>
  </si>
  <si>
    <t>NGUYỄN THỊ HƯỜNGB</t>
  </si>
  <si>
    <t>HOÀNG THỊ DỨA</t>
  </si>
  <si>
    <t>NÔNG THỊ LY</t>
  </si>
  <si>
    <t>DƯƠNG MINH THẢO</t>
  </si>
  <si>
    <t>TẠ THỊ ANH</t>
  </si>
  <si>
    <t>NGUYỄN THỊ NHÂM</t>
  </si>
  <si>
    <t>ĐỒNG QUỐC VƯƠNG</t>
  </si>
  <si>
    <t>NGUYỄN THANH BÌNH</t>
  </si>
  <si>
    <t>LƯƠNG ĐỨC BẰNG</t>
  </si>
  <si>
    <t>DƯƠNG VĂN KHOA</t>
  </si>
  <si>
    <t>ĐỒNG VĂN DŨNG</t>
  </si>
  <si>
    <t>LÊ VĂN CHUNG</t>
  </si>
  <si>
    <t>ĐỒNG VĂN QUÂN</t>
  </si>
  <si>
    <t>TRẦN QUỐC THẮNG</t>
  </si>
  <si>
    <t>TRẦN THỊ OANH A</t>
  </si>
  <si>
    <t>TẠ VĂN HINH</t>
  </si>
  <si>
    <t>KHƯƠNG THỊ THANH HUYỀN</t>
  </si>
  <si>
    <t>HOÀNG THỊ THÚY AN</t>
  </si>
  <si>
    <t>PHẠM THỊ ÁNH NGUYỆT</t>
  </si>
  <si>
    <t>LÊ THỊ NGUYÊN</t>
  </si>
  <si>
    <t>ĐỒNG ANH ĐIỆP</t>
  </si>
  <si>
    <t>NGÔ DIÊN TRANG</t>
  </si>
  <si>
    <t>DƯƠNG VĂN PHÚC</t>
  </si>
  <si>
    <t>NGUYỄN THỊ HÀ THANH</t>
  </si>
  <si>
    <t>CHU THỊ ANH</t>
  </si>
  <si>
    <t>NGUYỄN THU HOÀI</t>
  </si>
  <si>
    <t>ĐỒNG THỊ HOA</t>
  </si>
  <si>
    <t>LÊ THU HẰNG</t>
  </si>
  <si>
    <t>ĐỖ THỊ KHUYÊN</t>
  </si>
  <si>
    <t>NGUYỄN THỊ NGỌC GIANG</t>
  </si>
  <si>
    <t>NGUYỄN THỊ PHƯƠNG THẢO B</t>
  </si>
  <si>
    <t>ĐINH THỊ THU</t>
  </si>
  <si>
    <t>ĐẶNG THỊ KIM LUYẾN</t>
  </si>
  <si>
    <t>PHẠM QUỐC HUY</t>
  </si>
  <si>
    <t>NGUYỄN QUANG THẮNG</t>
  </si>
  <si>
    <t>ĐINH TUẤN ANH</t>
  </si>
  <si>
    <t>NGUYỄN THẾ LONG</t>
  </si>
  <si>
    <t>NGUYỄN THỊ DIỆU CHÂM</t>
  </si>
  <si>
    <t>VŨ BÁ BẰNG</t>
  </si>
  <si>
    <t>TRẦN XUÂN DŨNG</t>
  </si>
  <si>
    <t>HÀ THỊ HUYỀN</t>
  </si>
  <si>
    <t>LÊ THỊ MỸ HƯƠNG</t>
  </si>
  <si>
    <t>LÊ THỊ THU HUYỀN</t>
  </si>
  <si>
    <t>ĐỖ THỊ QUẾ</t>
  </si>
  <si>
    <t>NGUYỄN THỊ HỒNG THÚY</t>
  </si>
  <si>
    <t>MẪN THỊ PHƯỢNG</t>
  </si>
  <si>
    <t>LÂM THỊ THẢO</t>
  </si>
  <si>
    <t>NGUYỄN THỊ DU</t>
  </si>
  <si>
    <t>MAI THỊ NGA</t>
  </si>
  <si>
    <t>ĐẶNG THỊ NHUNG</t>
  </si>
  <si>
    <t>TRẦN THỊ HỒNG NHUNG</t>
  </si>
  <si>
    <t>LƯU THỊ THÚY TRINH</t>
  </si>
  <si>
    <t>DƯƠNG THỊ BÍCH NGA</t>
  </si>
  <si>
    <t>ĐOÀN THỊ HOÀN</t>
  </si>
  <si>
    <t>NGUYỄN MINH QUÝ</t>
  </si>
  <si>
    <t>ĐỒNG THỊ HÀ A</t>
  </si>
  <si>
    <t>PHẠM THỊ LUYẾN</t>
  </si>
  <si>
    <t>NGUYỄN THỊ HÀ B</t>
  </si>
  <si>
    <t>DƯƠNG THỊ THU HÀ</t>
  </si>
  <si>
    <t>TẠ NAM TIẾN</t>
  </si>
  <si>
    <t>PHẠM ANH THÁI</t>
  </si>
  <si>
    <t>LƯU MẠNH QUỐC</t>
  </si>
  <si>
    <t>NGUYỄN HỮU QUÝ</t>
  </si>
  <si>
    <t>LÊ MỸ HƯƠNG</t>
  </si>
  <si>
    <t>NGÔ THỊ MINH TRANG</t>
  </si>
  <si>
    <t>DƯƠNG SƠN BÁCH</t>
  </si>
  <si>
    <t>LƯU VĂN BẰNG</t>
  </si>
  <si>
    <t>PHAN TUẤN TÙNG</t>
  </si>
  <si>
    <t>NGUYỄN VĂN NHÂN</t>
  </si>
  <si>
    <t>ĐỒNG VĂN QUYẾT</t>
  </si>
  <si>
    <t>NGUYỄN VIẾT TUYẾN</t>
  </si>
  <si>
    <t>ĐẶNG TUẤN DƯƠNG</t>
  </si>
  <si>
    <t>TRẦN THỊ HẰNG B</t>
  </si>
  <si>
    <t>NGUYỄN THỊ CHUNG</t>
  </si>
  <si>
    <t>VŨ THẾ PHƯƠNG</t>
  </si>
  <si>
    <t>ĐỒNG THỊ THANH NGỌC</t>
  </si>
  <si>
    <t>TRẦN THỊ CHĂM</t>
  </si>
  <si>
    <t>NGÔ THỊ THU HƯỜNG</t>
  </si>
  <si>
    <t>NGUYỄN THỊ HIẾN</t>
  </si>
  <si>
    <t>NGUYỄN MINH HUỆ</t>
  </si>
  <si>
    <t>BÙI THỊ TRANG</t>
  </si>
  <si>
    <t>NGUYỄN THỊ LI</t>
  </si>
  <si>
    <t>DƯƠNG VĂN TUYÊN</t>
  </si>
  <si>
    <t>LÊ DANH CÔNG</t>
  </si>
  <si>
    <t>ĐỒNG THỊ QUỲNH</t>
  </si>
  <si>
    <t>VŨ NGỌC QUÂN</t>
  </si>
  <si>
    <t>NGUYỄN VĂN BẢO</t>
  </si>
  <si>
    <t>TRẦN THỊ THÀNH</t>
  </si>
  <si>
    <t>NGUYỄN THỊ TRANG A</t>
  </si>
  <si>
    <t>HOÀNG THỊ THẢO A</t>
  </si>
  <si>
    <t>NGUYỄN THỊ LAN A</t>
  </si>
  <si>
    <t>TRẦN MẠNH GIANG</t>
  </si>
  <si>
    <t>NGUYỄN VĂN VŨ</t>
  </si>
  <si>
    <t>NGÔ VĂN NGUYỆN</t>
  </si>
  <si>
    <t>NGUYỄN THỊ ÁI</t>
  </si>
  <si>
    <t>NGUYỄN QUANG DUY</t>
  </si>
  <si>
    <t>NGUYỄN VĂN ĐƯỢC</t>
  </si>
  <si>
    <t>ĐỒNG THỊ THANH HIỀN</t>
  </si>
  <si>
    <t>MẠC VĂN HẬU</t>
  </si>
  <si>
    <t>ĐẶNG THỊ HOA PHƯỢNG</t>
  </si>
  <si>
    <t>MẪN THỊ THẢO</t>
  </si>
  <si>
    <t xml:space="preserve">HOÀNG THỊ LOAN </t>
  </si>
  <si>
    <t>PHẠM THỊ HOÀI THU</t>
  </si>
  <si>
    <t>TRẦN ĐÌNH CHÚC</t>
  </si>
  <si>
    <t>PHẠM THỊ ĐÀI GIANG</t>
  </si>
  <si>
    <t>ĐỒNG THỊ YẾN</t>
  </si>
  <si>
    <t>DƯƠNG THỊ HẢI</t>
  </si>
  <si>
    <t>LƯU THỊ GIỎI</t>
  </si>
  <si>
    <t>PHẠM THỊ BÍCH PHƯỢNG</t>
  </si>
  <si>
    <t>NGUYỄN THỊ HUYỀN CHANG</t>
  </si>
  <si>
    <t>TRẦN THỊ NHÀN</t>
  </si>
  <si>
    <t>DƯƠNG THỊ HƯƠNG MAI</t>
  </si>
  <si>
    <t>NGUYỄN THỊ HẰNG B</t>
  </si>
  <si>
    <t>VŨ THỊ DINH</t>
  </si>
  <si>
    <t>LƯU THỊ NGÂN</t>
  </si>
  <si>
    <t>NGUYỄN LAN CHI</t>
  </si>
  <si>
    <t>DƯƠNG PHƯƠNG THÚY</t>
  </si>
  <si>
    <t>DƯƠNG QUỲNH CHI</t>
  </si>
  <si>
    <t>HOÀNG THỊ THU TRANG</t>
  </si>
  <si>
    <t>NGUYỄN THỊ HẰNG A</t>
  </si>
  <si>
    <t>DƯƠNG THỊ THU HOÀI</t>
  </si>
  <si>
    <t>LÊ THỊ THU HẰNG</t>
  </si>
  <si>
    <t>DƯƠNG THỊ HỒNG CHUNG</t>
  </si>
  <si>
    <t>NGUYỄN NGỌC QUYẾN</t>
  </si>
  <si>
    <t>HOÀNG THỊ THƠM</t>
  </si>
  <si>
    <t>ĐẬU THỊ HUỆ</t>
  </si>
  <si>
    <t>DƯƠNG QUỐC NAM</t>
  </si>
  <si>
    <t>DƯƠNG THỊ LAN ANH B</t>
  </si>
  <si>
    <t>VŨ DUY HOÀNG</t>
  </si>
  <si>
    <t>NGÔ THỊ CHIỀU MƠ</t>
  </si>
  <si>
    <t>TRẦN THỊ MINH HẢI</t>
  </si>
  <si>
    <t>ĐỒNG MINH HỮU</t>
  </si>
  <si>
    <t xml:space="preserve">HOÀNG THI SẮC </t>
  </si>
  <si>
    <t>NGUYỄN THỊ KHOA</t>
  </si>
  <si>
    <t>LÊ THỊ BÍCH NGỌC</t>
  </si>
  <si>
    <t>TẠ THỊ NGỌC</t>
  </si>
  <si>
    <t>LÊ THANH TÚ</t>
  </si>
  <si>
    <t>TRẦN VĂN NAM</t>
  </si>
  <si>
    <t>ĐINH THỊ THƠM</t>
  </si>
  <si>
    <t>ĐỒNG VĂN MẠNH</t>
  </si>
  <si>
    <t>DƯƠNG VĂN TRỊNH</t>
  </si>
  <si>
    <t>DƯƠNG VŨ VỸ</t>
  </si>
  <si>
    <t>LƯU VĂN LONG</t>
  </si>
  <si>
    <t>NGUYỄN THÙY NINH</t>
  </si>
  <si>
    <t>ĐẶNG BÍCH THỦY</t>
  </si>
  <si>
    <t>ĐỒNG THỊ HÀ</t>
  </si>
  <si>
    <t xml:space="preserve">KHƯƠNG THỊ PHƯỢNG </t>
  </si>
  <si>
    <t xml:space="preserve">NGUYỄN THỊ PHƯƠNG DUNG </t>
  </si>
  <si>
    <t>DƯƠNG NHƯ QUỲNH</t>
  </si>
  <si>
    <t xml:space="preserve">VŨ HÀ GIANG </t>
  </si>
  <si>
    <t>TRẦN THỊ MAI HUẾ</t>
  </si>
  <si>
    <t>NGÔ THỊ LIÊN</t>
  </si>
  <si>
    <t xml:space="preserve">NGUYỄN THỊ BÍCH VÂN </t>
  </si>
  <si>
    <t>TRẦN THỊ KIM YẾN B</t>
  </si>
  <si>
    <t>LÊ THU QUỲNH</t>
  </si>
  <si>
    <t>ĐỖ THỊ BÌNH</t>
  </si>
  <si>
    <t xml:space="preserve">NGUYỄN THỊ CHI </t>
  </si>
  <si>
    <t>KHƯƠNG THỊ LAN</t>
  </si>
  <si>
    <t>NGÔ THỊ HUYỀN TRANG</t>
  </si>
  <si>
    <t xml:space="preserve">TRẦN THỊ PHƯỢNG </t>
  </si>
  <si>
    <t>TRẦN XUÂN HÙNG</t>
  </si>
  <si>
    <t>LÊ ĐĂNG KHÔI</t>
  </si>
  <si>
    <t>NGUYỄN BÁ MỸ</t>
  </si>
  <si>
    <t>ĐỒNG VĂN THỎA</t>
  </si>
  <si>
    <t>ĐỖ QUỐC HƯNG</t>
  </si>
  <si>
    <t>ĐẶNG NGỌC THIỆN</t>
  </si>
  <si>
    <t>NGÔ THỊ HÀ HƯỜNG</t>
  </si>
  <si>
    <t>PHAN HỒNG PHƯƠNG</t>
  </si>
  <si>
    <t>TRỊNH HOÀNG ANH</t>
  </si>
  <si>
    <t>ĐINH TRỌNG LINH</t>
  </si>
  <si>
    <t xml:space="preserve">VŨ VĂN CƯƠNG </t>
  </si>
  <si>
    <t>PHẠM HOÀI NAM</t>
  </si>
  <si>
    <t>NGUYỄN ANH ĐẠT</t>
  </si>
  <si>
    <t>CAO THỊ HUYỀN</t>
  </si>
  <si>
    <t>ĐỒNG VĂN HƯNG</t>
  </si>
  <si>
    <t>LÊ MINH HẰNG</t>
  </si>
  <si>
    <t>ĐỖ THỊ LUYẾN</t>
  </si>
  <si>
    <t>LÊ THỊ BÍCH HIỆP</t>
  </si>
  <si>
    <t xml:space="preserve">NGUYỄN THỊ THÙY DƯƠNG </t>
  </si>
  <si>
    <t>NGUYỄN HÀ HUYÊN</t>
  </si>
  <si>
    <t>ĐỒNG PHƯƠNG THẢO</t>
  </si>
  <si>
    <t>TRẦN THỊ MƠ</t>
  </si>
  <si>
    <t>LÊ THẾ LONG</t>
  </si>
  <si>
    <t>LƯU THỊ GÁI ANH</t>
  </si>
  <si>
    <t>DƯƠNG KHÁNH THẢO</t>
  </si>
  <si>
    <t>DƯƠNG QUANG VINH</t>
  </si>
  <si>
    <t>NGUYỄN VĂN TUẤN B</t>
  </si>
  <si>
    <t>BÙI THỊ ANH</t>
  </si>
  <si>
    <t>NGUYỄN TIẾN THUẦN</t>
  </si>
  <si>
    <t>NGUYỄN THỊ TRANG C</t>
  </si>
  <si>
    <t xml:space="preserve">LƯU THỊ HOA </t>
  </si>
  <si>
    <t>HÀ MẠNH TUẤN</t>
  </si>
  <si>
    <t>HÀ THỊ MAI HƯƠNG</t>
  </si>
  <si>
    <t>NGUYỄN KHÁNH LY</t>
  </si>
  <si>
    <t>DƯƠNG VĂN HUỲNH</t>
  </si>
  <si>
    <t>TRẦN MẠNH HÙNG</t>
  </si>
  <si>
    <t>NGUYỄN THÁI HỌC</t>
  </si>
  <si>
    <t>NGUYỄN NAM KHÁNH</t>
  </si>
  <si>
    <t>CHU THỊ NGÂN</t>
  </si>
  <si>
    <t>PHẠM LÂM OANH</t>
  </si>
  <si>
    <t>NGUYỄN ĐĂNG LAM</t>
  </si>
  <si>
    <t>DƯƠNG THỊ CÁNH</t>
  </si>
  <si>
    <t>PHẠM HỒNG HẠNH</t>
  </si>
  <si>
    <t>ĐỖ XUÂN ĐẠT</t>
  </si>
  <si>
    <t>LÊ XUÂN BÌNH</t>
  </si>
  <si>
    <t>NGÔ VĂN NGUYÊN</t>
  </si>
  <si>
    <t>DƯƠNG THỊ HỒNG HẠNH</t>
  </si>
  <si>
    <t>NGUYỄN THỊ MẬN</t>
  </si>
  <si>
    <t>ĐÀO THÙY DUNG</t>
  </si>
  <si>
    <t>NGUYỄN HỮU HIỆP</t>
  </si>
  <si>
    <t>TRẦN THỊ HỒNG LOAN</t>
  </si>
  <si>
    <t>DƯƠNG THỊ HIỂN</t>
  </si>
  <si>
    <t>PHẠM THỊ TÌNH</t>
  </si>
  <si>
    <t>NGUYỄN THỊ PHƯỢNG B</t>
  </si>
  <si>
    <t>ĐÀO THỊ BÍCH THÙY</t>
  </si>
  <si>
    <t>CAO THỊ HẠNH</t>
  </si>
  <si>
    <t>PHẠM THU TRANG</t>
  </si>
  <si>
    <t>LÃ THỊ MẬN</t>
  </si>
  <si>
    <t>TRẦN THỊ HỆ</t>
  </si>
  <si>
    <t>PHẠM THỊ HỒNG NHUNG</t>
  </si>
  <si>
    <t>LƯU THỊ BÌNH B</t>
  </si>
  <si>
    <t>PHẠM THỊ THẮM</t>
  </si>
  <si>
    <t>DƯƠNG THỊ HỒNG NHUNG</t>
  </si>
  <si>
    <t>NGUYỄN THỊ THU HUYÊN</t>
  </si>
  <si>
    <t>ĐỒNG THỊ HƯƠNG</t>
  </si>
  <si>
    <t>NGUYỄN HẢI HẬU</t>
  </si>
  <si>
    <t>TRẦN THỊ HOÀN B</t>
  </si>
  <si>
    <t>NGUYỄN THỊ HOAN</t>
  </si>
  <si>
    <t>DƯƠNG THỊ THANH NHÀN</t>
  </si>
  <si>
    <t>NGUYỄN THỊ LỆ THỦY</t>
  </si>
  <si>
    <t>ĐỖ THỊ LOAN HUỆ</t>
  </si>
  <si>
    <t>ĐẶNG THỊ HIỆP HÀ</t>
  </si>
  <si>
    <t>ĐOÀN VĂN THÀNH</t>
  </si>
  <si>
    <t>ĐẶNG THỊ HÀ</t>
  </si>
  <si>
    <t>DƯƠNG THỊ NINH</t>
  </si>
  <si>
    <t>PHẠM THỊ THÚY MƠ</t>
  </si>
  <si>
    <t>PHẠM THỊ HÒA</t>
  </si>
  <si>
    <t>HOÀNG VĂN NAM</t>
  </si>
  <si>
    <t>ĐÀO THỊ OANH</t>
  </si>
  <si>
    <t>NGUYỄN THỊ HỒNG CÚC</t>
  </si>
  <si>
    <t xml:space="preserve">NGUYỄN THỊ HỒNG NHUNG </t>
  </si>
  <si>
    <t>TRẦN THỊ NHA TRANG</t>
  </si>
  <si>
    <t>ĐỖ ĐỨC KHIÊM</t>
  </si>
  <si>
    <t>ĐỒNG VĂN VĨ</t>
  </si>
  <si>
    <t>DƯƠNG THỊ BẮC</t>
  </si>
  <si>
    <t>TẠ THỊ HOAN</t>
  </si>
  <si>
    <t>DƯƠNG NGỌC TỊNH</t>
  </si>
  <si>
    <t>TẠ CHIẾN THẮNG</t>
  </si>
  <si>
    <t>PHẠM TUẤN ĐẠT</t>
  </si>
  <si>
    <t>HOÀNG HUYỀN ANH</t>
  </si>
  <si>
    <t>DƯƠNG THỊ ÁNH THƯƠNG</t>
  </si>
  <si>
    <t>CHU THỊ HIÊN</t>
  </si>
  <si>
    <t>VŨ THỊ THÙY LINH</t>
  </si>
  <si>
    <t>LƯU THỊ HIỀN B</t>
  </si>
  <si>
    <t>NGUYỄN THỊ QUỲNH A</t>
  </si>
  <si>
    <t>DƯƠNG THỊ THANH HÀ</t>
  </si>
  <si>
    <t>VŨ TẤT THÀNH</t>
  </si>
  <si>
    <t>TRẦN HOÀNG SƠN</t>
  </si>
  <si>
    <t>LÊ VĂN MINH</t>
  </si>
  <si>
    <t>NGÔ XUÂN HUẤN</t>
  </si>
  <si>
    <t>BÙI TIẾN DŨNG</t>
  </si>
  <si>
    <t>ĐINH THỊ HỒNG NHUNG</t>
  </si>
  <si>
    <t>ĐỒNG THỊ DƯƠNG</t>
  </si>
  <si>
    <t>NGUYỄN NGỌC GIANG</t>
  </si>
  <si>
    <t>ĐỒNG THỊ HIỀN</t>
  </si>
  <si>
    <t>KHƯƠNG THỊ HƯỜNG</t>
  </si>
  <si>
    <t>NGHIÊM THỊ GIANG</t>
  </si>
  <si>
    <t xml:space="preserve">DƯƠNG THỊ LÝ </t>
  </si>
  <si>
    <t>NGÔ TUẤN ANH</t>
  </si>
  <si>
    <t xml:space="preserve">VÕ THỊ PHƯƠNG </t>
  </si>
  <si>
    <t>NGÔ MỸ HẠNH</t>
  </si>
  <si>
    <t>LÊ THỊ TUYẾT CHINH</t>
  </si>
  <si>
    <t>PHẠM THỊ BÍCH NGỌC</t>
  </si>
  <si>
    <t>NGUYỄN THỊ HỒNG NGÂN</t>
  </si>
  <si>
    <t>BÙI THỊ NGỌC ÁNH</t>
  </si>
  <si>
    <t>LỘC THỊ HUỆ</t>
  </si>
  <si>
    <t>ĐỒNG THỊ THÚY NGA</t>
  </si>
  <si>
    <t>NGUYỄN THỊ LINH A</t>
  </si>
  <si>
    <t>ĐÀM THỊ LY</t>
  </si>
  <si>
    <t>NGUYỄN HỒNG LOAN</t>
  </si>
  <si>
    <t>NGUYỄN TUYẾT MÂY</t>
  </si>
  <si>
    <t>NGUYỄN THỊ HUÂN</t>
  </si>
  <si>
    <t>ĐỖ BÍCH NGỌC</t>
  </si>
  <si>
    <t>TRẦN VĂN TÙNG</t>
  </si>
  <si>
    <t>LƯU LÝ VƯƠNG</t>
  </si>
  <si>
    <t>TẠ VĂN KIỂM</t>
  </si>
  <si>
    <t>NGUYỄN HUY HÙNG</t>
  </si>
  <si>
    <t>NGÔ THỊ DIỆU LINH</t>
  </si>
  <si>
    <t>NGUYỄN MINH NGUYỆT</t>
  </si>
  <si>
    <t>NGUYỄN BÍCH NGỌC</t>
  </si>
  <si>
    <t>TẠ THỊ VÂN YẾN</t>
  </si>
  <si>
    <t>NGÔ THỊ KIM HUỆ</t>
  </si>
  <si>
    <t>ĐỒNG THỊ TUYẾT</t>
  </si>
  <si>
    <t>PHẠM THỊ KHÁNH LINH</t>
  </si>
  <si>
    <t>NGUYỄN VĂN THƯỞNG</t>
  </si>
  <si>
    <t>LÊ VĂN THIỆN</t>
  </si>
  <si>
    <t>LƯƠNG VĂN THIẾT</t>
  </si>
  <si>
    <t>NGUYỄN HẢI LONG</t>
  </si>
  <si>
    <t>TRẦN THỦY TIÊN</t>
  </si>
  <si>
    <t>TRƯƠNG THỊ THU HOÀI</t>
  </si>
  <si>
    <t>ĐỖ NGỌC HOA</t>
  </si>
  <si>
    <t>BÙI VĂN LINH</t>
  </si>
  <si>
    <t>NGUYỄN ANH VIỆT</t>
  </si>
  <si>
    <t>CAO THỊ TÌNH</t>
  </si>
  <si>
    <t>DƯƠNG QUỐC THỨC</t>
  </si>
  <si>
    <t>NGUYỄN VĂN QUÝ</t>
  </si>
  <si>
    <t>NGUYỄN THỊ NGỌC QUỲNH</t>
  </si>
  <si>
    <t>ĐÀO THỊ HIỀN</t>
  </si>
  <si>
    <t>TRẦN THỊ KHÁNH CHI</t>
  </si>
  <si>
    <t>NGUYỄN THỊ DẠ HƯƠNG</t>
  </si>
  <si>
    <t>NGÔ THỊ THANH THỦY</t>
  </si>
  <si>
    <t>HOÀNG QUỐC CƯỜNG</t>
  </si>
  <si>
    <t>HÀ THỊ KHUYÊN</t>
  </si>
  <si>
    <t>NGUYỄN TIẾN CƯỜNG</t>
  </si>
  <si>
    <t>LÝ THỊ BẰNG</t>
  </si>
  <si>
    <t>TỐNG THỊ HUỆ</t>
  </si>
  <si>
    <t>VŨ VĂN KHÁNH</t>
  </si>
  <si>
    <t>LƯƠNG THỊ NGA</t>
  </si>
  <si>
    <t>ĐỖ HỒNG NGỌC</t>
  </si>
  <si>
    <t>NGUYỄN TRỌNG VƯƠNG</t>
  </si>
  <si>
    <t>NGUYỄN ĐOÀN THOAN</t>
  </si>
  <si>
    <t>HÀ VIỆT LONG</t>
  </si>
  <si>
    <t>LÊ MINH THU</t>
  </si>
  <si>
    <t>NGUYỄN ĐỨC DŨNG</t>
  </si>
  <si>
    <t>NINH THỊ MƠ</t>
  </si>
  <si>
    <t>PHAN THỊ HẢO</t>
  </si>
  <si>
    <t>NGUYỄN NGÔ HÒA</t>
  </si>
  <si>
    <t>DƯƠNG ĐÌNH TỨ</t>
  </si>
  <si>
    <t>DƯƠNG VĂN TÙNG</t>
  </si>
  <si>
    <t>MÃ THẾ DƯƠNG</t>
  </si>
  <si>
    <t>PHẠM TÚ ANH</t>
  </si>
  <si>
    <t>TẠ LAN ANH</t>
  </si>
  <si>
    <t>HỨA NGỌC ÁNH</t>
  </si>
  <si>
    <t>NGUYỄN THỊ CHIÊM</t>
  </si>
  <si>
    <t>LONG THỊ HOÀI GIANG</t>
  </si>
  <si>
    <t>ĐÀO THỊ HỒNG HẢI</t>
  </si>
  <si>
    <t>ĐÀO THỊ HOA</t>
  </si>
  <si>
    <t>HÀ VĂN NAM</t>
  </si>
  <si>
    <t>BÙI THỊ NGÁT</t>
  </si>
  <si>
    <t>NGUYỄN THỊ MINH NGỌC</t>
  </si>
  <si>
    <t>TRẦN THỊ KIM NHUNG</t>
  </si>
  <si>
    <t>TRỊNH THỊ NINH</t>
  </si>
  <si>
    <t>NGUYỄN THỊ PHƯƠNGB</t>
  </si>
  <si>
    <t>TRẦN THU PHƯƠNG</t>
  </si>
  <si>
    <t>NGUYỄN THỊ KIM PHƯỢNG</t>
  </si>
  <si>
    <t>LƯƠNG THỊ QUỲNH</t>
  </si>
  <si>
    <t>ĐẶNG HỒNG SƠN</t>
  </si>
  <si>
    <t>DƯƠNG THỊ HÒA</t>
  </si>
  <si>
    <t>NGUYỄN THỊ MINH HỒNG</t>
  </si>
  <si>
    <t>ĐỒNG THỊ HUỆ</t>
  </si>
  <si>
    <t>LÊ QUANG HƯNG</t>
  </si>
  <si>
    <t>NGUYỄN THỊ HUYỀN C</t>
  </si>
  <si>
    <t>LÊ ANH KIÊN</t>
  </si>
  <si>
    <t>LÊ THỊ DIỄM LỆ</t>
  </si>
  <si>
    <t>HÀ PHƯƠNG THẢO</t>
  </si>
  <si>
    <t>DƯƠNG THỊ THƠM</t>
  </si>
  <si>
    <t>ĐINH THỊ THÚY</t>
  </si>
  <si>
    <t>TRẦN THỊ THÙY</t>
  </si>
  <si>
    <t>ĐỒNG THỊ THU TRANG</t>
  </si>
  <si>
    <t>HOÀNG THỊ TỐ UYÊN</t>
  </si>
  <si>
    <t>MAI THỊ VINH</t>
  </si>
  <si>
    <t>ĐỒNG THỊ LAN ANH</t>
  </si>
  <si>
    <t>HÀ THỊ NGỌC BÍCH</t>
  </si>
  <si>
    <t>ĐINH NGỌC DŨNG</t>
  </si>
  <si>
    <t>NGUYỄN HƯƠNG GIANG</t>
  </si>
  <si>
    <t>NGUYỄN THỊ LỆ GIANG</t>
  </si>
  <si>
    <t>ĐỒNG THỊ THÚY HẰNG</t>
  </si>
  <si>
    <t>NGUYỄN THỊ HẢO B</t>
  </si>
  <si>
    <t>ĐỖ MINH HIẾN</t>
  </si>
  <si>
    <t>PHẠM THỊ THU HOÀI</t>
  </si>
  <si>
    <t>ĐÀO THỊ THANH HUYỀN</t>
  </si>
  <si>
    <t>NGHIÊM THỊ THOA</t>
  </si>
  <si>
    <t>DƯƠNG HUY THÔNG</t>
  </si>
  <si>
    <t>ĐỒNG THỊ PHƯƠNG THƯ</t>
  </si>
  <si>
    <t>PHẠM THANH HUYỀN</t>
  </si>
  <si>
    <t>VŨ THỊ LAN</t>
  </si>
  <si>
    <t>DƯƠNG THỊ THU LỆ</t>
  </si>
  <si>
    <t>LÊ THỊ LINH</t>
  </si>
  <si>
    <t>TẠ THỊ LY</t>
  </si>
  <si>
    <t>TRẦN HOÀI NAM</t>
  </si>
  <si>
    <t>TẠ THỊ NGÂN B</t>
  </si>
  <si>
    <t>VŨ THỊ THÚY NGẦN</t>
  </si>
  <si>
    <t>HÀ HUY NGỌC</t>
  </si>
  <si>
    <t>NÔNG THỊ NGỌC</t>
  </si>
  <si>
    <t>VŨ THỊ THÙY NINH</t>
  </si>
  <si>
    <t>PHẠM THỊ KIỀU OANH</t>
  </si>
  <si>
    <t>VŨ THỊ QUY</t>
  </si>
  <si>
    <t>LÊ THỊ MAI QUYÊN</t>
  </si>
  <si>
    <t>NGÔ THÚY QUỲNH</t>
  </si>
  <si>
    <t>VŨ NHƯ QUỲNH</t>
  </si>
  <si>
    <t>CHU THÁI SƠN</t>
  </si>
  <si>
    <t>DƯƠNG VIỆT THẮNG</t>
  </si>
  <si>
    <t>ĐÀM QUANG TRUNG</t>
  </si>
  <si>
    <t>HÀ TRỌNG TRƯỜNG</t>
  </si>
  <si>
    <t>TRẦN THỊ TÚ</t>
  </si>
  <si>
    <t>NGUYỄN ANH VŨ</t>
  </si>
  <si>
    <t>PHẠM THỊ YẾN B</t>
  </si>
  <si>
    <t>NGUYỄN THỊ THÙY DUYÊN</t>
  </si>
  <si>
    <t>NGUYỄN THỊ MẾN</t>
  </si>
  <si>
    <t>CHU THỊ NGỌC</t>
  </si>
  <si>
    <t>MẪN THỊ NGỌC</t>
  </si>
  <si>
    <t>NGUYỄN THỊ NHUNG C</t>
  </si>
  <si>
    <t>LÊ HỒNG PHI</t>
  </si>
  <si>
    <t>NGUYỄN THỊ MINH PHƯỢNG</t>
  </si>
  <si>
    <t>DƯƠNG ĐÌNH THĂNG</t>
  </si>
  <si>
    <t>BẰNG THỊ THU HOÀI</t>
  </si>
  <si>
    <t>DƯƠNG VIỆT HOÀNG</t>
  </si>
  <si>
    <t>THÁI THỊ NHƯ HÒE</t>
  </si>
  <si>
    <t>DƯƠNG THỊ MINH HỢP</t>
  </si>
  <si>
    <t>PHAN THANH HƯNG</t>
  </si>
  <si>
    <t>DƯƠNG XUÂN KIÊN</t>
  </si>
  <si>
    <t>LÊ DIỆU LINH</t>
  </si>
  <si>
    <t>THI THỊ THÙY LINH</t>
  </si>
  <si>
    <t>VÕ THỊ MAI LOAN</t>
  </si>
  <si>
    <t>TRẦN PHƯƠNG MAI</t>
  </si>
  <si>
    <t>ĐÀO ĐỨC MẠNH</t>
  </si>
  <si>
    <t>LÊ HOÀI THƯƠNG</t>
  </si>
  <si>
    <t xml:space="preserve">NGÔ THỊ TRANG </t>
  </si>
  <si>
    <t>NGUYỄN THỊ THU UYÊN</t>
  </si>
  <si>
    <t>LƯƠNG THỊ VIỆT</t>
  </si>
  <si>
    <t>NGUYỄN THỊ YẾN B</t>
  </si>
  <si>
    <t>NGUYỄN PHI LONG</t>
  </si>
  <si>
    <t>ĐỒNG QUANG DUY</t>
  </si>
  <si>
    <t>NGUYỄN TRUNG ĐỨC</t>
  </si>
  <si>
    <t>VŨ THỊ TÚ</t>
  </si>
  <si>
    <t>TRẦN THỊ NGỌC MAI</t>
  </si>
  <si>
    <t>MAI THỊ LINH</t>
  </si>
  <si>
    <t>NGUYỄN THỊ SƠN</t>
  </si>
  <si>
    <t xml:space="preserve">DƯƠNG THỊ HOA </t>
  </si>
  <si>
    <t>BÙI HẢI ANH</t>
  </si>
  <si>
    <t>PHẠM QUỐC CƯỜNG</t>
  </si>
  <si>
    <t>LƯU MẠNH TIẾN</t>
  </si>
  <si>
    <t>NGUYỄN ĐỨC NGHĨA</t>
  </si>
  <si>
    <t>ĐỖ HỮU HOÀN</t>
  </si>
  <si>
    <t>TÔ THỊ PHƯƠNG LOAN</t>
  </si>
  <si>
    <t>LƯU THỊ HỒNG QUYÊN</t>
  </si>
  <si>
    <t>TRỊNH THỊ HẰNG</t>
  </si>
  <si>
    <t>LÊ VIỆT DŨNG</t>
  </si>
  <si>
    <t>NGUYỄN THỊ HUỆ C</t>
  </si>
  <si>
    <t>NGUYỄN THỊ TRANG NHUNG</t>
  </si>
  <si>
    <t>KHƯƠNG QUỐC HOÀN</t>
  </si>
  <si>
    <t>NÔNG THỊ THỦY</t>
  </si>
  <si>
    <t>DƯƠNG THỊ MƠ</t>
  </si>
  <si>
    <t>HÀ THỊ THANH TÂM</t>
  </si>
  <si>
    <t>TRẦN THANH SƠN</t>
  </si>
  <si>
    <t>DƯƠNG VĂN THỊNH</t>
  </si>
  <si>
    <t>LÊ HOÀI NGÂN</t>
  </si>
  <si>
    <t>TRẦN QUỐC TOẢN</t>
  </si>
  <si>
    <t>ĐẶNG THỊ LÊ</t>
  </si>
  <si>
    <t>LÌM THỊ THU</t>
  </si>
  <si>
    <t>BÙI THỊ THÚY MINH</t>
  </si>
  <si>
    <t>LƯU QUÝ DƯƠNG</t>
  </si>
  <si>
    <t>NGUYỄN THỊ DIỆU</t>
  </si>
  <si>
    <t>DƯƠNG HOÀNG LONG</t>
  </si>
  <si>
    <t>ĐÀO THỊ QUYÊN</t>
  </si>
  <si>
    <t xml:space="preserve">HÀ THẢO HIỀN </t>
  </si>
  <si>
    <t>LÊ THỊ THANH VÂN</t>
  </si>
  <si>
    <t>THÂN TRỌNG THÀNH ĐẠT</t>
  </si>
  <si>
    <t>ĐOÀN NGỌC ANH</t>
  </si>
  <si>
    <t>NGUYỄN ĐỨC HIẾU</t>
  </si>
  <si>
    <t>ĐỖ THỊ BẨY</t>
  </si>
  <si>
    <t>ĐẶNG THỊ KIỀU CHINH</t>
  </si>
  <si>
    <t>NGUYỄN THỊ HOA B</t>
  </si>
  <si>
    <t>VŨ VĂN TÚ</t>
  </si>
  <si>
    <t>NGUYỄN THỊ THU PHƯƠNG A</t>
  </si>
  <si>
    <t>HOÀNG THU HOÀI</t>
  </si>
  <si>
    <t>HOÀNG VĂN THANH</t>
  </si>
  <si>
    <t>NGUYỄN ANH QUÂN</t>
  </si>
  <si>
    <t>TẠ THỊ ÁNH</t>
  </si>
  <si>
    <t>LƯƠNG THỊ NGỌC LAN</t>
  </si>
  <si>
    <t>NGUYỄN THẾ THÀNH</t>
  </si>
  <si>
    <t>PHẠM THU TRÀ</t>
  </si>
  <si>
    <t>HỒ THỊ BÍCH PHƯỢNG</t>
  </si>
  <si>
    <t>DƯƠNG THỊ THINH</t>
  </si>
  <si>
    <t>ĐỖ VĂN ÁNH</t>
  </si>
  <si>
    <t>LÊ NGỌC DUY</t>
  </si>
  <si>
    <t>VŨ TRỌNG DIỄN</t>
  </si>
  <si>
    <t>NGUYỄN VĂN KIÊN</t>
  </si>
  <si>
    <t>VŨ VĂN PHONG</t>
  </si>
  <si>
    <t>VŨ THỊ MỸ LINH</t>
  </si>
  <si>
    <t>ĐỖ ĐỨC THIÊM</t>
  </si>
  <si>
    <t>DƯƠNG HÀ TRANG</t>
  </si>
  <si>
    <t>DƯƠNG VĂN THIỆN</t>
  </si>
  <si>
    <t>DƯƠNG VĂN DUY</t>
  </si>
  <si>
    <t>DƯƠNG THÚY NGA</t>
  </si>
  <si>
    <t>LẠI YẾN NHƯ</t>
  </si>
  <si>
    <t>DƯƠNG THỊ KIM</t>
  </si>
  <si>
    <t>DƯƠNG ĐỨC ANH</t>
  </si>
  <si>
    <t>ĐỒNG TRUNG HIẾU</t>
  </si>
  <si>
    <t>ĐỒNG XUÂN CHƯƠNG</t>
  </si>
  <si>
    <t>NGUYỄN TIẾN HOÀNG</t>
  </si>
  <si>
    <t>DƯƠNG VĂN KIÊN</t>
  </si>
  <si>
    <t>BÙI THỊ THU HIỀN</t>
  </si>
  <si>
    <t>NGUYỄN THỊ SANG</t>
  </si>
  <si>
    <t>PHẠM THỊ THỦY</t>
  </si>
  <si>
    <t>TRẦN HỒNG THẮM</t>
  </si>
  <si>
    <t>ĐỖ THỊ BẮC</t>
  </si>
  <si>
    <t>HÀ THỊ MỸ HẠNH</t>
  </si>
  <si>
    <t>ĐÀO PHƯƠNG NAM</t>
  </si>
  <si>
    <t>ĐẶNG THU PHƯƠNG A</t>
  </si>
  <si>
    <t>TRẦN THỊ LINH NHI</t>
  </si>
  <si>
    <t>TẠ KIM THOA</t>
  </si>
  <si>
    <t>DƯƠNG THỊ MỸ</t>
  </si>
  <si>
    <t>ĐÀO THỊ VI</t>
  </si>
  <si>
    <t>NGUYỄN THỦY CHUNG</t>
  </si>
  <si>
    <t>PHẠM THỊ HỒNG MAI</t>
  </si>
  <si>
    <t>DƯƠNG THỊ THANH HOA</t>
  </si>
  <si>
    <t>DƯƠNG THỊ TƯƠI</t>
  </si>
  <si>
    <t>TRẦN THỊ THANH PHƯƠNG</t>
  </si>
  <si>
    <t>DƯƠNG KIỀU UYÊN</t>
  </si>
  <si>
    <t>DƯƠNG KIM CHI</t>
  </si>
  <si>
    <t>LÊ THÙY DƯƠNG</t>
  </si>
  <si>
    <t>TẠ THỊ NGỌC MAI</t>
  </si>
  <si>
    <t>DƯƠNG VĂN PHƯƠNG</t>
  </si>
  <si>
    <t>ĐẶNG HUY HOÀNG</t>
  </si>
  <si>
    <t>NGUYỄN ĐỨC TRUNG</t>
  </si>
  <si>
    <t>NGUYỄN TIẾN TRANG</t>
  </si>
  <si>
    <t>TRẦN TRUNG SƠN</t>
  </si>
  <si>
    <t>ĐẶNG MINH HƯNG</t>
  </si>
  <si>
    <t>NGUYỄN TRUNG KIÊN</t>
  </si>
  <si>
    <t>TRẦN HƯƠNG GIANG</t>
  </si>
  <si>
    <t>TRẦN QUỐC KHÁNH</t>
  </si>
  <si>
    <t>NGUYỄN THỊ NGÁT</t>
  </si>
  <si>
    <t>LƯỜNG THỊ LÊ</t>
  </si>
  <si>
    <t>LÊ THU TRANG</t>
  </si>
  <si>
    <t>ĐÀO THỊ YẾN</t>
  </si>
  <si>
    <t>PHẠM ĐỨC KHẢI</t>
  </si>
  <si>
    <t>ĐINH THỊ NGÂN</t>
  </si>
  <si>
    <t>DƯƠNG THỊ HUYÊN</t>
  </si>
  <si>
    <t>LÊ VĂN NAM</t>
  </si>
  <si>
    <t>TRẦN PHƯƠNG THANH</t>
  </si>
  <si>
    <t>CHU THỊ TUYẾT MAI</t>
  </si>
  <si>
    <t>LÊ THỊ HUYỀN CHANG</t>
  </si>
  <si>
    <t>NGUYỄN VĂN ĐÔ</t>
  </si>
  <si>
    <t>NGÔ THỊ HUYỀN CHÂM</t>
  </si>
  <si>
    <t>HÀ THỊ CHUNG</t>
  </si>
  <si>
    <t>PHẠM THANH HIỀN</t>
  </si>
  <si>
    <t>LƯƠNG THỊ HOA</t>
  </si>
  <si>
    <t>TRẦN THỊ THANH B</t>
  </si>
  <si>
    <t>DƯƠNG HUYỀN NGỌC</t>
  </si>
  <si>
    <t>BÙI THỊ DUYÊN</t>
  </si>
  <si>
    <t>LUYỆN THÁI HÀ</t>
  </si>
  <si>
    <t>DƯƠNG THỊ THU HƯỜNG</t>
  </si>
  <si>
    <t>DƯƠNG NGỌC TÂM</t>
  </si>
  <si>
    <t>NGÔ THỊ NGỌC ANH</t>
  </si>
  <si>
    <t>TRƯƠNG VĂN CƯƠNG</t>
  </si>
  <si>
    <t>NGÔ THỊ CHINH</t>
  </si>
  <si>
    <t>ĐÀO THỊ TÂM</t>
  </si>
  <si>
    <t>NGUYỄN  THỊ YẾN A</t>
  </si>
  <si>
    <t>NGUYỄN QUANG HIẾU</t>
  </si>
  <si>
    <t>HOÀNG THANH HOA</t>
  </si>
  <si>
    <t>NGUYỄN VĂN HUYNH</t>
  </si>
  <si>
    <t>TRƯƠNG THỊ TÝ</t>
  </si>
  <si>
    <t>BÙI VĂN TÌNH</t>
  </si>
  <si>
    <t>ĐẶNG THỊ KHUYÊN</t>
  </si>
  <si>
    <t>TẠ THỊ TIẾN</t>
  </si>
  <si>
    <t>VŨ THỊ THU HÀ</t>
  </si>
  <si>
    <t>ĐỒNG THỊ NGOAN</t>
  </si>
  <si>
    <t>DƯƠNG THỊ LAN</t>
  </si>
  <si>
    <t>NGUYỄN THỊ TỚI</t>
  </si>
  <si>
    <t>NGUYỄN THU VÂN</t>
  </si>
  <si>
    <t>NÔNG THANH TRÌNH</t>
  </si>
  <si>
    <t>NGUYỄN QUỲNH MAI B</t>
  </si>
  <si>
    <t>HOÀNG ĐÌNH PHONG</t>
  </si>
  <si>
    <t>LA THỊ HÂN</t>
  </si>
  <si>
    <t>NGUYỄN THỊ LÊ</t>
  </si>
  <si>
    <t>HOÀNG THỊ YẾN</t>
  </si>
  <si>
    <t>HOÀNG THỊ NHƯ</t>
  </si>
  <si>
    <t>NGUYỄN NGỌC THANH</t>
  </si>
  <si>
    <t>TRẦN VĂN HUY</t>
  </si>
  <si>
    <t>DƯƠNG THỊ DIỄM</t>
  </si>
  <si>
    <t>ĐINH THỊ HỒNG</t>
  </si>
  <si>
    <t>ĐỖ MẠNH TOÀN</t>
  </si>
  <si>
    <t>TRỊNH NGỌC CƯỜNG</t>
  </si>
  <si>
    <t>HÀ THU NGỌC</t>
  </si>
  <si>
    <t>NGUYỄN TRUNG DŨNG</t>
  </si>
  <si>
    <t>TRẦN THỊ THỦY</t>
  </si>
  <si>
    <t>LÊ VĂN HOÀN</t>
  </si>
  <si>
    <t xml:space="preserve">TRẦN THỊ LAN </t>
  </si>
  <si>
    <t>DƯƠNG VĂN HUY</t>
  </si>
  <si>
    <t>DƯƠNG THUỲ LINH</t>
  </si>
  <si>
    <t>NGUYỄN THỊ HẠNHC</t>
  </si>
  <si>
    <t>PHẠM THỊ TRÚC</t>
  </si>
  <si>
    <t>LÊ VĂN HIÊN</t>
  </si>
  <si>
    <t>ĐẶNG THỊ LỘC</t>
  </si>
  <si>
    <t>VŨ HUY TÌNH</t>
  </si>
  <si>
    <t>NGUYỄN VĂN KHÁNH</t>
  </si>
  <si>
    <t>HOÀNG THỊ MINH NGHĨA</t>
  </si>
  <si>
    <t>ĐỒNG THỊ THU THẢO</t>
  </si>
  <si>
    <t>TRƯƠNG THỊ LƯỢNG</t>
  </si>
  <si>
    <t>DƯƠNG THỊ NGHỆ</t>
  </si>
  <si>
    <t>TRẦN THỊ HỒNG HẠNH</t>
  </si>
  <si>
    <t>NGUYỄN THỊ HOÀI LINH</t>
  </si>
  <si>
    <t>DƯƠNG THỊ TUYẾN</t>
  </si>
  <si>
    <t xml:space="preserve">NGUYỄN THỊ CẢNH </t>
  </si>
  <si>
    <t>PHẠM THỊ MAI</t>
  </si>
  <si>
    <t>TRỊNH THỊ KIM XUÂN</t>
  </si>
  <si>
    <t>LÊ THỊ PHƯƠNG</t>
  </si>
  <si>
    <t>TRẦN THỊ HỒNG THƠM</t>
  </si>
  <si>
    <t>NGUYỄN NGỌC THUÝ</t>
  </si>
  <si>
    <t>ĐOÀN NGỌC THÀNH</t>
  </si>
  <si>
    <t>DƯƠNG THỊ TỐ UYÊN</t>
  </si>
  <si>
    <t>ĐÀM THỊ LIỄU</t>
  </si>
  <si>
    <t>HÀ THỊ TUYẾN</t>
  </si>
  <si>
    <t>LÊ ĐỨC TRÌNH</t>
  </si>
  <si>
    <t>NGUYỄN VĂN TƯ</t>
  </si>
  <si>
    <t>HOÀNG ANH</t>
  </si>
  <si>
    <t>NGUYỄN THỊ BÍCH HẢO</t>
  </si>
  <si>
    <t>VŨ THỊ HỒNG NHUNG</t>
  </si>
  <si>
    <t>CHU THỊ HẰNG</t>
  </si>
  <si>
    <t>HÀ THỊ HUỆ</t>
  </si>
  <si>
    <t>NÔNG THỊ TUYẾT TRINH</t>
  </si>
  <si>
    <t>QUÁCH THỊ VIỆT TRINH</t>
  </si>
  <si>
    <t>HÀ THỊ HƯỜNG</t>
  </si>
  <si>
    <t>BÙI KIM OANH</t>
  </si>
  <si>
    <t>TRỊNH THỊ NỤ</t>
  </si>
  <si>
    <t>LƯƠNG THỊ MÂY</t>
  </si>
  <si>
    <t>TRƯƠNG THỊ MỸ HẠNH</t>
  </si>
  <si>
    <t>TRỊNH THỊ TRANG</t>
  </si>
  <si>
    <t>HÀ THỊ NGỌC VÂN</t>
  </si>
  <si>
    <t>NGUYỄN THỊ TUYẾT CHINH</t>
  </si>
  <si>
    <t>HOÀNG THỊ ỨNG</t>
  </si>
  <si>
    <t>HOÀNG VĂN TRUNG</t>
  </si>
  <si>
    <t>ĐÀO THỊ BÍCH ĐIỆP</t>
  </si>
  <si>
    <t>LÀNH THỊ HÀ</t>
  </si>
  <si>
    <t>DƯƠNG THU THƯƠNG</t>
  </si>
  <si>
    <t>BÙI THỊ THANH HUYỀN</t>
  </si>
  <si>
    <t>ĐỒNG THỊ HẠNH</t>
  </si>
  <si>
    <t>ĐÀO THỊ HIẾU</t>
  </si>
  <si>
    <t>LÊ ĐỨC GIANG</t>
  </si>
  <si>
    <t>BẾ THỊ MÃO</t>
  </si>
  <si>
    <t>DƯƠNG THỊ KIM HẠNH</t>
  </si>
  <si>
    <t>NÔNG THỊ HIỀN</t>
  </si>
  <si>
    <t>ĐỒNG THỊ HỒNG NHUNG</t>
  </si>
  <si>
    <t>NGÔ THỊ THẢO</t>
  </si>
  <si>
    <t>ĐỖ THỊ HOÀI LINH</t>
  </si>
  <si>
    <t>NGÔ THỊ LAN HƯƠNG</t>
  </si>
  <si>
    <t>ĐỖ THU THẢO</t>
  </si>
  <si>
    <t>BÙI THỊ HỒNG LIÊN</t>
  </si>
  <si>
    <t>TRƯƠNG THỊ THÚY KIỀU</t>
  </si>
  <si>
    <t>TRIỆU THỊ THU HÀ</t>
  </si>
  <si>
    <t>HÀ THỊ TRANG</t>
  </si>
  <si>
    <t>VI NGỌC LONG</t>
  </si>
  <si>
    <t>TRƯƠNG THỊ HUYỀN</t>
  </si>
  <si>
    <t>ĐẶNG HIỂU BÌNH</t>
  </si>
  <si>
    <t>CHU THỊ ANH THƯ</t>
  </si>
  <si>
    <t>NGUYỄN VIỆT DŨNG</t>
  </si>
  <si>
    <t>PHẠM KIM ANH</t>
  </si>
  <si>
    <t>ĐỒNG VĂN AN</t>
  </si>
  <si>
    <t>DƯƠNG MINH QUYỀN</t>
  </si>
  <si>
    <t>LÃ THỊ KIM UYÊN</t>
  </si>
  <si>
    <t>ĐỒNG ĐỨC THIỆN</t>
  </si>
  <si>
    <t>VŨ THỊ NHI</t>
  </si>
  <si>
    <t>ĐỖ THỊ THU HIỀN</t>
  </si>
  <si>
    <t>TẠ THỊ THANH LỊCH</t>
  </si>
  <si>
    <t>TRƯƠNG THỊ NGỌC</t>
  </si>
  <si>
    <t>NGUYỄN THỊ DIỄM QUỲNH</t>
  </si>
  <si>
    <t>TRƯƠNG VĂN ĐỨC</t>
  </si>
  <si>
    <t>ĐẶNG THỊ OANH</t>
  </si>
  <si>
    <t>BÙI THUỲ TRANG</t>
  </si>
  <si>
    <t>HÀ THỊ LUNG</t>
  </si>
  <si>
    <t>VŨ VĂN SƠN</t>
  </si>
  <si>
    <t>NGUYỄN THỊ QUỲNH NGA</t>
  </si>
  <si>
    <t>BÙI THỊ MI</t>
  </si>
  <si>
    <t>DƯƠNG THỊ NGUYỆT</t>
  </si>
  <si>
    <t>ĐỒNG THỊ MAI ANH</t>
  </si>
  <si>
    <t>THÁI MINH ANH</t>
  </si>
  <si>
    <t>LÊ NÔNG THỊ TRANG</t>
  </si>
  <si>
    <t>PHẠM HẢI YẾN</t>
  </si>
  <si>
    <t>TRƯƠNG THỊ NGỌC SIM</t>
  </si>
  <si>
    <t>NGÔ PHƯƠNG NGỌC</t>
  </si>
  <si>
    <t>HOÀNG THỊ XUYẾN</t>
  </si>
  <si>
    <t>TRẦN THỊ NHẬT</t>
  </si>
  <si>
    <t>LƯU THỊ THÚY HƯỜNG</t>
  </si>
  <si>
    <t>DƯƠNG TIẾN TÙNG</t>
  </si>
  <si>
    <t>NGUYỄN THỊ MAI LIÊN</t>
  </si>
  <si>
    <t>TRẦN THỊ THU THẢO</t>
  </si>
  <si>
    <t>TRỊNH THỊ THÌN</t>
  </si>
  <si>
    <t>HÀ THỊ HỒNG TRANG</t>
  </si>
  <si>
    <t>HOÀNG THỊ HÒA</t>
  </si>
  <si>
    <t>BẠC THỊ HƯƠNG</t>
  </si>
  <si>
    <t>TRẦN THỊ ÚT TRANG</t>
  </si>
  <si>
    <t>KHƯƠNG THỊ THỦY</t>
  </si>
  <si>
    <t>DƯƯƠNG THỊ SƠN</t>
  </si>
  <si>
    <t>NGUYỄN THỊ HƯƠNG TRÀ</t>
  </si>
  <si>
    <t>NGUYỄN THỊ KIM LOAN</t>
  </si>
  <si>
    <t>DƯƠNG VĂN HẢI</t>
  </si>
  <si>
    <t>LƯƠNG THỊ HỒNG HẠNH</t>
  </si>
  <si>
    <t>TRẦN LONG NHẬT</t>
  </si>
  <si>
    <t>NGUYỄN TRUNG THÀNH</t>
  </si>
  <si>
    <t>DƯƠNG THỊ LỆ</t>
  </si>
  <si>
    <t>TẠ THỊ DUYÊN</t>
  </si>
  <si>
    <t>TRẦN THỊ MAI LAN</t>
  </si>
  <si>
    <t>LƯU THỊ PHƯỢNG</t>
  </si>
  <si>
    <t>ĐỖ THANH HUYỀN</t>
  </si>
  <si>
    <t>DƯƠNG ĐỨC TOÀN</t>
  </si>
  <si>
    <t>CHU THỊ NIỆM</t>
  </si>
  <si>
    <t>TRẦN THỊ THU NHƯ</t>
  </si>
  <si>
    <t>ĐẶNG THỊ TRINH</t>
  </si>
  <si>
    <t>DƯƠNG THỊ KHÁNH HÒA</t>
  </si>
  <si>
    <t>PHẠM VĂN KHÔI</t>
  </si>
  <si>
    <t>MAI VĂN TOÀN</t>
  </si>
  <si>
    <t>NGUYỄN THỊ THÚY HOA</t>
  </si>
  <si>
    <t>CHU THỊ LỢI</t>
  </si>
  <si>
    <t>TẠ THỊ THUÝ NGA</t>
  </si>
  <si>
    <t>PHẠM THỊ MINH</t>
  </si>
  <si>
    <t>LƯU TRẦN THANH</t>
  </si>
  <si>
    <t>TRẦN THỊ XUÂN</t>
  </si>
  <si>
    <t>DƯƠNG NHƯ TUÂN</t>
  </si>
  <si>
    <t>VŨ KIM OANH</t>
  </si>
  <si>
    <t>TÔ VĂN HIẾU</t>
  </si>
  <si>
    <t xml:space="preserve">DƯƠNG THỊ THẮM </t>
  </si>
  <si>
    <t>DƯƠNG NGỌC ÁNH</t>
  </si>
  <si>
    <t>NGUYỄN THỊ MẾNB</t>
  </si>
  <si>
    <t>TRẦN THỊ NHƯ PHƯƠNG</t>
  </si>
  <si>
    <t>LÊ VĂN SỬU</t>
  </si>
  <si>
    <t>NGUYỄN THỊ TỐ UYÊN</t>
  </si>
  <si>
    <t>LƯƠNG VĂN LỢI</t>
  </si>
  <si>
    <t>HOÀNG THỊ THU HOÀI</t>
  </si>
  <si>
    <t>TRƯƠNG THỊ THƯƠNG</t>
  </si>
  <si>
    <t>DƯƠNG HẢI HẬU</t>
  </si>
  <si>
    <t>LƯU THỊ BÍCH</t>
  </si>
  <si>
    <t>BÙI THIÊN TRANG</t>
  </si>
  <si>
    <t>BÙI THỊ HỒNG NHUNG</t>
  </si>
  <si>
    <t>BÙI THỊ LIÊN</t>
  </si>
  <si>
    <t>NGUYỄN THỊ MINH QUYÊN</t>
  </si>
  <si>
    <t>BÙI THỊ DIỆU LINH</t>
  </si>
  <si>
    <t>ĐINH THỊ THÙY NINH</t>
  </si>
  <si>
    <t>VŨ THỊ LÊ NGA</t>
  </si>
  <si>
    <t>NGUYỄN XUÂN HẢO</t>
  </si>
  <si>
    <t>DƯƠNG NGUYỄN NAM</t>
  </si>
  <si>
    <t>ĐÀO THỊ PHƯƠNG NHUNG</t>
  </si>
  <si>
    <t>PHẠM THỊ THÚY</t>
  </si>
  <si>
    <t>ĐỖ THỊ NGỌC ÁNH</t>
  </si>
  <si>
    <t>ĐỖ THỊ NGUYỆT</t>
  </si>
  <si>
    <t>HÀ THỊ QUỲNH</t>
  </si>
  <si>
    <t>DƯƠNG THỊ LUYẾN</t>
  </si>
  <si>
    <t>TRƯƠNG THỊ GIANG</t>
  </si>
  <si>
    <t>LƯU THỊ THẢO</t>
  </si>
  <si>
    <t>NGUYỄN THỊ HUÊ</t>
  </si>
  <si>
    <t>TRƯƠNG NGỌC HUYỀN</t>
  </si>
  <si>
    <t>TRẦN THỊ HIỀN LƯƠNG</t>
  </si>
  <si>
    <t>ĐINH QUANG NGỌC</t>
  </si>
  <si>
    <t>NGUYỄN THỊ BÍCH THÙY</t>
  </si>
  <si>
    <t>NGUYỄN THỊ NGỌC THÚY</t>
  </si>
  <si>
    <t>DƯƠNG HOÀNG HIỆP</t>
  </si>
  <si>
    <t>ĐỒNG THỊ THANH THỦY</t>
  </si>
  <si>
    <t>TRƯƠNG THỊ LINH</t>
  </si>
  <si>
    <t>LẠI THỊ HÀ</t>
  </si>
  <si>
    <t>TRÁNG THỊ SÚA</t>
  </si>
  <si>
    <t>PHẠM THỊ GIANG</t>
  </si>
  <si>
    <t>ĐỒNG THỊ PHƯƠNG</t>
  </si>
  <si>
    <t>PHẠM THỊ PHƯƠNG THẢO</t>
  </si>
  <si>
    <t>MA THỊ THỦY</t>
  </si>
  <si>
    <t>LƯƠNG THỊ HỒNG ƯỚC</t>
  </si>
  <si>
    <t>ĐẶNG THỊ THÚY HIỀN</t>
  </si>
  <si>
    <t>LẠI THỊ HẢI</t>
  </si>
  <si>
    <t>ĐỒNG ANH TÙNG</t>
  </si>
  <si>
    <t>ĐẶNG THỊ HỒNG HOA</t>
  </si>
  <si>
    <t>LÔ THỊ NGUYỆT</t>
  </si>
  <si>
    <t>TRẦN THỊ LUYẾN</t>
  </si>
  <si>
    <t>ĐỒNG THỊ MAI LAN</t>
  </si>
  <si>
    <t>TRẦN THỊ HỒNG NGỌC</t>
  </si>
  <si>
    <t>DƯƠNG THỊ LÂM</t>
  </si>
  <si>
    <t>LÊ THỊ KIỀU ÁNH</t>
  </si>
  <si>
    <t>TRƯƠNG KIỀU MAI</t>
  </si>
  <si>
    <t>NGUYỄN VĂN CÔNG</t>
  </si>
  <si>
    <t>LÂM THỊ ÁNH DƯƠNG</t>
  </si>
  <si>
    <t>LÊ THỊ THƯƠNG</t>
  </si>
  <si>
    <t>DƯƠNG THỊ THU HẰNG</t>
  </si>
  <si>
    <t>LƯU THỊ HUỆ</t>
  </si>
  <si>
    <t>DƯƠNG THỊ THIẾT</t>
  </si>
  <si>
    <t>NGUYỄN TIẾN MẠNH</t>
  </si>
  <si>
    <t>ĐẶNG VIỆT TIẾN</t>
  </si>
  <si>
    <t>NGUYỄN THỊ THÍA</t>
  </si>
  <si>
    <t>LÝ VĂN PHÚ</t>
  </si>
  <si>
    <t>LƯU THỊ THU CÚC</t>
  </si>
  <si>
    <t>VŨ THỊ THƯƠNG</t>
  </si>
  <si>
    <t>NGÔ THỊ THANH LOAN</t>
  </si>
  <si>
    <t>NGUYỄN THỊ MINH CHÂM</t>
  </si>
  <si>
    <t>ĐINH THỊ THU TRANG</t>
  </si>
  <si>
    <t>VŨ VĂN HẢI</t>
  </si>
  <si>
    <t>NGUYỄN THỊ BIỂU</t>
  </si>
  <si>
    <t>TRẦN THỊ LOAN B</t>
  </si>
  <si>
    <t>LƯƠNG QUỐC BẢO</t>
  </si>
  <si>
    <t>LƯU THỊ LINH</t>
  </si>
  <si>
    <t>LƯU PHẠM VĂN VIỆT</t>
  </si>
  <si>
    <t>NGUYỄN THỊ HẠNHD</t>
  </si>
  <si>
    <t xml:space="preserve">NGUYỄN THỊ KHUYẾN </t>
  </si>
  <si>
    <t>NGUYỄN THỊ THANH HƯƠNG B</t>
  </si>
  <si>
    <t>ĐỒNG THỊ NGÁT</t>
  </si>
  <si>
    <t>LÊ MAI HOA</t>
  </si>
  <si>
    <t>ĐÀM MINH TUẤN</t>
  </si>
  <si>
    <t>PHÍ THỊ HUYỀN TRANG</t>
  </si>
  <si>
    <t>NGUYỄN VĂN VƯƠNG</t>
  </si>
  <si>
    <t>VŨ GIA HUY</t>
  </si>
  <si>
    <t>NGUYỄN THỊ THIỆP</t>
  </si>
  <si>
    <t>NGUYỄN ANH DŨNG</t>
  </si>
  <si>
    <t>ĐẶNG HOÀI LIỄU</t>
  </si>
  <si>
    <t>CAO THÀNH ĐẠT</t>
  </si>
  <si>
    <t>DƯƠNG HOÀI KHÁNH LINH</t>
  </si>
  <si>
    <t>NÔNG THỊ TỚI</t>
  </si>
  <si>
    <t>TRIỆU THỊ LAN</t>
  </si>
  <si>
    <t>NGUYỄN NGỌC KHÁNH LINH</t>
  </si>
  <si>
    <t xml:space="preserve">DƯƠNG THẢO NGUYÊN </t>
  </si>
  <si>
    <t>HÀ THỊ HẢI YẾN</t>
  </si>
  <si>
    <t>TRẦN THANH THƯ</t>
  </si>
  <si>
    <t>DƯƠNG THỊ LANH</t>
  </si>
  <si>
    <t xml:space="preserve">DƯƠNG THỊ DUNG </t>
  </si>
  <si>
    <t>ĐỖ THỊ THÙY LINH</t>
  </si>
  <si>
    <t>NGUYỄN THỊ KIỀU NINH</t>
  </si>
  <si>
    <t>NGUYỄN CHÂM ANH</t>
  </si>
  <si>
    <t>NGUYỄN THỊ CHIẾN</t>
  </si>
  <si>
    <t>PHẠM THỊ TUYẾT NGÂN</t>
  </si>
  <si>
    <t>ĐỒNG THỊ HỒNG</t>
  </si>
  <si>
    <t>HỒ THỊ HIỀN</t>
  </si>
  <si>
    <t>TRỊNH THỊ HOÀI LY</t>
  </si>
  <si>
    <t>LÊ THỊ PHƯƠNG HOA</t>
  </si>
  <si>
    <t>ĐẶNG THỊ QUYÊN</t>
  </si>
  <si>
    <t>VY THỊ HẢI ĐƯỜNG</t>
  </si>
  <si>
    <t xml:space="preserve">TRƯƠNG HẢI YẾN </t>
  </si>
  <si>
    <t>TRƯƠNG VĂN THỊNH</t>
  </si>
  <si>
    <t>LÊ THỊ ÁNH</t>
  </si>
  <si>
    <t>TRẦN THỊ MAI PHƯƠNG</t>
  </si>
  <si>
    <t xml:space="preserve">NGUYỄN THỊ THUỲ TRANG </t>
  </si>
  <si>
    <t>TRẦN THÚY AN</t>
  </si>
  <si>
    <t>ĐẶNG THÙY TRANG</t>
  </si>
  <si>
    <t>LÊ THỊ XUYẾN</t>
  </si>
  <si>
    <t>ĐÀO THỊ MỸ</t>
  </si>
  <si>
    <t>NGUYỄN THỊ HỒNG LÊ</t>
  </si>
  <si>
    <t>LƯƠNG THỊ TOAN</t>
  </si>
  <si>
    <t xml:space="preserve">TẰNG THỊ LƯỢNG </t>
  </si>
  <si>
    <t xml:space="preserve">TRƯƠNG THỊ TUYẾT </t>
  </si>
  <si>
    <t>CHU THỊ CHUNG</t>
  </si>
  <si>
    <t>LÊ THỊ KIM LIÊN</t>
  </si>
  <si>
    <t>DƯƠNG THỊ UYÊN</t>
  </si>
  <si>
    <t>TRẦN THỊ HUẾ</t>
  </si>
  <si>
    <t>NGUYỄN THỊ BÍCH HẢI</t>
  </si>
  <si>
    <t>BÙI THỊ TỨ</t>
  </si>
  <si>
    <t>HOÀNG VĂN TUYẾN</t>
  </si>
  <si>
    <t xml:space="preserve">NGUYỄN THỊ TẠO </t>
  </si>
  <si>
    <t>NGUYỄN VĂN LÂM</t>
  </si>
  <si>
    <t>LÊ THỊ HIỀN TRANG</t>
  </si>
  <si>
    <t xml:space="preserve">VI HẢI ĐĂNG </t>
  </si>
  <si>
    <t>TRẦN THỊ QUYÊN</t>
  </si>
  <si>
    <t>LƯU ĐỨC TUYỂN</t>
  </si>
  <si>
    <t>HỒ THỊ THÚY HƯỜNG</t>
  </si>
  <si>
    <t>HOÀNG THỊ NGỌC ÁNH</t>
  </si>
  <si>
    <t>NGUYỄN THỊ QUỲNH B</t>
  </si>
  <si>
    <t>NGUYỄN THỊ BA</t>
  </si>
  <si>
    <t>LÊ THỊ AN</t>
  </si>
  <si>
    <t>NGUYỄN MINH ĐĂNG</t>
  </si>
  <si>
    <t>MẪN THỊ HOA MỸ</t>
  </si>
  <si>
    <t>NGUYỄN THỊ LƯƠNG B</t>
  </si>
  <si>
    <t>NGUYỄN HẢI YẾN B</t>
  </si>
  <si>
    <t>NGUYỄN THỊ HỒNG NGÁT</t>
  </si>
  <si>
    <t>ĐỖ THỊ KHÁNH LY</t>
  </si>
  <si>
    <t>PHẠM THANH SƠN</t>
  </si>
  <si>
    <t>ĐÀO THỊ HIỀN ANH</t>
  </si>
  <si>
    <t>NGUYỄN THỊ HỒNG LOAN</t>
  </si>
  <si>
    <t>DƯƠNG ĐÌNH TRƯỜNG</t>
  </si>
  <si>
    <t>VŨ KHẮC TÙNG</t>
  </si>
  <si>
    <t>NGUYỄN ĐÌNH HOÀNG</t>
  </si>
  <si>
    <t>CAO THỊ HỒNG HOÀI</t>
  </si>
  <si>
    <t>ĐINH VĂN TOÀN</t>
  </si>
  <si>
    <t>PHẠM VĂN TỚI</t>
  </si>
  <si>
    <t>NGUYỄN THỊ DẬU</t>
  </si>
  <si>
    <t>DƯƠNG MINH HẢI</t>
  </si>
  <si>
    <t>LIỄU THỊ GIANG</t>
  </si>
  <si>
    <t>KHƯƠNG VĂN KHOA</t>
  </si>
  <si>
    <t xml:space="preserve">TRƯƠNG THỊ HẬU </t>
  </si>
  <si>
    <t xml:space="preserve">NGUYỄN THỊ CHINH </t>
  </si>
  <si>
    <t xml:space="preserve">VŨ THỊ LOAN </t>
  </si>
  <si>
    <t>NÔNG THỊ HUYỀN TRANG</t>
  </si>
  <si>
    <t xml:space="preserve">NGUYỄN VIỆT TÙNG </t>
  </si>
  <si>
    <t>ĐOÀN THỊ MINH ANH</t>
  </si>
  <si>
    <t>LÊ VIỆT ANH</t>
  </si>
  <si>
    <t>TẠ SƠN DƯƠNG</t>
  </si>
  <si>
    <t>DƯƠNG THỊ NHUNG B</t>
  </si>
  <si>
    <t>SẦMTHỊ LƯU</t>
  </si>
  <si>
    <t>LÝ  THỊ DIỆU XOAN</t>
  </si>
  <si>
    <t xml:space="preserve">ĐÀM THỊ TIẾN </t>
  </si>
  <si>
    <t xml:space="preserve">NGUYỄN THỊ HOA </t>
  </si>
  <si>
    <t xml:space="preserve">NGÔ THỊ HOÀI AN </t>
  </si>
  <si>
    <t>PHẠM THỊ LY</t>
  </si>
  <si>
    <t xml:space="preserve">TẠ QUỐC HUY </t>
  </si>
  <si>
    <t>TRẦN VÂN ANH</t>
  </si>
  <si>
    <t>HOÀNG THỊ NHƯ PHƯƠNG</t>
  </si>
  <si>
    <t>DƯƠNG XUÂN HIẾU</t>
  </si>
  <si>
    <t xml:space="preserve">LÊ THỊ NGỌC HUYỀN </t>
  </si>
  <si>
    <t>TRẦN HẢI DIỆU LINH</t>
  </si>
  <si>
    <t xml:space="preserve">LÊ THỊ MY </t>
  </si>
  <si>
    <t>NGÔ THỊ ÁNH NGÂN</t>
  </si>
  <si>
    <t>LÊ HỒNG QUÂN</t>
  </si>
  <si>
    <t>NGUYỄN THÀNH AN</t>
  </si>
  <si>
    <t xml:space="preserve">ĐỒNG THỊ NHUNG </t>
  </si>
  <si>
    <t>DƯƠNG MẠNH HIẾU</t>
  </si>
  <si>
    <t>DƯƠNG HOÀNG PHƯƠNG LAN</t>
  </si>
  <si>
    <t>MA THỊ HUYỀN</t>
  </si>
  <si>
    <t>DƯƠNG THỊ QUỲNH ANH</t>
  </si>
  <si>
    <t>HÀ TRỌNG HOÀNG ANH</t>
  </si>
  <si>
    <t>HÀ THỊ THANH HIỀN</t>
  </si>
  <si>
    <t>BÁ QUANG SÁNG</t>
  </si>
  <si>
    <t>LƯƠNG THỊ THỦY</t>
  </si>
  <si>
    <t>DƯƠNG THỊ HỒNG DUYÊN</t>
  </si>
  <si>
    <t>DƯƠNG THỊ THÙY NHUNG</t>
  </si>
  <si>
    <t>VŨ TRỌNG QUYỀN</t>
  </si>
  <si>
    <t xml:space="preserve">TẠ THỊ LAN </t>
  </si>
  <si>
    <t>ĐÀO THỊ NGUYỆT THU</t>
  </si>
  <si>
    <t>NGUYỄN THỊ  NGỌC</t>
  </si>
  <si>
    <t>TRẦN VĂN HẬU</t>
  </si>
  <si>
    <t>NGUYỄN QUANG LINH</t>
  </si>
  <si>
    <t>PHÙNG THANH THƯ</t>
  </si>
  <si>
    <t>CAO ĐĂNG MINH</t>
  </si>
  <si>
    <t xml:space="preserve">LÊ KHÁNH HOÀ </t>
  </si>
  <si>
    <t>TRẦN HỒNG GIANG</t>
  </si>
  <si>
    <t>NGUYỄN THỊ HOÀI THANH</t>
  </si>
  <si>
    <t>TRẦN ĐỨC GIANG</t>
  </si>
  <si>
    <t>NGUYỄN THỊ KHUÊ</t>
  </si>
  <si>
    <t>NGUYỄN THỊ THÚY HOÀI</t>
  </si>
  <si>
    <t>TRẦN ĐĂNG CƯỜNG</t>
  </si>
  <si>
    <t>HOÀNG THỊ THẢO B</t>
  </si>
  <si>
    <t>DƯƠNG ANH TÀI</t>
  </si>
  <si>
    <t>NGÔ THỊ KIM MAI</t>
  </si>
  <si>
    <t xml:space="preserve">ĐỖ THỊ HOÀI NGỌC </t>
  </si>
  <si>
    <t xml:space="preserve">TRẦN THỊ THẢO ANH </t>
  </si>
  <si>
    <t>NGUYỄN VĂN THÀNH</t>
  </si>
  <si>
    <t>TẠ THỊ HOA CÚC</t>
  </si>
  <si>
    <t>NGUYỄN THỊ AN</t>
  </si>
  <si>
    <t xml:space="preserve">NGUYỄN NGỌC TUẤN </t>
  </si>
  <si>
    <t>NGUYỄN HỒNG LUYẾN</t>
  </si>
  <si>
    <t>TRẦN VĂN TIỆP</t>
  </si>
  <si>
    <t>ĐẶNG THỊ TUYỀN</t>
  </si>
  <si>
    <t>LÊ QUANG NAM</t>
  </si>
  <si>
    <t>ĐỒNG THỊ KIM ÁNH</t>
  </si>
  <si>
    <t>ĐỖ VĂN HOÀNG</t>
  </si>
  <si>
    <t>HÀ PHẠM QUÍ ANH</t>
  </si>
  <si>
    <t>NGUYỄN THỊ HỒNG THANH</t>
  </si>
  <si>
    <t>TRẦN THỊ THU GIANG</t>
  </si>
  <si>
    <t>LĂNG THỊ LINH</t>
  </si>
  <si>
    <t>VŨ THỊ HOÀI</t>
  </si>
  <si>
    <t>LÊ THỊ MAI ANH</t>
  </si>
  <si>
    <t>TRẦN THỊ THUẬN</t>
  </si>
  <si>
    <t>ĐẶNG THỊ HẬU</t>
  </si>
  <si>
    <t>LƯU VĂN MẠNH</t>
  </si>
  <si>
    <t xml:space="preserve">NGUYỄN THỊ HƯƠNG </t>
  </si>
  <si>
    <t>TẠ VĂN ĐIỆP</t>
  </si>
  <si>
    <t>NGUYỄN HỒNG VI</t>
  </si>
  <si>
    <t>HOÀNG THỊ SÁCH</t>
  </si>
  <si>
    <t>HÀ LỆ THỦY</t>
  </si>
  <si>
    <t>LÊ QUANG HÀO</t>
  </si>
  <si>
    <t>LÊ THỊ THANH HOÀI B</t>
  </si>
  <si>
    <t>LƯU THỊ ĐỨC HẰNG</t>
  </si>
  <si>
    <t>TRIỆU HOÀI THẮM</t>
  </si>
  <si>
    <t xml:space="preserve">DƯƠNG THỊ THANH HOA </t>
  </si>
  <si>
    <t>LƯU THỊ THU HẰNG</t>
  </si>
  <si>
    <t>NGÔ XUÂN LÂM</t>
  </si>
  <si>
    <t>NGUYỄN THỊ THÊU</t>
  </si>
  <si>
    <t xml:space="preserve">TRẦN THỊ TUYẾN </t>
  </si>
  <si>
    <t>TRẦN PHƯƠNG THẢO</t>
  </si>
  <si>
    <t>NGUYỄN TRƯỜNG QUÂN</t>
  </si>
  <si>
    <t>NGUYỄN HOÀNG HÂN</t>
  </si>
  <si>
    <t>LƯƠNG HỮU HOÀNG</t>
  </si>
  <si>
    <t>TRIỆU THỊ HUYỀN</t>
  </si>
  <si>
    <t>NGÔ THỊ HẢI YẾN</t>
  </si>
  <si>
    <t>NGÔ THỊ THÙY TRANG B</t>
  </si>
  <si>
    <t>LÂM THỊ NÉT</t>
  </si>
  <si>
    <t>HÀ THỊ HOÀI NHI</t>
  </si>
  <si>
    <t xml:space="preserve">NGUYỄN TRỊNH HỒNG NHUNG </t>
  </si>
  <si>
    <t>NGUYỄN THANH QUYẾT</t>
  </si>
  <si>
    <t>NGUYỄN QUANG NGỌC</t>
  </si>
  <si>
    <t>LÊ THỊ CÚC</t>
  </si>
  <si>
    <t>LÊ VIẾT HIẾU</t>
  </si>
  <si>
    <t>LÊ THỊ HẢI ANH</t>
  </si>
  <si>
    <t>NGUYỄN THỊ HẰNG C</t>
  </si>
  <si>
    <t>DƯƠNG THỊ THUÝ HÒA</t>
  </si>
  <si>
    <t>DƯƠNG THANH THỦY</t>
  </si>
  <si>
    <t>TRƯƠNG THỊ LAN</t>
  </si>
  <si>
    <t xml:space="preserve">TRẦN THỊ THẢO </t>
  </si>
  <si>
    <t>ĐỒNG THỊ OANH</t>
  </si>
  <si>
    <t>VŨ THỊ NHUNG</t>
  </si>
  <si>
    <t xml:space="preserve">LÝ THỊ KIỀU </t>
  </si>
  <si>
    <t>NGÔ ĐỨC DUY</t>
  </si>
  <si>
    <t>NGUYỄN THỊ NGUYÊNB</t>
  </si>
  <si>
    <t>NGÔ THỊ HỒNG HẠNH</t>
  </si>
  <si>
    <t>ĐỖ THỊ HOÀI THƯƠNG</t>
  </si>
  <si>
    <t>DƯƠNG ĐÌNH NAM</t>
  </si>
  <si>
    <t>ĐÀM VĂN NAM</t>
  </si>
  <si>
    <t>HOÀNG THỊ THU HUYỀN</t>
  </si>
  <si>
    <t xml:space="preserve">LÊ THỊ CHIÊN </t>
  </si>
  <si>
    <t>NGUYỄN THỊ HỒNG NHUNG B</t>
  </si>
  <si>
    <t>NGUYỄN THỊ THÙY TRANG</t>
  </si>
  <si>
    <t>LA THỊ PHƯƠNG</t>
  </si>
  <si>
    <t>HOÀNG THỊ MAI HƯƠNG</t>
  </si>
  <si>
    <t>CHU THỊ NHÀN</t>
  </si>
  <si>
    <t>VŨ NGỌC NAM</t>
  </si>
  <si>
    <t>ĐỖ MINH PHƯƠNG</t>
  </si>
  <si>
    <t>DƯƠNG HOÀI ANH</t>
  </si>
  <si>
    <t>NGUYỄN THANH PHƯƠNG B</t>
  </si>
  <si>
    <t>TRƯƠNG THỊ NHUNG</t>
  </si>
  <si>
    <t>MẠCH PHẠM QUANG ĐÔNG</t>
  </si>
  <si>
    <t>NGUYỄN LIÊN HOÀN</t>
  </si>
  <si>
    <t>NGUYỄN VĂN TẠO</t>
  </si>
  <si>
    <t>LƯU ANH KIM</t>
  </si>
  <si>
    <t>NGUYỄN THỊ NGỌC YẾN</t>
  </si>
  <si>
    <t>TRẦN QUỐC ĐẠT</t>
  </si>
  <si>
    <t>LƯU TIẾN DŨNG</t>
  </si>
  <si>
    <t>LƯƠNG THỊ KHỞI</t>
  </si>
  <si>
    <t>VŨ VĂN CƯỜNG</t>
  </si>
  <si>
    <t>DƯƠNG THÙY LINH</t>
  </si>
  <si>
    <t>CHU THỊ HƯƠNG</t>
  </si>
  <si>
    <t>LƯƠNG THỊ CHINH</t>
  </si>
  <si>
    <t>PHẠM ĐỨC LONG</t>
  </si>
  <si>
    <t>DƯƠNG THỊ MINH PHƯƠNG</t>
  </si>
  <si>
    <t xml:space="preserve">TRẦN THỊ HOA </t>
  </si>
  <si>
    <t>ĐẶNG THỊ MAI PHƯƠNG</t>
  </si>
  <si>
    <t>ĐỖ THỊ HUYỀN TRANG</t>
  </si>
  <si>
    <t>HOÀNG VĂN ĐÔNG</t>
  </si>
  <si>
    <t>VI VĂN THÀNH</t>
  </si>
  <si>
    <t>TRẦN TUẤN DƯƠNG</t>
  </si>
  <si>
    <t>PHẠM THỊ THU TRANG</t>
  </si>
  <si>
    <t>MAI VĂN ÐĂNG</t>
  </si>
  <si>
    <t>ĐÀO THU TRANG</t>
  </si>
  <si>
    <t xml:space="preserve">ĐỖ THỊ VÂN ANH </t>
  </si>
  <si>
    <t>DƯƠNG THỊ HUYỀN TRANG</t>
  </si>
  <si>
    <t>CHU THỊ BÍCH NGỌC</t>
  </si>
  <si>
    <t>TRẦN THỊ THUỲ</t>
  </si>
  <si>
    <t>NGUYỄN XUÂN QUÂN</t>
  </si>
  <si>
    <t>NGUYỄN THỊ NHẬT LỆ</t>
  </si>
  <si>
    <t>TẠ THU HÀ</t>
  </si>
  <si>
    <t xml:space="preserve">NGUYỄN TÚ CHINH </t>
  </si>
  <si>
    <t>NGUYỄN TUẤN HƯNG</t>
  </si>
  <si>
    <t>NGUYỄN HƯƠNG NI</t>
  </si>
  <si>
    <t>DƯƠNG THỊ PHƯƠNG THẢO</t>
  </si>
  <si>
    <t>TRẦN VĂN DUY</t>
  </si>
  <si>
    <t>DƯƠNG ĐỨC THỊNH</t>
  </si>
  <si>
    <t>ĐẶNG VĂN XUYẾN</t>
  </si>
  <si>
    <t>NGUYỄN MINH TUYẾN</t>
  </si>
  <si>
    <t>HOÀNG THỊ MINH QUẾ</t>
  </si>
  <si>
    <t xml:space="preserve">ĐÀO THỊ HUYỀN TRANG </t>
  </si>
  <si>
    <t>ĐÀO THỊ HƯƠNG DUNG</t>
  </si>
  <si>
    <t>TRẦN KHÁNH LY</t>
  </si>
  <si>
    <t>ĐÀO THỊ KIM ANH</t>
  </si>
  <si>
    <t>TRẦN DUY LONG</t>
  </si>
  <si>
    <t>HOÀNG THANH NGA</t>
  </si>
  <si>
    <t>NGUYỄN LÊ THÁI LONG</t>
  </si>
  <si>
    <t>HOÀNG ĐÌNH LĨNH</t>
  </si>
  <si>
    <t>LÊ ĐÔN PHI</t>
  </si>
  <si>
    <t>NGUYỄN THỊ TIẾN THÀNH</t>
  </si>
  <si>
    <t>TRẦN THỊ THÀNH LỘC</t>
  </si>
  <si>
    <t>ĐỖ THỊ DIỆU LINH</t>
  </si>
  <si>
    <t xml:space="preserve">TẠ THỊ HIỀN </t>
  </si>
  <si>
    <t>NÔNG HIỆP DIỄM</t>
  </si>
  <si>
    <t xml:space="preserve">HOÀNG THU QUỲNH </t>
  </si>
  <si>
    <t>NGUYỄN THỊ NHƯ TRANG</t>
  </si>
  <si>
    <t xml:space="preserve">PHẠM THỊ NGỌC THƠ  </t>
  </si>
  <si>
    <t>PHẠM BÁ NGUYÊN</t>
  </si>
  <si>
    <t>PHẠM THỊ THÙY LINH</t>
  </si>
  <si>
    <t>NGUYỄN THẾ HOÀN</t>
  </si>
  <si>
    <t>ĐÀO MINH QUÂN</t>
  </si>
  <si>
    <t>ĐỖ TRUNG NGUYÊN</t>
  </si>
  <si>
    <t>NGUYỄN TRUNG TÂM</t>
  </si>
  <si>
    <t>VŨ HỮU VINH</t>
  </si>
  <si>
    <t>NGUYỄN ĐÌNH PHONG</t>
  </si>
  <si>
    <t>14/02/1976</t>
  </si>
  <si>
    <t>11/04/1979</t>
  </si>
  <si>
    <t>23/12/1972</t>
  </si>
  <si>
    <t>21/10/1976</t>
  </si>
  <si>
    <t>12/07/1975</t>
  </si>
  <si>
    <t>10/12/1974</t>
  </si>
  <si>
    <t>22/05/1979</t>
  </si>
  <si>
    <t>24/10/1981</t>
  </si>
  <si>
    <t>20/10/1973</t>
  </si>
  <si>
    <t>25/02/1978</t>
  </si>
  <si>
    <t>19/01/1982</t>
  </si>
  <si>
    <t>20/07/1970</t>
  </si>
  <si>
    <t>25/07/1983</t>
  </si>
  <si>
    <t>25/08/1979</t>
  </si>
  <si>
    <t>13/05/1979</t>
  </si>
  <si>
    <t>16/12/1985</t>
  </si>
  <si>
    <t>01/05/1986</t>
  </si>
  <si>
    <t>06/01/1980</t>
  </si>
  <si>
    <t>21/08/1983</t>
  </si>
  <si>
    <t>10/09/1984</t>
  </si>
  <si>
    <t>17/06/1978</t>
  </si>
  <si>
    <t>17/12/1983</t>
  </si>
  <si>
    <t>28/02/1981</t>
  </si>
  <si>
    <t>15/11/1983</t>
  </si>
  <si>
    <t>15/02/1982</t>
  </si>
  <si>
    <t>22/01/1983</t>
  </si>
  <si>
    <t>04/11/1983</t>
  </si>
  <si>
    <t>20/07/1983</t>
  </si>
  <si>
    <t>27/01/1986</t>
  </si>
  <si>
    <t>25/10/1986</t>
  </si>
  <si>
    <t>24/01/1987</t>
  </si>
  <si>
    <t>05/07/1981</t>
  </si>
  <si>
    <t>03/09/1983</t>
  </si>
  <si>
    <t>10/06/1986</t>
  </si>
  <si>
    <t>14/10/1985</t>
  </si>
  <si>
    <t>25/04/1983</t>
  </si>
  <si>
    <t>21/02/1982</t>
  </si>
  <si>
    <t>03/10/1985</t>
  </si>
  <si>
    <t>19/05/1983</t>
  </si>
  <si>
    <t>19/06/1983</t>
  </si>
  <si>
    <t>09/05/1980</t>
  </si>
  <si>
    <t>03/09/1980</t>
  </si>
  <si>
    <t>17/01/1983</t>
  </si>
  <si>
    <t>19/06/1978</t>
  </si>
  <si>
    <t>18/06/1979</t>
  </si>
  <si>
    <t>28/03/1986</t>
  </si>
  <si>
    <t>16/03/1981</t>
  </si>
  <si>
    <t>21/07/1986</t>
  </si>
  <si>
    <t>18/02/1981</t>
  </si>
  <si>
    <t>24/05/1982</t>
  </si>
  <si>
    <t>02/03/1985</t>
  </si>
  <si>
    <t>05/04/1984</t>
  </si>
  <si>
    <t>10/09/1983</t>
  </si>
  <si>
    <t>15/05/1984</t>
  </si>
  <si>
    <t>31/12/1985</t>
  </si>
  <si>
    <t>17/09/1979</t>
  </si>
  <si>
    <t>24/06/1981</t>
  </si>
  <si>
    <t>02/02/1982</t>
  </si>
  <si>
    <t>01/03/1982</t>
  </si>
  <si>
    <t>04/05/1979</t>
  </si>
  <si>
    <t>12/03/1985</t>
  </si>
  <si>
    <t>06/04/1983</t>
  </si>
  <si>
    <t>01/10/1983</t>
  </si>
  <si>
    <t>15/10/1978</t>
  </si>
  <si>
    <t>07/02/1978</t>
  </si>
  <si>
    <t>24/05/1979</t>
  </si>
  <si>
    <t>16/08/1980</t>
  </si>
  <si>
    <t>08/08/1982</t>
  </si>
  <si>
    <t>10/02/1984</t>
  </si>
  <si>
    <t>27/06/1982</t>
  </si>
  <si>
    <t>20/11/1983</t>
  </si>
  <si>
    <t>08/09/1983</t>
  </si>
  <si>
    <t>09/09/1982</t>
  </si>
  <si>
    <t>06/04/1984</t>
  </si>
  <si>
    <t>15/10/1982</t>
  </si>
  <si>
    <t>14/12/1985</t>
  </si>
  <si>
    <t>04/03/1977</t>
  </si>
  <si>
    <t>01/03/1983</t>
  </si>
  <si>
    <t>21/12/1979</t>
  </si>
  <si>
    <t>07/01/1984</t>
  </si>
  <si>
    <t>10/10/1984</t>
  </si>
  <si>
    <t>19/08/1979</t>
  </si>
  <si>
    <t>08/12/1979</t>
  </si>
  <si>
    <t>02/08/1985</t>
  </si>
  <si>
    <t>15/09/1974</t>
  </si>
  <si>
    <t>15/09/1985</t>
  </si>
  <si>
    <t>13/09/1970</t>
  </si>
  <si>
    <t>16/06/1979</t>
  </si>
  <si>
    <t>31/12/1973</t>
  </si>
  <si>
    <t>18/09/1983</t>
  </si>
  <si>
    <t>10/06/1985</t>
  </si>
  <si>
    <t>22/06/1983</t>
  </si>
  <si>
    <t>04/05/1981</t>
  </si>
  <si>
    <t>29/09/1987</t>
  </si>
  <si>
    <t>22/06/1987</t>
  </si>
  <si>
    <t>09/04/1986</t>
  </si>
  <si>
    <t>09/03/1985</t>
  </si>
  <si>
    <t>01/07/1986</t>
  </si>
  <si>
    <t>26/02/1985</t>
  </si>
  <si>
    <t>08/07/1984</t>
  </si>
  <si>
    <t>25/11/1984</t>
  </si>
  <si>
    <t>27/10/1984</t>
  </si>
  <si>
    <t>13/09/1983</t>
  </si>
  <si>
    <t>10/10/1983</t>
  </si>
  <si>
    <t>16/10/1983</t>
  </si>
  <si>
    <t>10/10/1981</t>
  </si>
  <si>
    <t>18/01/1985</t>
  </si>
  <si>
    <t>06/06/1984</t>
  </si>
  <si>
    <t>03/08/1983</t>
  </si>
  <si>
    <t>12/09/1983</t>
  </si>
  <si>
    <t>27/08/1983</t>
  </si>
  <si>
    <t>30/01/1983</t>
  </si>
  <si>
    <t>24/12/1986</t>
  </si>
  <si>
    <t>14/06/1983</t>
  </si>
  <si>
    <t>16/08/1983</t>
  </si>
  <si>
    <t>09/01/1981</t>
  </si>
  <si>
    <t>25/06/1983</t>
  </si>
  <si>
    <t>18/06/1985</t>
  </si>
  <si>
    <t>14/03/1985</t>
  </si>
  <si>
    <t>15/04/1985</t>
  </si>
  <si>
    <t>09/09/1984</t>
  </si>
  <si>
    <t>12/07/1980</t>
  </si>
  <si>
    <t>28/02/1985</t>
  </si>
  <si>
    <t>15/10/1983</t>
  </si>
  <si>
    <t>02/10/1984</t>
  </si>
  <si>
    <t>12/12/1983</t>
  </si>
  <si>
    <t>08/07/1981</t>
  </si>
  <si>
    <t>03/08/1976</t>
  </si>
  <si>
    <t>14/03/1979</t>
  </si>
  <si>
    <t>23/11/1979</t>
  </si>
  <si>
    <t>06/10/1984</t>
  </si>
  <si>
    <t>25/08/1984</t>
  </si>
  <si>
    <t>15/08/1981</t>
  </si>
  <si>
    <t>23/08/1985</t>
  </si>
  <si>
    <t>02/10/1982</t>
  </si>
  <si>
    <t>15/10/1985</t>
  </si>
  <si>
    <t>11/03/1984</t>
  </si>
  <si>
    <t>10/12/1983</t>
  </si>
  <si>
    <t>21/07/1983</t>
  </si>
  <si>
    <t>01/08/1986</t>
  </si>
  <si>
    <t>19/02/1983</t>
  </si>
  <si>
    <t>21/03/1984</t>
  </si>
  <si>
    <t>24/12/1983</t>
  </si>
  <si>
    <t>30/04/1982</t>
  </si>
  <si>
    <t>14/06/1985</t>
  </si>
  <si>
    <t>15/02/1983</t>
  </si>
  <si>
    <t>03/04/1985</t>
  </si>
  <si>
    <t>08/06/1983</t>
  </si>
  <si>
    <t>01/01/1985</t>
  </si>
  <si>
    <t>26/08/1982</t>
  </si>
  <si>
    <t>03/03/1983</t>
  </si>
  <si>
    <t>12/10/1985</t>
  </si>
  <si>
    <t>02/01/1984</t>
  </si>
  <si>
    <t>07/02/1984</t>
  </si>
  <si>
    <t>03/02/1977</t>
  </si>
  <si>
    <t>17/07/1985</t>
  </si>
  <si>
    <t>28/11/1983</t>
  </si>
  <si>
    <t>22/12/1985</t>
  </si>
  <si>
    <t>13/05/1984</t>
  </si>
  <si>
    <t>13/08/1985</t>
  </si>
  <si>
    <t>12/09/1984</t>
  </si>
  <si>
    <t>20/06/1978</t>
  </si>
  <si>
    <t>02/02/1985</t>
  </si>
  <si>
    <t>25/08/1983</t>
  </si>
  <si>
    <t>06/11/1981</t>
  </si>
  <si>
    <t>01/04/1982</t>
  </si>
  <si>
    <t>15/08/1985</t>
  </si>
  <si>
    <t>25/06/1982</t>
  </si>
  <si>
    <t>21/03/1982</t>
  </si>
  <si>
    <t>16/05/1984</t>
  </si>
  <si>
    <t>20/09/1984</t>
  </si>
  <si>
    <t>01/09/1985</t>
  </si>
  <si>
    <t>21/02/1984</t>
  </si>
  <si>
    <t>13/04/1983</t>
  </si>
  <si>
    <t>16/12/1982</t>
  </si>
  <si>
    <t>21/08/1986</t>
  </si>
  <si>
    <t>01/08/1981</t>
  </si>
  <si>
    <t>20/09/1980</t>
  </si>
  <si>
    <t>11/12/1984</t>
  </si>
  <si>
    <t>24/01/1980</t>
  </si>
  <si>
    <t>24/09/1982</t>
  </si>
  <si>
    <t>21/05/1986</t>
  </si>
  <si>
    <t>02/05/1984</t>
  </si>
  <si>
    <t>25/08/1986</t>
  </si>
  <si>
    <t>21/07/1985</t>
  </si>
  <si>
    <t>26/06/1985</t>
  </si>
  <si>
    <t>01/05/1982</t>
  </si>
  <si>
    <t>23/09/1985</t>
  </si>
  <si>
    <t>07/10/1985</t>
  </si>
  <si>
    <t>14/08/1982</t>
  </si>
  <si>
    <t>20/12/1985</t>
  </si>
  <si>
    <t>29/08/1986</t>
  </si>
  <si>
    <t>22/11/1982</t>
  </si>
  <si>
    <t>16/06/1987</t>
  </si>
  <si>
    <t>05/07/1986</t>
  </si>
  <si>
    <t>08/02/1984</t>
  </si>
  <si>
    <t>19/11/1982</t>
  </si>
  <si>
    <t>28/09/1984</t>
  </si>
  <si>
    <t>27/10/1986</t>
  </si>
  <si>
    <t>17/05/1987</t>
  </si>
  <si>
    <t>28/12/1984</t>
  </si>
  <si>
    <t>18/07/1983</t>
  </si>
  <si>
    <t>11/07/1984</t>
  </si>
  <si>
    <t>06/05/1981</t>
  </si>
  <si>
    <t>21/05/1982</t>
  </si>
  <si>
    <t>17/10/1981</t>
  </si>
  <si>
    <t>12/05/1985</t>
  </si>
  <si>
    <t>15/08/1984</t>
  </si>
  <si>
    <t>14/12/1978</t>
  </si>
  <si>
    <t>29/05/1983</t>
  </si>
  <si>
    <t>04/11/1986</t>
  </si>
  <si>
    <t>16/04/1983</t>
  </si>
  <si>
    <t>10/07/1986</t>
  </si>
  <si>
    <t>19/01/1976</t>
  </si>
  <si>
    <t>03/02/1984</t>
  </si>
  <si>
    <t>06/05/1988</t>
  </si>
  <si>
    <t>26/06/1984</t>
  </si>
  <si>
    <t>29/01/1985</t>
  </si>
  <si>
    <t>19/05/1984</t>
  </si>
  <si>
    <t>14/12/1984</t>
  </si>
  <si>
    <t>09/10/1986</t>
  </si>
  <si>
    <t>08/04/1985</t>
  </si>
  <si>
    <t>10/08/1986</t>
  </si>
  <si>
    <t>04/09/1985</t>
  </si>
  <si>
    <t>17/12/1984</t>
  </si>
  <si>
    <t>23/03/1983</t>
  </si>
  <si>
    <t>14/02/1987</t>
  </si>
  <si>
    <t>22/04/1986</t>
  </si>
  <si>
    <t>21/11/1984</t>
  </si>
  <si>
    <t>02/02/1986</t>
  </si>
  <si>
    <t>08/07/1985</t>
  </si>
  <si>
    <t>10/10/1986</t>
  </si>
  <si>
    <t>09/03/1984</t>
  </si>
  <si>
    <t>08/07/1986</t>
  </si>
  <si>
    <t>22/08/1987</t>
  </si>
  <si>
    <t>19/04/1982</t>
  </si>
  <si>
    <t>03/06/1986</t>
  </si>
  <si>
    <t>09/02/1986</t>
  </si>
  <si>
    <t>28/08/1983</t>
  </si>
  <si>
    <t>03/05/1986</t>
  </si>
  <si>
    <t>08/06/1987</t>
  </si>
  <si>
    <t>09/05/1983</t>
  </si>
  <si>
    <t>14/01/1983</t>
  </si>
  <si>
    <t>24/10/1984</t>
  </si>
  <si>
    <t>05/07/1985</t>
  </si>
  <si>
    <t>10/04/1987</t>
  </si>
  <si>
    <t>29/05/1987</t>
  </si>
  <si>
    <t>24/01/1988</t>
  </si>
  <si>
    <t>09/08/1985</t>
  </si>
  <si>
    <t>07/04/1984</t>
  </si>
  <si>
    <t>23/02/1985</t>
  </si>
  <si>
    <t>01/10/1989</t>
  </si>
  <si>
    <t>17/01/1979</t>
  </si>
  <si>
    <t>23/10/1985</t>
  </si>
  <si>
    <t>24/09/1987</t>
  </si>
  <si>
    <t>05/10/1983</t>
  </si>
  <si>
    <t>30/03/1984</t>
  </si>
  <si>
    <t>16/03/1986</t>
  </si>
  <si>
    <t>19/12/1985</t>
  </si>
  <si>
    <t>25/10/1987</t>
  </si>
  <si>
    <t>09/05/1987</t>
  </si>
  <si>
    <t>04/08/1979</t>
  </si>
  <si>
    <t>05/11/1985</t>
  </si>
  <si>
    <t>06/05/1987</t>
  </si>
  <si>
    <t>08/08/1985</t>
  </si>
  <si>
    <t>28/06/1986</t>
  </si>
  <si>
    <t>18/01/1987</t>
  </si>
  <si>
    <t>01/03/1986</t>
  </si>
  <si>
    <t>10/12/1986</t>
  </si>
  <si>
    <t>12/08/1984</t>
  </si>
  <si>
    <t>18/04/1984</t>
  </si>
  <si>
    <t>16/07/1986</t>
  </si>
  <si>
    <t>22/01/1985</t>
  </si>
  <si>
    <t>29/06/1980</t>
  </si>
  <si>
    <t>27/07/1986</t>
  </si>
  <si>
    <t>01/08/1988</t>
  </si>
  <si>
    <t>20/04/1988</t>
  </si>
  <si>
    <t>25/11/1987</t>
  </si>
  <si>
    <t>14/01/1989</t>
  </si>
  <si>
    <t>06/01/1986</t>
  </si>
  <si>
    <t>25/05/1986</t>
  </si>
  <si>
    <t>22/11/1986</t>
  </si>
  <si>
    <t>30/05/1986</t>
  </si>
  <si>
    <t>01/09/1987</t>
  </si>
  <si>
    <t>18/06/1987</t>
  </si>
  <si>
    <t>01/11/1984</t>
  </si>
  <si>
    <t>03/10/1986</t>
  </si>
  <si>
    <t>14/01/1986</t>
  </si>
  <si>
    <t>17/07/1986</t>
  </si>
  <si>
    <t>25/04/1987</t>
  </si>
  <si>
    <t>19/02/1989</t>
  </si>
  <si>
    <t>16/02/1985</t>
  </si>
  <si>
    <t>29/10/1986</t>
  </si>
  <si>
    <t>19/08/1988</t>
  </si>
  <si>
    <t>03/08/1982</t>
  </si>
  <si>
    <t>12/06/1983</t>
  </si>
  <si>
    <t>16/09/1987</t>
  </si>
  <si>
    <t>27/12/1985</t>
  </si>
  <si>
    <t>02/09/1985</t>
  </si>
  <si>
    <t>20/06/1984</t>
  </si>
  <si>
    <t>25/11/1985</t>
  </si>
  <si>
    <t>17/01/1987</t>
  </si>
  <si>
    <t>27/04/1987</t>
  </si>
  <si>
    <t>22/07/1987</t>
  </si>
  <si>
    <t>23/07/1985</t>
  </si>
  <si>
    <t>05/08/1984</t>
  </si>
  <si>
    <t>20/12/1983</t>
  </si>
  <si>
    <t>28/10/1988</t>
  </si>
  <si>
    <t>15/09/1987</t>
  </si>
  <si>
    <t>16/02/1984</t>
  </si>
  <si>
    <t>27/07/1987</t>
  </si>
  <si>
    <t>30/08/1987</t>
  </si>
  <si>
    <t>03/02/1987</t>
  </si>
  <si>
    <t>19/09/1987</t>
  </si>
  <si>
    <t>11/10/1985</t>
  </si>
  <si>
    <t>08/10/1988</t>
  </si>
  <si>
    <t>08/09/1989</t>
  </si>
  <si>
    <t>14/09/1986</t>
  </si>
  <si>
    <t>28/01/1987</t>
  </si>
  <si>
    <t>04/05/1988</t>
  </si>
  <si>
    <t>10/09/1986</t>
  </si>
  <si>
    <t>18/10/1987</t>
  </si>
  <si>
    <t>03/06/1988</t>
  </si>
  <si>
    <t>03/04/1986</t>
  </si>
  <si>
    <t>14/09/1988</t>
  </si>
  <si>
    <t>03/09/1987</t>
  </si>
  <si>
    <t>02/10/1986</t>
  </si>
  <si>
    <t>28/12/1985</t>
  </si>
  <si>
    <t>27/11/1988</t>
  </si>
  <si>
    <t>20/06/1985</t>
  </si>
  <si>
    <t>23/05/1981</t>
  </si>
  <si>
    <t>01/12/1986</t>
  </si>
  <si>
    <t>25/07/1987</t>
  </si>
  <si>
    <t>14/11/1988</t>
  </si>
  <si>
    <t>11/07/1985</t>
  </si>
  <si>
    <t>12/08/1978</t>
  </si>
  <si>
    <t>01/04/1988</t>
  </si>
  <si>
    <t>12/03/1988</t>
  </si>
  <si>
    <t>11/09/1988</t>
  </si>
  <si>
    <t>04/12/1986</t>
  </si>
  <si>
    <t>17/02/1986</t>
  </si>
  <si>
    <t>25/01/1988</t>
  </si>
  <si>
    <t>23/05/1982</t>
  </si>
  <si>
    <t>06/01/1988</t>
  </si>
  <si>
    <t>19/07/1987</t>
  </si>
  <si>
    <t>19/03/1987</t>
  </si>
  <si>
    <t>15/03/1988</t>
  </si>
  <si>
    <t>19/11/1988</t>
  </si>
  <si>
    <t>18/09/1988</t>
  </si>
  <si>
    <t>13/12/1987</t>
  </si>
  <si>
    <t>28/10/1981</t>
  </si>
  <si>
    <t>08/05/1984</t>
  </si>
  <si>
    <t>10/04/1983</t>
  </si>
  <si>
    <t>04/03/1981</t>
  </si>
  <si>
    <t>31/01/1985</t>
  </si>
  <si>
    <t>02/12/1986</t>
  </si>
  <si>
    <t>05/06/1988</t>
  </si>
  <si>
    <t>23/08/1983</t>
  </si>
  <si>
    <t>14/10/1986</t>
  </si>
  <si>
    <t>23/03/1984</t>
  </si>
  <si>
    <t>25/10/1983</t>
  </si>
  <si>
    <t>11/07/1988</t>
  </si>
  <si>
    <t>01/02/1975</t>
  </si>
  <si>
    <t>13/08/1986</t>
  </si>
  <si>
    <t>20/03/1976</t>
  </si>
  <si>
    <t>02/10/1980</t>
  </si>
  <si>
    <t>18/08/1983</t>
  </si>
  <si>
    <t>23/04/1984</t>
  </si>
  <si>
    <t>27/05/1985</t>
  </si>
  <si>
    <t>03/01/1979</t>
  </si>
  <si>
    <t>27/10/1985</t>
  </si>
  <si>
    <t>11/05/1985</t>
  </si>
  <si>
    <t>16/07/1980</t>
  </si>
  <si>
    <t>15/07/1985</t>
  </si>
  <si>
    <t>26/04/1979</t>
  </si>
  <si>
    <t>21/02/1986</t>
  </si>
  <si>
    <t>10/02/1988</t>
  </si>
  <si>
    <t>03/12/1985</t>
  </si>
  <si>
    <t>16/08/1984</t>
  </si>
  <si>
    <t>30/10/1988</t>
  </si>
  <si>
    <t>05/02/1984</t>
  </si>
  <si>
    <t>17/04/1988</t>
  </si>
  <si>
    <t>20/05/1982</t>
  </si>
  <si>
    <t>09/08/1986</t>
  </si>
  <si>
    <t>02/07/1980</t>
  </si>
  <si>
    <t>13/10/1983</t>
  </si>
  <si>
    <t>04/03/1980</t>
  </si>
  <si>
    <t>20/08/1981</t>
  </si>
  <si>
    <t>11/12/1981</t>
  </si>
  <si>
    <t>04/09/1980</t>
  </si>
  <si>
    <t>08/06/1982</t>
  </si>
  <si>
    <t>28/02/1979</t>
  </si>
  <si>
    <t>22/12/1981</t>
  </si>
  <si>
    <t>14/04/1982</t>
  </si>
  <si>
    <t>29/11/1979</t>
  </si>
  <si>
    <t>15/11/1981</t>
  </si>
  <si>
    <t>12/01/1981</t>
  </si>
  <si>
    <t>04/01/1979</t>
  </si>
  <si>
    <t>01/01/1981</t>
  </si>
  <si>
    <t>24/03/1981</t>
  </si>
  <si>
    <t>30/11/1982</t>
  </si>
  <si>
    <t>08/11/1982</t>
  </si>
  <si>
    <t>30/09/1979</t>
  </si>
  <si>
    <t>04/09/1983</t>
  </si>
  <si>
    <t>30/08/1981</t>
  </si>
  <si>
    <t>10/11/1984</t>
  </si>
  <si>
    <t>21/09/1981</t>
  </si>
  <si>
    <t>21/02/1985</t>
  </si>
  <si>
    <t>14/04/1980</t>
  </si>
  <si>
    <t>20/10/1984</t>
  </si>
  <si>
    <t>18/03/1985</t>
  </si>
  <si>
    <t>29/06/1983</t>
  </si>
  <si>
    <t>13/11/1983</t>
  </si>
  <si>
    <t>16/07/1983</t>
  </si>
  <si>
    <t>20/04/1983</t>
  </si>
  <si>
    <t>03/02/1985</t>
  </si>
  <si>
    <t>30/06/1984</t>
  </si>
  <si>
    <t>25/06/1985</t>
  </si>
  <si>
    <t>09/10/1985</t>
  </si>
  <si>
    <t>07/11/1984</t>
  </si>
  <si>
    <t>21/09/1985</t>
  </si>
  <si>
    <t>04/09/1984</t>
  </si>
  <si>
    <t>09/12/1987</t>
  </si>
  <si>
    <t>27/04/1985</t>
  </si>
  <si>
    <t>30/07/1985</t>
  </si>
  <si>
    <t>10/11/1987</t>
  </si>
  <si>
    <t>23/10/1987</t>
  </si>
  <si>
    <t>15/04/1986</t>
  </si>
  <si>
    <t>01/08/1983</t>
  </si>
  <si>
    <t>28/02/1984</t>
  </si>
  <si>
    <t>02/05/1988</t>
  </si>
  <si>
    <t>24/03/1987</t>
  </si>
  <si>
    <t>17/10/1986</t>
  </si>
  <si>
    <t>02/12/1989</t>
  </si>
  <si>
    <t>27/08/1985</t>
  </si>
  <si>
    <t>02/01/1987</t>
  </si>
  <si>
    <t>25/12/1969</t>
  </si>
  <si>
    <t>11/11/1984</t>
  </si>
  <si>
    <t>05/09/1990</t>
  </si>
  <si>
    <t>08/04/1990</t>
  </si>
  <si>
    <t>21/06/1987</t>
  </si>
  <si>
    <t>17/06/1980</t>
  </si>
  <si>
    <t>03/10/1980</t>
  </si>
  <si>
    <t>19/07/1988</t>
  </si>
  <si>
    <t>14/08/1988</t>
  </si>
  <si>
    <t>19/07/1985</t>
  </si>
  <si>
    <t>17/12/1987</t>
  </si>
  <si>
    <t>19/05/1987</t>
  </si>
  <si>
    <t>01/02/1987</t>
  </si>
  <si>
    <t>13/06/1988</t>
  </si>
  <si>
    <t>30/06/1986</t>
  </si>
  <si>
    <t>28/07/1988</t>
  </si>
  <si>
    <t>14/02/1989</t>
  </si>
  <si>
    <t>30/05/1990</t>
  </si>
  <si>
    <t>15/08/1982</t>
  </si>
  <si>
    <t>07/12/1988</t>
  </si>
  <si>
    <t>20/08/1987</t>
  </si>
  <si>
    <t>01/09/1984</t>
  </si>
  <si>
    <t>09/04/1984</t>
  </si>
  <si>
    <t>01/11/1986</t>
  </si>
  <si>
    <t>20/01/1987</t>
  </si>
  <si>
    <t>30/07/1983</t>
  </si>
  <si>
    <t>05/03/1987</t>
  </si>
  <si>
    <t>22/07/1984</t>
  </si>
  <si>
    <t>24/07/1984</t>
  </si>
  <si>
    <t>29/07/1987</t>
  </si>
  <si>
    <t>29/09/1985</t>
  </si>
  <si>
    <t>11/11/1982</t>
  </si>
  <si>
    <t>27/03/1987</t>
  </si>
  <si>
    <t>28/12/1983</t>
  </si>
  <si>
    <t>16/07/1982</t>
  </si>
  <si>
    <t>27/09/1988</t>
  </si>
  <si>
    <t>26/08/1985</t>
  </si>
  <si>
    <t>03/07/1990</t>
  </si>
  <si>
    <t>04/07/1987</t>
  </si>
  <si>
    <t>04/09/1987</t>
  </si>
  <si>
    <t>14/10/1987</t>
  </si>
  <si>
    <t>28/08/1988</t>
  </si>
  <si>
    <t>30/12/1990</t>
  </si>
  <si>
    <t>06/08/1989</t>
  </si>
  <si>
    <t>15/01/1986</t>
  </si>
  <si>
    <t>05/10/1990</t>
  </si>
  <si>
    <t>03/02/1988</t>
  </si>
  <si>
    <t>06/12/1982</t>
  </si>
  <si>
    <t>31/05/1983</t>
  </si>
  <si>
    <t>08/03/1986</t>
  </si>
  <si>
    <t>06/11/1989</t>
  </si>
  <si>
    <t>29/06/1984</t>
  </si>
  <si>
    <t>25/12/1984</t>
  </si>
  <si>
    <t>28/08/1982</t>
  </si>
  <si>
    <t>27/01/1984</t>
  </si>
  <si>
    <t>15/11/1965</t>
  </si>
  <si>
    <t>21/02/1987</t>
  </si>
  <si>
    <t>07/01/1986</t>
  </si>
  <si>
    <t>06/09/1990</t>
  </si>
  <si>
    <t>16/02/1988</t>
  </si>
  <si>
    <t>01/05/1987</t>
  </si>
  <si>
    <t>06/09/1986</t>
  </si>
  <si>
    <t>30/06/1985</t>
  </si>
  <si>
    <t>12/07/1987</t>
  </si>
  <si>
    <t>18/10/1989</t>
  </si>
  <si>
    <t>26/02/1983</t>
  </si>
  <si>
    <t>02/11/1987</t>
  </si>
  <si>
    <t>30/10/1990</t>
  </si>
  <si>
    <t>25/12/1986</t>
  </si>
  <si>
    <t>19/06/1988</t>
  </si>
  <si>
    <t>01/04/1987</t>
  </si>
  <si>
    <t>27/10/1988</t>
  </si>
  <si>
    <t>04/03/1988</t>
  </si>
  <si>
    <t>15/08/1989</t>
  </si>
  <si>
    <t>28/02/1986</t>
  </si>
  <si>
    <t>28/01/1988</t>
  </si>
  <si>
    <t>22/03/1988</t>
  </si>
  <si>
    <t>22/09/1985</t>
  </si>
  <si>
    <t>21/12/1986</t>
  </si>
  <si>
    <t>13/02/1986</t>
  </si>
  <si>
    <t>15/06/1986</t>
  </si>
  <si>
    <t>11/11/1988</t>
  </si>
  <si>
    <t>17/03/1988</t>
  </si>
  <si>
    <t>28/04/1988</t>
  </si>
  <si>
    <t>06/12/1987</t>
  </si>
  <si>
    <t>18/08/1988</t>
  </si>
  <si>
    <t>10/05/1989</t>
  </si>
  <si>
    <t>28/03/1990</t>
  </si>
  <si>
    <t>29/10/1985</t>
  </si>
  <si>
    <t>01/07/1985</t>
  </si>
  <si>
    <t>25/11/1988</t>
  </si>
  <si>
    <t>14/06/1986</t>
  </si>
  <si>
    <t>19/02/1984</t>
  </si>
  <si>
    <t>09/06/1987</t>
  </si>
  <si>
    <t>16/05/1987</t>
  </si>
  <si>
    <t>25/09/1986</t>
  </si>
  <si>
    <t>21/11/1987</t>
  </si>
  <si>
    <t>27/09/1986</t>
  </si>
  <si>
    <t>10/07/1984</t>
  </si>
  <si>
    <t>05/04/1989</t>
  </si>
  <si>
    <t>06/01/1987</t>
  </si>
  <si>
    <t>03/07/1988</t>
  </si>
  <si>
    <t>25/10/1989</t>
  </si>
  <si>
    <t>20/02/1988</t>
  </si>
  <si>
    <t>29/08/1984</t>
  </si>
  <si>
    <t>08/12/1983</t>
  </si>
  <si>
    <t>02/03/1984</t>
  </si>
  <si>
    <t>17/04/1990</t>
  </si>
  <si>
    <t>23/08/1987</t>
  </si>
  <si>
    <t>25/12/1985</t>
  </si>
  <si>
    <t>16/12/1989</t>
  </si>
  <si>
    <t>12/10/1988</t>
  </si>
  <si>
    <t>12/06/1989</t>
  </si>
  <si>
    <t>01/11/1981</t>
  </si>
  <si>
    <t>06/11/1983</t>
  </si>
  <si>
    <t>06/12/1990</t>
  </si>
  <si>
    <t>19/01/1990</t>
  </si>
  <si>
    <t>21/05/1989</t>
  </si>
  <si>
    <t>24/12/1987</t>
  </si>
  <si>
    <t>13/11/1987</t>
  </si>
  <si>
    <t>23/05/1988</t>
  </si>
  <si>
    <t>27/05/1982</t>
  </si>
  <si>
    <t>01/05/1983</t>
  </si>
  <si>
    <t>17/11/1983</t>
  </si>
  <si>
    <t>27/04/1990</t>
  </si>
  <si>
    <t>25/12/1988</t>
  </si>
  <si>
    <t>01/03/1985</t>
  </si>
  <si>
    <t>22/02/1988</t>
  </si>
  <si>
    <t>06/12/1980</t>
  </si>
  <si>
    <t>27/01/1990</t>
  </si>
  <si>
    <t>27/07/1990</t>
  </si>
  <si>
    <t>14/08/1984</t>
  </si>
  <si>
    <t>02/07/1986</t>
  </si>
  <si>
    <t>02/01/1986</t>
  </si>
  <si>
    <t>10/03/1986</t>
  </si>
  <si>
    <t>15/01/1983</t>
  </si>
  <si>
    <t>04/12/1989</t>
  </si>
  <si>
    <t>14/04/1983</t>
  </si>
  <si>
    <t>22/08/1988</t>
  </si>
  <si>
    <t>09/03/1989</t>
  </si>
  <si>
    <t>16/07/1987</t>
  </si>
  <si>
    <t>13/05/1990</t>
  </si>
  <si>
    <t>23/03/1987</t>
  </si>
  <si>
    <t>12/10/1986</t>
  </si>
  <si>
    <t>19/09/1986</t>
  </si>
  <si>
    <t>02/01/1988</t>
  </si>
  <si>
    <t>04/06/1985</t>
  </si>
  <si>
    <t>29/11/1981</t>
  </si>
  <si>
    <t>24/06/1987</t>
  </si>
  <si>
    <t>14/07/1981</t>
  </si>
  <si>
    <t>29/01/1986</t>
  </si>
  <si>
    <t>07/06/1989</t>
  </si>
  <si>
    <t>15/07/1988</t>
  </si>
  <si>
    <t>10/03/1985</t>
  </si>
  <si>
    <t>04/10/1987</t>
  </si>
  <si>
    <t>17/03/1986</t>
  </si>
  <si>
    <t>22/05/1986</t>
  </si>
  <si>
    <t>25/05/1985</t>
  </si>
  <si>
    <t>06/09/1988</t>
  </si>
  <si>
    <t>27/05/1991</t>
  </si>
  <si>
    <t>08/06/1988</t>
  </si>
  <si>
    <t>16/10/1988</t>
  </si>
  <si>
    <t>28/06/1987</t>
  </si>
  <si>
    <t>18/01/1988</t>
  </si>
  <si>
    <t>29/03/1987</t>
  </si>
  <si>
    <t>26/08/1980</t>
  </si>
  <si>
    <t>14/10/1988</t>
  </si>
  <si>
    <t>28/07/1987</t>
  </si>
  <si>
    <t>13/03/1986</t>
  </si>
  <si>
    <t>11/06/1989</t>
  </si>
  <si>
    <t>07/11/1986</t>
  </si>
  <si>
    <t>17/08/1987</t>
  </si>
  <si>
    <t>15/04/1988</t>
  </si>
  <si>
    <t>21/09/1990</t>
  </si>
  <si>
    <t>26/10/1986</t>
  </si>
  <si>
    <t>18/03/1987</t>
  </si>
  <si>
    <t>02/06/1990</t>
  </si>
  <si>
    <t>23/11/1983</t>
  </si>
  <si>
    <t>20/07/1980</t>
  </si>
  <si>
    <t>08/05/1978</t>
  </si>
  <si>
    <t>12/03/1980</t>
  </si>
  <si>
    <t>02/07/1985</t>
  </si>
  <si>
    <t>05/05/1978</t>
  </si>
  <si>
    <t>18/05/1969</t>
  </si>
  <si>
    <t>16/04/1982</t>
  </si>
  <si>
    <t>08/05/1977</t>
  </si>
  <si>
    <t>17/06/1985</t>
  </si>
  <si>
    <t>28/10/1983</t>
  </si>
  <si>
    <t>18/01/1980</t>
  </si>
  <si>
    <t>30/08/1985</t>
  </si>
  <si>
    <t>20/09/1975</t>
  </si>
  <si>
    <t>10/09/1978</t>
  </si>
  <si>
    <t>01/01/1976</t>
  </si>
  <si>
    <t>25/05/1965</t>
  </si>
  <si>
    <t>14/10/1976</t>
  </si>
  <si>
    <t>20/01/1981</t>
  </si>
  <si>
    <t>28/07/1986</t>
  </si>
  <si>
    <t>26/07/1979</t>
  </si>
  <si>
    <t>28/11/1980</t>
  </si>
  <si>
    <t>07/07/1983</t>
  </si>
  <si>
    <t>02/03/1975</t>
  </si>
  <si>
    <t>01/12/1982</t>
  </si>
  <si>
    <t>29/11/1982</t>
  </si>
  <si>
    <t>04/11/1985</t>
  </si>
  <si>
    <t>16/07/1984</t>
  </si>
  <si>
    <t>15/06/1985</t>
  </si>
  <si>
    <t>02/01/1985</t>
  </si>
  <si>
    <t>27/09/1985</t>
  </si>
  <si>
    <t>24/10/1985</t>
  </si>
  <si>
    <t>04/02/1982</t>
  </si>
  <si>
    <t>25/09/1987</t>
  </si>
  <si>
    <t>30/12/1987</t>
  </si>
  <si>
    <t>01/12/1988</t>
  </si>
  <si>
    <t>08/02/1985</t>
  </si>
  <si>
    <t>16/04/1986</t>
  </si>
  <si>
    <t>21/12/1985</t>
  </si>
  <si>
    <t>21/10/1988</t>
  </si>
  <si>
    <t>17/09/1988</t>
  </si>
  <si>
    <t>03/10/1989</t>
  </si>
  <si>
    <t>18/10/1985</t>
  </si>
  <si>
    <t>25/09/1981</t>
  </si>
  <si>
    <t>02/06/1985</t>
  </si>
  <si>
    <t>27/07/1975</t>
  </si>
  <si>
    <t>13/12/1968</t>
  </si>
  <si>
    <t>17/08/1972</t>
  </si>
  <si>
    <t>15/09/1975</t>
  </si>
  <si>
    <t>15/12/1973</t>
  </si>
  <si>
    <t>13/01/1979</t>
  </si>
  <si>
    <t>03/09/1976</t>
  </si>
  <si>
    <t>02/05/1975</t>
  </si>
  <si>
    <t>10/11/1977</t>
  </si>
  <si>
    <t>03/07/1978</t>
  </si>
  <si>
    <t>11/05/1980</t>
  </si>
  <si>
    <t>31/01/1977</t>
  </si>
  <si>
    <t>09/11/1979</t>
  </si>
  <si>
    <t>28/01/1980</t>
  </si>
  <si>
    <t>14/12/1982</t>
  </si>
  <si>
    <t>21/07/1980</t>
  </si>
  <si>
    <t>22/08/1983</t>
  </si>
  <si>
    <t>03/09/1982</t>
  </si>
  <si>
    <t>10/08/1983</t>
  </si>
  <si>
    <t>07/06/1979</t>
  </si>
  <si>
    <t>20/11/1980</t>
  </si>
  <si>
    <t>05/04/1983</t>
  </si>
  <si>
    <t>05/02/1979</t>
  </si>
  <si>
    <t>25/03/1983</t>
  </si>
  <si>
    <t>04/08/1982</t>
  </si>
  <si>
    <t>12/11/1983</t>
  </si>
  <si>
    <t>17/11/1986</t>
  </si>
  <si>
    <t>10/01/1986</t>
  </si>
  <si>
    <t>26/01/1987</t>
  </si>
  <si>
    <t>08/08/1986</t>
  </si>
  <si>
    <t>28/03/1985</t>
  </si>
  <si>
    <t>23/03/1973</t>
  </si>
  <si>
    <t>26/05/1977</t>
  </si>
  <si>
    <t>03/04/1976</t>
  </si>
  <si>
    <t>14/01/1982</t>
  </si>
  <si>
    <t>04/02/1988</t>
  </si>
  <si>
    <t>18/12/1988</t>
  </si>
  <si>
    <t>03/07/1976</t>
  </si>
  <si>
    <t>28/01/1978</t>
  </si>
  <si>
    <t>12/12/1979</t>
  </si>
  <si>
    <t>12/05/1980</t>
  </si>
  <si>
    <t>04/10/1981</t>
  </si>
  <si>
    <t>10/11/1979</t>
  </si>
  <si>
    <t>31/08/1982</t>
  </si>
  <si>
    <t>09/12/1985</t>
  </si>
  <si>
    <t>15/05/1982</t>
  </si>
  <si>
    <t>27/09/1984</t>
  </si>
  <si>
    <t>16/03/1985</t>
  </si>
  <si>
    <t>05/07/1974</t>
  </si>
  <si>
    <t>25/03/1978</t>
  </si>
  <si>
    <t>20/05/1977</t>
  </si>
  <si>
    <t>20/03/1977</t>
  </si>
  <si>
    <t>02/03/1974</t>
  </si>
  <si>
    <t>03/03/1975</t>
  </si>
  <si>
    <t>30/07/1978</t>
  </si>
  <si>
    <t>05/11/1979</t>
  </si>
  <si>
    <t>28/07/1971</t>
  </si>
  <si>
    <t>18/09/1972</t>
  </si>
  <si>
    <t>03/06/1977</t>
  </si>
  <si>
    <t>25/09/1978</t>
  </si>
  <si>
    <t>26/06/1976</t>
  </si>
  <si>
    <t>21/08/1977</t>
  </si>
  <si>
    <t>09/08/1976</t>
  </si>
  <si>
    <t>03/05/1982</t>
  </si>
  <si>
    <t>21/05/1976</t>
  </si>
  <si>
    <t>26/07/1984</t>
  </si>
  <si>
    <t>03/08/1984</t>
  </si>
  <si>
    <t>24/11/1981</t>
  </si>
  <si>
    <t>28/01/1982</t>
  </si>
  <si>
    <t>14/10/1981</t>
  </si>
  <si>
    <t>25/12/1981</t>
  </si>
  <si>
    <t>07/02/1979</t>
  </si>
  <si>
    <t>23/01/1980</t>
  </si>
  <si>
    <t>04/04/1983</t>
  </si>
  <si>
    <t>24/01/1982</t>
  </si>
  <si>
    <t>23/08/1980</t>
  </si>
  <si>
    <t>30/12/1982</t>
  </si>
  <si>
    <t>15/03/1986</t>
  </si>
  <si>
    <t>26/06/1975</t>
  </si>
  <si>
    <t>17/10/1987</t>
  </si>
  <si>
    <t>29/09/1986</t>
  </si>
  <si>
    <t>06/03/1988</t>
  </si>
  <si>
    <t>10/08/1978</t>
  </si>
  <si>
    <t>03/04/1973</t>
  </si>
  <si>
    <t>05/07/1976</t>
  </si>
  <si>
    <t>24/03/1973</t>
  </si>
  <si>
    <t>12/05/1977</t>
  </si>
  <si>
    <t>09/01/1979</t>
  </si>
  <si>
    <t>10/12/1981</t>
  </si>
  <si>
    <t>19/03/1982</t>
  </si>
  <si>
    <t>23/02/1980</t>
  </si>
  <si>
    <t>20/04/1984</t>
  </si>
  <si>
    <t>03/01/1982</t>
  </si>
  <si>
    <t>21/10/1987</t>
  </si>
  <si>
    <t>06/06/1985</t>
  </si>
  <si>
    <t>09/02/1985</t>
  </si>
  <si>
    <t>05/03/1982</t>
  </si>
  <si>
    <t>17/03/1985</t>
  </si>
  <si>
    <t>20/10/1985</t>
  </si>
  <si>
    <t>25/10/1984</t>
  </si>
  <si>
    <t>09/05/1986</t>
  </si>
  <si>
    <t>26/03/1985</t>
  </si>
  <si>
    <t>20/12/1989</t>
  </si>
  <si>
    <t>24/06/1977</t>
  </si>
  <si>
    <t>07/02/1988</t>
  </si>
  <si>
    <t>22/10/1982</t>
  </si>
  <si>
    <t>28/03/1983</t>
  </si>
  <si>
    <t>25/09/1980</t>
  </si>
  <si>
    <t>08/11/1989</t>
  </si>
  <si>
    <t>09/06/1986</t>
  </si>
  <si>
    <t>02/02/1978</t>
  </si>
  <si>
    <t>04/10/1975</t>
  </si>
  <si>
    <t>15/05/1979</t>
  </si>
  <si>
    <t>16/09/1978</t>
  </si>
  <si>
    <t>23/01/1972</t>
  </si>
  <si>
    <t>13/08/1980</t>
  </si>
  <si>
    <t>20/09/1981</t>
  </si>
  <si>
    <t>10/09/1980</t>
  </si>
  <si>
    <t>21/10/1978</t>
  </si>
  <si>
    <t>07/10/1980</t>
  </si>
  <si>
    <t>24/03/1976</t>
  </si>
  <si>
    <t>21/10/1982</t>
  </si>
  <si>
    <t>21/11/1982</t>
  </si>
  <si>
    <t>28/04/1980</t>
  </si>
  <si>
    <t>11/06/1982</t>
  </si>
  <si>
    <t>12/02/1979</t>
  </si>
  <si>
    <t>12/10/1982</t>
  </si>
  <si>
    <t>31/07/1981</t>
  </si>
  <si>
    <t>18/02/1978</t>
  </si>
  <si>
    <t>06/08/1982</t>
  </si>
  <si>
    <t>15/10/1981</t>
  </si>
  <si>
    <t>11/02/1985</t>
  </si>
  <si>
    <t>25/04/1986</t>
  </si>
  <si>
    <t>21/04/1988</t>
  </si>
  <si>
    <t>24/06/1982</t>
  </si>
  <si>
    <t>26/09/1986</t>
  </si>
  <si>
    <t>12/01/1984</t>
  </si>
  <si>
    <t>20/04/1986</t>
  </si>
  <si>
    <t>29/04/1986</t>
  </si>
  <si>
    <t>31/03/1987</t>
  </si>
  <si>
    <t>11/09/1985</t>
  </si>
  <si>
    <t>14/11/1976</t>
  </si>
  <si>
    <t>20/02/1979</t>
  </si>
  <si>
    <t>08/09/1972</t>
  </si>
  <si>
    <t>14/05/1977</t>
  </si>
  <si>
    <t>08/10/1987</t>
  </si>
  <si>
    <t>20/03/1985</t>
  </si>
  <si>
    <t>30/10/1989</t>
  </si>
  <si>
    <t>17/02/1989</t>
  </si>
  <si>
    <t>13/06/1991</t>
  </si>
  <si>
    <t>18/08/1989</t>
  </si>
  <si>
    <t>18/09/1989</t>
  </si>
  <si>
    <t>04/09/1989</t>
  </si>
  <si>
    <t>11/09/1989</t>
  </si>
  <si>
    <t>09/11/1989</t>
  </si>
  <si>
    <t>06/10/1991</t>
  </si>
  <si>
    <t>01/11/1983</t>
  </si>
  <si>
    <t>30/09/1987</t>
  </si>
  <si>
    <t>08/07/1988</t>
  </si>
  <si>
    <t>19/04/1987</t>
  </si>
  <si>
    <t>09/11/1990</t>
  </si>
  <si>
    <t>07/09/1983</t>
  </si>
  <si>
    <t>24/01/1989</t>
  </si>
  <si>
    <t>15/10/1984</t>
  </si>
  <si>
    <t>13/10/1990</t>
  </si>
  <si>
    <t>19/10/1984</t>
  </si>
  <si>
    <t>21/11/1988</t>
  </si>
  <si>
    <t>28/09/1989</t>
  </si>
  <si>
    <t>28/11/1988</t>
  </si>
  <si>
    <t>21/10/1983</t>
  </si>
  <si>
    <t>19/05/1989</t>
  </si>
  <si>
    <t>27/02/1986</t>
  </si>
  <si>
    <t>12/06/1985</t>
  </si>
  <si>
    <t>07/09/1989</t>
  </si>
  <si>
    <t>11/06/1988</t>
  </si>
  <si>
    <t>25/01/1983</t>
  </si>
  <si>
    <t>22/08/1986</t>
  </si>
  <si>
    <t>23/02/1983</t>
  </si>
  <si>
    <t>16/04/1988</t>
  </si>
  <si>
    <t>19/08/1989</t>
  </si>
  <si>
    <t>12/04/1989</t>
  </si>
  <si>
    <t>13/04/1986</t>
  </si>
  <si>
    <t>09/07/1991</t>
  </si>
  <si>
    <t>28/02/1990</t>
  </si>
  <si>
    <t>02/09/1986</t>
  </si>
  <si>
    <t>19/06/1989</t>
  </si>
  <si>
    <t>05/11/1989</t>
  </si>
  <si>
    <t>07/05/1989</t>
  </si>
  <si>
    <t>20/05/1984</t>
  </si>
  <si>
    <t>15/05/1989</t>
  </si>
  <si>
    <t>03/05/1990</t>
  </si>
  <si>
    <t>01/02/1984</t>
  </si>
  <si>
    <t>18/06/1988</t>
  </si>
  <si>
    <t>05/02/1988</t>
  </si>
  <si>
    <t>02/12/1991</t>
  </si>
  <si>
    <t>08/08/1988</t>
  </si>
  <si>
    <t>24/05/1988</t>
  </si>
  <si>
    <t>27/02/1985</t>
  </si>
  <si>
    <t>18/07/1981</t>
  </si>
  <si>
    <t>31/08/1975</t>
  </si>
  <si>
    <t>05/07/1984</t>
  </si>
  <si>
    <t>15/10/1989</t>
  </si>
  <si>
    <t>26/04/1989</t>
  </si>
  <si>
    <t>09/10/1989</t>
  </si>
  <si>
    <t>22/09/1986</t>
  </si>
  <si>
    <t>09/02/1988</t>
  </si>
  <si>
    <t>08/11/1988</t>
  </si>
  <si>
    <t>12/10/1989</t>
  </si>
  <si>
    <t>17/09/1989</t>
  </si>
  <si>
    <t>02/07/1988</t>
  </si>
  <si>
    <t>14/11/1989</t>
  </si>
  <si>
    <t>29/11/1990</t>
  </si>
  <si>
    <t>06/07/1989</t>
  </si>
  <si>
    <t>23/04/1988</t>
  </si>
  <si>
    <t>11/10/1990</t>
  </si>
  <si>
    <t>17/09/1984</t>
  </si>
  <si>
    <t>11/02/1984</t>
  </si>
  <si>
    <t>18/06/1986</t>
  </si>
  <si>
    <t>08/12/1987</t>
  </si>
  <si>
    <t>06/10/1990</t>
  </si>
  <si>
    <t>18/09/1984</t>
  </si>
  <si>
    <t>16/07/1989</t>
  </si>
  <si>
    <t>26/02/1986</t>
  </si>
  <si>
    <t>05/07/1989</t>
  </si>
  <si>
    <t>10/08/1988</t>
  </si>
  <si>
    <t>05/02/1990</t>
  </si>
  <si>
    <t>06/10/1987</t>
  </si>
  <si>
    <t>05/06/1973</t>
  </si>
  <si>
    <t>08/02/1991</t>
  </si>
  <si>
    <t>26/05/1984</t>
  </si>
  <si>
    <t>06/04/1986</t>
  </si>
  <si>
    <t>20/08/1990</t>
  </si>
  <si>
    <t>02/03/1987</t>
  </si>
  <si>
    <t>10/07/1987</t>
  </si>
  <si>
    <t>06/12/1989</t>
  </si>
  <si>
    <t>03/02/1989</t>
  </si>
  <si>
    <t>23/03/1988</t>
  </si>
  <si>
    <t>19/06/1985</t>
  </si>
  <si>
    <t>11/08/1989</t>
  </si>
  <si>
    <t>30/09/1989</t>
  </si>
  <si>
    <t>22/06/1989</t>
  </si>
  <si>
    <t>28/07/1989</t>
  </si>
  <si>
    <t>04/11/1989</t>
  </si>
  <si>
    <t>26/05/1987</t>
  </si>
  <si>
    <t>15/11/1976</t>
  </si>
  <si>
    <t>06/02/1982</t>
  </si>
  <si>
    <t>19/09/1989</t>
  </si>
  <si>
    <t>14/06/1989</t>
  </si>
  <si>
    <t>28/02/1991</t>
  </si>
  <si>
    <t>13/07/1988</t>
  </si>
  <si>
    <t>27/06/1984</t>
  </si>
  <si>
    <t>12/02/1985</t>
  </si>
  <si>
    <t>15/01/1988</t>
  </si>
  <si>
    <t>26/07/1991</t>
  </si>
  <si>
    <t>27/09/1989</t>
  </si>
  <si>
    <t>08/02/1988</t>
  </si>
  <si>
    <t>19/08/1990</t>
  </si>
  <si>
    <t>26/03/1989</t>
  </si>
  <si>
    <t>09/01/1989</t>
  </si>
  <si>
    <t>30/11/1987</t>
  </si>
  <si>
    <t>21/01/1987</t>
  </si>
  <si>
    <t>10/11/1989</t>
  </si>
  <si>
    <t>10/08/1990</t>
  </si>
  <si>
    <t>12/06/1990</t>
  </si>
  <si>
    <t>12/08/1988</t>
  </si>
  <si>
    <t>10/10/1990</t>
  </si>
  <si>
    <t>10/06/1989</t>
  </si>
  <si>
    <t>04/03/1989</t>
  </si>
  <si>
    <t>23/11/1989</t>
  </si>
  <si>
    <t>20/11/1991</t>
  </si>
  <si>
    <t>01/07/1991</t>
  </si>
  <si>
    <t>10/07/1990</t>
  </si>
  <si>
    <t>08/06/1986</t>
  </si>
  <si>
    <t>22/07/1989</t>
  </si>
  <si>
    <t>14/11/1990</t>
  </si>
  <si>
    <t>11/12/1989</t>
  </si>
  <si>
    <t>01/11/1988</t>
  </si>
  <si>
    <t>22/08/1990</t>
  </si>
  <si>
    <t>30/11/1991</t>
  </si>
  <si>
    <t>24/06/1991</t>
  </si>
  <si>
    <t>15/05/1985</t>
  </si>
  <si>
    <t>22/09/1984</t>
  </si>
  <si>
    <t>26/08/1983</t>
  </si>
  <si>
    <t>14/09/1990</t>
  </si>
  <si>
    <t>13/07/1987</t>
  </si>
  <si>
    <t>17/03/1984</t>
  </si>
  <si>
    <t>05/04/1991</t>
  </si>
  <si>
    <t>24/08/1987</t>
  </si>
  <si>
    <t>14/10/1991</t>
  </si>
  <si>
    <t>19/09/1984</t>
  </si>
  <si>
    <t>25/02/1985</t>
  </si>
  <si>
    <t>25/10/1988</t>
  </si>
  <si>
    <t>14/05/1985</t>
  </si>
  <si>
    <t>24/01/1984</t>
  </si>
  <si>
    <t>17/08/1988</t>
  </si>
  <si>
    <t>14/10/1982</t>
  </si>
  <si>
    <t>26/05/1989</t>
  </si>
  <si>
    <t>21/03/1987</t>
  </si>
  <si>
    <t>20/11/1989</t>
  </si>
  <si>
    <t>04/08/1985</t>
  </si>
  <si>
    <t>12/09/1990</t>
  </si>
  <si>
    <t>05/05/1988</t>
  </si>
  <si>
    <t>01/06/1983</t>
  </si>
  <si>
    <t>11/12/1985</t>
  </si>
  <si>
    <t>17/05/1989</t>
  </si>
  <si>
    <t>07/10/1990</t>
  </si>
  <si>
    <t>02/10/1990</t>
  </si>
  <si>
    <t>18/11/1985</t>
  </si>
  <si>
    <t>24/12/1984</t>
  </si>
  <si>
    <t>23/11/1985</t>
  </si>
  <si>
    <t>11/11/1987</t>
  </si>
  <si>
    <t>12/08/1989</t>
  </si>
  <si>
    <t>02/12/1988</t>
  </si>
  <si>
    <t>11/10/1988</t>
  </si>
  <si>
    <t>13/04/1988</t>
  </si>
  <si>
    <t>20/01/1989</t>
  </si>
  <si>
    <t>27/01/1982</t>
  </si>
  <si>
    <t>31/07/1985</t>
  </si>
  <si>
    <t>13/08/1990</t>
  </si>
  <si>
    <t>14/03/1988</t>
  </si>
  <si>
    <t>06/11/1990</t>
  </si>
  <si>
    <t>14/01/1990</t>
  </si>
  <si>
    <t>02/02/1990</t>
  </si>
  <si>
    <t>12/09/1989</t>
  </si>
  <si>
    <t>21/06/1991</t>
  </si>
  <si>
    <t>11/05/1990</t>
  </si>
  <si>
    <t>14/12/1988</t>
  </si>
  <si>
    <t>11/05/1987</t>
  </si>
  <si>
    <t>21/02/1991</t>
  </si>
  <si>
    <t>20/05/1988</t>
  </si>
  <si>
    <t>30/06/1990</t>
  </si>
  <si>
    <t>23/10/1989</t>
  </si>
  <si>
    <t>27/06/1989</t>
  </si>
  <si>
    <t>22/07/1991</t>
  </si>
  <si>
    <t>15/12/1988</t>
  </si>
  <si>
    <t>09/06/1988</t>
  </si>
  <si>
    <t>21/11/1990</t>
  </si>
  <si>
    <t>14/08/1990</t>
  </si>
  <si>
    <t>26/08/1989</t>
  </si>
  <si>
    <t>24/09/1989</t>
  </si>
  <si>
    <t>14/10/1989</t>
  </si>
  <si>
    <t>01/11/1991</t>
  </si>
  <si>
    <t>10/12/1989</t>
  </si>
  <si>
    <t>21/08/1991</t>
  </si>
  <si>
    <t>22/04/1985</t>
  </si>
  <si>
    <t>12/01/1986</t>
  </si>
  <si>
    <t>18/12/1990</t>
  </si>
  <si>
    <t>18/12/1987</t>
  </si>
  <si>
    <t>23/06/1985</t>
  </si>
  <si>
    <t>02/02/1988</t>
  </si>
  <si>
    <t>28/12/1986</t>
  </si>
  <si>
    <t>19/10/1988</t>
  </si>
  <si>
    <t>20/12/1986</t>
  </si>
  <si>
    <t>24/11/1991</t>
  </si>
  <si>
    <t>22/06/1986</t>
  </si>
  <si>
    <t>11/06/1990</t>
  </si>
  <si>
    <t>02/08/1986</t>
  </si>
  <si>
    <t>06/02/1988</t>
  </si>
  <si>
    <t>26/12/1987</t>
  </si>
  <si>
    <t>21/08/1989</t>
  </si>
  <si>
    <t>03/04/1987</t>
  </si>
  <si>
    <t>02/09/1987</t>
  </si>
  <si>
    <t>01/09/1986</t>
  </si>
  <si>
    <t>16/11/1986</t>
  </si>
  <si>
    <t>02/10/1991</t>
  </si>
  <si>
    <t>15/05/1988</t>
  </si>
  <si>
    <t>15/07/1991</t>
  </si>
  <si>
    <t>19/07/1986</t>
  </si>
  <si>
    <t>05/11/1988</t>
  </si>
  <si>
    <t>15/03/1990</t>
  </si>
  <si>
    <t>16/07/1988</t>
  </si>
  <si>
    <t>19/12/1980</t>
  </si>
  <si>
    <t>17/11/1988</t>
  </si>
  <si>
    <t>16/04/1987</t>
  </si>
  <si>
    <t>21/09/1989</t>
  </si>
  <si>
    <t>14/04/1989</t>
  </si>
  <si>
    <t>06/06/1990</t>
  </si>
  <si>
    <t>18/01/1990</t>
  </si>
  <si>
    <t>07/05/1987</t>
  </si>
  <si>
    <t>11/11/1989</t>
  </si>
  <si>
    <t>11/03/1987</t>
  </si>
  <si>
    <t>20/12/1988</t>
  </si>
  <si>
    <t>21/05/1985</t>
  </si>
  <si>
    <t>14/05/1986</t>
  </si>
  <si>
    <t>21/04/1992</t>
  </si>
  <si>
    <t>25/02/1991</t>
  </si>
  <si>
    <t>13/07/1989</t>
  </si>
  <si>
    <t>14/11/1992</t>
  </si>
  <si>
    <t>15/05/1986</t>
  </si>
  <si>
    <t>17/03/1989</t>
  </si>
  <si>
    <t>10/03/1983</t>
  </si>
  <si>
    <t>18/10/1988</t>
  </si>
  <si>
    <t>28/05/1989</t>
  </si>
  <si>
    <t>02/05/1990</t>
  </si>
  <si>
    <t>15/07/1990</t>
  </si>
  <si>
    <t>06/01/1990</t>
  </si>
  <si>
    <t>22/05/1989</t>
  </si>
  <si>
    <t>10/09/1992</t>
  </si>
  <si>
    <t>29/11/1987</t>
  </si>
  <si>
    <t>17/01/1990</t>
  </si>
  <si>
    <t>05/11/1986</t>
  </si>
  <si>
    <t>12/05/1991</t>
  </si>
  <si>
    <t>03/02/1991</t>
  </si>
  <si>
    <t>08/08/1990</t>
  </si>
  <si>
    <t>18/06/1990</t>
  </si>
  <si>
    <t>04/12/1987</t>
  </si>
  <si>
    <t>16/11/1989</t>
  </si>
  <si>
    <t>09/07/1987</t>
  </si>
  <si>
    <t>15/12/1985</t>
  </si>
  <si>
    <t>25/08/1988</t>
  </si>
  <si>
    <t>05/01/1990</t>
  </si>
  <si>
    <t>03/03/1990</t>
  </si>
  <si>
    <t>12/05/1990</t>
  </si>
  <si>
    <t>17/05/1990</t>
  </si>
  <si>
    <t>27/10/1989</t>
  </si>
  <si>
    <t>08/09/1985</t>
  </si>
  <si>
    <t>15/11/1991</t>
  </si>
  <si>
    <t>08/07/1992</t>
  </si>
  <si>
    <t>24/05/1987</t>
  </si>
  <si>
    <t>17/10/1988</t>
  </si>
  <si>
    <t>21/12/1990</t>
  </si>
  <si>
    <t>01/09/1990</t>
  </si>
  <si>
    <t>12/11/1990</t>
  </si>
  <si>
    <t>26/06/1990</t>
  </si>
  <si>
    <t>22/01/1988</t>
  </si>
  <si>
    <t>05/05/1990</t>
  </si>
  <si>
    <t>14/07/1989</t>
  </si>
  <si>
    <t>15/08/1990</t>
  </si>
  <si>
    <t>16/08/1990</t>
  </si>
  <si>
    <t>23/06/1990</t>
  </si>
  <si>
    <t>02/06/1991</t>
  </si>
  <si>
    <t>09/03/1976</t>
  </si>
  <si>
    <t>25/10/1980</t>
  </si>
  <si>
    <t>30/12/1980</t>
  </si>
  <si>
    <t>21/01/1981</t>
  </si>
  <si>
    <t>12/07/1986</t>
  </si>
  <si>
    <t>07/05/1993</t>
  </si>
  <si>
    <t>27/05/1992</t>
  </si>
  <si>
    <t>19/06/1981</t>
  </si>
  <si>
    <t>02/05/1991</t>
  </si>
  <si>
    <t>16/10/1991</t>
  </si>
  <si>
    <t>17/06/1988</t>
  </si>
  <si>
    <t>25/07/1989</t>
  </si>
  <si>
    <t>04/12/1990</t>
  </si>
  <si>
    <t>02/08/1983</t>
  </si>
  <si>
    <t>21/09/1993</t>
  </si>
  <si>
    <t>14/12/1986</t>
  </si>
  <si>
    <t>24/05/1993</t>
  </si>
  <si>
    <t>05/12/1988</t>
  </si>
  <si>
    <t>11/12/1990</t>
  </si>
  <si>
    <t>09/11/1985</t>
  </si>
  <si>
    <t>26/01/1986</t>
  </si>
  <si>
    <t>16/09/1990</t>
  </si>
  <si>
    <t>24/03/1991</t>
  </si>
  <si>
    <t>19/11/1983</t>
  </si>
  <si>
    <t>17/07/1991</t>
  </si>
  <si>
    <t>04/09/1991</t>
  </si>
  <si>
    <t>23/08/1993</t>
  </si>
  <si>
    <t>23/12/1984</t>
  </si>
  <si>
    <t>12/02/1989</t>
  </si>
  <si>
    <t>10/08/1979</t>
  </si>
  <si>
    <t>17/05/1986</t>
  </si>
  <si>
    <t>16/09/1989</t>
  </si>
  <si>
    <t>21/05/1987</t>
  </si>
  <si>
    <t>06/02/1991</t>
  </si>
  <si>
    <t>18/10/1984</t>
  </si>
  <si>
    <t>04/05/1989</t>
  </si>
  <si>
    <t>13/01/1990</t>
  </si>
  <si>
    <t>15/06/1990</t>
  </si>
  <si>
    <t>30/10/1991</t>
  </si>
  <si>
    <t>27/10/1991</t>
  </si>
  <si>
    <t>24/06/1992</t>
  </si>
  <si>
    <t>07/08/1992</t>
  </si>
  <si>
    <t>08/10/1982</t>
  </si>
  <si>
    <t>04/04/1986</t>
  </si>
  <si>
    <t>07/11/1988</t>
  </si>
  <si>
    <t>30/01/1989</t>
  </si>
  <si>
    <t>25/12/1990</t>
  </si>
  <si>
    <t>04/06/1989</t>
  </si>
  <si>
    <t>23/12/1989</t>
  </si>
  <si>
    <t>22/06/1991</t>
  </si>
  <si>
    <t>06/08/1991</t>
  </si>
  <si>
    <t>26/02/1992</t>
  </si>
  <si>
    <t>28/04/1991</t>
  </si>
  <si>
    <t>19/06/1991</t>
  </si>
  <si>
    <t>05/10/1984</t>
  </si>
  <si>
    <t>19/06/1994</t>
  </si>
  <si>
    <t>21/12/1991</t>
  </si>
  <si>
    <t>17/04/1993</t>
  </si>
  <si>
    <t>10/03/1993</t>
  </si>
  <si>
    <t>03/12/1988</t>
  </si>
  <si>
    <t>19/10/1990</t>
  </si>
  <si>
    <t>12/12/1986</t>
  </si>
  <si>
    <t>14/06/1992</t>
  </si>
  <si>
    <t>11/11/1992</t>
  </si>
  <si>
    <t>05/12/1989</t>
  </si>
  <si>
    <t>13/02/1988</t>
  </si>
  <si>
    <t>01/06/1988</t>
  </si>
  <si>
    <t>12/02/1991</t>
  </si>
  <si>
    <t>19/07/1991</t>
  </si>
  <si>
    <t>05/12/1987</t>
  </si>
  <si>
    <t>18/12/1992</t>
  </si>
  <si>
    <t>24/11/1985</t>
  </si>
  <si>
    <t>24/07/1992</t>
  </si>
  <si>
    <t>24/01/1983</t>
  </si>
  <si>
    <t>12/03/1987</t>
  </si>
  <si>
    <t>28/03/1991</t>
  </si>
  <si>
    <t>07/07/1982</t>
  </si>
  <si>
    <t>23/01/1991</t>
  </si>
  <si>
    <t>04/05/1991</t>
  </si>
  <si>
    <t>10/10/1991</t>
  </si>
  <si>
    <t>02/11/1992</t>
  </si>
  <si>
    <t>24/03/1995</t>
  </si>
  <si>
    <t>23/09/1991</t>
  </si>
  <si>
    <t>01/08/1990</t>
  </si>
  <si>
    <t>20/07/1993</t>
  </si>
  <si>
    <t>04/08/1991</t>
  </si>
  <si>
    <t>23/09/1984</t>
  </si>
  <si>
    <t>15/02/1992</t>
  </si>
  <si>
    <t>17/03/1993</t>
  </si>
  <si>
    <t>09/09/1993</t>
  </si>
  <si>
    <t>09/12/1993</t>
  </si>
  <si>
    <t>14/04/1992</t>
  </si>
  <si>
    <t>29/10/1991</t>
  </si>
  <si>
    <t>26/05/1992</t>
  </si>
  <si>
    <t>16/07/1993</t>
  </si>
  <si>
    <t>10/09/1994</t>
  </si>
  <si>
    <t>05/04/1995</t>
  </si>
  <si>
    <t>01/04/1986</t>
  </si>
  <si>
    <t>02/09/1993</t>
  </si>
  <si>
    <t>29/07/1992</t>
  </si>
  <si>
    <t>05/02/1991</t>
  </si>
  <si>
    <t>05/06/1991</t>
  </si>
  <si>
    <t>06/11/1992</t>
  </si>
  <si>
    <t>25/08/1995</t>
  </si>
  <si>
    <t>10/01/1988</t>
  </si>
  <si>
    <t>30/07/1987</t>
  </si>
  <si>
    <t>14/01/1992</t>
  </si>
  <si>
    <t>12/03/1993</t>
  </si>
  <si>
    <t>11/10/1993</t>
  </si>
  <si>
    <t>14/12/1992</t>
  </si>
  <si>
    <t>06/02/1993</t>
  </si>
  <si>
    <t>02/05/1993</t>
  </si>
  <si>
    <t>26/03/1993</t>
  </si>
  <si>
    <t>16/04/1993</t>
  </si>
  <si>
    <t>11/01/1993</t>
  </si>
  <si>
    <t>27/05/1990</t>
  </si>
  <si>
    <t>14/09/1987</t>
  </si>
  <si>
    <t>06/02/1990</t>
  </si>
  <si>
    <t>09/05/1989</t>
  </si>
  <si>
    <t>29/04/1991</t>
  </si>
  <si>
    <t>18/09/1991</t>
  </si>
  <si>
    <t>24/10/1990</t>
  </si>
  <si>
    <t>21/12/1989</t>
  </si>
  <si>
    <t>27/02/1992</t>
  </si>
  <si>
    <t>16/12/1993</t>
  </si>
  <si>
    <t>19/09/1990</t>
  </si>
  <si>
    <t>15/02/1991</t>
  </si>
  <si>
    <t>06/08/1990</t>
  </si>
  <si>
    <t>26/01/1995</t>
  </si>
  <si>
    <t>09/03/1987</t>
  </si>
  <si>
    <t>15/06/1993</t>
  </si>
  <si>
    <t>02/09/1990</t>
  </si>
  <si>
    <t>29/06/1991</t>
  </si>
  <si>
    <t>14/07/1993</t>
  </si>
  <si>
    <t>17/12/1991</t>
  </si>
  <si>
    <t>06/08/1993</t>
  </si>
  <si>
    <t>17/09/1993</t>
  </si>
  <si>
    <t>03/01/1993</t>
  </si>
  <si>
    <t>10/08/1992</t>
  </si>
  <si>
    <t>06/09/1991</t>
  </si>
  <si>
    <t>04/12/1991</t>
  </si>
  <si>
    <t>25/07/1991</t>
  </si>
  <si>
    <t>18/06/1993</t>
  </si>
  <si>
    <t>17/01/1993</t>
  </si>
  <si>
    <t>15/04/1992</t>
  </si>
  <si>
    <t>11/08/1990</t>
  </si>
  <si>
    <t>12/08/1991</t>
  </si>
  <si>
    <t>18/09/1992</t>
  </si>
  <si>
    <t>28/10/1992</t>
  </si>
  <si>
    <t>16/04/1992</t>
  </si>
  <si>
    <t>13/09/1993</t>
  </si>
  <si>
    <t>27/06/1991</t>
  </si>
  <si>
    <t>22/06/1995</t>
  </si>
  <si>
    <t>06/06/1993</t>
  </si>
  <si>
    <t>28/03/1995</t>
  </si>
  <si>
    <t>04/02/1992</t>
  </si>
  <si>
    <t>13/12/1990</t>
  </si>
  <si>
    <t>10/05/1990</t>
  </si>
  <si>
    <t>15/05/1990</t>
  </si>
  <si>
    <t>12/05/1995</t>
  </si>
  <si>
    <t>08/06/1990</t>
  </si>
  <si>
    <t>27/10/1992</t>
  </si>
  <si>
    <t>23/05/1992</t>
  </si>
  <si>
    <t>21/07/1992</t>
  </si>
  <si>
    <t>08/07/1991</t>
  </si>
  <si>
    <t>25/03/1993</t>
  </si>
  <si>
    <t>20/10/1991</t>
  </si>
  <si>
    <t>11/10/1992</t>
  </si>
  <si>
    <t>18/11/1989</t>
  </si>
  <si>
    <t>30/11/1990</t>
  </si>
  <si>
    <t>09/08/1992</t>
  </si>
  <si>
    <t>28/11/1993</t>
  </si>
  <si>
    <t>01/12/1990</t>
  </si>
  <si>
    <t>07/02/1992</t>
  </si>
  <si>
    <t>21/02/1988</t>
  </si>
  <si>
    <t>19/12/1990</t>
  </si>
  <si>
    <t>09/06/1991</t>
  </si>
  <si>
    <t>30/09/1992</t>
  </si>
  <si>
    <t>24/06/1990</t>
  </si>
  <si>
    <t>23/03/1991</t>
  </si>
  <si>
    <t>18/01/1992</t>
  </si>
  <si>
    <t>29/10/1993</t>
  </si>
  <si>
    <t>27/07/1992</t>
  </si>
  <si>
    <t>02/02/1993</t>
  </si>
  <si>
    <t>11/12/1994</t>
  </si>
  <si>
    <t>28/10/1989</t>
  </si>
  <si>
    <t>04/11/1990</t>
  </si>
  <si>
    <t>05/08/1994</t>
  </si>
  <si>
    <t>09/10/1990</t>
  </si>
  <si>
    <t>19/04/1994</t>
  </si>
  <si>
    <t>27/07/1994</t>
  </si>
  <si>
    <t>12/05/1994</t>
  </si>
  <si>
    <t>16/09/1991</t>
  </si>
  <si>
    <t>24/08/1994</t>
  </si>
  <si>
    <t>04/01/1990</t>
  </si>
  <si>
    <t>05/11/1994</t>
  </si>
  <si>
    <t>23/02/1992</t>
  </si>
  <si>
    <t>09/04/1994</t>
  </si>
  <si>
    <t>02/12/1990</t>
  </si>
  <si>
    <t>27/04/1992</t>
  </si>
  <si>
    <t>23/12/1991</t>
  </si>
  <si>
    <t>30/11/1989</t>
  </si>
  <si>
    <t>05/03/1994</t>
  </si>
  <si>
    <t>25/07/1990</t>
  </si>
  <si>
    <t>10/04/1992</t>
  </si>
  <si>
    <t>12/05/1992</t>
  </si>
  <si>
    <t>10/01/1994</t>
  </si>
  <si>
    <t>21/09/1994</t>
  </si>
  <si>
    <t>23/11/1994</t>
  </si>
  <si>
    <t>25/12/1987</t>
  </si>
  <si>
    <t>16/05/1993</t>
  </si>
  <si>
    <t>09/01/1995</t>
  </si>
  <si>
    <t>20/01/1984</t>
  </si>
  <si>
    <t>08/12/1990</t>
  </si>
  <si>
    <t>07/08/1990</t>
  </si>
  <si>
    <t>16/02/1993</t>
  </si>
  <si>
    <t>28/11/1996</t>
  </si>
  <si>
    <t>24/11/1987</t>
  </si>
  <si>
    <t>31/08/1990</t>
  </si>
  <si>
    <t>22/09/1994</t>
  </si>
  <si>
    <t>01/05/1991</t>
  </si>
  <si>
    <t>30/05/1992</t>
  </si>
  <si>
    <t>22/02/1992</t>
  </si>
  <si>
    <t>18/06/1992</t>
  </si>
  <si>
    <t>20/03/1993</t>
  </si>
  <si>
    <t>13/09/1996</t>
  </si>
  <si>
    <t>16/09/1992</t>
  </si>
  <si>
    <t>19/10/1994</t>
  </si>
  <si>
    <t>21/05/1992</t>
  </si>
  <si>
    <t>08/05/1994</t>
  </si>
  <si>
    <t>03/07/1992</t>
  </si>
  <si>
    <t>09/12/1986</t>
  </si>
  <si>
    <t>12/02/1994</t>
  </si>
  <si>
    <t>04/10/1994</t>
  </si>
  <si>
    <t>24/08/1995</t>
  </si>
  <si>
    <t>12/08/1994</t>
  </si>
  <si>
    <t>23/05/1991</t>
  </si>
  <si>
    <t>08/08/1992</t>
  </si>
  <si>
    <t>16/04/1994</t>
  </si>
  <si>
    <t>08/02/1990</t>
  </si>
  <si>
    <t>26/05/1990</t>
  </si>
  <si>
    <t>13/10/1992</t>
  </si>
  <si>
    <t>01/09/1982</t>
  </si>
  <si>
    <t>01/11/1990</t>
  </si>
  <si>
    <t>02/12/1992</t>
  </si>
  <si>
    <t>16/11/1992</t>
  </si>
  <si>
    <t>24/08/1991</t>
  </si>
  <si>
    <t>18/04/1995</t>
  </si>
  <si>
    <t>08/10/1994</t>
  </si>
  <si>
    <t>19/07/1996</t>
  </si>
  <si>
    <t>27/02/1990</t>
  </si>
  <si>
    <t>21/03/1991</t>
  </si>
  <si>
    <t>09/08/1996</t>
  </si>
  <si>
    <t>28/01/1992</t>
  </si>
  <si>
    <t>04/12/1992</t>
  </si>
  <si>
    <t>20/09/1994</t>
  </si>
  <si>
    <t>26/10/1994</t>
  </si>
  <si>
    <t>28/08/1994</t>
  </si>
  <si>
    <t>29/10/1996</t>
  </si>
  <si>
    <t>25/07/1994</t>
  </si>
  <si>
    <t>15/11/1996</t>
  </si>
  <si>
    <t>30/01/1993</t>
  </si>
  <si>
    <t>04/10/1992</t>
  </si>
  <si>
    <t>04/03/1994</t>
  </si>
  <si>
    <t>03/04/1993</t>
  </si>
  <si>
    <t>16/07/1990</t>
  </si>
  <si>
    <t>06/03/1994</t>
  </si>
  <si>
    <t>11/02/1993</t>
  </si>
  <si>
    <t>21/02/1996</t>
  </si>
  <si>
    <t>23/12/1993</t>
  </si>
  <si>
    <t>15/08/1996</t>
  </si>
  <si>
    <t>15/01/1996</t>
  </si>
  <si>
    <t>10/05/1996</t>
  </si>
  <si>
    <t>21/12/1996</t>
  </si>
  <si>
    <t>16/09/1996</t>
  </si>
  <si>
    <t>20/11/1995</t>
  </si>
  <si>
    <t>23/05/1987</t>
  </si>
  <si>
    <t>17/06/1994</t>
  </si>
  <si>
    <t>19/08/1996</t>
  </si>
  <si>
    <t>08/02/1996</t>
  </si>
  <si>
    <t>26/01/1996</t>
  </si>
  <si>
    <t>03/12/1994</t>
  </si>
  <si>
    <t>07/08/1993</t>
  </si>
  <si>
    <t>18/06/1996</t>
  </si>
  <si>
    <t>20/12/1994</t>
  </si>
  <si>
    <t>20/11/1996</t>
  </si>
  <si>
    <t>03/12/1996</t>
  </si>
  <si>
    <t>20/04/1996</t>
  </si>
  <si>
    <t>17/05/1994</t>
  </si>
  <si>
    <t>28/09/1996</t>
  </si>
  <si>
    <t>24/12/1994</t>
  </si>
  <si>
    <t>23/01/1995</t>
  </si>
  <si>
    <t>19/04/1996</t>
  </si>
  <si>
    <t>15/03/1996</t>
  </si>
  <si>
    <t>03/01/1995</t>
  </si>
  <si>
    <t>08/03/1992</t>
  </si>
  <si>
    <t>16/03/1992</t>
  </si>
  <si>
    <t>06/06/1997</t>
  </si>
  <si>
    <t>27/06/1997</t>
  </si>
  <si>
    <t>02/11/1995</t>
  </si>
  <si>
    <t>22/06/1997</t>
  </si>
  <si>
    <t>07/02/1997</t>
  </si>
  <si>
    <t>13/08/1997</t>
  </si>
  <si>
    <t>22/04/1997</t>
  </si>
  <si>
    <t>12/07/1997</t>
  </si>
  <si>
    <t>06/05/1997</t>
  </si>
  <si>
    <t>26/03/1997</t>
  </si>
  <si>
    <t>28/11/1997</t>
  </si>
  <si>
    <t>08/02/1997</t>
  </si>
  <si>
    <t>18/01/1997</t>
  </si>
  <si>
    <t>08/04/1997</t>
  </si>
  <si>
    <t>08/01/1997</t>
  </si>
  <si>
    <t>02/10/1997</t>
  </si>
  <si>
    <t>07/10/1997</t>
  </si>
  <si>
    <t>05/10/1997</t>
  </si>
  <si>
    <t>26/11/1997</t>
  </si>
  <si>
    <t>12/11/1997</t>
  </si>
  <si>
    <t>24/07/1996</t>
  </si>
  <si>
    <t>17/04/1997</t>
  </si>
  <si>
    <t>18/02/1992</t>
  </si>
  <si>
    <t>28/09/1991</t>
  </si>
  <si>
    <t>17/07/1992</t>
  </si>
  <si>
    <t>15/12/1986</t>
  </si>
  <si>
    <t>03/07/1984</t>
  </si>
  <si>
    <t>11/09/1984</t>
  </si>
  <si>
    <t>30/01/1997</t>
  </si>
  <si>
    <t>18/08/1997</t>
  </si>
  <si>
    <t>13/03/1997</t>
  </si>
  <si>
    <t>04/08/1994</t>
  </si>
  <si>
    <t>10/02/1995</t>
  </si>
  <si>
    <t>07/10/1991</t>
  </si>
  <si>
    <t>01/08/1997</t>
  </si>
  <si>
    <t>29/01/1997</t>
  </si>
  <si>
    <t>14/03/1996</t>
  </si>
  <si>
    <t>07/11/1995</t>
  </si>
  <si>
    <t>24/05/1995</t>
  </si>
  <si>
    <t>03/09/1996</t>
  </si>
  <si>
    <t>27/02/1988</t>
  </si>
  <si>
    <t>18/03/1995</t>
  </si>
  <si>
    <t>08/05/1995</t>
  </si>
  <si>
    <t>09/09/1996</t>
  </si>
  <si>
    <t>12/12/1995</t>
  </si>
  <si>
    <t>23/02/1993</t>
  </si>
  <si>
    <t>25/09/1994</t>
  </si>
  <si>
    <t>20/10/1989</t>
  </si>
  <si>
    <t>24/09/1997</t>
  </si>
  <si>
    <t>27/06/1995</t>
  </si>
  <si>
    <t>28/02/1996</t>
  </si>
  <si>
    <t>04/01/1992</t>
  </si>
  <si>
    <t>18/08/1993</t>
  </si>
  <si>
    <t>17/03/1990</t>
  </si>
  <si>
    <t>22/10/1992</t>
  </si>
  <si>
    <t>30/04/1993</t>
  </si>
  <si>
    <t>02/04/1987</t>
  </si>
  <si>
    <t>30/03/1990</t>
  </si>
  <si>
    <t>05/12/1992</t>
  </si>
  <si>
    <t>27/02/1999</t>
  </si>
  <si>
    <t>10/04/1999</t>
  </si>
  <si>
    <t>13/09/1999</t>
  </si>
  <si>
    <t>21/11/1999</t>
  </si>
  <si>
    <t>09/04/1999</t>
  </si>
  <si>
    <t>12/09/1997</t>
  </si>
  <si>
    <t>17/03/1997</t>
  </si>
  <si>
    <t>21/08/1998</t>
  </si>
  <si>
    <t>08/04/1999</t>
  </si>
  <si>
    <t>21/12/1998</t>
  </si>
  <si>
    <t>12/07/1999</t>
  </si>
  <si>
    <t>25/07/1997</t>
  </si>
  <si>
    <t>06/02/1999</t>
  </si>
  <si>
    <t>29/08/1999</t>
  </si>
  <si>
    <t>15/06/1999</t>
  </si>
  <si>
    <t>12/11/1999</t>
  </si>
  <si>
    <t>13/03/1999</t>
  </si>
  <si>
    <t>10/09/1999</t>
  </si>
  <si>
    <t>04/03/1999</t>
  </si>
  <si>
    <t>31/10/1999</t>
  </si>
  <si>
    <t>16/08/1999</t>
  </si>
  <si>
    <t>03/03/1999</t>
  </si>
  <si>
    <t>09/10/1998</t>
  </si>
  <si>
    <t>10/06/1999</t>
  </si>
  <si>
    <t>10/12/1998</t>
  </si>
  <si>
    <t>12/10/1998</t>
  </si>
  <si>
    <t>14/05/1997</t>
  </si>
  <si>
    <t>16/07/1998</t>
  </si>
  <si>
    <t>29/07/1998</t>
  </si>
  <si>
    <t>17/08/1998</t>
  </si>
  <si>
    <t>07/01/1999</t>
  </si>
  <si>
    <t>18/02/1999</t>
  </si>
  <si>
    <t>29/09/1999</t>
  </si>
  <si>
    <t>21/11/1997</t>
  </si>
  <si>
    <t>22/07/1999</t>
  </si>
  <si>
    <t>26/02/1999</t>
  </si>
  <si>
    <t>17/06/1998</t>
  </si>
  <si>
    <t>12/06/1999</t>
  </si>
  <si>
    <t>04/09/1997</t>
  </si>
  <si>
    <t>14/08/1998</t>
  </si>
  <si>
    <t>15/04/1999</t>
  </si>
  <si>
    <t>18/05/1997</t>
  </si>
  <si>
    <t>07/02/1994</t>
  </si>
  <si>
    <t>11/02/1997</t>
  </si>
  <si>
    <t>20/02/1996</t>
  </si>
  <si>
    <t>15/08/1999</t>
  </si>
  <si>
    <t>23/08/1999</t>
  </si>
  <si>
    <t>12/08/1997</t>
  </si>
  <si>
    <t>18/01/1999</t>
  </si>
  <si>
    <t>19/08/1999</t>
  </si>
  <si>
    <t>26/07/1997</t>
  </si>
  <si>
    <t>03/07/1999</t>
  </si>
  <si>
    <t>05/11/1998</t>
  </si>
  <si>
    <t>27/10/1999</t>
  </si>
  <si>
    <t>06/07/1997</t>
  </si>
  <si>
    <t>12/12/1999</t>
  </si>
  <si>
    <t>14/06/1997</t>
  </si>
  <si>
    <t>07/07/1997</t>
  </si>
  <si>
    <t>04/11/1998</t>
  </si>
  <si>
    <t>20/05/1999</t>
  </si>
  <si>
    <t>20/07/1994</t>
  </si>
  <si>
    <t>13/08/1999</t>
  </si>
  <si>
    <t>15/10/1999</t>
  </si>
  <si>
    <t>30/12/1999</t>
  </si>
  <si>
    <t>24/11/1990</t>
  </si>
  <si>
    <t>16/03/1989</t>
  </si>
  <si>
    <t>08/11/1993</t>
  </si>
  <si>
    <t>05/01/1988</t>
  </si>
  <si>
    <t>14/10/1990</t>
  </si>
  <si>
    <t>08/07/1990</t>
  </si>
  <si>
    <t>16/10/1993</t>
  </si>
  <si>
    <t>26/08/1995</t>
  </si>
  <si>
    <t>29/10/1994</t>
  </si>
  <si>
    <t>14/11/1994</t>
  </si>
  <si>
    <t>06/01/1993</t>
  </si>
  <si>
    <t>19/07/1992</t>
  </si>
  <si>
    <t>19/05/1994</t>
  </si>
  <si>
    <t>06/01/1994</t>
  </si>
  <si>
    <t>24/04/1994</t>
  </si>
  <si>
    <t>25/05/1995</t>
  </si>
  <si>
    <t>16/11/1995</t>
  </si>
  <si>
    <t>17/04/1996</t>
  </si>
  <si>
    <t>09/06/1995</t>
  </si>
  <si>
    <t>11/07/1996</t>
  </si>
  <si>
    <t>20/08/1995</t>
  </si>
  <si>
    <t>26/08/1993</t>
  </si>
  <si>
    <t>22/01/1996</t>
  </si>
  <si>
    <t>19/09/1993</t>
  </si>
  <si>
    <t>29/09/1996</t>
  </si>
  <si>
    <t>22/09/1996</t>
  </si>
  <si>
    <t>28/07/1993</t>
  </si>
  <si>
    <t>01/10/1995</t>
  </si>
  <si>
    <t>23/10/1994</t>
  </si>
  <si>
    <t>17/09/1992</t>
  </si>
  <si>
    <t>22/06/2000</t>
  </si>
  <si>
    <t>31/05/2000</t>
  </si>
  <si>
    <t>24/07/1989</t>
  </si>
  <si>
    <t>25/06/1989</t>
  </si>
  <si>
    <t>19/06/2000</t>
  </si>
  <si>
    <t>11/08/1997</t>
  </si>
  <si>
    <t>20/11/2000</t>
  </si>
  <si>
    <t>04/07/1993</t>
  </si>
  <si>
    <t>06/12/1999</t>
  </si>
  <si>
    <t>08/03/1999</t>
  </si>
  <si>
    <t>29/03/2000</t>
  </si>
  <si>
    <t>19/02/2000</t>
  </si>
  <si>
    <t>11/04/2000</t>
  </si>
  <si>
    <t>02/07/1998</t>
  </si>
  <si>
    <t>27/03/2000</t>
  </si>
  <si>
    <t>24/06/1999</t>
  </si>
  <si>
    <t>24/03/1998</t>
  </si>
  <si>
    <t>25/12/2000</t>
  </si>
  <si>
    <t>15/09/2000</t>
  </si>
  <si>
    <t>28/02/1995</t>
  </si>
  <si>
    <t>23/10/2000</t>
  </si>
  <si>
    <t>07/08/2000</t>
  </si>
  <si>
    <t>16/03/1999</t>
  </si>
  <si>
    <t>01/05/1995</t>
  </si>
  <si>
    <t>26/05/1993</t>
  </si>
  <si>
    <t>14/07/1995</t>
  </si>
  <si>
    <t>08/05/1990</t>
  </si>
  <si>
    <t>26/06/1992</t>
  </si>
  <si>
    <t>14/09/1995</t>
  </si>
  <si>
    <t>03/10/2001</t>
  </si>
  <si>
    <t>09/11/2001</t>
  </si>
  <si>
    <t>15/09/2001</t>
  </si>
  <si>
    <t>22/02/2001</t>
  </si>
  <si>
    <t>28/05/2001</t>
  </si>
  <si>
    <t>25/06/2001</t>
  </si>
  <si>
    <t>22/04/2001</t>
  </si>
  <si>
    <t>18/08/2001</t>
  </si>
  <si>
    <t>19/02/2001</t>
  </si>
  <si>
    <t>07/09/2001</t>
  </si>
  <si>
    <t>28/02/2001</t>
  </si>
  <si>
    <t>03/12/2001</t>
  </si>
  <si>
    <t>03/04/2001</t>
  </si>
  <si>
    <t>30/04/2001</t>
  </si>
  <si>
    <t>27/02/2001</t>
  </si>
  <si>
    <t>01/06/2001</t>
  </si>
  <si>
    <t>29/12/2001</t>
  </si>
  <si>
    <t>22/09/2001</t>
  </si>
  <si>
    <t>26/08/2001</t>
  </si>
  <si>
    <t>08/10/1997</t>
  </si>
  <si>
    <t>12/10/1994</t>
  </si>
  <si>
    <t>13/10/1994</t>
  </si>
  <si>
    <t>08/06/1993</t>
  </si>
  <si>
    <t>30/10/2003</t>
  </si>
  <si>
    <t>16/10/2003</t>
  </si>
  <si>
    <t>08/03/2001</t>
  </si>
  <si>
    <t>16/02/2002</t>
  </si>
  <si>
    <t>15/05/2001</t>
  </si>
  <si>
    <t>30/09/2002</t>
  </si>
  <si>
    <t>26/03/2001</t>
  </si>
  <si>
    <t>13/12/2001</t>
  </si>
  <si>
    <t>23/01/1999</t>
  </si>
  <si>
    <t>08/11/1997</t>
  </si>
  <si>
    <t>04/08/1999</t>
  </si>
  <si>
    <t>23/12/1990</t>
  </si>
  <si>
    <t>19/04/2000</t>
  </si>
  <si>
    <t>12/12/2003</t>
  </si>
  <si>
    <t>01/07/2003</t>
  </si>
  <si>
    <t>03/05/1993</t>
  </si>
  <si>
    <t>27/07/2001</t>
  </si>
  <si>
    <t>24/09/1998</t>
  </si>
  <si>
    <t>15/02/1985</t>
  </si>
  <si>
    <t>02/07/2002</t>
  </si>
  <si>
    <t>22/10/2000</t>
  </si>
  <si>
    <t>13/12/2003</t>
  </si>
  <si>
    <t>12/07/1995</t>
  </si>
  <si>
    <t>25/11/1994</t>
  </si>
  <si>
    <t>23/06/1991</t>
  </si>
  <si>
    <t>09/09/1990</t>
  </si>
  <si>
    <t>26/10/1995</t>
  </si>
  <si>
    <t>22/07/1986</t>
  </si>
  <si>
    <t>04/04/1994</t>
  </si>
  <si>
    <t>17/12/1980</t>
  </si>
  <si>
    <t>30/06/1988</t>
  </si>
  <si>
    <t>05/02/1987</t>
  </si>
  <si>
    <t>18/03/1986</t>
  </si>
  <si>
    <t>03/11/1989</t>
  </si>
  <si>
    <t>18/12/1996</t>
  </si>
  <si>
    <t>06/12/1991</t>
  </si>
  <si>
    <t>13/07/1991</t>
  </si>
  <si>
    <t>16/08/1988</t>
  </si>
  <si>
    <t>11/05/1991</t>
  </si>
  <si>
    <t>05/08/1980</t>
  </si>
  <si>
    <t>18/12/1993</t>
  </si>
  <si>
    <t>15/10/1995</t>
  </si>
  <si>
    <t>29/09/1991</t>
  </si>
  <si>
    <t>24/06/1979</t>
  </si>
  <si>
    <t>16/06/2002</t>
  </si>
  <si>
    <t>03/08/1980</t>
  </si>
  <si>
    <t>18/07/1998</t>
  </si>
  <si>
    <t>19/03/1996</t>
  </si>
  <si>
    <t>26/07/1988</t>
  </si>
  <si>
    <t>27/03/1992</t>
  </si>
  <si>
    <t>17/03/1998</t>
  </si>
  <si>
    <t>16/08/1994</t>
  </si>
  <si>
    <t>02/05/1983</t>
  </si>
  <si>
    <t>16/02/1994</t>
  </si>
  <si>
    <t>22/09/1983</t>
  </si>
  <si>
    <t>01/05/1981</t>
  </si>
  <si>
    <t>20/10/2001</t>
  </si>
  <si>
    <t>01/09/1992</t>
  </si>
  <si>
    <t>02/08/1982</t>
  </si>
  <si>
    <t>11/06/1997</t>
  </si>
  <si>
    <t>28/01/1990</t>
  </si>
  <si>
    <t>14/12/2002</t>
  </si>
  <si>
    <t>25/10/1981</t>
  </si>
  <si>
    <t>22/03/1983</t>
  </si>
  <si>
    <t>09/07/1998</t>
  </si>
  <si>
    <t>16/05/1985</t>
  </si>
  <si>
    <t>02/06/1981</t>
  </si>
  <si>
    <t>07/11/2002</t>
  </si>
  <si>
    <t>04/09/1993</t>
  </si>
  <si>
    <t>20/03/1984</t>
  </si>
  <si>
    <t>23/12/1987</t>
  </si>
  <si>
    <t>02/05/1999</t>
  </si>
  <si>
    <t>29/08/1987</t>
  </si>
  <si>
    <t>26/08/1999</t>
  </si>
  <si>
    <t>27/06/1990</t>
  </si>
  <si>
    <t>25/05/1989</t>
  </si>
  <si>
    <t>02/02/1980</t>
  </si>
  <si>
    <t>02/10/2000</t>
  </si>
  <si>
    <t>04/09/1988</t>
  </si>
  <si>
    <t>01/12/1985</t>
  </si>
  <si>
    <t>16/03/1983</t>
  </si>
  <si>
    <t>22/05/1984</t>
  </si>
  <si>
    <t>03/01/1991</t>
  </si>
  <si>
    <t>21/08/1995</t>
  </si>
  <si>
    <t>28/07/1997</t>
  </si>
  <si>
    <t>02/12/1997</t>
  </si>
  <si>
    <t>24/03/1996</t>
  </si>
  <si>
    <t>25/05/1996</t>
  </si>
  <si>
    <t>25/01/1998</t>
  </si>
  <si>
    <t>27/04/1998</t>
  </si>
  <si>
    <t>21/01/1996</t>
  </si>
  <si>
    <t>22/08/1996</t>
  </si>
  <si>
    <t>14/09/1984</t>
  </si>
  <si>
    <t>07/08/1999</t>
  </si>
  <si>
    <t>22/08/1989</t>
  </si>
  <si>
    <t>17/05/1988</t>
  </si>
  <si>
    <t>17/04/1995</t>
  </si>
  <si>
    <t>07/07/1989</t>
  </si>
  <si>
    <t>30/08/1988</t>
  </si>
  <si>
    <t>22/10/1989</t>
  </si>
  <si>
    <t>17/03/1987</t>
  </si>
  <si>
    <t>04/05/1987</t>
  </si>
  <si>
    <t>16/12/1997</t>
  </si>
  <si>
    <t>25/07/1998</t>
  </si>
  <si>
    <t>12/06/1998</t>
  </si>
  <si>
    <t>25/01/1999</t>
  </si>
  <si>
    <t>18/07/1999</t>
  </si>
  <si>
    <t>16/12/2002</t>
  </si>
  <si>
    <t>04/11/1995</t>
  </si>
  <si>
    <t>09/10/2001</t>
  </si>
  <si>
    <t>11/04/1992</t>
  </si>
  <si>
    <t>13/09/1994</t>
  </si>
  <si>
    <t>26/02/2003</t>
  </si>
  <si>
    <t>06/08/2002</t>
  </si>
  <si>
    <t>17/02/1995</t>
  </si>
  <si>
    <t>29/12/2004</t>
  </si>
  <si>
    <t>28/05/2003</t>
  </si>
  <si>
    <t>01/04/2004</t>
  </si>
  <si>
    <t>02/02/1992</t>
  </si>
  <si>
    <t>27/12/2001</t>
  </si>
  <si>
    <t>15/09/2004</t>
  </si>
  <si>
    <t>05/06/1999</t>
  </si>
  <si>
    <t>07/06/1987</t>
  </si>
  <si>
    <t>10/08/2003</t>
  </si>
  <si>
    <t>01/06/2004</t>
  </si>
  <si>
    <t>02/10/2001</t>
  </si>
  <si>
    <t>26/05/1997</t>
  </si>
  <si>
    <t>10/11/1994</t>
  </si>
  <si>
    <t>23/07/2000</t>
  </si>
  <si>
    <t>13/10/1997</t>
  </si>
  <si>
    <t>25/03/1995</t>
  </si>
  <si>
    <t>15/08/1995</t>
  </si>
  <si>
    <t>25/12/1995</t>
  </si>
  <si>
    <t>09/01/2004</t>
  </si>
  <si>
    <t>26/04/2004</t>
  </si>
  <si>
    <t>20/05/1989</t>
  </si>
  <si>
    <t>05/02/2000</t>
  </si>
  <si>
    <t>09/02/1999</t>
  </si>
  <si>
    <t>01/07/1990</t>
  </si>
  <si>
    <t>21/09/1988</t>
  </si>
  <si>
    <t>16/01/1988</t>
  </si>
  <si>
    <t>07/06/1984</t>
  </si>
  <si>
    <t>13/11/1988</t>
  </si>
  <si>
    <t>29/09/1988</t>
  </si>
  <si>
    <t>20/05/1981</t>
  </si>
  <si>
    <t>17/09/2004</t>
  </si>
  <si>
    <t>03/02/1993</t>
  </si>
  <si>
    <t>30/06/1996</t>
  </si>
  <si>
    <t>12/02/1995</t>
  </si>
  <si>
    <t>30/12/2001</t>
  </si>
  <si>
    <t>05/05/1997</t>
  </si>
  <si>
    <t>14/08/1995</t>
  </si>
  <si>
    <t>27/02/1996</t>
  </si>
  <si>
    <t>04/07/2003</t>
  </si>
  <si>
    <t>02/10/2003</t>
  </si>
  <si>
    <t>04/12/1996</t>
  </si>
  <si>
    <t>13/09/2004</t>
  </si>
  <si>
    <t>08/11/1987</t>
  </si>
  <si>
    <t>20/12/1990</t>
  </si>
  <si>
    <t>21/02/1999</t>
  </si>
  <si>
    <t>28/11/1985</t>
  </si>
  <si>
    <t>30/12/1984</t>
  </si>
  <si>
    <t>24/01/2000</t>
  </si>
  <si>
    <t>06/01/1985</t>
  </si>
  <si>
    <t>13/08/1984</t>
  </si>
  <si>
    <t>22/11/1999</t>
  </si>
  <si>
    <t>17/05/1999</t>
  </si>
  <si>
    <t>20/05/2004</t>
  </si>
  <si>
    <t>05/07/1997</t>
  </si>
  <si>
    <t>15/01/2004</t>
  </si>
  <si>
    <t>20/09/1991</t>
  </si>
  <si>
    <t>18/10/1992</t>
  </si>
  <si>
    <t>14/09/1996</t>
  </si>
  <si>
    <t>30/09/1990</t>
  </si>
  <si>
    <t>13/06/2002</t>
  </si>
  <si>
    <t>25/09/1997</t>
  </si>
  <si>
    <t>19/10/1999</t>
  </si>
  <si>
    <t>26/03/1994</t>
  </si>
  <si>
    <t>02/08/1989</t>
  </si>
  <si>
    <t>15/07/1994</t>
  </si>
  <si>
    <t>22/06/2003</t>
  </si>
  <si>
    <t>04/05/1993</t>
  </si>
  <si>
    <t>01/08/2000</t>
  </si>
  <si>
    <t>16/02/1983</t>
  </si>
  <si>
    <t>26/11/1998</t>
  </si>
  <si>
    <t>09/01/1999</t>
  </si>
  <si>
    <t>13/03/1988</t>
  </si>
  <si>
    <t>22/06/1999</t>
  </si>
  <si>
    <t>01/06/2000</t>
  </si>
  <si>
    <t>01/03/1998</t>
  </si>
  <si>
    <t>19/06/1995</t>
  </si>
  <si>
    <t>29/05/1993</t>
  </si>
  <si>
    <t>16/03/2001</t>
  </si>
  <si>
    <t>01/02/2004</t>
  </si>
  <si>
    <t>27/07/1999</t>
  </si>
  <si>
    <t>24/07/1999</t>
  </si>
  <si>
    <t>13/04/1997</t>
  </si>
  <si>
    <t>09/07/1996</t>
  </si>
  <si>
    <t>28/06/1999</t>
  </si>
  <si>
    <t>04/12/2001</t>
  </si>
  <si>
    <t>04/02/2000</t>
  </si>
  <si>
    <t>26/12/1994</t>
  </si>
  <si>
    <t>07/11/2000</t>
  </si>
  <si>
    <t>09/12/2002</t>
  </si>
  <si>
    <t>10/06/2004</t>
  </si>
  <si>
    <t>13/06/1998</t>
  </si>
  <si>
    <t>01/08/2004</t>
  </si>
  <si>
    <t>12/07/2003</t>
  </si>
  <si>
    <t>08/07/2001</t>
  </si>
  <si>
    <t>15/02/1997</t>
  </si>
  <si>
    <t>13/11/1996</t>
  </si>
  <si>
    <t>10/06/1998</t>
  </si>
  <si>
    <t>12/04/1997</t>
  </si>
  <si>
    <t>09/08/1994</t>
  </si>
  <si>
    <t>02/06/1999</t>
  </si>
  <si>
    <t>20/08/1999</t>
  </si>
  <si>
    <t>14/01/1998</t>
  </si>
  <si>
    <t>24/11/2002</t>
  </si>
  <si>
    <t>19/03/1993</t>
  </si>
  <si>
    <t>22/07/2001</t>
  </si>
  <si>
    <t>11/09/2005</t>
  </si>
  <si>
    <t>09/04/1996</t>
  </si>
  <si>
    <t>20/01/1998</t>
  </si>
  <si>
    <t>24/09/2000</t>
  </si>
  <si>
    <t>07/06/2000</t>
  </si>
  <si>
    <t>30/05/2005</t>
  </si>
  <si>
    <t>18/12/2005</t>
  </si>
  <si>
    <t>27/03/2003</t>
  </si>
  <si>
    <t>21/04/1996</t>
  </si>
  <si>
    <t>02/09/1994</t>
  </si>
  <si>
    <t>08/07/1995</t>
  </si>
  <si>
    <t>15/08/2004</t>
  </si>
  <si>
    <t>06/10/2003</t>
  </si>
  <si>
    <t>04/11/2003</t>
  </si>
  <si>
    <t>15/12/2005</t>
  </si>
  <si>
    <t>30/06/2001</t>
  </si>
  <si>
    <t>17/12/2001</t>
  </si>
  <si>
    <t>14/07/1997</t>
  </si>
  <si>
    <t>26/06/2003</t>
  </si>
  <si>
    <t>28/12/2005</t>
  </si>
  <si>
    <t>21/05/2005</t>
  </si>
  <si>
    <t>24/03/2000</t>
  </si>
  <si>
    <t>23/11/2003</t>
  </si>
  <si>
    <t>16/08/1998</t>
  </si>
  <si>
    <t>29/05/2003</t>
  </si>
  <si>
    <t>09/05/2003</t>
  </si>
  <si>
    <t>01/08/2005</t>
  </si>
  <si>
    <t>06/12/2005</t>
  </si>
  <si>
    <t>16/04/2005</t>
  </si>
  <si>
    <t>11/11/1999</t>
  </si>
  <si>
    <t>26/05/2000</t>
  </si>
  <si>
    <t>12/05/1998</t>
  </si>
  <si>
    <t>16/10/1998</t>
  </si>
  <si>
    <t>19/10/2003</t>
  </si>
  <si>
    <t>14/03/1999</t>
  </si>
  <si>
    <t>27/08/1997</t>
  </si>
  <si>
    <t>29/12/2005</t>
  </si>
  <si>
    <t>04/07/2005</t>
  </si>
  <si>
    <t>15/01/2000</t>
  </si>
  <si>
    <t>08/03/2005</t>
  </si>
  <si>
    <t>02/05/2000</t>
  </si>
  <si>
    <t>05/05/2005</t>
  </si>
  <si>
    <t>14/04/2005</t>
  </si>
  <si>
    <t>22/06/2005</t>
  </si>
  <si>
    <t>28/12/1989</t>
  </si>
  <si>
    <t>05/09/1991</t>
  </si>
  <si>
    <t>24/04/1989</t>
  </si>
  <si>
    <t>19/11/1990</t>
  </si>
  <si>
    <t>20/06/1988</t>
  </si>
  <si>
    <t>14/01/1988</t>
  </si>
  <si>
    <t>22/04/1989</t>
  </si>
  <si>
    <t>12/09/1988</t>
  </si>
  <si>
    <t>24/09/1991</t>
  </si>
  <si>
    <t>08/06/2000</t>
  </si>
  <si>
    <t>09/03/1995</t>
  </si>
  <si>
    <t>02/04/2002</t>
  </si>
  <si>
    <t>14/04/2003</t>
  </si>
  <si>
    <t>13/04/1993</t>
  </si>
  <si>
    <t>16/08/1995</t>
  </si>
  <si>
    <t>06/08/2005</t>
  </si>
  <si>
    <t>08/05/2001</t>
  </si>
  <si>
    <t>20/04/2005</t>
  </si>
  <si>
    <t>18/10/2005</t>
  </si>
  <si>
    <t>09/03/1994</t>
  </si>
  <si>
    <t>10/11/1998</t>
  </si>
  <si>
    <t>28/09/2002</t>
  </si>
  <si>
    <t>26/08/1998</t>
  </si>
  <si>
    <t>02/08/1997</t>
  </si>
  <si>
    <t>11/03/2000</t>
  </si>
  <si>
    <t>26/07/2001</t>
  </si>
  <si>
    <t>20/01/1997</t>
  </si>
  <si>
    <t>22/03/1993</t>
  </si>
  <si>
    <t>24/09/1994</t>
  </si>
  <si>
    <t>04/08/2004</t>
  </si>
  <si>
    <t>20/09/2003</t>
  </si>
  <si>
    <t>06/02/1998</t>
  </si>
  <si>
    <t>12/05/2005</t>
  </si>
  <si>
    <t>23/11/2000</t>
  </si>
  <si>
    <t>05/04/2003</t>
  </si>
  <si>
    <t>08/08/2004</t>
  </si>
  <si>
    <t>03/07/2005</t>
  </si>
  <si>
    <t>23/10/2005</t>
  </si>
  <si>
    <t>05/06/2000</t>
  </si>
  <si>
    <t>27/03/2004</t>
  </si>
  <si>
    <t>17/01/1994</t>
  </si>
  <si>
    <t>08/01/2003</t>
  </si>
  <si>
    <t>23/08/2005</t>
  </si>
  <si>
    <t>18/11/2004</t>
  </si>
  <si>
    <t>17/12/2002</t>
  </si>
  <si>
    <t>25/03/2004</t>
  </si>
  <si>
    <t>30/10/2001</t>
  </si>
  <si>
    <t>27/02/2002</t>
  </si>
  <si>
    <t>28/06/1989</t>
  </si>
  <si>
    <t>23/07/2003</t>
  </si>
  <si>
    <t>27/12/1999</t>
  </si>
  <si>
    <t>06/11/1999</t>
  </si>
  <si>
    <t>05/07/2004</t>
  </si>
  <si>
    <t>15/05/2002</t>
  </si>
  <si>
    <t>06/09/1999</t>
  </si>
  <si>
    <t>29/09/2003</t>
  </si>
  <si>
    <t>16/11/2003</t>
  </si>
  <si>
    <t>08/02/2005</t>
  </si>
  <si>
    <t>06/08/1994</t>
  </si>
  <si>
    <t>13/12/1995</t>
  </si>
  <si>
    <t>12/05/2004</t>
  </si>
  <si>
    <t>02/11/2005</t>
  </si>
  <si>
    <t>09/09/1995</t>
  </si>
  <si>
    <t>30/12/1994</t>
  </si>
  <si>
    <t>04/02/1994</t>
  </si>
  <si>
    <t>19/07/2000</t>
  </si>
  <si>
    <t>01/03/2005</t>
  </si>
  <si>
    <t>17/08/2001</t>
  </si>
  <si>
    <t>27/08/2004</t>
  </si>
  <si>
    <t>25/09/2000</t>
  </si>
  <si>
    <t>05/05/1995</t>
  </si>
  <si>
    <t>28/09/2004</t>
  </si>
  <si>
    <t>18/09/2000</t>
  </si>
  <si>
    <t>11/12/2004</t>
  </si>
  <si>
    <t>17/02/2005</t>
  </si>
  <si>
    <t>28/11/1998</t>
  </si>
  <si>
    <t>13/02/1998</t>
  </si>
  <si>
    <t>27/04/1999</t>
  </si>
  <si>
    <t>29/04/2003</t>
  </si>
  <si>
    <t>05/06/2005</t>
  </si>
  <si>
    <t>27/04/1993</t>
  </si>
  <si>
    <t>21/11/2001</t>
  </si>
  <si>
    <t>18/03/1999</t>
  </si>
  <si>
    <t>07/07/2000</t>
  </si>
  <si>
    <t>13/04/1999</t>
  </si>
  <si>
    <t>16/02/1995</t>
  </si>
  <si>
    <t>01/03/2001</t>
  </si>
  <si>
    <t>29/05/1999</t>
  </si>
  <si>
    <t>12/11/2002</t>
  </si>
  <si>
    <t>29/05/1994</t>
  </si>
  <si>
    <t>19/11/2003</t>
  </si>
  <si>
    <t>08/09/1994</t>
  </si>
  <si>
    <t>16/09/2000</t>
  </si>
  <si>
    <t>08/12/2004</t>
  </si>
  <si>
    <t>20/11/2004</t>
  </si>
  <si>
    <t>06/01/1998</t>
  </si>
  <si>
    <t>07/11/1996</t>
  </si>
  <si>
    <t>02/06/1997</t>
  </si>
  <si>
    <t>11/08/1985</t>
  </si>
  <si>
    <t>19/05/1998</t>
  </si>
  <si>
    <t>31/08/1980</t>
  </si>
  <si>
    <t>29/08/1998</t>
  </si>
  <si>
    <t>14/02/2005</t>
  </si>
  <si>
    <t>14/06/1999</t>
  </si>
  <si>
    <t>08/09/2005</t>
  </si>
  <si>
    <t>26/03/1996</t>
  </si>
  <si>
    <t>26/12/2001</t>
  </si>
  <si>
    <t>03/06/1998</t>
  </si>
  <si>
    <t>28/03/1996</t>
  </si>
  <si>
    <t>14/02/1997</t>
  </si>
  <si>
    <t>24/11/1998</t>
  </si>
  <si>
    <t>16/03/2005</t>
  </si>
  <si>
    <t>18/09/2003</t>
  </si>
  <si>
    <t>06/04/2005</t>
  </si>
  <si>
    <t>15/05/1996</t>
  </si>
  <si>
    <t>01/09/1996</t>
  </si>
  <si>
    <t>04/04/2002</t>
  </si>
  <si>
    <t>15/10/2001</t>
  </si>
  <si>
    <t>07/10/2005</t>
  </si>
  <si>
    <t>04/10/1998</t>
  </si>
  <si>
    <t>15/09/1995</t>
  </si>
  <si>
    <t>24/05/2000</t>
  </si>
  <si>
    <t>14/05/2002</t>
  </si>
  <si>
    <t>10/07/1998</t>
  </si>
  <si>
    <t>31/03/2004</t>
  </si>
  <si>
    <t>27/04/2001</t>
  </si>
  <si>
    <t>18/04/1999</t>
  </si>
  <si>
    <t>28/03/2001</t>
  </si>
  <si>
    <t>20/03/2002</t>
  </si>
  <si>
    <t>08/01/1984</t>
  </si>
  <si>
    <t>12/02/2000</t>
  </si>
  <si>
    <t>18/02/1998</t>
  </si>
  <si>
    <t>16/07/2002</t>
  </si>
  <si>
    <t>17/09/2003</t>
  </si>
  <si>
    <t>13/02/2003</t>
  </si>
  <si>
    <t>31/03/2006</t>
  </si>
  <si>
    <t>29/03/1995</t>
  </si>
  <si>
    <t>17/02/2003</t>
  </si>
  <si>
    <t>22/07/1998</t>
  </si>
  <si>
    <t>02/07/2003</t>
  </si>
  <si>
    <t>27/08/1995</t>
  </si>
  <si>
    <t>02/01/2002</t>
  </si>
  <si>
    <t>07/07/2006</t>
  </si>
  <si>
    <t>11/12/1996</t>
  </si>
  <si>
    <t>08/12/2003</t>
  </si>
  <si>
    <t>23/11/2006</t>
  </si>
  <si>
    <t>12/03/2006</t>
  </si>
  <si>
    <t>28/01/2005</t>
  </si>
  <si>
    <t>31/08/2006</t>
  </si>
  <si>
    <t>13/07/2006</t>
  </si>
  <si>
    <t>29/11/2002</t>
  </si>
  <si>
    <t>19/07/2005</t>
  </si>
  <si>
    <t>19/12/2006</t>
  </si>
  <si>
    <t>08/04/2000</t>
  </si>
  <si>
    <t>09/08/2004</t>
  </si>
  <si>
    <t>08/05/1999</t>
  </si>
  <si>
    <t>07/07/1996</t>
  </si>
  <si>
    <t>14/04/2004</t>
  </si>
  <si>
    <t>13/08/1995</t>
  </si>
  <si>
    <t>14/07/2003</t>
  </si>
  <si>
    <t>21/05/2004</t>
  </si>
  <si>
    <t>25/05/1998</t>
  </si>
  <si>
    <t>08/06/1995</t>
  </si>
  <si>
    <t>13/08/2002</t>
  </si>
  <si>
    <t>24/05/1994</t>
  </si>
  <si>
    <t>20/05/1996</t>
  </si>
  <si>
    <t>29/01/2004</t>
  </si>
  <si>
    <t>28/12/2002</t>
  </si>
  <si>
    <t>15/11/1999</t>
  </si>
  <si>
    <t>23/08/2000</t>
  </si>
  <si>
    <t>20/06/2006</t>
  </si>
  <si>
    <t>04/01/2001</t>
  </si>
  <si>
    <t>17/12/2004</t>
  </si>
  <si>
    <t>30/04/2000</t>
  </si>
  <si>
    <t>03/08/2006</t>
  </si>
  <si>
    <t>13/01/1991</t>
  </si>
  <si>
    <t>21/04/1999</t>
  </si>
  <si>
    <t>07/02/1975</t>
  </si>
  <si>
    <t>07/11/1999</t>
  </si>
  <si>
    <t>13/10/1991</t>
  </si>
  <si>
    <t>08/11/2004</t>
  </si>
  <si>
    <t>23/05/2005</t>
  </si>
  <si>
    <t>10/11/2005</t>
  </si>
  <si>
    <t>10/03/2004</t>
  </si>
  <si>
    <t>26/05/2004</t>
  </si>
  <si>
    <t>28/06/2003</t>
  </si>
  <si>
    <t>Hình ảnh gan nhiễm mỡ |Nang thận phải đường kính: 9.2 mm|Sỏi thận trái đường kính: 8.5 mm</t>
  </si>
  <si>
    <t>Nốt vôi hóa tiền liệt tuyến đường kính: 3,9 mm</t>
  </si>
  <si>
    <t>Hình ảnh gan nhiễm mỡ| Sỏi thận phải đường kính: 5.1 mm</t>
  </si>
  <si>
    <t>Nhu mô gan thô</t>
  </si>
  <si>
    <t>Hình ảnh nhân xơ tử cung kích thước : 33x38mm.</t>
  </si>
  <si>
    <t>Hình ảnh gan nhiễm mỡ| Polyp túi mật đường kính: 3,6 mm | Nang thận phải đường kính: 15,5 mm| Sỏi thận hai bên (Sỏi thận phải đường kính: 6,9 mm. Sỏi thận trái đường kính: 5,2 mm )</t>
  </si>
  <si>
    <t>Sỏi thận trái đường kính: 9.9mm.</t>
  </si>
  <si>
    <t>Hình ảnh gan nhiễm mỡ| Đa Polyp túi mật đường kính lớn nhất: 6 mm.</t>
  </si>
  <si>
    <t xml:space="preserve">Hình ảnh nang thận phải kích thước : 16 x 16mm. </t>
  </si>
  <si>
    <t>U nang buồng trứng phải kích thước: 33,5 x 17,6mm.</t>
  </si>
  <si>
    <t>TD Hình ảnh u cơ mỡ mạch thận phải kích thước : 9 x 9 mm|Dịch trong buồng tử cung kích thước : 9 mm</t>
  </si>
  <si>
    <t>Hình ảnh gan nhiễm mỡ | Polyp túi mật đường kính: 4.3mm.</t>
  </si>
  <si>
    <t xml:space="preserve">Nang Naboth cổ tử cung đường kính: 7,4 mm </t>
  </si>
  <si>
    <t>Hình ảnh gan nhiễm mỡ | Nang thận phải đường kính: 12.5mm.</t>
  </si>
  <si>
    <t>U máu gan phải kích thước: 8.2 x 9.2 mm</t>
  </si>
  <si>
    <t>Cặn thận trái đường kính: 4.7 mm</t>
  </si>
  <si>
    <t>U xơ tử cung đường kính: 10,2mm.</t>
  </si>
  <si>
    <t>Tử cung đã cắt toàn phần. (Do u xơ tử cung)</t>
  </si>
  <si>
    <t>Nốt vôi hóa gan phải đường kính: 6,1mm.</t>
  </si>
  <si>
    <t>U nang buồng trứng phải kích thước: 25.4x29mm</t>
  </si>
  <si>
    <t>Sỏi thận phải đường kính: 5.6mm.</t>
  </si>
  <si>
    <t>Sỏi túi mật đường kính: 6,8mm</t>
  </si>
  <si>
    <t>Đa u xơ tử cung kích thước lớn nhất: 48,6 x 44,8 mm</t>
  </si>
  <si>
    <t xml:space="preserve">Hình ảnh gan nhiễm mỡ| Polyp túi mật kích thước : 5mm. </t>
  </si>
  <si>
    <t xml:space="preserve">Hình ảnh gan nhiễm mỡ |Nang thận phải đường kính: 7.5 mm </t>
  </si>
  <si>
    <t>Hình ảnh gan nhiễm mỡ| Nhân xơ tử cung kích thước: 15 x 15mm.</t>
  </si>
  <si>
    <t>Hình ảnh sỏi thận trái kích thước : 6 mm|Nang Naboth cổ tử cung kích thước : 11 mm</t>
  </si>
  <si>
    <t>Hình ảnh gan nhiễm mỡ |U xơ tử cung đường kính: 11.6 mm|Theo dõi thai sớm trong buồng tử cung</t>
  </si>
  <si>
    <t>U xơ tử cung kích thước lớn nhất: 23,8 x 23,7mm| Sỏi thận phải đường kính: 5mm.</t>
  </si>
  <si>
    <t>Nang thận trái đường kính: 11.7 mm</t>
  </si>
  <si>
    <t>Bình thường|Theo dõi túi ối 5 tuần 2 ngày trong buồng tử cung.</t>
  </si>
  <si>
    <t>Theo dõi u máu gan phải kích thước: 12,6 x 12,9mm</t>
  </si>
  <si>
    <t>Hình ảnh gan nhiễm mỡ |Sỏi thận trái kích thước : 8 mm|Phì đại tuyến tiền liệt kích thước : 42 x 42 x 41 ~39g</t>
  </si>
  <si>
    <t xml:space="preserve">Nang gan phải kích thước: 26 x 15.6 mm </t>
  </si>
  <si>
    <t>Hình ảnh gan nhiễm mỡ |Polyp túi mật đường kính lớn nhất: 3.8 mm |Nang thận phải đường kính lớn nhất: 11.3 mm</t>
  </si>
  <si>
    <t>U xơ tử cung kích thước: 18,1 x 10,7 mm |U nang buồng trứng trái đường kính: 21,3 mm</t>
  </si>
  <si>
    <t>U xơ tử cung đường kính: 25mm.</t>
  </si>
  <si>
    <t>Hình ảnh sỏi thận phải kích thước : 6 mm</t>
  </si>
  <si>
    <t>Hình ảnh gan nhiễm mỡ| Nang gan phải đường kính: 10,1mm.</t>
  </si>
  <si>
    <t>Hình ảnh gan nhiễm mỡ|Nang thận phải kích thước : 19mm| Cặn sỏi thận kích thước : 5.6mm</t>
  </si>
  <si>
    <t>Bình thường.|Thai 38 tuần 1 ngày trong buồng tử cung.</t>
  </si>
  <si>
    <t>Nang Naboth cổ tử cung đường kính: 8mm.</t>
  </si>
  <si>
    <t>Nang thận trái đường kính: 19.6 mm</t>
  </si>
  <si>
    <t xml:space="preserve">U máu gan phải kích thước: 13 x 12,1 mm </t>
  </si>
  <si>
    <t>Nang gan trái kích thước: 63,1 x 103,3 mm/ Nang thận phải đường kính: 14 mm</t>
  </si>
  <si>
    <t>Hình ảnh sỏi thận trái kích thước : 7 mm</t>
  </si>
  <si>
    <t>Khối lạc nội mạc tử cung kích thước: 39,6 x 28mm.</t>
  </si>
  <si>
    <t>U xơ tử cung kích thước: 11.7 x 12.4 mm</t>
  </si>
  <si>
    <t>U xơ tử cung kích thước: 24 x 24 mm</t>
  </si>
  <si>
    <t>U nang buồng trứng kích thước: 19x20mm</t>
  </si>
  <si>
    <t>Hình ảnh gan nhiễm mỡ| Dịch túi cùng Douglas kích thước : 21x4mm</t>
  </si>
  <si>
    <t>Hình ảnh Polyp túi mật kích thước : 6 mm| Giãn đài bể thận phải do nhiều sỏi kích thước lớn nhất: 14 mm| Sỏi thận trái kích thước lớn nhất: 12 mm</t>
  </si>
  <si>
    <t xml:space="preserve">Hình ảnh gan nhiễm mỡ/ Polyp túi mật đường kính: 3,4 mm </t>
  </si>
  <si>
    <t>Nang thận trái đường kính: 14.2 mm</t>
  </si>
  <si>
    <t>Nang gan phải kích thước: 39,7 x 26,7mm và 30,2 x 28mm.</t>
  </si>
  <si>
    <t>Nang naboth cổ tử cung đường kính: 11.6 mm</t>
  </si>
  <si>
    <t>U xơ tử cung kích thước: 23,2 x 22,1mm.</t>
  </si>
  <si>
    <t xml:space="preserve">Nốt vôi hóa gan phải đường kính: 5.1 mm |Nang thận phải đường kính: 12.4 mm |Sỏi thận phải đường kính: 7.7 mm | U nang buồng trứng phải đường kính: 28.3 mm </t>
  </si>
  <si>
    <t>Hình ảnh gan nhiễm mỡ| Cặn thận trái đường kính: 4.5 mm</t>
  </si>
  <si>
    <t>U cơ mỡ mạch thận phải đường kính: 13,6 mm</t>
  </si>
  <si>
    <t>Nốt vôi hóa thận trái đường kính: 5,6 mm</t>
  </si>
  <si>
    <t>Hình ảnh gan nhiễm mỡ | Polyp túi mật đường kính: 5mm.</t>
  </si>
  <si>
    <t>Sỏi túi mật kích thước: 13,8 x 9,8 mm/ Cặn thận trái đường kính: 4,8 mm</t>
  </si>
  <si>
    <t xml:space="preserve">Hình ảnh gan nhiễm mỡ |Sỏi thận trái đường kính: 6.8 mm </t>
  </si>
  <si>
    <t>U xơ tử cung kích thước: 15,2 x 14,5mm</t>
  </si>
  <si>
    <t>Hình ảnh Polyp túi mật kích thước : 6 mm</t>
  </si>
  <si>
    <t xml:space="preserve">Hình ảnh gan nhiễm mỡ |Nốt vôi hóa thận phải đường kính: 4.2 mm </t>
  </si>
  <si>
    <t xml:space="preserve">Polyp túi mật đường kính: 4,4 mm </t>
  </si>
  <si>
    <t xml:space="preserve">Hình ảnh gan nhiễm mỡ/ Polyp túi mật đường kính: 5,8 mm </t>
  </si>
  <si>
    <t>Polyp túi mật đường kính: 3,5mm.</t>
  </si>
  <si>
    <t>Nang Naboth cổ tử cung kích thước: 9,4 x 9,9mm.</t>
  </si>
  <si>
    <t>Hình ảnh gan nhiễm mỡ| Polyp túi mật đường kính: 4 mm |Nang thận trái đường kính: 13.1 mm</t>
  </si>
  <si>
    <t xml:space="preserve">U xơ tử cung kích thước: 20,9 x 14,6 mm/ Polyp túi mật đường kính: 4,5 mm </t>
  </si>
  <si>
    <t>U nang buồng trứng phải kích thước: 32,6 x 42,3 mm</t>
  </si>
  <si>
    <t>Nang Naboth cổ tử cung kích thước: 7,5 x 7,1mm.</t>
  </si>
  <si>
    <t>Cặn thận trái đường kính: 4,2mm| Nang gan phải kích thước: 14,3 x 12,3mm| U xơ tử cung kích thước: 12,3 x 26,1mm.</t>
  </si>
  <si>
    <t>U xơ tử cung kích thước: 10 x 16,7mm.</t>
  </si>
  <si>
    <t>Hình ảnh gan nhiễm mỡ| Đa polyp túi mật đường kính lớn nhất: 5,9mm.</t>
  </si>
  <si>
    <t>Nang thận phải đường kính: 16.7 mm</t>
  </si>
  <si>
    <t>Polyp túi mật đường kính: 3,6mm.</t>
  </si>
  <si>
    <t>Hình ảnh gan nhiễm mỡ/ Nang thận phải đường kính: 12,1 mm</t>
  </si>
  <si>
    <t xml:space="preserve">Polyp túi mật đường kính: 6.8 mm </t>
  </si>
  <si>
    <t>U xơ tử cung kích thước: 22,2 x 20mm.</t>
  </si>
  <si>
    <t>Hình ảnh nang naboth cổ tử cung kích thước lớn nhất: 8 mm</t>
  </si>
  <si>
    <t>Nang thận phải đường kính: 16,5 mm</t>
  </si>
  <si>
    <t>Hình ảnh nang Naboth cổ tử cung kích thước lớn nhất: 14mm</t>
  </si>
  <si>
    <t>Nang Naboth cổ tử cung đường kính: 5.1m</t>
  </si>
  <si>
    <t>Cặn thận phải đường kính: 4,7 mm</t>
  </si>
  <si>
    <t>Nốt vôi hóa gan phải đường kính: 8,1mm.</t>
  </si>
  <si>
    <t xml:space="preserve">Polyp túi mật đường kính lớn nhất: 3 mm </t>
  </si>
  <si>
    <t>Sỏi thận trái đường kính: 5,2 mm</t>
  </si>
  <si>
    <t>Đa polyp túi mật đường kính lớn nhất: 6mm.</t>
  </si>
  <si>
    <t>U máu gan phải kích thước: 22.9 x 21.8 mm.</t>
  </si>
  <si>
    <t>U máu gan phải kích thước: 22,5 x 19,1 mm</t>
  </si>
  <si>
    <t>Sỏi thận phải đường kính: 6,1mm.</t>
  </si>
  <si>
    <t xml:space="preserve">Sỏi túi mật đường kính: 4.5 mm </t>
  </si>
  <si>
    <t xml:space="preserve">Hình ảnh gan nhiễm mỡ| Polyp túi mật đường kính: 5.1 mm </t>
  </si>
  <si>
    <t>Hình ảnh gan nhiễm mỡ. (Sau sinh)</t>
  </si>
  <si>
    <t>U xơ tử cung kích thước: 14,2 x 10,7mm</t>
  </si>
  <si>
    <t>Hình ảnh gan nhiễm mỡ | Sỏi thận trái đường kính: 7.4 mm</t>
  </si>
  <si>
    <t>Hình ảnh gan nhiễm mỡ | Nang thận trái đường kính: 12.4mm | U xơ tử cung đường kính: 12.8mm.</t>
  </si>
  <si>
    <t xml:space="preserve">Hình ảnh gan nhiễm mỡ/ Đa u xơ tử cung kích thước lớn nhất: 40,4 x 37,1 mm </t>
  </si>
  <si>
    <t>Nốt vôi hóa gan phải đường kính: 10.7 mm</t>
  </si>
  <si>
    <t>Polyp túi mật đường kính: 3,7mm| Cặn thận trái đường kính: 4,1mm.</t>
  </si>
  <si>
    <t>Bình thường.|Thai 08 tuần 01 ngày trong buồng tử cung.</t>
  </si>
  <si>
    <t xml:space="preserve">Hình ảnh gan nhiễm mỡ| Nang gan phải đường kính: 19,2 mm </t>
  </si>
  <si>
    <t>Hình ảnh gan nhiễm mỡ |U cơ mỡ mạch thận phải kích thước: 18.2 x 21.7 mm</t>
  </si>
  <si>
    <t>U xơ tử cung kích thước: 40.1 x 37.4 mm</t>
  </si>
  <si>
    <t xml:space="preserve">Sỏi thận trái đường kính: 14,2 mm </t>
  </si>
  <si>
    <t xml:space="preserve">Nang Naboth cổ tử cung đường kính: 8,5 mm </t>
  </si>
  <si>
    <t>TD nốt tăng âm thận phải đường kính: 5.8 mm</t>
  </si>
  <si>
    <t xml:space="preserve">Hình ảnh nang thận phải kích thước :13x12mm  
</t>
  </si>
  <si>
    <t xml:space="preserve">Sỏi thận trái đường kính: 6.4 mm </t>
  </si>
  <si>
    <t>Nang Naboth cổ tử cung đường kính: 7,2mm.</t>
  </si>
  <si>
    <t>Bình thường.|Thai 15 tuần 02 ngày trong buồng tử cung.</t>
  </si>
  <si>
    <t>Hình ảnh nốt vôi hóa gan phải kích thước : 10,7 mm</t>
  </si>
  <si>
    <t>Nang Naboth cổ tử cung kích thước: 9,5 x 11,9mm.</t>
  </si>
  <si>
    <t>U nang buồng trứng trái kích thước: 41.3x42.5mm</t>
  </si>
  <si>
    <t>Sỏi thận phải đường kính: 6,2 mm</t>
  </si>
  <si>
    <t>Nang tiền liệt tuyến đường kính: 9 mm</t>
  </si>
  <si>
    <t>Hình ảnh polyp túi mật kích thước : 4 mm</t>
  </si>
  <si>
    <t>Cặn thận trái đường kính 3,9 mm</t>
  </si>
  <si>
    <t>Hình ảnh gan nhiễm mỡ | Polyp túi mật đường kính: 3.9mm.</t>
  </si>
  <si>
    <t>Sỏi túi mật đường kính lớn nhất: 15 mm</t>
  </si>
  <si>
    <t>Hình ảnh gan nhiễm mỡ | Polyp túi mật đường kính: 6.5mm.</t>
  </si>
  <si>
    <t xml:space="preserve">U máu gan trái kích thước: 13,9 x 9,3mm | Gan nhiễm mỡ. </t>
  </si>
  <si>
    <t>Hình ảnh nang buồng trứng trái kích thước : 40 mm</t>
  </si>
  <si>
    <t>Polyp túi mật đường kính lớn nhất: 5.3 mm |Sỏi thận phải đường kính: 7.7 mm</t>
  </si>
  <si>
    <t>Đa polyp túi mật đường kính lớn nhất: 6,7mm.</t>
  </si>
  <si>
    <t xml:space="preserve">Sỏi thận trái kích thước: 5,5 mm </t>
  </si>
  <si>
    <t>Nốt vôi hóa gan phải đường kính: 5,5mm| Đã cắt lách</t>
  </si>
  <si>
    <t>Hình ảnh nang Naboth cổ tử cung đường kính : 9mm.</t>
  </si>
  <si>
    <t>Hình ảnh gan nhiễm mỡ. |Sỏi thận trái đường kính: 5,4mm</t>
  </si>
  <si>
    <t>U nang buồng trứng trái kích thước: 27.5 x 27.2 mm.</t>
  </si>
  <si>
    <t>Bình thường.|Thai 19 tuần 06 ngày trong buồng tử cung.</t>
  </si>
  <si>
    <t xml:space="preserve">Polyp túi mật đường kính: 3,5 mm </t>
  </si>
  <si>
    <t>Polyp túi mật đường kính: 3.9mm | Cặn thận phải đường kính: 4.7mm.</t>
  </si>
  <si>
    <t xml:space="preserve">U xơ tử cung kích thước: 16,9 x 14,2 mm </t>
  </si>
  <si>
    <t>Đa sỏi thận trái kích thước lớn nhất: 11,9 x 4,2 mm/ Tử cung đã cắt bán phần</t>
  </si>
  <si>
    <t xml:space="preserve">Đa polyp túi mật đường kính lớn nhất: 6 mm| Nang thận trái đường kính: 11.3 mm </t>
  </si>
  <si>
    <t>Hình ảnh gan nhiễm mỡ | Nốt vôi hóa gan trái kích thước: 22 x 18.2mm.</t>
  </si>
  <si>
    <t>Hình ảnh gan nhiễm mỡ| Sỏi túi mật đường kính lớn nhất: 12,4mm| Dụng cụ tránh thai tụt thấp.</t>
  </si>
  <si>
    <t>U xơ tử cung kích thước: 15.2 x 7.1mm.</t>
  </si>
  <si>
    <t>Hình ảnh gan nhiễm mỡ| U xơ tử cung đường kính: 10.8mm</t>
  </si>
  <si>
    <t>Hình ảnh gan nhiễm mỡ| Đa sỏi túi mật đường kính lớn nhất: 15,4 mm| U xơ tử cung kích thước: 18,9 x 23,3 mm| U cơ mỡ mạch thận trái đường kính: 8,7 mm</t>
  </si>
  <si>
    <t>Nang thận trái đường kính: 10.2mm.</t>
  </si>
  <si>
    <t>U nang buồng trứng trái đường kính: 27,9 mm</t>
  </si>
  <si>
    <t>Nang Naboth cổ tử cung đường kính: 13.7 mm</t>
  </si>
  <si>
    <t xml:space="preserve">Hình ảnh gan nhiễm mỡ | U xơ tử cung đường kính: 10.9mm. </t>
  </si>
  <si>
    <t>Cặn sỏi thận phải đường kính: 3,6mm.</t>
  </si>
  <si>
    <t>U xơ tử cung kích thước: 19.4x21.6mm</t>
  </si>
  <si>
    <t>U xơ tử cung đường kính: 10.4 mm. Đa polyp túi mật đường kính: 5.3 mm</t>
  </si>
  <si>
    <t>U xơ tử cung kích thước: 17.4x20.5mm</t>
  </si>
  <si>
    <t>Polyp túi mật đường kính: 5,5mm| Nang Naboth cổ tử cung đường kính: 10,4mm.</t>
  </si>
  <si>
    <t xml:space="preserve">Nang thận trái đường kính: 16.6 mm </t>
  </si>
  <si>
    <t xml:space="preserve">Nốt vôi hóa thận trái đường kính: 5.3 mm </t>
  </si>
  <si>
    <t xml:space="preserve">Polyp túi mật đường kính: 3.8 mm </t>
  </si>
  <si>
    <t>Nốt vôi hóa gan phải đường kính: 8,2mm| Nang thận phải kích thước: 10,5 x 9,7mm| Nang Naboth cổ tử cung kích thước: 7,9mm.</t>
  </si>
  <si>
    <t>Polyp túi mật đường kính: 4,5mm| U xơ tử cung đường kính: 14,2mm.</t>
  </si>
  <si>
    <t>Hình ảnh gan nhiễm mỡ| Nang Naboth cổ tử cung đường kính: 14.8 mm</t>
  </si>
  <si>
    <t>Nốt vôi hóa thận phải đường kính: 5,5mm.</t>
  </si>
  <si>
    <t>Polyp túi mật đường kính: 3.6mm.</t>
  </si>
  <si>
    <t>Theo dõi U bì buồng trứng phải kích thước: 40.5x44.6mm</t>
  </si>
  <si>
    <t>Nang thận trái đường kính: 43.1mm</t>
  </si>
  <si>
    <t>Đa u xơ tử cung kích thước lớn nhất: 47.1 x 39.6 mm</t>
  </si>
  <si>
    <t xml:space="preserve">Polyp túi mật đường kính: 4.7 mm </t>
  </si>
  <si>
    <t>U nang buồng trứng phải đường kính: 25.3 mm</t>
  </si>
  <si>
    <t>Nang gan trái đường kính: 18,8mm| Nang gan phải đường kính: 12,4mm</t>
  </si>
  <si>
    <t>Buồng trứng trái đã cắt.</t>
  </si>
  <si>
    <t>Hình ảnh gan nhiễm mỡ | Đa Polyp túi mật đường kính lớn nhất: 8.8 mm |U xơ tử cung kích thước: 17.3 x 17.1 mm| Khối lạc nội mạc tử cung kích thước: 39.9 x 34.7 mm| TD hình ảnh tử cung đôi không hoàn toàn</t>
  </si>
  <si>
    <t>Nang thận trái đường kính: 18 mm</t>
  </si>
  <si>
    <t>Polyp túi mật đường kính: 6,2 mm</t>
  </si>
  <si>
    <t xml:space="preserve">Nang thận trái kích thước: 10,2 x 7,1 mm/ Tử cung đã cắt bán phần </t>
  </si>
  <si>
    <t xml:space="preserve">Polyp túi mật đường kính lớn nhất: 7,5mm. </t>
  </si>
  <si>
    <t xml:space="preserve">Polyp túi mật đường kính: 4,3 mm </t>
  </si>
  <si>
    <t>Nang Naboth cổ tử cung đường kính: 20.5mm</t>
  </si>
  <si>
    <t>Sỏi thận trái đường kính: 7,3 mm</t>
  </si>
  <si>
    <t>Hình ảnh gan nhiễm mỡ| Nang Naboth cổ tử cung đường kính: 7.6mm</t>
  </si>
  <si>
    <t>Sỏi thận trái đường kính: 7,6mm.</t>
  </si>
  <si>
    <t>Nang thận phải đường kính: 15.4 mm</t>
  </si>
  <si>
    <t>Polyp túi mật đường kính: 6,1 mm</t>
  </si>
  <si>
    <t xml:space="preserve">Nang gan trái đường kính: 12,1 mm </t>
  </si>
  <si>
    <t>Nang naboth cổ tử cung đường kính: 6,3 mm</t>
  </si>
  <si>
    <t>Hình ảnh polyp túi mật kích thước : 3mm</t>
  </si>
  <si>
    <t>U cơ mỡ mạch thận phải kích thước: 32,8 x 45,7 mm</t>
  </si>
  <si>
    <t>Nang naboth cổ tử cung đường kính: 7,8 mm</t>
  </si>
  <si>
    <t>Nang Naboth cổ tử cung kích thước: 9,2 x 5,8mm.</t>
  </si>
  <si>
    <t xml:space="preserve">U xơ tử cung kích thước 17,3x9,7mm|Sỏi thận trái đường kính 9,8 mm </t>
  </si>
  <si>
    <t>Cặn thận trái đường kính: 4.2mm</t>
  </si>
  <si>
    <t>Polyp túi mật đường kính: 3,9mm.</t>
  </si>
  <si>
    <t>Hình ảnh nang buồng trứng phải kích thước : 34x32mm.</t>
  </si>
  <si>
    <t>Sỏi thận phải đường kính: 5,7mm.</t>
  </si>
  <si>
    <t>Nang Naboth cổ tử cung đường kính: 10.9 mm|U nang buồng trứng trái đường kính: 34.5 mm</t>
  </si>
  <si>
    <t>Sỏi đường mật gan trái đường kính: 8,1 mm</t>
  </si>
  <si>
    <t>Nang thận phải đường kính: 13,4mm.</t>
  </si>
  <si>
    <t>Đa nang gan phải đường kính lớn nhất: 7.1 mm|Nang Naboth cổ tử cung đường kính: 6.1 mm</t>
  </si>
  <si>
    <t xml:space="preserve">U xơ tử cung kích thước: 29,5 x 23,7 mm </t>
  </si>
  <si>
    <t xml:space="preserve">Polyp túi mật đường kính: 6,6 mm </t>
  </si>
  <si>
    <t>U máu gan trái kích thước: 15,4 x 15,8mm.</t>
  </si>
  <si>
    <t>Dụng cụ tránh thai tụt thấp</t>
  </si>
  <si>
    <t>Cặn thận phải đường kính: 4,4mm</t>
  </si>
  <si>
    <t>Theo dõi u máu gan phải kích thước: 17,4 x 16,3mm | Gan nhiễm mỡ.</t>
  </si>
  <si>
    <t>TD xốp tủy thận hai bên/ Đa nang thận hai bên ( Nang thận phải đường kính lớn nhất: 24.9 mm. Nang thận trái đường kính lớn nhất: 29.7 mm )|Nang Naboth cổ tử cung đường kính: 10.4 mm</t>
  </si>
  <si>
    <t>Bình thường.|Thai 9 tuần 1 ngày trong buồng tử cung.</t>
  </si>
  <si>
    <t>Nang gan phải đường kính: 11.4mm.</t>
  </si>
  <si>
    <t>Nang thận phải đường kính: 11.4mm | U cơ mỡ mạch thận phải đường kính: 19.5mm | U xơ tử cung kích thước: 66.2 x 58.9mm.</t>
  </si>
  <si>
    <t>U máu gan phải kích thước: 18.7 x 9.6mm.</t>
  </si>
  <si>
    <t xml:space="preserve"> U máu gan phải kích thước 14.8x17.7mm| U xơ tử cung đường kính: 12.3mm</t>
  </si>
  <si>
    <t>Nang naboth cổ tử cung đường kính: 11.7 mm</t>
  </si>
  <si>
    <t xml:space="preserve">Đa Polyp túi mật đường kính lớn nhất: 3.7 mm </t>
  </si>
  <si>
    <t>U nang buồng trứng phải kích thước: 53.6 x 37.2 mm .</t>
  </si>
  <si>
    <t>Cặn thận trái đường kính: 4.7mm.</t>
  </si>
  <si>
    <t>U xơ tử cung kích thước: 23.5 x 16 mm</t>
  </si>
  <si>
    <t>Polyp túi mật đường kính: 4.9mm| U xơ tử cung kích thước: 26.1x30.9mm</t>
  </si>
  <si>
    <t>Nang naboth cổ tử cung đường kính: 7,1 mm</t>
  </si>
  <si>
    <t>U nang buồng trứng trái kích thước: 57.5 x 32.2mm.</t>
  </si>
  <si>
    <t xml:space="preserve">Polyp túi mật đường kính: 4,9 mm </t>
  </si>
  <si>
    <t>Hình ảnh nhân xơ tử cung kích thước : 9mm.</t>
  </si>
  <si>
    <t>Nang thận trái đường kính: 12,5 mm</t>
  </si>
  <si>
    <t>Cặn sỏi thận phải đường kính: 4,6mm.</t>
  </si>
  <si>
    <t>Bình thường.|Hình ảnh thai đôi (Thai 1: Thai 21 tuần 4 ngày trong buồng tử cung. Thai 2: Thai 21 tuần 3 ngày trong buồng tử cung )</t>
  </si>
  <si>
    <t xml:space="preserve">U xơ tử cung kích thước: 30 x 14,6 mm </t>
  </si>
  <si>
    <t>Hình ảnh nang thận phải kích thước : 13 mm</t>
  </si>
  <si>
    <t>Cặn thận trái đường kính: 4,2mm</t>
  </si>
  <si>
    <t xml:space="preserve">Polyp túi mật đường kính: 6,1 mm </t>
  </si>
  <si>
    <t>Hình ảnh nang thận phải kích thước : 9mm.</t>
  </si>
  <si>
    <t>Dịch túi cùng douglas đường kính: 12.5mm</t>
  </si>
  <si>
    <t>Cặn thận phải đường kính: 4,8mm| Sỏi thận trái đường kính: 8,2mm</t>
  </si>
  <si>
    <t>Đa u xơ tử cung kích thước lớn nhất: 18.6 x 15.8 mm</t>
  </si>
  <si>
    <t>U nang buồng trứng phải kích thước: 31,1 x 15mm| Sỏi thận phải đường kính: 6,2mm| Polyp túi mật đường kính: 5mm.</t>
  </si>
  <si>
    <t>U nang buồng trứng trái đường kính: 18,1mm.</t>
  </si>
  <si>
    <t>Polyp túi mật đường kính: 4.3mm.</t>
  </si>
  <si>
    <t>Nang thận phải đường kính: 14,5 mm</t>
  </si>
  <si>
    <t xml:space="preserve"> Hình ảnh gan nhiễm mỡ/Sỏi thận trái đường kính: 5 mm </t>
  </si>
  <si>
    <t>U máu gan phải kích thước: 9,2 x 9,2mm.</t>
  </si>
  <si>
    <t xml:space="preserve">Hình ảnh gan nhiễm mỡ| Polyp túi mật đường kính: 3,6 mm </t>
  </si>
  <si>
    <t>Hình ảnh sỏi thận phải kích thước lớn nhất:13mm</t>
  </si>
  <si>
    <t>U xơ tử cung kích thước 19,4x19,4mm</t>
  </si>
  <si>
    <t>Hình ảnh gan nhiễm mỡ| Nang Naboth cổ tử cung đường kính: 5.8mm</t>
  </si>
  <si>
    <t xml:space="preserve">U nang buồng trứng phải đường kính: 27,2 mm/ Polyp túi mật đường kính: 4,9 mm </t>
  </si>
  <si>
    <t>U nang buồng trứng trái kích thước: 29.1 x 26.3 mm</t>
  </si>
  <si>
    <t>Hình ảnh gan nhiễm mỡ| Polyp túi mật đường kính: 5,4mm.</t>
  </si>
  <si>
    <t>Hình ảnh gan nhiễm mỡ| Cặn sỏi thận trái kích thước : 5.3mm</t>
  </si>
  <si>
    <t>Hình ảnh gan nhiễm mỡ | Polyp túi mật đường kính: 5.3mm.</t>
  </si>
  <si>
    <t>Nang naboth cổ tử cung đường kính: 11,3 mm| Nang thận trái đường kính: 12,4 mm</t>
  </si>
  <si>
    <t xml:space="preserve">U nang buồng trứng phải đường kính: 20.7 mm </t>
  </si>
  <si>
    <t>Polyp túi mật đường kính: 6,2mm</t>
  </si>
  <si>
    <t>Nang naboth cổ tử cung đường kính: 12,7 mm</t>
  </si>
  <si>
    <t>U nang buồng trứng phải đường kính: 30.6 mm</t>
  </si>
  <si>
    <t>Hình ảnh gan nhiễm mỡ| Nang thận phải đường kính: 20 mm</t>
  </si>
  <si>
    <t>Nang thận trái đường kính: 14,1 mm</t>
  </si>
  <si>
    <t>Polyp túi mật đường kính: 5,2mm</t>
  </si>
  <si>
    <t>U xơ tử cung kích thước: 21,7 x 20,1mm| U nang buồng trứng trái đường kính: 27mm.</t>
  </si>
  <si>
    <t>U máu gan phải kích thước: 17,2 x 17,1 mm/ U nang buồng trứng trái kích thước: 70,6 x 51,3mm</t>
  </si>
  <si>
    <t>Nốt vôi hóa tiền liệt tuyến đường kính: 5,4 mm</t>
  </si>
  <si>
    <t xml:space="preserve"> Hình ảnh gan nhiễm mỡ .</t>
  </si>
  <si>
    <t>Sỏi túi mật đường kính: 10,9mm</t>
  </si>
  <si>
    <t>Hình ảnh nhân xơ tử cung kích thước : 18 x 15mm| Nang naboth cổ tử cung kích thước : 9 x 9mm.</t>
  </si>
  <si>
    <t>Nang thận phải đường kính: 10 mm</t>
  </si>
  <si>
    <t>Thận đa nang hai bên ( nang thận phải đường kính lớn nhất: 32.4 mm , nang thận trái đường kính lớn nhất: 25.6 mm )</t>
  </si>
  <si>
    <t>Nang thận trái đường kính: 13.8 mm</t>
  </si>
  <si>
    <t xml:space="preserve">Polyp túi mật đường kính: 5.6 mm </t>
  </si>
  <si>
    <t>Hình ảnh gan nhiễm mỡ| Lách tăng kích thước 142.4 x 51.2 mm</t>
  </si>
  <si>
    <t>Khối giảm âm gan trái kích thước: 29.9 x 28.2 mm/ Gan nhiễm mỡ</t>
  </si>
  <si>
    <t>Buồng trứng trái đã cắt</t>
  </si>
  <si>
    <t>U xơ tử cung kích thước 34,8x26,5mm</t>
  </si>
  <si>
    <t>Đa u máu gan phải kích thước: 28,7 x 26,5 mm</t>
  </si>
  <si>
    <t>Sỏi thận phải đường kính: 4.8 mm</t>
  </si>
  <si>
    <t>Sỏi túi mật đường kính: 6.5 mm| Nang thận phải đường kính: 10 mm</t>
  </si>
  <si>
    <t>Sỏi thận phải đường kính: 5.9mm| Cặn thận trái đường kính: 4.6mm</t>
  </si>
  <si>
    <t>Sỏi túi mật đường kính: 6,9mm| Polyp túi mật đường kính: 5,4mm</t>
  </si>
  <si>
    <t>Hình ảnh gan nhiễm mỡ |Nang gan phải kích thước lớn nhất: 17.5 x 11 mm| Nang thận trái đường kính: 14.5 mm</t>
  </si>
  <si>
    <t>Hình ảnh gan nhiễm mỡ| U xơ tử cung kích thước: 19,1 x 22,8 mm</t>
  </si>
  <si>
    <t>U cơ mỡ mạch thận trái kích thước: 30,9 x 32,6 mm| U nang buồng trứng trái kích thước: 28 x 34,6 mm</t>
  </si>
  <si>
    <t>Hình ảnh gan nhiễm mỡ. |Theo dõi u cơ mỡ mạch thận trái kích thước: 14,5 x 13mm</t>
  </si>
  <si>
    <t xml:space="preserve">Hình ảnh gan nhiễm mỡ |Sỏi thận trái đường kính: 6.5 mm </t>
  </si>
  <si>
    <t>U xơ tử cung kích thước: 15.7 x 17.2 mm</t>
  </si>
  <si>
    <t>Nang Naboth cổ tử cung đường kính: 4,8mm</t>
  </si>
  <si>
    <t>Đa nang gan đường kính lớn nhất: 13,5mm|Đa nang thận hai bên ( Nang thận phải đường kính lớn nhất: 19,7mm. Nang thận trái đường kính lớn nhất: 25,7mm )</t>
  </si>
  <si>
    <t>U xơ tử cung đường kính lớn nhất: 9.3mm | Nang Naboth tử cung đường kính: 21.1mm.</t>
  </si>
  <si>
    <t xml:space="preserve">Polyp túi mật đường kính lớn nhất: 4.8 mm </t>
  </si>
  <si>
    <t>Hình ảnh nhân xơ tử cung kích thước : 32 x 33 mm</t>
  </si>
  <si>
    <t>U xơ tử cung đường kính: 13,8mm.</t>
  </si>
  <si>
    <t>Polyp túi mật đường kính: 6,4mm</t>
  </si>
  <si>
    <t>U xơ tử cung kích thước: 21,8 x 26,3 mm</t>
  </si>
  <si>
    <t xml:space="preserve">Sỏi thận trái đường kính: 4,2 mm </t>
  </si>
  <si>
    <t>Lách đã cắt.</t>
  </si>
  <si>
    <t xml:space="preserve"> Polyp túi mật đường kính: 4,1 mm </t>
  </si>
  <si>
    <t>U máu gan phải kích thước: 8.7 x 8.4 mm</t>
  </si>
  <si>
    <t>Đa Polyp túi mật kích thước lớn nhất 4,4mm.</t>
  </si>
  <si>
    <t xml:space="preserve">Hình ảnh gan nhiễm mỡ/ U xơ tử cung kích thước: 44,4 x 44,6 mm/ Đa sỏi túi mật kích thước lớn nhất: 15 x 6,7 mm </t>
  </si>
  <si>
    <t>Sỏi thận phải đường kính: 6,4mm| Nang thận phải đường kính: 10,5mm| Đã cắt tử cung phần phụ.</t>
  </si>
  <si>
    <t>Tuyến tiền liệt tăng kích thước ~35g</t>
  </si>
  <si>
    <t xml:space="preserve">Hình ảnh gan nhiễm mỡ |Sỏi thận trái đường kính: 5.5 mm </t>
  </si>
  <si>
    <t>Hình ảnh nhân xơ tử cung kích thước : 11 x11 mm.</t>
  </si>
  <si>
    <t>Hình ảnh gan nhiễm mỡ/ Polyp túi mật đường kính: 6 mm</t>
  </si>
  <si>
    <t>Hình ảnh sỏi túi mật kích thước : 15 mm</t>
  </si>
  <si>
    <t>Hình ảnh cholesterol bám thành túi mật</t>
  </si>
  <si>
    <t>Nốt vôi hóa gan phải đường kính: 6.1mm</t>
  </si>
  <si>
    <t>U xơ tử cung kích thước: 37 x 35,3 mm</t>
  </si>
  <si>
    <t>Cặn thận phải đường kính: 4.2 mm</t>
  </si>
  <si>
    <t>Hình ảnh gan nhiễm mỡ | Nang thận phải đường kính: 24.8 mm|Nốt vôi hóa thận trái đường kính: 6.4 mm</t>
  </si>
  <si>
    <t xml:space="preserve">Hình ảnh gan nhiễm mỡ |Sỏi thận trái đường kính: 6 mm </t>
  </si>
  <si>
    <t>Hình ảnh gan nhiễm mỡ/ Polyp túi mật đường kính: 3,9 mm</t>
  </si>
  <si>
    <t>Sỏi thận trái đường kính: 5.2mm</t>
  </si>
  <si>
    <t xml:space="preserve">Hình ảnh gan nhiễm mỡ |Sỏi túi mật kích thước: 19.3 x 10.5 mm </t>
  </si>
  <si>
    <t>Hình ảnh gan nhiễm mỡ | Đa u xơ tử cung kích thước lớn nhất: 49.3 x 34.6mm | U nang buồng trứng phải đường kính: 57mm.</t>
  </si>
  <si>
    <t>Hình ảnh cặn sỏi thận phải kích thước :5mm</t>
  </si>
  <si>
    <t>Nang Naboth cổ tử cung đường kính: 10.5 mm</t>
  </si>
  <si>
    <t>Hình ảnh gan nhiễm mỡ/ Nốt vôi hóa tiền liệt tuyến đường kính: 2,3 mm</t>
  </si>
  <si>
    <t>Cặn thận phải đường kính: 3.2 mm</t>
  </si>
  <si>
    <t>Hình ảnh gan nhiễm mỡ |Sỏi thận hai bên (Sỏi thận phải đường kính: 6.1 mm , sỏi thận trái đường kính: 5.4 mm )</t>
  </si>
  <si>
    <t>U xơ tử cung kích thước: 10.5 x 10 mm</t>
  </si>
  <si>
    <t>Hình ảnh gan nhiễm mỡ| Nang thận trái kích thước: 23 x 23,2mm</t>
  </si>
  <si>
    <t>U nang buồng trứng trái đường kính lớn nhất: 14,2mm| Gan nhiễm mỡ.</t>
  </si>
  <si>
    <t xml:space="preserve">Sỏi thận trái đường kính: 5 mm/U xơ tử cung kích thước: 20,5 x 19,4 mm </t>
  </si>
  <si>
    <t>Hình ảnh gan nhiễm mỡ| Nang thận trái đường kính: 12.4m</t>
  </si>
  <si>
    <t>Hình ảnh gan nhiễm mỡ |Giãn đài bể thận hai bên |Sỏi niệu quản phải đường kính: 12 mm/ Sỏi thận trái kích thước: 17.8 x 11.2 mm</t>
  </si>
  <si>
    <t>Polyp túi mật đường kính: 5,9 mm/ U xơ tử cung kích thước: 72 x 96 mm</t>
  </si>
  <si>
    <t>Nang gan trái đường kính: 9mm.</t>
  </si>
  <si>
    <t>U xơ tử cung kích thước: 46,6 x 32,5 mm</t>
  </si>
  <si>
    <t>Nang naboth cổ tử cung đường kính: 12,6 mm</t>
  </si>
  <si>
    <t>Nang gan trái kích thước: 14,3 x 21,2mm.</t>
  </si>
  <si>
    <t>Hình ảnh gan nhiễm mỡ| Sỏi túi mật đường kính: 10.8mm.</t>
  </si>
  <si>
    <t>Nang thận trái đường kính: 12,8 mm</t>
  </si>
  <si>
    <t>Đa sỏi túi mật đường kính lớn nhất: 12,4mm.</t>
  </si>
  <si>
    <t>Polyp túi mật đường kính: 3,8 mm</t>
  </si>
  <si>
    <t>U xơ tử cung kích thước: 18.3x19.7mm</t>
  </si>
  <si>
    <t>Hình ảnh nhân xơ tử cung kích thước : 15 x 14 mm</t>
  </si>
  <si>
    <t xml:space="preserve">Đa u xơ tử cung kích thước lớn nhất: 19,4 x 13, 9 mm </t>
  </si>
  <si>
    <t xml:space="preserve">Hình ảnh đa polyp túi mật kích thước : 5 mm/Cặn sỏi thận trái kích thước : 5 mm |Nang buồng trứng trái kích thước : 39 x 26 x 16 mm </t>
  </si>
  <si>
    <t>U nang buồng trứng phải kích thước: 38 x 38,6 mm</t>
  </si>
  <si>
    <t>Nang thận phải kích thước: 17,7 x 14,3mm. |Nang Naboth cổ tử cung đường kính: 8,7mm| U xơ tử cung kích thước: 23,8 x 22,7mm</t>
  </si>
  <si>
    <t>TD Hình ảnh nốt tăng âm gan phải kích thước : 15 x 13 mm |Sỏi thận phải kích thước : 9 mm</t>
  </si>
  <si>
    <t>Sỏi thận phải đường kính: 5 mm</t>
  </si>
  <si>
    <t>Sỏi thận trái đường kính: 15.5 mm</t>
  </si>
  <si>
    <t>Nốt vôi hóa gan phải đường kính: 4.9mm | Nang buồng trứng trái đường kính: 11.1mm | U nang buồng trứng phải kích thước: 47.3 x 28.2mm.</t>
  </si>
  <si>
    <t>Sỏi thận trái đường kính: 7,2 mm</t>
  </si>
  <si>
    <t>Polyp túi mật đường kính: 5,5mm.</t>
  </si>
  <si>
    <t>Túi mật đã cắt.</t>
  </si>
  <si>
    <t xml:space="preserve">Sỏi túi mật kích thước: 19 x 8,9mm. </t>
  </si>
  <si>
    <t>Hình ảnh gan nhiễm mỡ |Nốt vôi hóa thận trái đường kính: 6.9 mm|U nang buồng trứng trái kích thước: 49.5 x 41 mm</t>
  </si>
  <si>
    <t xml:space="preserve">Polyp túi mật đường kính lớn nhất: 5 mm </t>
  </si>
  <si>
    <t>Hình ảnh polyp túi mật kích thước : 5mm</t>
  </si>
  <si>
    <t>Hình ảnh cặn sỏi thận phải kích thước : 5 mm</t>
  </si>
  <si>
    <t xml:space="preserve">U máu gan phải kích thước: 28 x 23.3 mm. </t>
  </si>
  <si>
    <t>Nốt vôi hóa gan phải đường kính: 4,8 mm</t>
  </si>
  <si>
    <t>Hình ảnh gan nhiễm mỡ | U máu gan phải đường kính: 20.5mm</t>
  </si>
  <si>
    <t>Hình ảnh đa Polyp túi mật kích thước lớn nhất: 9mm| Gan nhiễm mỡ</t>
  </si>
  <si>
    <t>Sỏi thận phải đường kính: 5.5 mm |Nang naboth cổ tử cung đường kính: 11 mm</t>
  </si>
  <si>
    <t>Hình ảnh gan nhiễm mỡ| Nang thận trái đường kính: 11.7 mm</t>
  </si>
  <si>
    <t>Nang Naboth cổ tử cung đường kính: 9.5 mm</t>
  </si>
  <si>
    <t>Nang Naboth cổ tử cung kích thước: 10,7 x 11,5mm.</t>
  </si>
  <si>
    <t>Nang thận trái đường kính: 13.6 mm</t>
  </si>
  <si>
    <t>Hình ảnh gan nhiễm mỡ| Sỏi thận trái đường kính: 5,5mm</t>
  </si>
  <si>
    <t>Hình ảnh nốt vôi hóa gan phải kích thước : 8 mm</t>
  </si>
  <si>
    <t>Polyp túi mật đường kính: 4,7mm.</t>
  </si>
  <si>
    <t xml:space="preserve">Hình ảnh gan nhiễm mỡ/Nang thận trái kích thước: 16,2 x 15,2 mm/Polyp túi mật đường kính: 4 mm </t>
  </si>
  <si>
    <t>U nang buồng trứng phải đường kính: 37,4 mm</t>
  </si>
  <si>
    <t>Polyp túi mật đường kính: 4.4 mm| Sỏi thận trái đường kính: 5.2 mm</t>
  </si>
  <si>
    <t>Hình ảnh gan nhiễm mỡ | Sỏi túi mật đường kính: 7.2mm | U xơ tử cung kích thước: 21.9 x 12.6mm.</t>
  </si>
  <si>
    <t xml:space="preserve">Hình ảnh gan nhiễm mỡ| Cặn thận hai bên (Cặn thận phải đường kính: 3.7mm. Cặn thận trái đường kính: 4.2mm)| Dụng cụ tránh thai không liên tục trong tử cung </t>
  </si>
  <si>
    <t>Hình ảnh gan nhiễm mỡ |Nang thận phải đường kính: 21 mm</t>
  </si>
  <si>
    <t>U nang buồng trứng phải kích thước: 16,6 x 31,6mm.</t>
  </si>
  <si>
    <t>Bình thường.|Thai 15 tuần 04 ngày trong buồng tử cung.</t>
  </si>
  <si>
    <t xml:space="preserve">Sỏi túi mật kích thước: 4.5x13.4mm </t>
  </si>
  <si>
    <t>Nốt vôi hóa thận trái đường kính: 10,6mm.</t>
  </si>
  <si>
    <t>Polyp túi mật đường kính: 3.9mm.</t>
  </si>
  <si>
    <t>Hình ảnh gan nhiễm mỡ |Nang Naboth cổ tử cung đường kính: 7.1 mm| U nang buồng trứng phải đường kính: 25.7 mm</t>
  </si>
  <si>
    <t xml:space="preserve">U xơ tử cung kích thước: 50,6 x 32,5 mm </t>
  </si>
  <si>
    <t>U xơ tử cung kích thước: 23,4 x 28mm</t>
  </si>
  <si>
    <t>Hình ảnh sỏi túi mật kích thước lớn nhất: 12 mm</t>
  </si>
  <si>
    <t>Nang Naboth cổ tử cung đường kính lớn nhất: 11,3mm.</t>
  </si>
  <si>
    <t>Bình thường.|Thai 08 tuần 05 ngày trong buồng tử cung.</t>
  </si>
  <si>
    <t>Nang thận trái đường kính: 11,4mm.</t>
  </si>
  <si>
    <t>Nang gan phải đường kính: 7,8mm</t>
  </si>
  <si>
    <t>U nang buồng trứng trái kích thước: 23.5x21.6mm</t>
  </si>
  <si>
    <t>U nang buồng trứng phải kích thước: 39,4 x 36,5 mm/ Cặn thận trái đường kính: 4,7 mm</t>
  </si>
  <si>
    <t>U xơ tử cung kích thước: 28 x 21.9mm.</t>
  </si>
  <si>
    <t>Đã cắt tử cung phần phụ| Gan nhiễm mỡ.</t>
  </si>
  <si>
    <t>Hình ảnh nang naboth cổ tử cung kích thước lớn nhất: 14 mm</t>
  </si>
  <si>
    <t xml:space="preserve">Đám sỏi túi mật đường kính: 22,6 mm </t>
  </si>
  <si>
    <t>U nang buồng trứng phải kích thước: 26.8x26.7mm</t>
  </si>
  <si>
    <t xml:space="preserve">Polyp túi mật đường kính: 6,2 mm </t>
  </si>
  <si>
    <t>Nốt vôi hóa gan phải đường kính: 4.9 mm |Cặn thận trái đường kính: 4.2 mm|U xơ tử cung đường kính: 9.3 mm</t>
  </si>
  <si>
    <t>Hình ảnh gan nhiễm mỡ | Nang thận phải đường kính: 11.9mm.</t>
  </si>
  <si>
    <t>U xơ tử cung kích thước lớn nhất: 32,1 x 26,8 mm</t>
  </si>
  <si>
    <t>Theo dõi u máu gan phải kích thước: 11,3 x 11,6mm</t>
  </si>
  <si>
    <t xml:space="preserve">Hình ảnh polyp túi mật kích thước : 4 mm </t>
  </si>
  <si>
    <t xml:space="preserve">Hình ảnh gan nhiễm mỡ/Nốt vôi hóa gan phải kích thước : 5 mm </t>
  </si>
  <si>
    <t>Cặn thận trái đường kính: 4,8 mm</t>
  </si>
  <si>
    <t>Sỏi túi mật đường kính: 7,7mm. (ĐHC)</t>
  </si>
  <si>
    <t>Cặn thận trái đường kính: 3.9mm</t>
  </si>
  <si>
    <t>Nang Naboth cổ tử cung đường kính: 9,5mm</t>
  </si>
  <si>
    <t>Nang thận phải đường kính 16,3 mm</t>
  </si>
  <si>
    <t>U nang buồng trứng phải đường kính: 16,8mm.</t>
  </si>
  <si>
    <t>Đa polyp túi mật đường kính lớn nhất: 4,5mm|U xơ tử cung kích thước: 16,6 x 14,8mm</t>
  </si>
  <si>
    <t>Nang thận trái đường kính: 10,7 mm</t>
  </si>
  <si>
    <t>Hình ảnh gan nhiễm mỡ| Nang buồng trứng phải đường kính: 32,1mm| Nang gan phải kích thước lớn nhất: 25,5 x 19,9mm. (ĐHC)</t>
  </si>
  <si>
    <t>Túi trống âm buồng tử cung kích thước: 19.6 x 9.2mm</t>
  </si>
  <si>
    <t>Nang gan trái đường kính lớn nhất: 17,5mm. Cặn thận trái đường kính: 4,8mm</t>
  </si>
  <si>
    <t>Nang thận phải đường kính: 8,3mm| Sỏi thận hai bên ( Sỏi thận phải đường kính: 7,2mm. Sỏi thận trái đường kính: 14,2mm )</t>
  </si>
  <si>
    <t>Polyp túi mật đường kính: 4.8mm| Đa nang Naboth cổ tử cung đường kính lớn nhất: 5.2mm</t>
  </si>
  <si>
    <t>Hình ảnh sỏi thận phải đường kính: 5mm.</t>
  </si>
  <si>
    <t>Nang thận trái đường kính: 14,9mm.</t>
  </si>
  <si>
    <t>Hình ảnh gan nhiễm mỡ| Thận phải đã cắt.</t>
  </si>
  <si>
    <t>Hình ảnh cặn sỏi thận trái kích thước : 5mm</t>
  </si>
  <si>
    <t xml:space="preserve">Nang thận trái kích thước: 11,7 x 11,1 mm </t>
  </si>
  <si>
    <t>Nang thận hai bên (Nang thận phải đường kính: 5.3mm. Nang thận trái đường kính: 12.6mm)</t>
  </si>
  <si>
    <t>Bình thường.|Thai 19 tuần 05 ngày trong buồng tử cung.</t>
  </si>
  <si>
    <t xml:space="preserve">Đa nang gan đường kính lớn nhất: 16.3mm </t>
  </si>
  <si>
    <t>Polyp túi mật đường kính: 2.7mm.</t>
  </si>
  <si>
    <t>Hình ảnh gan nhiễm mỡ| Túi mật đã cắt| Nang thận trái kích thước : 15mm</t>
  </si>
  <si>
    <t>U nang buồng trứng phải kích thước: 42,5 x 41mm</t>
  </si>
  <si>
    <t>Sỏi thận phải đường kính: 5.3mm.</t>
  </si>
  <si>
    <t>U nang thận trái đường kính: 9,8mm.</t>
  </si>
  <si>
    <t>Nốt vôi hóa gan phải đường kính: 7mm.</t>
  </si>
  <si>
    <t>Bình thường.|Thai 16 tuần 02 ngày trong buồng tử cung.</t>
  </si>
  <si>
    <t>Polyp túi mật đường kính: 4,4 mm</t>
  </si>
  <si>
    <t>Polyp túi mật đường kính: 4.4mm.</t>
  </si>
  <si>
    <t>Hình ảnh gan nhiễm mỡ| Sỏi túi mật đường kính: 17,7mm</t>
  </si>
  <si>
    <t>Giãn nhẹ đài trên thận trái.</t>
  </si>
  <si>
    <t>Sỏi thận phải đường kính: 7.4mm</t>
  </si>
  <si>
    <t>U xơ tử cung kích thước: 31,5 x 33,8mm.</t>
  </si>
  <si>
    <t>Nang thận phải đường kính: 16,1mm|U nang buồng trứng phải kích thước: 30,3 x 28,8mm</t>
  </si>
  <si>
    <t>U nang buồng trứng phải kích thước: 18,3 x 26,9mm</t>
  </si>
  <si>
    <t>Hình ảnh gan nhiễm mỡ|Polyp túi mật kích thước : 7 mm</t>
  </si>
  <si>
    <t>Polyp túi mật đường kính: 4,1mm.</t>
  </si>
  <si>
    <t>Hình ảnh gan nhiễm mỡ| Sỏi thận trái đường kính: 7,7 mm</t>
  </si>
  <si>
    <t xml:space="preserve">Hình ảnh nốt vôi hóa thận trái kích thước : 10 mm| Sỏi thận trái kích thước : 6 mm. </t>
  </si>
  <si>
    <t xml:space="preserve">U máu gan phải đường kính: 7.7 mm| Nốt vôi hóa gan phải đường kính: 5.7 mm |Polyp túi mật đường kính: 5.6 mm </t>
  </si>
  <si>
    <t>Theo dõi lạc nội mạc tử cung kích thước: 37.3 x 29.9mm.</t>
  </si>
  <si>
    <t>Nang buồng trứng phải đường kính: 24,3mm.</t>
  </si>
  <si>
    <t>U nang buồng trứng trái kích thước: 30.3 x 24.2 mm</t>
  </si>
  <si>
    <t>Hình ảnh gan nhiễm mỡ | Nốt vôi hóa gan phải đường kính: 4.9mm.</t>
  </si>
  <si>
    <t>U nang buồng trứng phải đường kính: 30,9mm.</t>
  </si>
  <si>
    <t>Đa polyp túi mật đường kính lớn nhất: 4.9mm.</t>
  </si>
  <si>
    <t>Nang gan trái đường kính: 10mm | Nang thận phải đường kính: 11.1 mm | U xơ tử cung kích thước: 13 x 8.1mm.</t>
  </si>
  <si>
    <t xml:space="preserve">Nốt vôi hóa thận trái đường kính: 4,8 mm/Sỏi thận phải đường kính: 5,9 mm </t>
  </si>
  <si>
    <t xml:space="preserve"> Hình ảnh gan nhiễm mỡ/ Đa nang gan phải kích thước lớn nhất: 30,6 x 24,6 mm/ Đa polyp túi mật đường kính lớn nhất: 7,4 mm</t>
  </si>
  <si>
    <t>Bình thường.|Thai 37 tuần 3 ngày trong buồng tử cung.</t>
  </si>
  <si>
    <t>U xơ tử cung đường kính: 20.9mm.</t>
  </si>
  <si>
    <t>Hình ảnh dịch túi cùng Douglas kích thước : 40 mm</t>
  </si>
  <si>
    <t>U nang buồng trứng phải kích thước: 25.4x25.1mm</t>
  </si>
  <si>
    <t>U nang buồng trứng trái kích thước: 25,9 x 24,1 mm</t>
  </si>
  <si>
    <t>Cặn thận trái đường kính: 3.9mm.</t>
  </si>
  <si>
    <t>Hình ảnh gan nhiễm mỡ. (Sau sinh 1 năm)</t>
  </si>
  <si>
    <t xml:space="preserve">Dụng cụ tránh thai tụt thấp </t>
  </si>
  <si>
    <t>Sỏi túi mật đường kính: 21,1mm.</t>
  </si>
  <si>
    <t>Đa sỏi túi mật đường kính lớn nhất: 3.6mm.</t>
  </si>
  <si>
    <t>U nang buồng trứng phải kích thước: 18 x 14,8 mm</t>
  </si>
  <si>
    <t xml:space="preserve">Sỏi túi mật đường kính: 17,3 mm </t>
  </si>
  <si>
    <t>Nang thận trái đường kính: 7.1 mm</t>
  </si>
  <si>
    <t>Hình ảnh sỏi túi mật kích thước : 13 và 14 mm</t>
  </si>
  <si>
    <t xml:space="preserve">Polyp túi mật đường kính: 6.1 mm </t>
  </si>
  <si>
    <t>Bình thường.|Thai 26 tuần 4 ngày trong buồng tử cung.</t>
  </si>
  <si>
    <t xml:space="preserve">Hình ảnh nốt vôi hóa gan phải kích thước : 12 mm </t>
  </si>
  <si>
    <t>U máu gan phải kích thước: 8.9 x 9.5 mm</t>
  </si>
  <si>
    <t>Polyp túi mật đường kính: 4,2 mm| Sỏi thận phải đường kính: 10,5 mm</t>
  </si>
  <si>
    <t xml:space="preserve">Sỏi thận trái đường kính: 5,5 mm </t>
  </si>
  <si>
    <t>U cơ mỡ mạch thận phải đường kính: 9,2 mm</t>
  </si>
  <si>
    <t>Bình thường.|Thai 15 tuần 2 ngày trong buồng tử cung.</t>
  </si>
  <si>
    <t>Hình ảnh nhân xơ tử cung kích thước : 43 x 50 mm</t>
  </si>
  <si>
    <t xml:space="preserve"> Hình ảnh gan nhiễm mỡ |U xơ tử cung kích thước: 47 x 31,5mm</t>
  </si>
  <si>
    <t xml:space="preserve">U nang buồng trứng phải kích thước: 31.7 x 37.8 mm </t>
  </si>
  <si>
    <t xml:space="preserve">Đa Polyp túi mật đường kính lớn nhất: 3 mm </t>
  </si>
  <si>
    <t>Bình thường.|Thai 6 tuần 4 ngày trong buồng tử cung.</t>
  </si>
  <si>
    <t xml:space="preserve">U máu gan phải kích thước: 13,6 x 11,4 mm </t>
  </si>
  <si>
    <t>U nang buồng trứng trái kích thước: 44,7 x 34,8mm.</t>
  </si>
  <si>
    <t>Sỏi túi mật đường kính: 13,7mm</t>
  </si>
  <si>
    <t>Sỏi thận trái đường kính: 5,8mm.</t>
  </si>
  <si>
    <t>Polyp túi mật đường kính: 6,9mm.</t>
  </si>
  <si>
    <t>Sỏi túi mật kích thước: 4,2 x 7,1mm</t>
  </si>
  <si>
    <t>Hình ảnh nang Naboth cổ tử cung kích thước : 8mm</t>
  </si>
  <si>
    <t>Nang thân tụy đường kính: 18.2 mm.</t>
  </si>
  <si>
    <t>Hình ảnh nang thận phải kích thước : 24mm| Nhân xơ tử cung kích thước : 13mm</t>
  </si>
  <si>
    <t>U máu gan phải kích thước: 13.4 x 14.3 mm</t>
  </si>
  <si>
    <t>Sỏi bùn túi mật kích thước: 14,8 x 9mm|Nang thận trái đường kính: 12,9mm</t>
  </si>
  <si>
    <t>Nang buồng trứng phải đường kính: 28mm.</t>
  </si>
  <si>
    <t xml:space="preserve">Sỏi thận trái đường kính: 5.8 mm </t>
  </si>
  <si>
    <t xml:space="preserve">Hình ảnh gan nhiễm mỡ |Polyp túi mật đường kính: 5.8 mm </t>
  </si>
  <si>
    <t xml:space="preserve">Nốt vôi hóa thận trái đường kính: 6,9 mm </t>
  </si>
  <si>
    <t>U xơ tử cung kích thước: 14,9 x 10,8mm.</t>
  </si>
  <si>
    <t>Bình thường.|Thai 26 tuần 3 ngày trong buồng tử cung.</t>
  </si>
  <si>
    <t>Bình thường.|Thai 34 tuần 01 ngày trong buồng tử cung.</t>
  </si>
  <si>
    <t>Nang thận phải đường kính: 13.6 mm</t>
  </si>
  <si>
    <t>Nang thận phải đường kính: 23.1mm</t>
  </si>
  <si>
    <t xml:space="preserve">Sỏi thận trái đường kính: 6.2 mm </t>
  </si>
  <si>
    <t>Sỏi thận trái đường kính: 5,5mm</t>
  </si>
  <si>
    <t>Cặn thận phải đường kính: 4,6mm</t>
  </si>
  <si>
    <t>U xơ tử cung kích thước: 16.5 x 14.9 mm</t>
  </si>
  <si>
    <t>Đa polyp túi mật đường kính lớn nhất: 4.5mm.</t>
  </si>
  <si>
    <t xml:space="preserve">Polyp túi mật đường kính: 6,8 mm </t>
  </si>
  <si>
    <t>Nang Naboth cổ tử cung đường kính: 10,2mm.</t>
  </si>
  <si>
    <t>Nang naboth cổ tử cung đường kính: 8,9 mm</t>
  </si>
  <si>
    <t>Nang thận trái đường kính: 11.3mm.</t>
  </si>
  <si>
    <t>Sỏi túi mật kích thước: 18 x 10.3 mm</t>
  </si>
  <si>
    <t xml:space="preserve">Đám sỏi túi mật kích thước: 38.1 x 15.4mm </t>
  </si>
  <si>
    <t>U nang bì buồng trứng phải kích thước: 50,2 x 50,7mm| Polyp túi mật đường kính: 6,5mm.</t>
  </si>
  <si>
    <t xml:space="preserve">Polyp túi mật đường kính: 6 mm </t>
  </si>
  <si>
    <t>Nang thận trái đường kính: 16.7mm.</t>
  </si>
  <si>
    <t>Giãn đài bể thận phải do sỏi thận phải đường kính: 11.4 mm|Cặn thận trái đường kính: 4.4 mm</t>
  </si>
  <si>
    <t>Polyp túi mật đường kính: 3,9mm. (ĐHC)</t>
  </si>
  <si>
    <t>Xốp tủy thận hai bên/ Polyp túi mật đường kính lớn nhất: 4,1 mm</t>
  </si>
  <si>
    <t>Nốt vôi hóa gan phải đường kính: 7,1mm.</t>
  </si>
  <si>
    <t>Hình ảnh gan nhiễm mỡ| Nang thận trái kích thước : 24mm</t>
  </si>
  <si>
    <t xml:space="preserve">Polyp túi mật đường kính: 9.1 mm </t>
  </si>
  <si>
    <t>Hình ảnh gan nhiễm mỡ| Cặn thận phải đường kính: 4,5 mm</t>
  </si>
  <si>
    <t>U máu gan phải kích thước: 13.2x11.7mm</t>
  </si>
  <si>
    <t>Polyp túi mật đường kính: 6,3 mm</t>
  </si>
  <si>
    <t>U nang buồng trứng phải kích thước: 42,6 x 27mm</t>
  </si>
  <si>
    <t>Bình thường.|Thai 29 tuần 6 ngày trong buồng tử cung.</t>
  </si>
  <si>
    <t xml:space="preserve">Tử cung đã cắt </t>
  </si>
  <si>
    <t xml:space="preserve">Polyp túi mật đường kính: 5,4 mm </t>
  </si>
  <si>
    <t>Nang thận phải đường kính: 12.2 mm</t>
  </si>
  <si>
    <t>U xơ tử cung kích thước: 13mm.</t>
  </si>
  <si>
    <t xml:space="preserve">Sỏi thận trái đường kính: 5.7 mm </t>
  </si>
  <si>
    <t>Sỏi thận phải đường kính: 8mm.</t>
  </si>
  <si>
    <t>U nang buồng trứng trái kích thước: 30,2 x 34,6mm.</t>
  </si>
  <si>
    <t>U máu gan phải kích thước: 19,4 x 16,5 mm/ U nang buồng trứng trái kích thước: 33,4 x 33,4 mm</t>
  </si>
  <si>
    <t xml:space="preserve">Hình ảnh gan nhiễm mỡ |Sỏi thận trái đường kính: 5.8 mm </t>
  </si>
  <si>
    <t xml:space="preserve">Polyp túi mật đường kính lớn nhất: 6.2 mm </t>
  </si>
  <si>
    <t xml:space="preserve">Nang thận phải đường kính: 20,3 mm </t>
  </si>
  <si>
    <t>Cặn thận phải đường kính: 4.5 mm</t>
  </si>
  <si>
    <t>Nang thận trái đường kính: 10 mm</t>
  </si>
  <si>
    <t>Sỏi túi mật kích thước: 17.1 x 11.5 mm/ Thành túi mật dày 4.3 mm</t>
  </si>
  <si>
    <t>Hình ảnh gan nhiễm mỡ/ Cặn thận trái đường kính: 4,8 mm</t>
  </si>
  <si>
    <t>Nang naboth cổ tử cung đường kính: 10,7 mm</t>
  </si>
  <si>
    <t>Bình thường.|Thai 20 tuần 02 ngày trong buồng tử cung.</t>
  </si>
  <si>
    <t xml:space="preserve">Polyp túi mật đường kính: 5.9 mm </t>
  </si>
  <si>
    <t>Bình thường.|Thai 27 tuần 4 ngày trong buồng tử cung.</t>
  </si>
  <si>
    <t>Polyp túi mật đường kính: 4,8 mm</t>
  </si>
  <si>
    <t>Bình thường.|Thai 19 tuần 02 ngày trong buồng tử cung.</t>
  </si>
  <si>
    <t>Hình ảnh gan nhiễm mỡ| U nang buồng trứng trái kích thước: 48,3 x 35,8mm.</t>
  </si>
  <si>
    <t xml:space="preserve">Polyp túi mật đường kính lớn nhất: 3,3 mm </t>
  </si>
  <si>
    <t>Nang tụy kích thước: 24,5 x 22,3mm| Sỏi thận phải đường kính: 6,5mm và 5,1mm.</t>
  </si>
  <si>
    <t>U nang buồng trứng trái kích thước: 25.2 x 18.5 mm</t>
  </si>
  <si>
    <t>Bình thường.|Thai 31 tuần 2 ngày trong buồng tử cung.</t>
  </si>
  <si>
    <t>Hình ảnh gan nhiễm mỡ| Nang thận phải đường kính: 20.5 mm|TD xốp tủy thận hai bên</t>
  </si>
  <si>
    <t>Nốt vôi hóa gan phải đường kính: 8,4mm.</t>
  </si>
  <si>
    <t>Hình ảnh nang thận phải kích thước : 3mm.</t>
  </si>
  <si>
    <t xml:space="preserve">U xơ tử cung kích thước: 16,2 x 15,6 mm| Polyp túi mật đường kính: 5,6 mm </t>
  </si>
  <si>
    <t xml:space="preserve">Nang thận trái đường kính: 16,5 mm </t>
  </si>
  <si>
    <t>Nang thận phải đường kính: 5,4mm</t>
  </si>
  <si>
    <t>Bình thường.|Thai 20 tuần 6 ngày trong buồng tử cung.</t>
  </si>
  <si>
    <t xml:space="preserve">Hình ảnh gan nhiễm mỡ| Đa Polyp túi mật kích thước lớn nhất: 5 mm. </t>
  </si>
  <si>
    <t>U nang buồng trứng phải đường kính: 31.8 mm</t>
  </si>
  <si>
    <t xml:space="preserve">Đa Polyp túi mật đường kính lớn nhất: 6,2 mm </t>
  </si>
  <si>
    <t>Giãn đài bể thận niệu quản trái/ Sỏi niệu quản trái đường kính: 11.3 mm</t>
  </si>
  <si>
    <t>Hình ảnh gan nhiễm mỡ| Sỏi thận phải đường kính: 4.9 mm</t>
  </si>
  <si>
    <t>U máu gan phải đường kính: 19,3 mm</t>
  </si>
  <si>
    <t>Hình ảnh gan nhiễm mỡ |Sỏi thận phải đường kính lớn nhất: 18.6 x 8.1 mm</t>
  </si>
  <si>
    <t>Nốt vôi hóa tiền liệt tuyến đường kính: 5,2 mm</t>
  </si>
  <si>
    <t>Nốt vôi hóa gan phải đường kính: 6.9mm | Sỏi thận phải đường kính: 9.5mm | Cặn thận trái đường kính: 3.7mm.</t>
  </si>
  <si>
    <t>Bình thường.|Thai 14 tuần 4 ngày trong buồng tử cung.</t>
  </si>
  <si>
    <t xml:space="preserve">Nốt vôi hóa gan phải đường kính: 8.2 mm|Đa nang buồng trứng hai bên </t>
  </si>
  <si>
    <t>Theo dõi thai sớm trong buồng tử cung .</t>
  </si>
  <si>
    <t xml:space="preserve">Polyp túi mật đường kính: 3,9 mm </t>
  </si>
  <si>
    <t>Sỏi túi mật đường kính: 11,4 mm|Thai 33 tuần 0 ngày trong buồng tử cung.</t>
  </si>
  <si>
    <t>Sỏi thận trái đường kính: 5,8mm</t>
  </si>
  <si>
    <t>Bình thường.|Thai 32 tuần 1 ngày trong buồng tử cung.</t>
  </si>
  <si>
    <t xml:space="preserve">Hình ảnh gan nhiễm mỡ |Polyp túi mật đường kính: 3.9 mm </t>
  </si>
  <si>
    <t xml:space="preserve">Polyp túi mật đường kính: 4,5 mm </t>
  </si>
  <si>
    <t>Nốt vôi hóa gan phải đường kính: 5,1mm</t>
  </si>
  <si>
    <t>Hình ảnh gan nhiễm mỡ | Cặn thận trái đường kính: 4.4 mm</t>
  </si>
  <si>
    <t xml:space="preserve">Nốt vôi hóa tuyến tiền liệt đường kính: 15.5 mm </t>
  </si>
  <si>
    <t>Cặn thận trái đường kính: 4.1 mm</t>
  </si>
  <si>
    <t>Xốp thận hai bên.</t>
  </si>
  <si>
    <t>Bình thường.|Thai 19 tuần 03 ngày trong buồng tử cung.</t>
  </si>
  <si>
    <t>Hình ảnh polyp túi mật kích thước :4mm</t>
  </si>
  <si>
    <t xml:space="preserve">Polyp túi mật đường kính: 5.5 mm </t>
  </si>
  <si>
    <t>Polyp túi mật đường kính: 5,7 mm</t>
  </si>
  <si>
    <t>Sỏi thận trái đường kính: 5,3mm| Dịch tử cung đường kính: 14,1mm.</t>
  </si>
  <si>
    <t>Bình thường.|Thai 13 tuần 3ngày trong buồng tử cung.</t>
  </si>
  <si>
    <t xml:space="preserve">Sỏi thận trái đường kính: 4,4 mm </t>
  </si>
  <si>
    <t>Cặn thận phải đường kính: 4,1mm.</t>
  </si>
  <si>
    <t>Cặn thận trái đường kính: 4 mm</t>
  </si>
  <si>
    <t>Bình thường.|Thai 35 tuần 00 ngày trong buồng tử cung.</t>
  </si>
  <si>
    <t>Nốt vôi hóa gan phải đường kính: 9.5 mm</t>
  </si>
  <si>
    <t>Hình ảnh sỏi thận trái kích thước : 8mm.</t>
  </si>
  <si>
    <t>Nốt vôi hóa gan phải kích thước: 14,2 x 7,4mm.</t>
  </si>
  <si>
    <t xml:space="preserve">Hình ảnh gan nhiễm mỡ |Đa polyp túi mật đường kính lớn nhất: 5.3 mm </t>
  </si>
  <si>
    <t>Hình ảnh polyp túi mật kích thước : 3mm.</t>
  </si>
  <si>
    <t>polyp túi mật đường kính: 3,9 mm |Thai 10 tuần 6 ngày trong buồng tử cung.</t>
  </si>
  <si>
    <t>U máu gan phải kích thước: 7.3 x 5.8 mm.</t>
  </si>
  <si>
    <t>Hình ảnh gan nhiễm mỡ/ Cặn thận trái đường kính: 4,3 mm</t>
  </si>
  <si>
    <t>Bình thường.|Thai 36 tuần 0 ngày trong buồng tử cung.</t>
  </si>
  <si>
    <t>Hình ảnh gan nhiễm mỡ| Nang thận phải đường kính: 13,6mm</t>
  </si>
  <si>
    <t xml:space="preserve">Sỏi thận phải đường kính: 5,2 mm </t>
  </si>
  <si>
    <t>U máu gan phải đường kính: 9,9mm và đường kính: 8,3mm| Theo dõi thai sớm trong buồng tử cung. (ĐHC)</t>
  </si>
  <si>
    <t xml:space="preserve">Hình ảnh gan nhiễm mỡ |Polyp túi mật đường kính: 4.5 mm </t>
  </si>
  <si>
    <t>Không quan sát thấy thận trái trong hố thận</t>
  </si>
  <si>
    <t>Nang thận phải đường kính: 11 mm</t>
  </si>
  <si>
    <t>Sỏi túi mật đường kính: 10.6 mm</t>
  </si>
  <si>
    <t>Bình thường.|Thai 33 tuần 6 ngày trong buồng tử cung.</t>
  </si>
  <si>
    <t>Sỏi thận trái đường kính: 9 mm</t>
  </si>
  <si>
    <t xml:space="preserve">Đa Polyp túi mật đường kính lớn nhất: 4.8 mm </t>
  </si>
  <si>
    <t xml:space="preserve">Polyp túi mật đường kính: 5,7 mm </t>
  </si>
  <si>
    <t>Nốt vôi hóa gan phải đường kính: 9,4mm.</t>
  </si>
  <si>
    <t>Nang Naboth cổ tử cung đường kính: 11.8 mm</t>
  </si>
  <si>
    <t>Polyp túi mật đường kính: 3,6 mm |Thai 21 tuần 1 ngày trong buồng tử cung.</t>
  </si>
  <si>
    <t>Polyp túi mật đường kính: 4,6mm</t>
  </si>
  <si>
    <t>Nang buồng trứng trái đường kính: 28,8mm.</t>
  </si>
  <si>
    <t xml:space="preserve">Hình ảnh gan nhiễm mỡ |Polyp túi mật đường kính: 6.5 mm </t>
  </si>
  <si>
    <t>Sỏi thận trái đường kính: 5,5 mm</t>
  </si>
  <si>
    <t xml:space="preserve">Đa polyp túi mật đường kính lớn nhất: 5 mm </t>
  </si>
  <si>
    <t>Nang thận phải đường kính: 11,5 mm</t>
  </si>
  <si>
    <t>Hình ảnh nang thận phải kích thước : 10 mm</t>
  </si>
  <si>
    <t>Nang buồng trứng phải kích thước: 38,9 x 28,7mm.</t>
  </si>
  <si>
    <t>Bình thường.|Thai 8 tuần 2 ngày trong buồng tử cung.</t>
  </si>
  <si>
    <t xml:space="preserve">Hình ảnh gan nhiễm mỡ| Nang gan phải đường kính: 8.6 mm|Sỏi thận trái đường kính: 5.3 mm. </t>
  </si>
  <si>
    <t>Sỏi thận trái đường kính: 14,9 mm/ Nốt vôi hóa tiền liệt tuyến đường kính: 6,9 mm</t>
  </si>
  <si>
    <t>Nang buồng trứng phải kích thước: 43,4 x 31,7mm.</t>
  </si>
  <si>
    <t>U nang buồng trứng phải kích thước: 25.4x24.4mm</t>
  </si>
  <si>
    <t xml:space="preserve">Đa Polyp túi mật đường kính lớn nhất: 8,2 mm </t>
  </si>
  <si>
    <t>Bình thường.|Thai19 tuần 01 ngày trong buồng tử cung.</t>
  </si>
  <si>
    <t>Bình thường.|Thai 37 tuần 00 ngày trong buồng tử cung.</t>
  </si>
  <si>
    <t>Sỏi thận phải đường kính: 9.4mm.</t>
  </si>
  <si>
    <t>Polyp túi mật đường kính: 7.2mm| Sỏi thận phải đường kính: 4.6mm</t>
  </si>
  <si>
    <t>U nang buồng trứng phải kích thước: 37,4 x 32,9 mm</t>
  </si>
  <si>
    <t>Hình ảnh gan nhiễm mỡ| Polyp túi mật kích thước : 6.7mm</t>
  </si>
  <si>
    <t xml:space="preserve">Hình ảnh gan nhiễm mỡ |Sỏi túi mật đường kính: 9.1 mm </t>
  </si>
  <si>
    <t>Đa polyp túi mật đường kính lớn nhất: 4,7mm</t>
  </si>
  <si>
    <t>U nang buồng trứng phải kích thước: 30.2 x 29.6mm</t>
  </si>
  <si>
    <t>Nang thận phải đường kính: 9,1mm.</t>
  </si>
  <si>
    <t>Bình thường.|Thai 5 tuần 4 ngày trong buồng tử cung.</t>
  </si>
  <si>
    <t>Bình thường.|Thai 4 tuần 5 ngày trong buồng tử cung.</t>
  </si>
  <si>
    <t xml:space="preserve">Nốt vôi hóa gan phải đường kính: 8,9 mm </t>
  </si>
  <si>
    <t xml:space="preserve">Polyp túi mật đường kính: 9,6 mm </t>
  </si>
  <si>
    <t>Bình thường.|Thai 7 tuần 2 ngày trong buồng tử cung.</t>
  </si>
  <si>
    <t>U nang buồng trứng phải kích thước: 41,4 x 41,6mm</t>
  </si>
  <si>
    <t>Bình thường.|Thai 25 tuần trong buồng tử cung.</t>
  </si>
  <si>
    <t>Bình thường.|Thai 24 tuần 6 ngày trong buồng tử cung.</t>
  </si>
  <si>
    <t>Bình thường.|Thai 36 tuần 03 ngày trong buồng tử cung.</t>
  </si>
  <si>
    <t>Bình thường.|Thai 24 tuần 06 ngày trong buồng tử cung.</t>
  </si>
  <si>
    <t xml:space="preserve">Nốt vôi hóa gan phải đường kính: 9,5 mm </t>
  </si>
  <si>
    <t>U nang buồng trứng trái đường kính: 30,1 mm</t>
  </si>
  <si>
    <t>Bình thường.|Thai 7 tuần 6 ngày trong buồng tử cung.</t>
  </si>
  <si>
    <t>Bình thường.|Thai 27 tuần 03 ngày trong buồng tử cung.</t>
  </si>
  <si>
    <t xml:space="preserve">Cholesterol bám thành túi mật đường kính: 2 mm </t>
  </si>
  <si>
    <t>HÌnh ảnh gan nhiễm mỡ</t>
  </si>
  <si>
    <t>Hình ảnh gan nhiễm mỡ| Đa polyp túi mật đường kính lớn nhất: 5,2mm.</t>
  </si>
  <si>
    <t xml:space="preserve">Hình ảnh buồng trứng phải đã cắt </t>
  </si>
  <si>
    <t>U nang bì buồng trứng phải kích thước: 39.1 x 36.7 mm</t>
  </si>
  <si>
    <t>Nang buồng trứng phải kích thước: 31,7 x 16,2mm.</t>
  </si>
  <si>
    <t>Bình thường.|Thai 36 tuần 05 ngày trong buồng tử cung.</t>
  </si>
  <si>
    <t>Bình thường.|Thai 4 tuần 3 ngày trong buồng tử cung.</t>
  </si>
  <si>
    <t xml:space="preserve">Hình ảnh thận phải lạc chỗ. </t>
  </si>
  <si>
    <t>Bình thường| Hình ảnh 01 thai tương đương 09 tuần 04 ngày trong buồng tử cung</t>
  </si>
  <si>
    <t xml:space="preserve">Theo dõi xốp tủy thận hai bên </t>
  </si>
  <si>
    <t>Hình ảnh gan nhiễm mỡ| Sỏi túi mật đường kính: 7.7mm</t>
  </si>
  <si>
    <t>Nang Naboth cổ tử cung đường kính: 8,2mm. (ĐHC)</t>
  </si>
  <si>
    <t xml:space="preserve">Nốt vôi hóa gan phải đường kính: 6,6 mm </t>
  </si>
  <si>
    <t>Bình thường.|Thai 18 tuần 1 ngày trong buồng tử cung.</t>
  </si>
  <si>
    <t>Hình ảnh polyp túi mật kích thước : 4mm.</t>
  </si>
  <si>
    <t>Dụng cụ tránh thai tụt thấp.</t>
  </si>
  <si>
    <t>Hình ảnh gan nhiễm mỡ |Sỏi thận trái đường kính: 12.3 mm</t>
  </si>
  <si>
    <t xml:space="preserve">Hình ảnh gan nhiễm mỡ/Nốt vôi hóa thận phải đường kính: 7,1 mm/Đám sỏi túi mật đường kính: 18 mm </t>
  </si>
  <si>
    <t>Bình thường.|Thai 20 tuần 4 ngày trong buồng tử cung.</t>
  </si>
  <si>
    <t>Hình ảnh gan nhiễm mỡ| Cặn sỏi thận trái kích thước : 5 mm</t>
  </si>
  <si>
    <t>Hình ảnh gan nhiễm mỡ.|Thai 31 tuần 03 ngày trong buồng tử cung.</t>
  </si>
  <si>
    <t>Bình thường.|Thai 30 tuần 00 ngày trong buồng tử cung.</t>
  </si>
  <si>
    <t>Bình thường.|Thai 05 tuần 01 ngày trong buồng tử cung.</t>
  </si>
  <si>
    <t>Bình thường.|Thai 34 tuần 05 ngày trong buồng tử cung.</t>
  </si>
  <si>
    <t xml:space="preserve">Nang thận trái đường kính: 7,7 mm </t>
  </si>
  <si>
    <t>Sỏi thận trái đường kính: 8,6 mm</t>
  </si>
  <si>
    <t>Sỏi thận trái đường kính: 5.2 mm</t>
  </si>
  <si>
    <t>Nốt vôi hóa gan phải đường kính: 6,4mm| Polyp túi mật đường kính: 5,3mm</t>
  </si>
  <si>
    <t xml:space="preserve">Sỏi thận hai bên (Sỏi thận phải đường kính: 5mm. Sỏi thận trái đường kính: 4,5mm.) </t>
  </si>
  <si>
    <t>Bình thường.|Thai 38 tuần 05 ngày trong buồng tử cung.</t>
  </si>
  <si>
    <t>Bình thường.|Thai 23 tuần 1 ngày trong buồng tử cung.</t>
  </si>
  <si>
    <t>Hình ảnh nang buồng trứng trái kích thước : 40 x 48 mm</t>
  </si>
  <si>
    <t>Bình thường.|Thai 14 tuần 1 ngày trong buồng tử cung.</t>
  </si>
  <si>
    <t xml:space="preserve">Hình ảnh gan nhiễm mỡ |Polyp túi mật đường kính: 4.8 mm </t>
  </si>
  <si>
    <t>Hình ảnh gan nhiễm mỡ| Đa polyp túi mật đường kính: 6,2mm</t>
  </si>
  <si>
    <t>Bình thường.|Thai 28 tuần 04 ngày trong buồng tử cung.</t>
  </si>
  <si>
    <t>Hình ảnh gan nhiễm mỡ| Polyp túi mật kích thước : 5 mm.</t>
  </si>
  <si>
    <t>U nang buồng trứng trái đường kính: 35.6 mm</t>
  </si>
  <si>
    <t>Sỏi thận phải đường kính: 5,4mm.</t>
  </si>
  <si>
    <t>Bình thường.|Thai 12 tuần 00 ngày trong buồng tử cung.</t>
  </si>
  <si>
    <t>Polyp túi mật đường kính: 6.9 mm |Sỏi thận phải đường kính: 8.6 mm</t>
  </si>
  <si>
    <t>Nang Naboth cổ tử cung đường kính: 14 mm</t>
  </si>
  <si>
    <t>Bình thường.|Thai 16 tuần 00 ngày trong buồng tử cung.</t>
  </si>
  <si>
    <t>Polyp túi mật đường kính lớn nhất: 5.3 mm |U xơ tử cung kích thước: 26.1 x 23.1 mm</t>
  </si>
  <si>
    <t>Đa nang Naboth cổ tử cung đường kính lớn nhất: 6.8mm| U xơ tử cung kích thước: 14.2x15.6mm</t>
  </si>
  <si>
    <t>Hình ảnh gan nhiễm mỡ| Thận trái đã cắt bán phần.</t>
  </si>
  <si>
    <t>Sỏi thận trái đường kính: 8,4 mm</t>
  </si>
  <si>
    <t>Bình thường.|Thai 32 tuần 03 ngày trong buồng tử cung.</t>
  </si>
  <si>
    <t>U nang buồng trứng phải đường kính: 33.8mm.</t>
  </si>
  <si>
    <t>Đám sỏi túi mật kích thước: 14,6 x 10,7mm</t>
  </si>
  <si>
    <t>U xơ tử cung kích thước: 10,6 x 9,5mm</t>
  </si>
  <si>
    <t>Hình ảnh nốt vôi hóa gan phải kích thước : 3,5 mm</t>
  </si>
  <si>
    <t>Nang thận trái kích thước: 12 x 12,8mm.</t>
  </si>
  <si>
    <t>U xơ tử cung đường kính: 11.1mm</t>
  </si>
  <si>
    <t>Hình ảnh gan nhiễm mỡ/ Sỏi túi mật đường kính: 6,2 mm</t>
  </si>
  <si>
    <t>Sỏi thận phải đường kính: 4.7 mm</t>
  </si>
  <si>
    <t>Bình thường.|Thai 11 tuần 6 ngày trong buồng tử cung.</t>
  </si>
  <si>
    <t>Cặn thận phải đường kính: 4.4 mm</t>
  </si>
  <si>
    <t xml:space="preserve">Nang thận trái kích thước: 24,3 x 14,2 mm </t>
  </si>
  <si>
    <t>Bình thường.|Thai 21 tuần 01 ngày trong buồng tử cung.</t>
  </si>
  <si>
    <t xml:space="preserve">Hình ảnh gan nhiễm mỡ |Polyp túi mật đường kính lớn nhất: 4.4 mm </t>
  </si>
  <si>
    <t xml:space="preserve">Hình ảnh gan nhiễm mỡ | Theo dõi bất sản thận phải </t>
  </si>
  <si>
    <t>Bình thường.|Thai 14 tuần 04 ngày trong buồng tử cung.</t>
  </si>
  <si>
    <t>Polyp túi mật đường kính: 5,9mm. (ĐHC)</t>
  </si>
  <si>
    <t>Nang thận trái kích thước: 7,9 x 14,2mm| Nang Naboth cổ tử cung kích thước: 10,3 x 14,6mm.</t>
  </si>
  <si>
    <t xml:space="preserve">Theo dõi Polyp túi mật </t>
  </si>
  <si>
    <t>Sỏi thận phải kích thước: 12,4 x 7,3mm.</t>
  </si>
  <si>
    <t>U máu gan phải kích thước: 10,4 x 9,8mm|U nang buồng trứng trái kích thước: 29,5 x 47,2mm.</t>
  </si>
  <si>
    <t>Đa polyp túi mật đường kính lớn nhất: 6,8mm.</t>
  </si>
  <si>
    <t>Bình thường.|Thai 38 tuần 0 ngày trong buồng tử cung.</t>
  </si>
  <si>
    <t xml:space="preserve"> Polyp túi mật đường kính: 6 mm |Thai 28 tuần 04 ngày trong buồng tử cung.</t>
  </si>
  <si>
    <t>Bình thường.|Thai 22 tuần 00 ngày trong buồng tử cung.</t>
  </si>
  <si>
    <t>Hình ảnh gan nhiễm mỡ | Nốt giảm âm gan phải kích thước: 12,9 x 17,1 mm</t>
  </si>
  <si>
    <t xml:space="preserve">Hình ảnh gan nhiễm mỡ |Polyp túi mật đường kính: 4.2 mm </t>
  </si>
  <si>
    <t>Nốt vôi hóa thận phải đường kính: 4.7 mm</t>
  </si>
  <si>
    <t>Hình ảnh gan nhiễm mỡ/Theo dõi hình ảnh thai sớm trong buồng tử cung</t>
  </si>
  <si>
    <t>U nang buồng trứng trái kích thước: 28,4 x 42,1mm.</t>
  </si>
  <si>
    <t>Hình ảnh gan nhiễm mỡ| Polyp túi mật đường kính: 5.5mm</t>
  </si>
  <si>
    <t xml:space="preserve">Hình ảnh polyp túi mật kích thước : 2 mm /Cặn sỏi thận trái kích thước : 4 mm </t>
  </si>
  <si>
    <t>Bình thường.|Thai 13 tuần 5 ngày trong buồng tử cung.</t>
  </si>
  <si>
    <t>U xơ tử cung kích thước: 17.2 x 16.7 mm|Nang Naboth cổ tử cung đường kính: 11.3 mm</t>
  </si>
  <si>
    <t>U xơ tử cung kích thước: 15,7 x 9,5mm.</t>
  </si>
  <si>
    <t>Hình ảnh giãn đài bể thận, niệu quản trái| Cặn sỏi thận trái kích thước : 4mm</t>
  </si>
  <si>
    <t>U nang buồng trứng phải kích thước: 31,7 x 21,9mm.</t>
  </si>
  <si>
    <t xml:space="preserve">Sỏi thận phải đường kính: 4,6 mm </t>
  </si>
  <si>
    <t>Polyp túi mật đường kính: 5,7mm.</t>
  </si>
  <si>
    <t>Hình ảnh gan nhiễm mỡ/ Nang naboth cổ tử cung đường kính: 11,5 mm/ Nang thận phải đường kính: 14,3 mm</t>
  </si>
  <si>
    <t>U máu gan phải kích thước: 17,8 x 17,9 mm</t>
  </si>
  <si>
    <t>Cặn sỏi thận trái đường kính: 4,5mm.</t>
  </si>
  <si>
    <t>Bình thường.|Thai 13 tuần 3 ngày trong buồng tử cung.</t>
  </si>
  <si>
    <t xml:space="preserve">Nốt vôi hóa gan phải đường kính: 3,8 mm/Polyp túi mật đường kính: 5,2 mm/Nang buồng trứng trái kích thước: 37,6 x 33,1 mm </t>
  </si>
  <si>
    <t>Nang thận phải đường kính: 11,5mm.</t>
  </si>
  <si>
    <t>Polyp túi mật đường kính: 4.5mm</t>
  </si>
  <si>
    <t>Hình ảnh gan nhiễm mỡ |Thai 13 tuần 5 ngày trong buồng tử cung.</t>
  </si>
  <si>
    <t>Nang thận phải đường kính: 32,7mm</t>
  </si>
  <si>
    <t>Bình thường.|Thai 21 tuần 1 ngày trong buồng tử cung.</t>
  </si>
  <si>
    <t xml:space="preserve">U máu gan phải kích thước: 24.8 x 15.8mm. </t>
  </si>
  <si>
    <t>Bình thường.|Thai 16 tuần 4 ngày trong buồng tử cung.</t>
  </si>
  <si>
    <t xml:space="preserve"> U nang buồng trứng phải kích thước: 49,4 x 45,3 mm </t>
  </si>
  <si>
    <t>Bình thường.|Thai 21 tuần 05 ngày trong buồng tử cung.</t>
  </si>
  <si>
    <t>Bình thường.|Thai 22 tuần 1 ngày trong buồng tử cung.</t>
  </si>
  <si>
    <t>Nang thận trái đường kính: 20.8 mm</t>
  </si>
  <si>
    <t xml:space="preserve">U máu gan phải đường kính: 9 mm </t>
  </si>
  <si>
    <t>Bình thường.|Thai 25 tuần 2 ngày trong buồng tử cung.</t>
  </si>
  <si>
    <t>Bình thường.|Thai 6 tuần 3 ngày trong buồng tử cung.</t>
  </si>
  <si>
    <t>Cặn thận phải đường kính: 3.4 mm</t>
  </si>
  <si>
    <t>Bình thường.|Thai 23 tuần 04 ngày trong buồng tử cung.</t>
  </si>
  <si>
    <t>U nang buồng trứng trái kích thước: 21.6x23.2mm</t>
  </si>
  <si>
    <t>Bình thường.|Thai 24 tuần 04ngày trong buồng tử cung.</t>
  </si>
  <si>
    <t>Bình thường.|Thai 10 tuần 4 ngày trong buồng tử cung.</t>
  </si>
  <si>
    <t>Bình thường.|Thai 30 tuần 4 ngày trong buồng tử cung.</t>
  </si>
  <si>
    <t>Hình ảnh gan nhiễm mỡ.|Thai 30 tuần 2 ngày trong buồng tử cung.</t>
  </si>
  <si>
    <t xml:space="preserve">Polyp túi mật đường kính: 5.8 mm </t>
  </si>
  <si>
    <t>Hình ảnh gan nhiễm mỡ| Cặn sỏi thận trái kích thước : 5mm</t>
  </si>
  <si>
    <t>Bình thường.|Thai 10 tuần 00 ngày trong buồng tử cung.</t>
  </si>
  <si>
    <t>Hình ảnh gan nhiễm mỡ|U nang buồng trứng phải đường kính 25,1 mm</t>
  </si>
  <si>
    <t>Sỏi thận trái đường kính: 5.9mm.</t>
  </si>
  <si>
    <t>U nang buồng trứng phải kích thước: 29,3 x 30,7mm.</t>
  </si>
  <si>
    <t xml:space="preserve">Polyp túi mật đường kính: 5,2 mm </t>
  </si>
  <si>
    <t>Polyp túi mật đường kính: 4.4 mm</t>
  </si>
  <si>
    <t>Bình thường.|Thai 19 tuần 5 ngày trong buồng tử cung.</t>
  </si>
  <si>
    <t>Bình thường.|Thai 22 tuần 01 ngày trong buồng tử cung.</t>
  </si>
  <si>
    <t>Nốt vôi hóa gan phải đường kính: 6.7mm | Sỏi thận trái đường kính: 5.1mm.</t>
  </si>
  <si>
    <t>Bình thường.|Thai 34 tuần ngày 4 trong buồng tử cung.</t>
  </si>
  <si>
    <t>Dịch trong buồng tử cung dày 7.9 mm</t>
  </si>
  <si>
    <t>Bình thường.|Thai 20tuần 0ngày trong buồng tử cung.</t>
  </si>
  <si>
    <t>Theo dõi dịch buồng tử cung đường kính: 6mm| Nốt vôi hóa gan phải đường kính: 6,8mm.</t>
  </si>
  <si>
    <t>Khối lạc nội mạc buồng trứng phải kích thước: 26.5 x 26.5 mm</t>
  </si>
  <si>
    <t>U xơ tử cung kích thước: 39,2 x 38 mm</t>
  </si>
  <si>
    <t>Nang Naboth cổ tử cung đường kính: 10.3 mm</t>
  </si>
  <si>
    <t>U nang buồng trứng phải đường kính: 28,7 mm</t>
  </si>
  <si>
    <t>Hình ảnh gan nhiễm mỡ |Nang thận hai bên ( Nang thận phải đường kính: 21.8 mm ,Nang thận trái đường kính: 19.5 mm )</t>
  </si>
  <si>
    <t>U xơ tử cung đường kính: 18,8 mm</t>
  </si>
  <si>
    <t>Đa polyp túi mật kích thước lớn nhất: 15.9 x 5.5mm.</t>
  </si>
  <si>
    <t xml:space="preserve">Polyp túi mật đường kính: 3,1 mm </t>
  </si>
  <si>
    <t>Hình ảnh gan nhiễm mỡ/ Sỏi thận trái đường kính: 6,5 mm</t>
  </si>
  <si>
    <t xml:space="preserve">Sỏi thận trái đường kính: 6,1 mm </t>
  </si>
  <si>
    <t xml:space="preserve">Nốt vôi hóa gan phải đường kính: 6.7 mm </t>
  </si>
  <si>
    <t xml:space="preserve">Nang thận phải đường kính: 10,9 mm </t>
  </si>
  <si>
    <t>Hình ảnh gan nhiễm mỡ.|Thai 18 tuần 05 ngày trong buồng tử cung</t>
  </si>
  <si>
    <t>U xơ tử cung kích thước: 28 x 56mm.</t>
  </si>
  <si>
    <t xml:space="preserve">U máu gan phải đường kính: 8 mm </t>
  </si>
  <si>
    <t>Bình thường.|Thai 36 tuần 04 ngày trong buồng tử cung.</t>
  </si>
  <si>
    <t>Hình ảnh gan nhiễm mỡ| Nang thận phải kích thước : 17 x 15mm.</t>
  </si>
  <si>
    <t>Bình thường.|Thai 10 tuần 5 ngày trong buồng tử cung.</t>
  </si>
  <si>
    <t>Bình thường.|Thai 08 tuần 06 ngày trong buồng tử cung.</t>
  </si>
  <si>
    <t>Bình thường.|Thai 8 tuần 2ngày trong buồng tử cung.</t>
  </si>
  <si>
    <t>U nang buồng trứng phải đường kính: 15.8mm</t>
  </si>
  <si>
    <t>Nốt vôi hóa gan phải đường kính: 6.3 mm</t>
  </si>
  <si>
    <t>Bình thường.|Thai 28 tuần 5 ngày trong buồng tử cung.</t>
  </si>
  <si>
    <t xml:space="preserve">U nang buồng trứng trái kích thước: 64,2 x 45,9 mm </t>
  </si>
  <si>
    <t>Bình thường.|Thai 21 tuần 5 ngày trong buồng tử cung.</t>
  </si>
  <si>
    <t>Đa polyp túi mật đường kính lớn nhất: 4,5mm</t>
  </si>
  <si>
    <t>U nang buồng trứng trái đường kính: 21,5mm.</t>
  </si>
  <si>
    <t>Bình thường.|Thai 08 tuần 01ngày trong buồng tử cung.</t>
  </si>
  <si>
    <t>Nang thận phải đường kính: 15.3 mm</t>
  </si>
  <si>
    <t>U cơ tuyến túi mật đường kính lớn nhất: 2.2mm</t>
  </si>
  <si>
    <t>Nang thận phải đường kính: 17.6 mm</t>
  </si>
  <si>
    <t>Sỏi thận trái đường kính: 8,9mm| U nang buồng trứng trái kích thước: 58,3 x 44,8mm.</t>
  </si>
  <si>
    <t>Bình thường.|Thai 13 tuần 05 ngày trong buồng tử cung.</t>
  </si>
  <si>
    <t>Theo dõi lạc nội mạc trong cơ tử cung kích thước: 42.1 x 26.9mm | Polyp túi mật đường kính: 4.8mm.</t>
  </si>
  <si>
    <t>Nốt vôi hóa gan phải đường kính: 5,8mm.</t>
  </si>
  <si>
    <t>Bình thường.|Thai 22 tuần 4 ngày trong buồng tử cung.</t>
  </si>
  <si>
    <t>Bình thường.|Thai 26 tuần trong buồng tử cung.</t>
  </si>
  <si>
    <t>Bình thường.|Thai 16 tuần 6 ngày trong buồng tử cung.</t>
  </si>
  <si>
    <t>Sỏi thận phải đường kính: 12mm| Nang buồng trứng phải kích thước: 25,3 x 21,2mm.</t>
  </si>
  <si>
    <t xml:space="preserve">Đã cắt tử cung bán phần </t>
  </si>
  <si>
    <t>Bình thường.|Thai 26 tuần 1 ngày trong buồng tử cung.</t>
  </si>
  <si>
    <t>Bình thường.|Thai 27 tuần 2 ngày trong buồng tử cung.</t>
  </si>
  <si>
    <t>Bình thường.|Thai 21 tuần 4 ngày trong buồng tử cung.</t>
  </si>
  <si>
    <t>Bình thường.|Thai 05 tuần 03 ngày trong buồng tử cung.</t>
  </si>
  <si>
    <t>Bình thường.|Thai 12 tuần 0 ngày trong buồng tử cung.</t>
  </si>
  <si>
    <t>Bình thường.|Thai 23 tuần 0 ngày trong buồng tử cung.</t>
  </si>
  <si>
    <t>Nốt vôi hóa tiền liệt tuyến đường kính: 4,9 mm</t>
  </si>
  <si>
    <t>Bình thường.|Thai 38 tuần 3 ngày trong buồng tử cung.</t>
  </si>
  <si>
    <t>Bình thường.|Thai 18 tuần 6 ngày trong buồng tử cung.</t>
  </si>
  <si>
    <t>PR</t>
  </si>
  <si>
    <t>MP</t>
  </si>
  <si>
    <t>OS</t>
  </si>
  <si>
    <t>CD</t>
  </si>
  <si>
    <t>MS1</t>
  </si>
  <si>
    <t>RF</t>
  </si>
  <si>
    <t>EP</t>
  </si>
  <si>
    <t>AC</t>
  </si>
  <si>
    <t>EBM</t>
  </si>
  <si>
    <t>MR</t>
  </si>
  <si>
    <t>EL</t>
  </si>
  <si>
    <t>ETR</t>
  </si>
  <si>
    <t>SA</t>
  </si>
  <si>
    <t>OK1</t>
  </si>
  <si>
    <t>CS</t>
  </si>
  <si>
    <t>EHS</t>
  </si>
  <si>
    <t>DP2</t>
  </si>
  <si>
    <t>DB</t>
  </si>
  <si>
    <t>DP1</t>
  </si>
  <si>
    <t>OK2</t>
  </si>
  <si>
    <t>PE1</t>
  </si>
  <si>
    <t>OP</t>
  </si>
  <si>
    <t>CM</t>
  </si>
  <si>
    <t>EX</t>
  </si>
  <si>
    <t>WM</t>
  </si>
  <si>
    <t>DX</t>
  </si>
  <si>
    <t>GS</t>
  </si>
  <si>
    <t>MS2</t>
  </si>
  <si>
    <t>SP</t>
  </si>
  <si>
    <t>SX</t>
  </si>
  <si>
    <t>ME</t>
  </si>
  <si>
    <t>MT</t>
  </si>
  <si>
    <t>IA</t>
  </si>
  <si>
    <t xml:space="preserve">Nhân tuyến vú trái kích thước: 7,4 x 3mm (BIRADS III) </t>
  </si>
  <si>
    <t xml:space="preserve">Nang tuyến vú trái đường kính: 6.6 mm (BIRADS II) </t>
  </si>
  <si>
    <t xml:space="preserve">Nhân tuyến vú phải kích thước: 7,1 x 3,1 mm ( BIRADS III)/ Đa nang tuyến vú trái đường kính lớn nhất: 7,9 mm (BIRADS II) </t>
  </si>
  <si>
    <t xml:space="preserve">Nhân tuyến vú hai bên (Nhân tuyến vú phải đường kính: 4.7 mm. Nhân tuyến vú trái đường kính: 4.3 mm)(BIRADS III) </t>
  </si>
  <si>
    <t>Đa nang tuyến vú phải đường kính lớn nhất: 9.9mm (BIRADS II).</t>
  </si>
  <si>
    <t xml:space="preserve">Nang tuyến vú trái kích thước: 5,5 x 3,9 mm (BIRADS II) </t>
  </si>
  <si>
    <t xml:space="preserve">Đa Nang tuyến vú phải đường kính lớn nhất: 14.6 mm (BIRADS II) </t>
  </si>
  <si>
    <t xml:space="preserve">Nhân tuyến vú phải kích thước: 8,8 x 5,3mm ( BIRADS III) </t>
  </si>
  <si>
    <t>Nang tuyến vú phải kích thước: 9 x 4,5mm. (BIRADS II) (ĐHC)</t>
  </si>
  <si>
    <t>Nhân tuyến vú phải kích thước: 16,4 x 7,2mm. (BIRADS III)| Nang tuyến vú phải kích thước: 4,6 x 3,8mm. (BIRADS II)</t>
  </si>
  <si>
    <t xml:space="preserve">Nang tuyến vú hai bên (Nang tuyến vú phải đường kính: 11.9 mm. Nang tuyến vú trái đường kính: 9.8 mm)(BIRADS II) |Nhân tuyến vú trái kích thước: 12.9 x 7.5 mm (BIRADS III). </t>
  </si>
  <si>
    <t xml:space="preserve">Nhân tuyến vú trái kích thước: 13 x 7.2 mm (BIRADS III) |Nang tuyến vú trái đường kính: 3.5 mm (BIRADS II) </t>
  </si>
  <si>
    <t xml:space="preserve">Nhân tuyến vú phải đường kính: 6,2 mm( BIRADS III). </t>
  </si>
  <si>
    <t xml:space="preserve">Nang tuyến vú hai bên ( Nang tuyến vú phải đường kính: 5,7 mm. Nang tuyến vú trái đường kính: 4,4 mm) - BIRADS II </t>
  </si>
  <si>
    <t xml:space="preserve">Nang tuyến vú hai bên (Nang tuyến vú phải kích thước: 6,5 x 9,3 mm. Nang tuyến vú trái đường kính: 3,5 mm ) ( BIRADS II). </t>
  </si>
  <si>
    <t>Nang tuyến vú phải đường kính: 3,8mm(Birads-II).</t>
  </si>
  <si>
    <t>Hình ảnh nhân tuyến vú trái kích thước : 13 x 4 mm ( BIRADS III)</t>
  </si>
  <si>
    <t>Nang tuyến vú hai bên (Nang tuyến vú phải đường kính: 9 mm. Nang tuyến vú trái đường kính: 6.3 mm)(BIRADS II)</t>
  </si>
  <si>
    <t xml:space="preserve">Nhân tuyến vú hai bên (Nhân tuyến vú phải đường kính: 6,2 mm. Nhân tuyến vú trái đường kính: 6,7 mm) ( BIRADS III)/Đa nang tuyến vú hai bên ( Nang tuyến vú phải kích thước lớn nhất: 12 x 6,3 mm. Nang tuyến vú trái kích thước lớn nhất: 12,3 x 5,6 mm) (BIRADS II). </t>
  </si>
  <si>
    <t xml:space="preserve">Nang tuyến vú hai bên (Nang tuyến vú phải đường kính: 7,2mm. Nang tuyến vú trái đường kính lớn nhất: 5,6mm ) ( BIRADS II). |Nhân tuyến vú hai bên (Nhân tuyến vú phải kích thước: 9,4 x 5,9mm. Nhân tuyến vú trái kích thước: 8 x 5,6mm) ( BIRADS III). </t>
  </si>
  <si>
    <t xml:space="preserve">Đa nang tuyến vú phải đường kính lớn nhất: 9mm (BIRADS II) </t>
  </si>
  <si>
    <t>Nang tuyến vú hai bên (Đa nang tuyến vú phải đường kính lớn nhất: 10.4mm. Nang tuyến vú trái đường kính: 10.8mm)(BIRADS II)</t>
  </si>
  <si>
    <t>Nhân tuyến vú phải kích thước: 4.6 x 3.5mm (BIRADS III) | Nang tuyến vú trái đường kính: 5mm (BIRADS II).</t>
  </si>
  <si>
    <t xml:space="preserve">Đa nang tuyến vú hai bên ( Nang tuyến vú phải kích thước lớn nhất: 9 x 18,7 mm. Nang tuyến vú trái kích thước lớn nhất: 9,1 x 17,7 mm) (BIRADS II)| Nhân tuyến vú trái đường kính: 4,9 mm ( BIRADS III) </t>
  </si>
  <si>
    <t xml:space="preserve">Nang tuyến vú hai bên (Nang tuyến vú phải đường kính: 12.8mm. Nang tuyến vú trái đường kính: 4.4mm ) BIRADS II </t>
  </si>
  <si>
    <t xml:space="preserve">Nang tuyến vú phải đường kính: 7,5 mm (BIRADS II) </t>
  </si>
  <si>
    <t>Nang tuyến vú phải đường kính: 5,5mm. (BIRADS II)</t>
  </si>
  <si>
    <t xml:space="preserve">Nang tuyến vú trái đường kính: 6,7mm (BIRADS II) </t>
  </si>
  <si>
    <t>Đa nang tuyến vú phải đường kính lớn nhất: 7,1mm. (BIRADS II)</t>
  </si>
  <si>
    <t>Đa nang tuyến vú hai bên (Nang tuyến vú phải đường kính lớn nhất: 8mm. Nang tuyến vú trái đường kính lớn nhất: 7,2mm.) (BIRADS II)</t>
  </si>
  <si>
    <t xml:space="preserve">Nang tuyến vú hai bên (Nang tuyến vú phải đường kính: 7.1 mm. Nang tuyến vú trái đường kính: 9.3 mm)(BIRADS II) </t>
  </si>
  <si>
    <t xml:space="preserve">Đa nang tuyến vú hai bên ( Nang tuyến vú phải đường kính lớn nhất: 14.1mm. Nang tuyến vú trái đường kính lớn nhất: 4.7mm) - BIRADS II </t>
  </si>
  <si>
    <t xml:space="preserve">Nhân tuyến vú phải kích thước: 7.2 x 4.9 mm (BIRADS III) </t>
  </si>
  <si>
    <t xml:space="preserve">Nang tuyến vú trái kích thước: 4,4 x 3,5 mm (BIRADS II) </t>
  </si>
  <si>
    <t xml:space="preserve">Nang tuyến vú hai bên (Nang tuyến vú phải kích thước: 4.8x11.8mm . Nang tuyến vú trái đường kính: 4.8mm) (BIRADS II) </t>
  </si>
  <si>
    <t>Nang tuyến vú hai bên (Nang tuyến vú phải kích thước: 8,5 x 6,6mm. Nang tuyến vú trái kích thước: 4,8 x 3mm.) (BIRADS II)</t>
  </si>
  <si>
    <t>Nang tuyến vú phải đường kính: 5mm (BIRADS II).</t>
  </si>
  <si>
    <t>Nang tuyến vú phải đường kính: 10,7mm. (BIRADS II) (ĐHC)</t>
  </si>
  <si>
    <t xml:space="preserve">Nang tuyến vú phải đường kính: 6.4 mm (BIRADS II) |Nhân tuyến vú trái kích thước: 6.1 x 3.2 mm (BIRADS III). </t>
  </si>
  <si>
    <t>Nhân tuyến vú hai bên (Nhân tuyến vú phải kích thước: 23 x 10.7mm. Nhân tuyến vú trái kích thước: 9.5 x 4.7mm)(BIRADS III).</t>
  </si>
  <si>
    <t>Nang tuyến vú trái đường kính: 11.5 mm ( BIRADS II)</t>
  </si>
  <si>
    <t>Nang tuyến vú trái đường kính: 10,2mm (BIRADS II)</t>
  </si>
  <si>
    <t xml:space="preserve">Nang tuyến vú hai bên ( Nang tuyến vú phải đường kính: 4.7mm. Nang tuyến vú trái đường kính: 7.7mm) - BIRADS II </t>
  </si>
  <si>
    <t xml:space="preserve">Nhân tuyến vú phải đường kính: 6 mm ( BIRADS III)/ Nang tuyến vú trái đường kính: 6,5 mm (BIRADS II) </t>
  </si>
  <si>
    <t xml:space="preserve">Nang tuyến vú hai bên (Nang tuyến vú phải đường kính: 9.6 mm. Nang tuyến vú trái đường kính: 6.3 mm)(BIRADS II) </t>
  </si>
  <si>
    <t xml:space="preserve">Nhân tuyến vú phải kích thước: 9.8 x 4.7mm (BIRADS III) | Nang tuyến vú hai bên (Nang tuyến vú phải đường kính lớn nhất: 8.7mm. Nang tuyến vú trái đường kính lớn nhất: 7mm ) (BIRADS II) </t>
  </si>
  <si>
    <t xml:space="preserve">Nang tuyến vú hai bên ( Nang tuyến vú phải đường kính: 3,7mm. Nang tuyến vú trái đường kính: 4,9mm) (BIRADS II). </t>
  </si>
  <si>
    <t xml:space="preserve">Nang tuyến vú hai bên (Nang tuyến vú phải đường kính: 7 mm. Nang tuyến vú trái đường kính: 14.8 mm) (BIRADS II) </t>
  </si>
  <si>
    <t>Đa nang tuyến vú hai bên ( Nang tuyến vú trái kích thước lớn nhất: 10 x 6mm. Nang tuyến vú phải kích thước lớn nhất: 15,2 x 9,6mm)(Birads-II).</t>
  </si>
  <si>
    <t>Nang tuyến vú phải kích thước: 5,1 x 3,2mm. (BIRADS II)</t>
  </si>
  <si>
    <t>Nang tuyến vú phải kích thước: 4,7 x 3,1mm. (BIRADS II)</t>
  </si>
  <si>
    <t>Nang tuyến vú trái kích thước: 13,4 x 5,7mm(Birads-II).</t>
  </si>
  <si>
    <t>Nhân tuyến vú trái kích thước: 6.6 x 2.4mm (BIRADS III).</t>
  </si>
  <si>
    <t>Nang tuyến vú trái kích thước: 4,2 x 2,5mm. (BIRADS II)</t>
  </si>
  <si>
    <t>Nhân tuyến vú phải kích thước: 5.9 x 6.7mm (BIRADS IV).</t>
  </si>
  <si>
    <t xml:space="preserve">Nang tuyến vú hai bên (Nang tuyến vú trái kích thước: 5 x 3,6 mm/Nang tuyến vú phải kích thước: 4,6 x 2,7 mm )(BIRADS II ) </t>
  </si>
  <si>
    <t>Nang tuyến vú phải đường kính: 6,3mm. (BIRADS II)</t>
  </si>
  <si>
    <t>Nang tuyến vú phải kích thước: 7,5 x 3,5mm. (BIRADS II)</t>
  </si>
  <si>
    <t>Nang tuyến vú phải kích thước: 10,2 x 4,1mm(Birads-II).</t>
  </si>
  <si>
    <t xml:space="preserve">Nang tuyến vú phải đường kính: 8.3 mm (BIRADS II) </t>
  </si>
  <si>
    <t>Nhân tuyến vú phải kích thước: 4,3 x 3,3mm. (BIRADS III)| Nang tuyến vú phải kích thước lớn nhất: 6 x 4,2mm. (BIRADS II)</t>
  </si>
  <si>
    <t>Đa nhân tuyến vú hai bên (Nhân tuyến vú phải kích thước lớn nhất: 6,2 x 4,1mm. Nhân tuyến vú trái kích thước lớn nhất: 4,4 x 5,5mm.) (BIRADS III)</t>
  </si>
  <si>
    <t>Đa nang tuyến vú hai bên (Nang tuyến vú phải kích thước lớn nhất: 19,1 x 13,8mm. Nang tuyến vú trái kích thước lớn nhất: 20,7 x 12,8mm.) (BIRADS II)</t>
  </si>
  <si>
    <t>Nhân tuyến vú phải kích thước: 4,2 x 3 mm (BIRADS III )</t>
  </si>
  <si>
    <t>Nang tuyến vú hai bên (Nang tuyến vú phải kích thước: 6,6 x 6,2mm. Nang tuyến vú trái kích thước: 6,9 x 3,8mm.) (BIRADS II)</t>
  </si>
  <si>
    <t xml:space="preserve">Nang tuyến vú hai bên (Nang tuyến vú phải đường kính: 5.8 mm . Nang tuyến vú trái đường kính: 11.7 mm ) ( BIRADS II) </t>
  </si>
  <si>
    <t xml:space="preserve">Nang tuyến vú hai bên ( Nang tuyến vú phải kích thước: 10,8 x 8,6 mm. Nang tuyến vú trái đường kính: 6,9 mm) (BIRADS II). </t>
  </si>
  <si>
    <t xml:space="preserve">Nhân tuyến vú phải kích thước: 4.6 x 3.4 mm (BIRADS III). </t>
  </si>
  <si>
    <t xml:space="preserve">Nang tuyến vú trái đường kính: 16.4 mm (BIRADS II) </t>
  </si>
  <si>
    <t xml:space="preserve">Nhân tuyến vú phải kích thước: 11,4 x 5,6mm ( BIRADS III). </t>
  </si>
  <si>
    <t xml:space="preserve">Nhân tuyến vú phải đường kính: 3,4 mm ( BIRADS III)/ Đa nang tuyến vú hai bên ( Nang tuyến vú phải kích thước lớn nhất: 6,5 x 14,1 mm. Nang tuyến vú trái đường kính: 5,6 mm) (BIRADS II). </t>
  </si>
  <si>
    <t xml:space="preserve">Nang tuyến vú hai bên (Nang tuyến vú phải đường kính: 9.2 mm. Nang tuyến vú trái đường kính: 6.1 mm)(BIRADS II) </t>
  </si>
  <si>
    <t>Nang tuyến phải kích thước: 8.5 x 2.8mm (BIRADS II).</t>
  </si>
  <si>
    <t xml:space="preserve">Đa nang tuyến vú hai bên ( Nang tuyến vú phải kích thước lớn nhất: 7,6 x 4,1 mm. Nang tuyến vú trái kích thước lớn nhất: 4,5 x 5,6 mm) (BIRADS II). </t>
  </si>
  <si>
    <t xml:space="preserve">Nhân tuyến vú hai bên (Nhân tuyến vú phải kích thước: 8,2 x 5,4mm. Nhân tuyến vú trái kích thước: 12 x 5,4mm) ( BIRADS III). </t>
  </si>
  <si>
    <t xml:space="preserve">Nhân tuyến vú phải kích thước: 11.7 x 6.2 mm (BIRADS III) |Nang tuyến vú trái đường kính: 11 mm (BIRADS II) </t>
  </si>
  <si>
    <t xml:space="preserve">Đa nang tuyến vú hai bên (Nang tuyến vú phải kích thước lớn nhất: 5.6x14.3mm. Nang tuyến vú trái kích thước lớn nhất: 7.9x19mm) - BIRADS II </t>
  </si>
  <si>
    <t>Nhân tuyến vú trái kích thước: 11.3 x 7.1 mm (BIRADS III) ( Đã mổ bóc nhân 2 bên )</t>
  </si>
  <si>
    <t>Nhân tuyến vú phải đường kính: 6,2 mm( BIRADS III)</t>
  </si>
  <si>
    <t xml:space="preserve">Nang tuyến vú phải kích thước: 5,3 x 2,2 mm (BIRADS II) </t>
  </si>
  <si>
    <t>Nang tuyến vú trái kích thước: 10.4 x 4.6mm (BIRADS II)</t>
  </si>
  <si>
    <t xml:space="preserve">Nang tuyến vú hai bên (Nang tuyến vú phải đường kính: 7.4 mm. Nang tuyến vú trái đường kính: 8.9 mm)(BIRADS II) </t>
  </si>
  <si>
    <t>Nang tuyến vú trái đường kính: 6.9mm (BIRADS II)</t>
  </si>
  <si>
    <t xml:space="preserve">Nhân tuyến vú hai bên (Nhân tuyến vú phải kích thước: 4.3 x 2.8 mm. Nhân tuyến vú trái kích thước: 4.4 x 3.6 mm và kích thước: 5.8 x 3.5 mm ) (BIRADS III) </t>
  </si>
  <si>
    <t>Đa nang tuyến vú hai bên (Nang tuyến vú phải kích thước lớn nhất: 11.2 x 5.8mm. Nang tuyến vú trái kích thước lớn nhất: 9.2 x 5.6mm)(BIRADS II)</t>
  </si>
  <si>
    <t>Nang tuyến vú trái đường kính: 5.2mm. (BIRADS II).</t>
  </si>
  <si>
    <t>Nhân tuyến vú trái đường kính: 4,2mm. (BIRADS III)</t>
  </si>
  <si>
    <t xml:space="preserve">Đa nang tuyến vú hai bên ( Nang tuyến vú phải đường kính lớn nhất: 5,4 mm. Nang tuyến vú trái đường kính lớn nhất: 7,2 mm) - BIRADS II </t>
  </si>
  <si>
    <t xml:space="preserve">Đa Nang tuyến vú hai bên (Nang tuyến vú phải đường kính lớn nhất: 7.9 mm. Nang tuyến vú trái đường kính lớn nhất: 6.8 mm) - BIRADS II </t>
  </si>
  <si>
    <t>Nang tuyến vú hai bên( nang tuyến vú trái đường kính: 4,4mm. Nang tuyến vú phải đường kính: 4mm)(Birads-II).</t>
  </si>
  <si>
    <t xml:space="preserve"> Đa nang tuyến vú hai bên ( Nang tuyến vú phải kích thước lớn nhất: 19,8 x 13,2 mm. Nang tuyến vú trái đường kính lớn nhất: 7 mm) - BIRADS II </t>
  </si>
  <si>
    <t>Nhân tuyến vú trái đường kính: 7mm. (BIRADS III)| Đa nang tuyến vú hai bên (Nang tuyến vú phải đường kính lớn nhất: 6,4mm. Nang tuyến vú trái đường kính lớn nhất: 8mm.) (BIRADS II)</t>
  </si>
  <si>
    <t xml:space="preserve">Đa nang tuyến vú trái kích thước: 20,5 x 6,5 mm (BIRADS II) </t>
  </si>
  <si>
    <t xml:space="preserve">Nhân tuyến vú hai bên (Nhân tuyến vú phải kích thước: 5.3 x 2.5 mm . Nhân tuyến vú trái kích thước: 4.7 x 2.9 mm) (BIRADS III) </t>
  </si>
  <si>
    <t>Nang tuyến vú phải đường kính: 4,4mm. (BIRADS II)</t>
  </si>
  <si>
    <t xml:space="preserve">Nhân tuyến vú trái kích thước: 3,9 x 7,1mm ( BIRADS III) </t>
  </si>
  <si>
    <t xml:space="preserve">Đa nang tuyến vú hai bên ( Nang tuyến vú phải kích thước lớn nhất: 11,1 x 6 mm. Nang tuyến vú trái kích thước lớn nhất: 7,4 x 5,7 mm) - BIRADS II </t>
  </si>
  <si>
    <t xml:space="preserve">Đa nang tuyến vú trái đường kính lớn nhất: 5,8 mm ( BIRADS II). </t>
  </si>
  <si>
    <t>Nang tuyến vú trái đường kính: 8.5mm (BIRADS II).</t>
  </si>
  <si>
    <t>Nhân tuyến vú trái kích thước: 8.6 x 6.9mm (BIRADS III).</t>
  </si>
  <si>
    <t>Nhân tuyến vú phải kích thước: 18.8 x 8.3mm (BIRADS III).</t>
  </si>
  <si>
    <t xml:space="preserve">Nang tuyến vú hai bên (Nang tuyến vú phải đường kính: 7.4 mm. Nang tuyến vú trái đường kính: 7.3 mm)(BIRADS II) </t>
  </si>
  <si>
    <t>Nang tuyến vú phải kích thước: 14,1 x 6mm. (BIRADS II)</t>
  </si>
  <si>
    <t xml:space="preserve">Nhân tuyến vú trái kích thước: 4,4 x 6,3 mm ( BIRADS III) </t>
  </si>
  <si>
    <t xml:space="preserve">Nhân tuyến vú phải kích thước: 9.5 x 6.6 mm (BIRADS III). </t>
  </si>
  <si>
    <t xml:space="preserve">Nang tuyến vú hai bên (Nang tuyến vú trái kích thước: 5 x 2,6 mm. Nang tuyến vú phải kích thước lớn nhất: 4,8 x 1,9 mm)(BIRADS II) </t>
  </si>
  <si>
    <t>Theo dõi ổ giảm âm tuyến vú phải</t>
  </si>
  <si>
    <t xml:space="preserve">Đa nang tuyến vú trái đường kính lớn nhất: 7,2mm (BIRADS II) </t>
  </si>
  <si>
    <t xml:space="preserve">Nang tuyến vú phải đường kính: 12,1mm (BIRADS II) </t>
  </si>
  <si>
    <t xml:space="preserve">Nang tuyến vú hai bên (Nang tuyến vú phải đường kính: 17.2 mm. Nang tuyến vú trái đường kính lớn nhất: 9.5 mm) - BIRADS II </t>
  </si>
  <si>
    <t xml:space="preserve">Nhân tuyến vú phải kích thước: 5.5 x 3.8 mm (BIRADS III). |Nang tuyến vú trái đường kính: 4.3 mm (BIRADS II) </t>
  </si>
  <si>
    <t xml:space="preserve">Nang tuyến vú hai bên (Nang tuyến vú phải đường kính: 6.1 mm. Nang tuyến vú trái đường kính lớn nhất: 6.3 mm)(BIRADS II) </t>
  </si>
  <si>
    <t xml:space="preserve">Đa nang tuyến vú trái đường kính lớn nhất: 5,7 mm ( BIRADS II). </t>
  </si>
  <si>
    <t xml:space="preserve">Đa Nang tuyến vú trái đường kính lớn nhất: 13.2 mm (BIRADS II) </t>
  </si>
  <si>
    <t xml:space="preserve">Nang tuyến vú phải đường kính: 3,1 mm (BIRADS II ) </t>
  </si>
  <si>
    <t>Nang tuyến vú phải đường kính: 6,7mm(Birads-II).</t>
  </si>
  <si>
    <t xml:space="preserve">Nang tuyến vú hai bên ( Nang tuyến vú phải đường kính: 4.5mm. Nang tuyến vú trái đường kính: 6.9mm) - BIRADS II </t>
  </si>
  <si>
    <t xml:space="preserve"> Nhân tuyến vú trái kích thước: 11,1 x 3,6mm(Birads-III).</t>
  </si>
  <si>
    <t>Nang tuyến vú trái đường kính: 5.2mm (BIRADS II)</t>
  </si>
  <si>
    <t>Nhân tuyến vú hai bên (Nhân tuyến vú phải kích thước: 12,4 x 9,4mm. Nhân tuyến vú trái kích thước lớn nhất: 9,7 x 5,8mm.) (BIRADS III)| Nang tuyến vú trái đường kính lớn nhất: 6,7 x 4,4mm. (BIRADS II)</t>
  </si>
  <si>
    <t>Nang tuyến vú trái đường kính: 5.5mm (BIRADS II).</t>
  </si>
  <si>
    <t xml:space="preserve">Nang tuyến vú phải kích thước: 6.8mm (BIRADS II) </t>
  </si>
  <si>
    <t>Nang tuyến vú phải kích thước: 4,7 x 2,8mm. (BIRADS II)</t>
  </si>
  <si>
    <t xml:space="preserve">Nang tuyến vú phải đường kính: 12.4mm (BIRADS II) </t>
  </si>
  <si>
    <t xml:space="preserve">Nang tuyến vú phải đường kính: 4.4mm (BIRADS II)| Nhân tuyến vú trái kích thước: 7.1x8mm (BIRADS III) </t>
  </si>
  <si>
    <t xml:space="preserve">Nang tuyến vú phải đường kính: 5mm(BIRADS II ) </t>
  </si>
  <si>
    <t xml:space="preserve">Nang tuyến vú phải đường kính: 9.7 mm (BIRADS II) </t>
  </si>
  <si>
    <t xml:space="preserve">Nhân tuyến vú phải kích thước: 4.6x4.4mm (BIRADS III) </t>
  </si>
  <si>
    <t>Đa nang tuyến vú hai bên ( Nang tuyến vú phải đường kính lớn nhất: 3,8mm.Nang tuyến vú trái đường kính lớn nhất: 4,3mm)(Birads-II).</t>
  </si>
  <si>
    <t>Nhân tuyến vú phải kích thước: 7,1 x 4mm. (BIRADS III)</t>
  </si>
  <si>
    <t>Nang tuyến vú phải kích thước: 10.1 mm (Birads II)</t>
  </si>
  <si>
    <t xml:space="preserve">Đa Nang tuyến vú hai bên (Nang tuyến vú phải đường kính lớn nhất: 5.9 mm. Nang tuyến vú trái đường kính lớn nhất: 8.7 mm) - BIRADS II </t>
  </si>
  <si>
    <t xml:space="preserve">Nang tuyến vú hai bên ( Nang tuyến vú phải đường kính: 6.8mm. Nang tuyến vú trái đường kính: 7.1mm) - BIRADS II </t>
  </si>
  <si>
    <t xml:space="preserve">Nhân tuyến vú trái kích thước: 6.4 x 4 mm (BIRADS III) </t>
  </si>
  <si>
    <t>Nang tuyến vú hai bên (Nang tuyến vú phải kích thước: 7,5 x 3,5mm và 5,7 x 3,1mm. Đa nang tuyến vú trái kích thước lớn nhất: 18 x 7,8mm.) (BIRADS II)</t>
  </si>
  <si>
    <t>Nang tuyến vú hai bên ( Nang tuyến vú phải đường kính: 11.9mm. Nang tuyến vú trái đường kính: 7.6mm) - BIRADS II</t>
  </si>
  <si>
    <t>Nhân tuyến vú trái kích thước: 13.5 x 6.4mm (BIRADS III).</t>
  </si>
  <si>
    <t xml:space="preserve"> Đa nang tuyến vú trái đường kính lớn nhất: 3,7 mm (BIRADS II ) </t>
  </si>
  <si>
    <t>Đa nang tuyến vú trái đường kính lớn nhất: 4,5mm. (BIRADS II)</t>
  </si>
  <si>
    <t xml:space="preserve">Nhân tuyến vú trái kích thước: 8.5 x 3.2 mm (BIRADS III). </t>
  </si>
  <si>
    <t>Nang tuyến vú hai bên ( Nang tuyến vú phải đường kính: 6.7 mm , Nang tuyến vú trái đường kính: 4.4 mm), (BIRADS II)</t>
  </si>
  <si>
    <t xml:space="preserve">Nang tuyến vú hai bên ( Nang tuyến vú phải đường kính: 5,3 mm. Nang tuyến vú trái đường kính lớn nhất: 6,8 mm) (BIRADS II). </t>
  </si>
  <si>
    <t>Nang tuyến vú hai bên ( nang tuyến vú trái kích thước ;4,7 x 11,8mm, nang tuyến vú phải kích thước: 6,4 x 15mm)(Birads-II).</t>
  </si>
  <si>
    <t>Nhân tuyến vú phải kích thước: 9,6 x 6,7mm. (BIRADS III)| Nang tuyến vú hai bên (Nang tuyến vú phải kích thước: 8,2 x 3,8mm. Nang tuyến vú trái kích thước: 8,9 x 4,1mm.) (BIRADS II)</t>
  </si>
  <si>
    <t>Nhân tuyến vú hai bên (Nhân tuyến vú phải kích thước: 9,9 x 6,2mm. Nhân tuyến vú trái kích thước: 9,3 x 5,1mm.) (BIRADS III)</t>
  </si>
  <si>
    <t xml:space="preserve">Nang tuyến vú hai bên (Nang tuyến vú phải đường kính: 4,1 mm/Nang tuyến vú trái đường kính: 2,1 mm)(BIRADS II)/Nhân tuyến vú phải kích thước: 8,8 x 4,1 mm (BIRADS III ) </t>
  </si>
  <si>
    <t xml:space="preserve">Đa nhân tuyến vú trái kích thước lớn nhất: 12,8 x 6,1 mm ( BIRADS III) </t>
  </si>
  <si>
    <t xml:space="preserve">Nang tuyến vú phải kích thước: 13,5 x 8,6 mm ( BIRADS II). </t>
  </si>
  <si>
    <t xml:space="preserve">Nang tuyến vú phải đường kính: 4.3 mm (BIRADS II) </t>
  </si>
  <si>
    <t>Nang tuyến vú trái kích thước: 10,6 x 2,7mm. (BIRADS II)</t>
  </si>
  <si>
    <t xml:space="preserve">Nhân tuyến vú trái đường kính: 5.8mm (BIRADS IV) </t>
  </si>
  <si>
    <t xml:space="preserve">Nhân tuyến vú phải kích thước: 5.7x7.7mm (BIRADS III) </t>
  </si>
  <si>
    <t>Nang tuyến vú trái đường kính: 5mm. (BIRADS II)</t>
  </si>
  <si>
    <t>Nhân tuyến vú phải kích thước: 7,9 x 6,7mm. (BIRADS III)| Nang tuyến vú phải kích thước: 8,4 x 4,1mm. (BIRADS II)</t>
  </si>
  <si>
    <t xml:space="preserve">Nang tuyến vú phải đường kính: 4.8 mm (BIRADS II) </t>
  </si>
  <si>
    <t xml:space="preserve">Nhân tuyến vú trái kích thước: 6,4 x 4,9 mm (BIRADS III) </t>
  </si>
  <si>
    <t xml:space="preserve">Nang tuyến vú trái đường kính: 8.7 mm (BIRADS II) </t>
  </si>
  <si>
    <t xml:space="preserve">Nang tuyến vú phải đường kính: 6 mm (BIRADS II) </t>
  </si>
  <si>
    <t>Nang tuyến vú phải kích thước: 8,3 x 3,8mm. (BIRADS II)</t>
  </si>
  <si>
    <t xml:space="preserve">Đa nang tuyến vú hai bên (Nang tuyến vú phải đường kính lớn nhất: 19mm. Nang tuyến vú trái đường kính lớn nhất: 15,3mm ) ( BIRADS II). |Đa nhân tuyến vú hai bên (Nhân tuyến vú phải kích thước lớn nhất: 9,8 x 7,1mm. Nhân tuyến vú trái kích thước lớn nhất: 6,6 x 3,6mm) ( BIRADS III). </t>
  </si>
  <si>
    <t>Đa nang tuyến vú hai bên (Nang tuyến vú phải đường kính lớn nhất: 6.9mm. Nang tuyến vú trái đường kính lớn nhất: 10.6mm)(BIRADS II).</t>
  </si>
  <si>
    <t xml:space="preserve">Nang tuyến vú hai bên (Nang tuyến vú phải đường kính: 5.1 mm. Nang tuyến vú trái đường kính: 5 mm) ( BIRADS II) </t>
  </si>
  <si>
    <t xml:space="preserve">Đa nang tuyến vú hai bên ( Nang tuyến vú phải đường kính lớn nhất: 7,4mm. Nang tuyến vú trái đường kính lớn nhất: 5,5mm ) (BIRADS II). </t>
  </si>
  <si>
    <t xml:space="preserve">Nang tuyến vú hai bên ( Nang tuyến vú phải kích thước: 7,7 x 6,4 mm. Nang tuyến vú trái đường kính: 4,3 mm) (BIRADS II). </t>
  </si>
  <si>
    <t xml:space="preserve">Đa nang tuyến vú hai bên ( Nang tuyến vú phải đường kính lớn nhất: 7,7 mm. Nang tuyến vú trái kích thước lớn nhất: 15 x 9,4 mm) - BIRADS II </t>
  </si>
  <si>
    <t xml:space="preserve">Nhân tuyến vú phải kích thước: 11,8 x 7,8 mm (BIRADS III) </t>
  </si>
  <si>
    <t xml:space="preserve">Nang tuyến vú trái kích thước: 7 x 3.1 mm (BIRADS II) </t>
  </si>
  <si>
    <t xml:space="preserve">Đa Nang tuyến vú trái đường kính lớn nhất: 6.5 mm (BIRADS II) </t>
  </si>
  <si>
    <t>Đa nang tuyến vú trái kích thước lớn nhất: 8,3 x 4,4mm. (BIRADS II)</t>
  </si>
  <si>
    <t xml:space="preserve">Nang tuyến vú hai bên (Nang tuyến vú phải đường kính: 8.2 mm. Nang tuyến vú trái đường kính: 5.4 mm)(BIRADS II) </t>
  </si>
  <si>
    <t xml:space="preserve">Nhân tuyến vú trái kích thước: 5,1 x 4.8mm (BIRADS III) </t>
  </si>
  <si>
    <t xml:space="preserve">Nang tuyến vú hai bên ( Nang tuyến vú phải kích thước: 7 x 3,1mm. Nang tuyến vú trái kích thước lớn nhất: 7,1 x 4,1mm) - BIRADS II </t>
  </si>
  <si>
    <t xml:space="preserve">Nhân tuyến vú phải kích thước: 3.9x9.6mm (BIRADS III) </t>
  </si>
  <si>
    <t>Nang tuyến vú trái đường kính: 5.1mm (BIRADS II).</t>
  </si>
  <si>
    <t>Nhân tuyến vú trái kích thước: 6,6 x 4,1 mm (BIRADS III)</t>
  </si>
  <si>
    <t xml:space="preserve">Nang tuyến vú hai bên ( Nang tuyến vú phải đường kính: 4.7mm. Nang tuyến vú trái đường kính: 7.8mm) - BIRADS II </t>
  </si>
  <si>
    <t xml:space="preserve">Theo dõi viêm xơ tuyến vú phải kích thước: 16.5 x 6.7mm | Nang tuyến vú phải đường kính: 3.7mm (BIRADS II). </t>
  </si>
  <si>
    <t xml:space="preserve">Nang tuyến vú hai bên ( Nang tuyến vú phải kích thước: 9,1 x 5,4mm. Nang tuyến vú trái kích thước: 3,5 x 7,8mm) (BIRADS II). </t>
  </si>
  <si>
    <t xml:space="preserve">Nang tuyến vú trái đường kính: 3.8 mm (BIRADS II) </t>
  </si>
  <si>
    <t xml:space="preserve">Đa nang tuyến vú hai bên (Nang tuyến vú phải đường kính lớn nhất: 14,5mm. Nang tuyến vú trái đường kính lớn nhất: 30,5mm ) ( BIRADS II). |Đa nhân tuyến vú hai bên (Nhân tuyến vú phải kích thước lớn nhất: 9,1 x 6,5mm. Nhân tuyến vú trái kích thước lớn nhất: 9,3 x 8,4mm) ( BIRADS III). </t>
  </si>
  <si>
    <t xml:space="preserve">Đa nang tuyến vú hai bên(Nang tuyến vú phải kích thước lớn nhất: 6,1 x 4,1 mm/Nang tuyến vú trái kích thước lớn nhất: 4 x 3,2 mm)(BIRADS II)| Đa nhân tuyến vú hai bên (Nhân tuyến vú phải kích thước lớn nhất: 8,7 x 5,7 mm/Nhân tuyến vú trái kích thước lớn nhất: 11,5 x 6,8 mm )(BIRADS III) </t>
  </si>
  <si>
    <t xml:space="preserve">Nang tuyến vú hai bên ( Nang tuyến vú phải đường kính: 6.9mm. Nang tuyến vú trái kích thước: 11x13.1mm) - BIRADS II </t>
  </si>
  <si>
    <t xml:space="preserve">Nang tuyến vú phải đường kính: 5.3mm (BIRADS II) |Tuyến vú phụ hai bên </t>
  </si>
  <si>
    <t xml:space="preserve">Nang tuyến vú phải đường kính: 8mm (BIRADS II ) </t>
  </si>
  <si>
    <t xml:space="preserve">Nhân tuyến vú phải kích thước: 8.5 x 4.9 mm (BIRADS III) |Nang tuyến vú trái kích thước: 7.9 mm (BIRADS II) </t>
  </si>
  <si>
    <t xml:space="preserve">Đa Nang tuyến vú hai bên (Nang tuyến vú phải đường kính lớn nhất: 6.7 mm. Nang tuyến vú trái đường kính lớn nhất: 8 mm) - BIRADS II </t>
  </si>
  <si>
    <t xml:space="preserve">Nhân tuyến vú hai bên (Nhân tuyến vú phải kích thước: 6,8 x 2,7 mm/Nhân tuyến vú trái kích thước: 5,1 x 3,1 mm )(BIRADS III) </t>
  </si>
  <si>
    <t xml:space="preserve">Đa nang tuyến vú hai bên ( Nang tuyến vú phải đường kính lớn nhất: 9,1 mm. Nang tuyến vú trái đường kính lớn nhất: 8,5 mm) (BIRADS II). </t>
  </si>
  <si>
    <t xml:space="preserve">Nang tuyến vú trái đường kính: 4 mm ( BIRADS II). </t>
  </si>
  <si>
    <t xml:space="preserve">Nang tuyến vú trái kích thước: 5,4 x 2,5mm( BIRADS II ) </t>
  </si>
  <si>
    <t xml:space="preserve">Đa nang tuyến vú hai bên ( Nang tuyến vú phải kích thước lớn nhất: 5,3 x 10,9 mm. Nang tuyến vú trái kích thước lớn nhất: 6,8 x 14,1 mm) (BIRADS II). </t>
  </si>
  <si>
    <t xml:space="preserve">Nang tuyến vú hai bên (Nang tuyến vú phải kích thước: 4,6 x 3mm. Nang tuyến vú trái kích thước lớn nhất: 7,8 x 4,1 mm)(BIRADS II) </t>
  </si>
  <si>
    <t xml:space="preserve">Nang tuyến vú phải đường kính: 4,7 mm ( BIRADS II). </t>
  </si>
  <si>
    <t xml:space="preserve">Đa nang tuyến vú trái đường kính lớn nhất: 9.2 mm (BIRADS II) </t>
  </si>
  <si>
    <t xml:space="preserve">Nang tuyến vú phải đường kính: 2,7 mm (BIRADS II ) </t>
  </si>
  <si>
    <t xml:space="preserve">Nang tuyến vú hai bên ( Nang tuyến vú phải đường kính: 5,3 mm. Nang tuyến vú trái đường kính: 6,1 mm) (BIRADS II). </t>
  </si>
  <si>
    <t xml:space="preserve">Nang tuyến vú phải đường kính: 6 mm ( BIRADS II). </t>
  </si>
  <si>
    <t>Nhân tuyến vú trái kích thước: 11,8 x 9,4mm. (BIRADS III)| Nang tuyến vú trái kích thước: 6,3 x 4,4mm. (BIRADS II)</t>
  </si>
  <si>
    <t>Nang tuyến vú trái đường kính: 10mm (BIRADS II)</t>
  </si>
  <si>
    <t xml:space="preserve">Nang tuyến vú hai bên ( Nang tuyến vú phải kích thước: 3,8 x 7,5mm. Nang tuyến vú trái kích thước: 3,4 x 5,5mm ) (BIRADS II). </t>
  </si>
  <si>
    <t xml:space="preserve">Nang tuyến vú phải đường kính: 3,8 mm (BIRADS II) </t>
  </si>
  <si>
    <t>Nhân tuyến vú phải kích thước: 7.2 x 4.4mm (BIRADS III).</t>
  </si>
  <si>
    <t xml:space="preserve">Nang tuyến vú hai bên (Nang tuyến vú phải đường kính: 7.5 mm. Nang tuyến vú trái đường kính: 9.8 mm) ( BIRADS II) </t>
  </si>
  <si>
    <t xml:space="preserve">Nhân tuyến vú phải kích thước: 8.6 x 3 mm (BIRADS III) </t>
  </si>
  <si>
    <t>Nang tuyến vú phải kích thước: 10.7 x 3.1mm (BIRADS II).</t>
  </si>
  <si>
    <t xml:space="preserve">Nhân tuyến vú trái kích thước: 8 x 6,3mm ( BIRADS III). </t>
  </si>
  <si>
    <t xml:space="preserve">Đa nang tuyến vú hai bên ( Nang tuyến vú phải đường kính lớn nhất: 6,9mm. Nang tuyến vú trái đường kính lớn nhất: 10,3mm ) (BIRADS II). </t>
  </si>
  <si>
    <t xml:space="preserve">Nang tuyến vú trái kích thước: 5 x 2,5 mm (BIRADS II ) </t>
  </si>
  <si>
    <t>Nang tuyến vú trái đường kính: 4.5mm (BIRADS II)</t>
  </si>
  <si>
    <t xml:space="preserve">Nang tuyến vú phải đường kính: 4mm (BIRADS II)| Nhân tuyến vú trái kích thước: 4x4.8mm (BIRADS III) </t>
  </si>
  <si>
    <t xml:space="preserve">Nhân tuyến vú phải kích thước: 6.1 x 4.8 mm (BIRADS III) </t>
  </si>
  <si>
    <t xml:space="preserve">Nang tuyến vú phải đường kính: 7,3mm (BIRADS II) </t>
  </si>
  <si>
    <t xml:space="preserve">Nang tuyến vú trái đường kính: 7.3 mm (BIRADS II) </t>
  </si>
  <si>
    <t xml:space="preserve">Nang tuyến vú hai bên ( Nang tuyến vú phải đường kính: 6,2 mm. Nang tuyến vú trái đường kính: 3,7 mm) - BIRADS II/ Nhân tuyến vú phải đường kính: 5,8 mm( BIRADS III). </t>
  </si>
  <si>
    <t xml:space="preserve">Nang tuyến vú trái kích thước: 24,2 x 7.9 mm (BIRADS II) </t>
  </si>
  <si>
    <t xml:space="preserve">Đa nang tuyến vú hai bên (Nang tuyến vú phải đường kính lớn nhất: 12,4mm. Nang tuyến vú trái đường kính lớn nhất: 12,7mm ) ( BIRADS II). </t>
  </si>
  <si>
    <t xml:space="preserve">Nang tuyến vú trái đường kính: 4,9mm (BIRADS II ) </t>
  </si>
  <si>
    <t>Nhân tuyến vú trái kích thước: 11,9 x 4,9mm. (BIRADS III)| Nang tuyến vú trái kích thước: 4,8 x 2,8mm. (BIRADS II)</t>
  </si>
  <si>
    <t xml:space="preserve">Nang tuyến vú phải đường kính: 5.7 mm (BIRADS II) </t>
  </si>
  <si>
    <t xml:space="preserve">Nang tuyến vú hai bên (Nang tuyến vú phải kích thước: 4,3 x 11,3 mm. Nang tuyến vú trái đường kính: 13,1 mm ) ( BIRADS II). </t>
  </si>
  <si>
    <t xml:space="preserve">Nang tuyến vú hai bên ( Nang tuyến vú phải đường kính: 3,7 mm. Nang tuyến vú trái đường kính: 8,2 mm) (BIRADS II). </t>
  </si>
  <si>
    <t xml:space="preserve">Nang tuyến vú trái đường kính: 5.3 mm (BIRADS II) </t>
  </si>
  <si>
    <t xml:space="preserve">Đa Nang tuyến vú hai bên (Nang tuyến vú phải đường kính lớn nhất: 15.1 mm. Nang tuyến vú trái đường kính lớn nhất: 19.5 mm) ( BIRADS II) </t>
  </si>
  <si>
    <t xml:space="preserve">Nang tuyến vú hai bên (Nang tuyến vú phải đường kính: 8,8mm. Nang tuyến vú trái kích thước lớn nhất: 30,9 x 12,1mm ) ( BIRADS II). </t>
  </si>
  <si>
    <t xml:space="preserve">Đa nang tuyến vú hai bên ( Nang tuyến vú phải kích thước lớn nhất: 4,9 x 8,1 mm. Nang tuyến vú trái kích thước lớn nhất: 6,6 x 13,2 mm) (BIRADS II). </t>
  </si>
  <si>
    <t xml:space="preserve">Đa nang tuyến vú hai bên (Nang tuyến vú phải đường kính lớn nhất: 6,1 mm/Nang tuyến vú trái kích thước lớn nhất: 32,1 x 11,5 mm)(BIRADS II)/Nhân tuyến vú trái kích thước: 6,8 x 5 mm (BIRADS III) </t>
  </si>
  <si>
    <t>Nang tuyến vú trái đường kính: 4.4mm (BIRADS II).</t>
  </si>
  <si>
    <t>Nang tuyến vú phải đường kính lớn nhất: 9,1 x 5,5mm. (BIRADS II)</t>
  </si>
  <si>
    <t>Đa nang tuyến vú hai bên (Nang tuyến vú phải kích thước lớn nhất: 11 x 5,6mm. Nang tuyến vú trái kích thước lớn nhất: 8,9 x 7,9mm.) (BIRADS II)</t>
  </si>
  <si>
    <t>Đa nhân tuyến vú hai bên (Nhân tuyến vú phải kích thước lớn nhất: 9.7 x 4.6mm. Nhân tuyến vú trái kích thước lớn nhất: 18.9 x 11.5mm)(BIRADS III)</t>
  </si>
  <si>
    <t xml:space="preserve">Đa Nang tuyến vú hai bên (Nang tuyến vú phải đường kính lớn nhất: 12.9 mm. Nang tuyến vú trái đường kính lớn nhất: 11.9 mm) ( BIRADS II)/ Nhân tuyến vú hai bên (Nhân tuyến vú phải kích thước: 6.8 x 4.6 mm . Nhân tuyến vú trái kích thước: 6.7 x 4.9 mm ) (BIRADS III) </t>
  </si>
  <si>
    <t xml:space="preserve">Đa nang tuyến vú hai bên (Nang tuyến vú phải đường kính lớn nhất: 10,3mm. Nang tuyến vú trái đường kính lớn nhất: 5,3mm ) ( BIRADS II). </t>
  </si>
  <si>
    <t>Đa nang tuyến vú trái đường kính lớn nhất: 7.5mm (BIRADS II).</t>
  </si>
  <si>
    <t>Nang tuyến vú phải kích thước lớn nhất: 8.9 x 5.5 mm (BIRADS II)</t>
  </si>
  <si>
    <t xml:space="preserve">Nang tuyến vú phải đường kính: 2,9 mm (BIRADS II ) </t>
  </si>
  <si>
    <t xml:space="preserve">Nang tuyến vú trái đường kính: 4.8mm( BIRADS II ) </t>
  </si>
  <si>
    <t xml:space="preserve">Nhân tuyến vú trái kích thước: 8.8 x 5.6 mm (BIRADS III) </t>
  </si>
  <si>
    <t xml:space="preserve">Nhân tuyến vú phải đường kính: 5,9 mm( BIRADS III). </t>
  </si>
  <si>
    <t>Nhân tuyến vú hai bên ( Nhân bên phải đường kính lớn nhất: 6,8mm. Nhân tuyến vú trái kích thước lớn nhất: 6,1 x 13,8mm)(Birads-III).</t>
  </si>
  <si>
    <t>Đa nhân tuyến vú phải kích thước lớn nhất: 14,1 x 5,3mm. (BIRADS III)</t>
  </si>
  <si>
    <t xml:space="preserve">Nang tuyến vú trái đường kính: 3.8mm (BIRADS II) </t>
  </si>
  <si>
    <t xml:space="preserve">Đa nang tuyến vú hai bên ( Nang tuyến vú phải kích thước lớn nhất: 10,5 x 5,1 mm. Nang tuyến vú trái kích thước lớn nhất: 8.9 x 6,3 mm) - BIRADS II </t>
  </si>
  <si>
    <t xml:space="preserve">Nang tuyến vú trái đường kính: 7.3mm( BIRADS II ) </t>
  </si>
  <si>
    <t xml:space="preserve">Đa nang tuyến vú hai bên ( Nang tuyến vú phải kích thước lớn nhất: 9,6 x 6,5 mm. Nang tuyến vú trái kích thước lớn nhất: 21,2 x 11,1 mm) - BIRADS II </t>
  </si>
  <si>
    <t xml:space="preserve">Nhân tuyến vú trái kích thước: 3.1x6.4mm (BIRADS III) </t>
  </si>
  <si>
    <t>Nhân tuyến vú phải kích thước: 27.9 x 9.1mm (BIRADS IV)</t>
  </si>
  <si>
    <t xml:space="preserve">Nhân tuyến vú phải đường kính: 6,7 mm( BIRADS III). </t>
  </si>
  <si>
    <t xml:space="preserve">Đa Nang tuyến vú hai bên (Nang tuyến vú phải đường kính lớn nhất: 12.9 mm. Nang tuyến vú trái đường kính lớn nhất: 11.7 mm) - BIRADS II </t>
  </si>
  <si>
    <t xml:space="preserve">Đa nang tuyến vú hai bên ( Nang tuyến vú phải đường kính lớn nhất: 7.6mm. Nang tuyến vú trái đường kính lớn nhất: 10.2mm) - BIRADS II </t>
  </si>
  <si>
    <t xml:space="preserve">Nang tuyến vú trái kích thước: 13.6 x 4mm( BIRADS II ) </t>
  </si>
  <si>
    <t xml:space="preserve">Nang tuyến vú hai bên ( Nang tuyến vú phải đường kính: 4 mm. Nang tuyến vú trái đường kính: 4,5 mm) (BIRADS II). </t>
  </si>
  <si>
    <t>Nhân tuyến vú trái kích thước: 10.3 x 4.8mm (BIRADS III) | Đa nang tuyến vú trái kích thước lớn nhất: 10.3 x 4.3mm (BIRADS II).</t>
  </si>
  <si>
    <t>Nang tuyến vú phải kích thước: 3,5 x 11,2mm(Birads-II).</t>
  </si>
  <si>
    <t xml:space="preserve">Đa nang tuyến vú trái đường kính: 3,2 mm(BIRADS II) </t>
  </si>
  <si>
    <t xml:space="preserve">Nang tuyến vú hai bên (Nang tuyến vú phải kích thước lớn nhất: 8,3 x 4,1 mm/Nang tuyến vú trái kích thước: 6,3 x 2,7 mm )(BIRADS II) </t>
  </si>
  <si>
    <t xml:space="preserve">Nang tuyến vú hai bên ( Nang tuyến vú phải đường kính: 5.1mm. Nang tuyến vú trái kích thước: 6.6x8.6mm) - BIRADS II </t>
  </si>
  <si>
    <t xml:space="preserve">Nhân tuyến vú trái kích thước: 6,3 x 16,7 mm ( BIRADS III). </t>
  </si>
  <si>
    <t>Nang tuyến vú trái đường kính: 6,2mm(Birads-II).</t>
  </si>
  <si>
    <t>Đa nhân tuyến vú hai bên (Nhân tuyến vú phải kích thước lớn nhất: 18,6 x 8,1mm. Nhân tuyến vú trái kích thước lớn nhất: 11,2 x 7,9mm.) (BIRADS III)</t>
  </si>
  <si>
    <t>Hình ảnh đa nang tuyến vú phải kích thước lớn nhất: 8 x 5 mm ( Birads 2)</t>
  </si>
  <si>
    <t xml:space="preserve">Nang tuyến vú phải đường kính: 5.4mm(BIRADS II ) </t>
  </si>
  <si>
    <t xml:space="preserve">Nang tuyến vú hai bên ( Nang tuyến vú phải đường kính: 5.1mm. Nang tuyến vú trái đường kính: 4mm) - BIRADS II </t>
  </si>
  <si>
    <t xml:space="preserve">Nang tuyến vú trái đường kính: 5.9mm (BIRADS II) </t>
  </si>
  <si>
    <t xml:space="preserve">Nang tuyến vú phải đường kính: 6.4mm (BIRADS II) </t>
  </si>
  <si>
    <t xml:space="preserve">Nang tuyến vú phải kích thước: 3,8 x 2,5 mm (BIRADS II ) </t>
  </si>
  <si>
    <t xml:space="preserve">Nang tuyến vú hai bên ( Nang tuyến vú phải đường kính: 6mm. Nang tuyến vú trái đường kính: 6.2mm) - BIRADS II </t>
  </si>
  <si>
    <t xml:space="preserve">Nhân tuyến vú trái kích thước: 7,7 x 5,1 mm ( BIRADS III). </t>
  </si>
  <si>
    <t xml:space="preserve">Nang tuyến vú hai bên ( Nang tuyến vú phải đường kính: 6,6 mm. Nang tuyến vú trái đường kính: 7,3 mm) - BIRADS II </t>
  </si>
  <si>
    <t xml:space="preserve"> Nang tuyến vú hai bên ( Nang tuyến vú phải đường kính: 7,1 mm. Nang tuyến vú trái kích thước: 13,4 x 5,6 mm) (BIRADS II). </t>
  </si>
  <si>
    <t>Đa nang tuyến vú trái kích thước lớn nhất: 7.5 x 3.2mm (BIRADS II).</t>
  </si>
  <si>
    <t>Nhân tuyến vú phải kích thước: 9,5 x 6,6mm. (BIRADS III)| Đa nang tuyến vú hai bên (Nang tuyến vú phải kích thước lớn nhất: 9 x 4,4mm. Nang tuyến vú trái kích thước lớn nhất: 12,9 x 4,7mm.) (BIRADS II)</t>
  </si>
  <si>
    <t xml:space="preserve">Nang tuyến vú trái đường kính: 8.9mm( BIRADS II ) </t>
  </si>
  <si>
    <t xml:space="preserve">Đa Nang tuyến vú hai bên (Nang tuyến vú phải đường kính lớn nhất: 16.4mm. Nang tuyến vú trái đường kính lớn nhất: 11.2 mm) - BIRADS II|Nhân tuyến vú hai bên (Nhân tuyến vú phải kích thước: 6.6 x 4.2 mm. Nhân tuyến vú trái kích thước: 6.1 x 5.3 mm) - BIRADS III </t>
  </si>
  <si>
    <t>Nang tuyến vú hai bên (nang tuyến vú trái kích thước lớn nhất: 8,5 x 5,2mm.nang tuyến vú phải kích thước lớn nhất: 6,1 x 12,3mm(Birads-II).</t>
  </si>
  <si>
    <t xml:space="preserve">Nhân tuyến vú phải kích thước: 16.7 x 5.9 mm (BIRADS III). </t>
  </si>
  <si>
    <t>Nhân tuyến vú trái kích thước: 9,9 x 7,1mm. (BIRADS III)| Nang tuyến vú trái kích thước: 6,7 x 4,3mm. (BIRADS II)</t>
  </si>
  <si>
    <t>Nhân tuyến vú trái kích thước: 8.8 x 4.6mm.(BIRADS III)</t>
  </si>
  <si>
    <t xml:space="preserve">Nang tuyến vú trái đường kính: 4,6 mm ( BIRADS II). </t>
  </si>
  <si>
    <t xml:space="preserve">Nang tuyến vú hai bên ( Nang tuyến vú phải đường kính: 6,1 mm. Nang tuyến vú trái đường kính: 5,7 mm) - BIRADS II </t>
  </si>
  <si>
    <t>Nang tuyến vú hai bên (Đa nang tuyến vú phải đường kính lớn nhất: 7mm. Nang tuyến vú trái đường kính: 7.4mm) (BIRADS II).</t>
  </si>
  <si>
    <t xml:space="preserve">Nang tuyến vú trái đường kính: 4.2 mm (BIRADS II) </t>
  </si>
  <si>
    <t xml:space="preserve">Nang tuyến vú trái kích thước: 7,2 x 4,3 mm ( BIRADS II). </t>
  </si>
  <si>
    <t xml:space="preserve">Đa nang tuyến vú hai bên ( Nang tuyến vú phải kích thước lớn nhất: 16,4 x 9,4mm. Nang tuyến vú trái đường kính lớn nhất: 5,6mm) - BIRADS II </t>
  </si>
  <si>
    <t>Nang tuyến vú phải kích thước: 7,6 x 4mm. (BIRADS II)</t>
  </si>
  <si>
    <t>Nhân tuyến vú phải kích thước: 14,2 x 6,5mm. (BIRADS III)</t>
  </si>
  <si>
    <t xml:space="preserve">Nang tuyến vú phải đường kính: 6.9 mm (BIRADS II) </t>
  </si>
  <si>
    <t xml:space="preserve">Nang tuyến vú phải đường kính: 4.3mm (BIRADS II) </t>
  </si>
  <si>
    <t xml:space="preserve">Nhân tuyến vú phải kích thước: 4,4 x 2,8 mm (BIRADS III) </t>
  </si>
  <si>
    <t xml:space="preserve">Đa nang tuyến vú hai bên ( Nang tuyến vú phải kích thước lớn nhất: 10,8 x 6,3 mm. Nang tuyến vú trái kích thước lớn nhất: 7 x 4 mm) - BIRADS II </t>
  </si>
  <si>
    <t xml:space="preserve">Nhân tuyến vú trái đường kính: 3.9mm (BIRADS III) </t>
  </si>
  <si>
    <t>Nhân tuyến vú phải kích thước: 9,4 x 8,8mm. (BIRADS III)| Nang tuyến vú hai bên (Đa nang tuyến vú phải kích thước lớn nhất: 20,4 x 9,2mm. Nang tuyến vú trái kích thước: 6,3 x 7mm.) (BIRADS II)</t>
  </si>
  <si>
    <t xml:space="preserve">Nhân tuyến vú phải kích thước: 7.9 x 4.8 mm (BIRADS III). </t>
  </si>
  <si>
    <t>Nang tuyến vú hai bên (Nang tuyến vú phải đường kính: 3,3 mm/Nang tuyến vú trái kích thước lớn nhất: 4,4 x 3,2 mm)(BIRADS II )</t>
  </si>
  <si>
    <t xml:space="preserve">Nang tuyến vú trái đường kính: 2,4 mm (BIRADS II) </t>
  </si>
  <si>
    <t xml:space="preserve">Đa nang tuyến vú phải kích thước lớn nhất: 13,2 x 10,1 mm (BIRADS II) </t>
  </si>
  <si>
    <t xml:space="preserve">Đa nang tuyến vú trái kích thước lớn nhất: 10,2 x 7,8 mm ( BIRADS II). </t>
  </si>
  <si>
    <t xml:space="preserve">Nang tuyến vú phải đường kính: 6.8mm(BIRADS II ) </t>
  </si>
  <si>
    <t xml:space="preserve">Nhân tuyến vú phải kích thước: 7,3 x 5,4 mm( BIRADS III). </t>
  </si>
  <si>
    <t xml:space="preserve">Nhân tuyến vú phải kích thước: 4.4x8.1mm (BIRADS III) </t>
  </si>
  <si>
    <t xml:space="preserve">Nhân tuyến vú phải kích thước: 10,1 x 5,8 mm ( BIRADS III) </t>
  </si>
  <si>
    <t xml:space="preserve">Nang tuyến vú hai bên (Nang tuyến vú phải đường kính: 8 mm. Nang tuyến vú trái đường kính: 9.7 mm) (BIRADS II) </t>
  </si>
  <si>
    <t xml:space="preserve">Nang tuyến vú phải đường kính: 10.5mm (BIRADS II) </t>
  </si>
  <si>
    <t>Tuyến vú phải đã cắt</t>
  </si>
  <si>
    <t xml:space="preserve">Nang tuyến vú phải đường kính: 7,3 mm (BIRADS II) </t>
  </si>
  <si>
    <t xml:space="preserve">Nang tuyến vú hai bên ( Nang tuyến vú phải đường kính: 7.7mm. Nang tuyến vú trái đường kính: 12.8mm) - BIRADS II </t>
  </si>
  <si>
    <t xml:space="preserve">Nhân tuyến vú phải kích thước: 5.8 x 3.1 mm (BIRADS III) </t>
  </si>
  <si>
    <t xml:space="preserve">Đa nhân tuyến vú hai bên (Nhân tuyến vú phải kích thước lớn nhất: 12,3 x 6,8mm. Nhân tuyến vú trái kích thước lớn nhất: 12,4 x 6,2mm) ( BIRADS III). </t>
  </si>
  <si>
    <t>Nhân tuyến vú phải kích thước: 6,6 x 5mm. (BIRADS III)</t>
  </si>
  <si>
    <t>Hình ảnh nhân tuyến vú phải kích thước: 9mm (BIRADS 3)</t>
  </si>
  <si>
    <t>Nang tuyến vú phải đường kính: 6.7mm (BIRADS II)</t>
  </si>
  <si>
    <t xml:space="preserve">Nang tuyến vú hai bên ( Nang tuyến vú phải kích thước: 13,1 x 6,5 mm. Nang tuyến vú trái kích thước: 6,1 x 5,4 mm) - BIRADS II </t>
  </si>
  <si>
    <t>Nhân tuyến vú hai bên (Nhân tuyến vú phải kích thước: 14,2 x 8,7mm. Nhân tuyến vú trái kích thước lớn nhất: 17,9 x 9,4mm.) (BIRADS III)</t>
  </si>
  <si>
    <t xml:space="preserve">Nang tuyến vú phải kích thước: 6,4 x 10,4 mm (BIRADS II)/ Nhân tuyến vú trái kích thước: 3,4 x 6,7 mm ( BIRADS III). </t>
  </si>
  <si>
    <t xml:space="preserve">Nhân tuyến vú hai bên (Nhân tuyến vú phải kích thước: 9.4 x 5.4 mm. Nhân tuyến vú trái kích thước: 6.4 x 5.1 mm) - BIRADS III |Đa nang tuyến vú phải đường kính lớn nhất: 7.8 mm (BIRADS II) </t>
  </si>
  <si>
    <t xml:space="preserve">Nhân tuyến vú phải kích thước: 9.3 x 6.8mm (BIRADS III) </t>
  </si>
  <si>
    <t xml:space="preserve">Nhân tuyến vú trái kích thước: 7,5 x 7,1mm (BIRADS III) </t>
  </si>
  <si>
    <t xml:space="preserve">Nhân tuyến vú phải kích thước: 15,3 x 5,4mm (BIRADS III) </t>
  </si>
  <si>
    <t xml:space="preserve">Nang tuyến vú hai bên ( Nang tuyến vú phải đường kính: 4.7mm. Nang tuyến vú trái kích thước: 4x9.6mm) - BIRADS II </t>
  </si>
  <si>
    <t>Nang tuyến vú phải đường kính: 8.1 mm ( BIRADS II)</t>
  </si>
  <si>
    <t xml:space="preserve">Nang tuyến vú trái đường kính: 9.8 mm (BIRADS II) </t>
  </si>
  <si>
    <t>Nang tuyến vú phải đường kính: 5.6mm (BIRADS II) Nhân tuyến vú trái kích thước: 5.5x3.8mm (BIRADS III)</t>
  </si>
  <si>
    <t xml:space="preserve">Nang tuyến vú trái đường kính: 5.7 mm (BIRADS II) </t>
  </si>
  <si>
    <t xml:space="preserve">Nhân tuyến vú trái kích thước: 2,8 x 2,5 mm (BIRADS III ) </t>
  </si>
  <si>
    <t xml:space="preserve">Nang tuyến vú phải đường kính: 5mm (BIRADS II) </t>
  </si>
  <si>
    <t xml:space="preserve">Nhân tuyến vú trái kích thước: 6,4 x 5,4 mm ( BIRADS III) </t>
  </si>
  <si>
    <t xml:space="preserve">Đa nang tuyến vú hai bên (Nang tuyến vú phải kích thước lớn nhất: 7.5 x 3.9 mm. Nang tuyến vú trái kích thước lớn nhất: 8.5 x 3.7 mm )(BIRADS II) </t>
  </si>
  <si>
    <t xml:space="preserve">Đa nang tuyến vú hai bên ( Nang tuyến vú phải đường kính lớn nhất: 4,4 mm. Nang tuyến vú trái đường kính lớn nhất: 6,7 mm) - BIRADS II </t>
  </si>
  <si>
    <t>Nang tuyến vú phải kích thước: 4,5 x 3,4mm. (BIRADS II)</t>
  </si>
  <si>
    <t xml:space="preserve">Nhân tuyến vú phải kích thước: 8 x 5,6mm (BIRADS III) </t>
  </si>
  <si>
    <t xml:space="preserve">Nang tuyến vú hai bên (Nang tuyến vú phải đường kính: 7.2 mm. Nang tuyến vú trái đường kính: 6.6 mm) ( BIRADS II) </t>
  </si>
  <si>
    <t>Nang tuyến vú trái đường kính lớn nhất: 9,1 x 4,7mm. (BIRADS II)</t>
  </si>
  <si>
    <t xml:space="preserve">Nang tuyến vú phải kích thước: 6,7 x 2,5 mm (BIRADS II) </t>
  </si>
  <si>
    <t xml:space="preserve">Nang tuyến vú hai bên (Nang tuyến vú phải đường kính: 4,3 mm. Nang tuyến vú trái đường kính: 2,4 mm ) ( BIRADS II). </t>
  </si>
  <si>
    <t xml:space="preserve">Nang tuyến vú phải đường kính: 6.7 mm (BIRADS II) </t>
  </si>
  <si>
    <t xml:space="preserve">Đa Nang tuyến vú trái đường kính lớn nhất: 7.7 mm (BIRADS II) </t>
  </si>
  <si>
    <t xml:space="preserve">Nang tuyến vú trái đường kính: 6.4 mm (BIRADS II) </t>
  </si>
  <si>
    <t xml:space="preserve">Nang tuyến vú trái đường kính: 7.5 mm (BIRADS II) </t>
  </si>
  <si>
    <t xml:space="preserve">Nhân tuyến vú hai bên (nhân tuyến vú phải đường kính: 3,4 mm. Nhân tuyến vú trái kích thước: 9,7 x 3,9 mm)(BIRADS III)|Nang tuyến vú hai bên (Nang tuyến vú phải kích thước: 9,2 x 6,8 mm. Nang tuyến vú trái kích thước: 33,3 x 9,4 mm)(BIRADS II) </t>
  </si>
  <si>
    <t xml:space="preserve">Nang tuyến vú phải đường kính: 15.1mm (BIRADS II) </t>
  </si>
  <si>
    <t xml:space="preserve">Đa nhân tuyến vú trái kích thước lớn nhất: 14 x 12,9 mm (BIRADS III) </t>
  </si>
  <si>
    <t xml:space="preserve">Nhân tuyến vú phải kích thước: 18.5 x 10.8mm (BIRADS IV) | Nhân tuyến vú trái kích thước: 8 x 3.4mm (BIRADS III) </t>
  </si>
  <si>
    <t xml:space="preserve">Đa Nang tuyến vú hai bên (Nang tuyến vú phải đường kính lớn nhất: 17.6 mm. Nang tuyến vú trái đường kính lớn nhất: 8.8 mm) - BIRADS II </t>
  </si>
  <si>
    <t xml:space="preserve">Nang tuyến vú phải đường kính: 7.6 mm (BIRADS II) </t>
  </si>
  <si>
    <t xml:space="preserve">Đa nang tuyến vú hai bên (Nang tuyến vú phải đường kính lớn nhất: 5,7 mm. Nang tuyến vú trái đường kính lớn nhất: 10,4 mm ) ( BIRADS II). </t>
  </si>
  <si>
    <t xml:space="preserve">Nang tuyến vú hai bên ( Nang tuyến vú phải kích thước lớn nhất: 12,7 x 7,2 mm. Nang tuyến vú trái đường kính: 5 mm) - BIRADS II </t>
  </si>
  <si>
    <t>Nhân tuyến vú phải kích thước: 9,3 x 6,1mm. (BIRADS III)</t>
  </si>
  <si>
    <t>Nang tuyến vú trái đường kính: 8.3mm (BIRADS II).</t>
  </si>
  <si>
    <t xml:space="preserve">Nhân tuyến vú hai bên (Nhân tuyến vú phải kích thước: 10.5 x 6.4mm. Nhân tuyến vú trái kích thước: 9.6 x 5.2mm) (BIRADS III) | Nang tuyến vú hai bên(Nang tuyến vú phải đường kính: 8.4mm. Nang tuyến vú trái đường kính: 5.1mm)(BIRADS II). </t>
  </si>
  <si>
    <t xml:space="preserve">Đa nang tuyến vú hai bên (Nang tuyến vú phải kích thước lớn nhất: 9,9 x 4,4 mm/Nang tuyến vú trái kích thước lớn nhất: 12 x 8,9 mm )(BIRADS II ) </t>
  </si>
  <si>
    <t xml:space="preserve">Hình ảnh nhân tuyến vú trái kích thước : 10 x 6 mm (BIRADS 3). </t>
  </si>
  <si>
    <t xml:space="preserve">Nang tuyến vú trái đường kính: 3,4 mm (BIRADS II )/Nhân tuyến vú phải kích thước: 7,6 x 4,7 mm (BIRADS III ) </t>
  </si>
  <si>
    <t xml:space="preserve">Nhân tuyến vú hai bên ( Nhân tuyến vú phải đường kính: 5.3mm. Nhân tuyến vú trái đường kính: 5.1mm) - BIRADS III </t>
  </si>
  <si>
    <t>Nang tuyến vú trái đường kính: 4,1mm. (BIRADS II)</t>
  </si>
  <si>
    <t>Nang tuyến vú trái kích thước: 6,9 x 4,5mm(Birads-II).</t>
  </si>
  <si>
    <t xml:space="preserve">Đa nang tuyến vú hai bên ( Nang tuyến vú phải kích thước lớn nhất: 8,7 x 8,6 mm. Nang tuyến vú trái kích thước lớn nhất: 6,8 x 3,8 mm) - BIRADS II </t>
  </si>
  <si>
    <t xml:space="preserve">Đa nang tuyến vú trái đường kính lớn nhất: 6,3 mm (BIRADS II ) </t>
  </si>
  <si>
    <t xml:space="preserve">Nhân tuyến vú phải kích thước: 4,8 x 4,5mm (BIRADS III) </t>
  </si>
  <si>
    <t xml:space="preserve">Nhân tuyến vú trái kích thước: 3.3x7.2mm (BIRADS III) </t>
  </si>
  <si>
    <t xml:space="preserve">Nhân tuyến vú phải kích thước: 12.2 x 7.1 mm (BIRADS III) </t>
  </si>
  <si>
    <t xml:space="preserve">Nhân tuyến vú phải đường kính: 6.5 mm( BIRADS III). </t>
  </si>
  <si>
    <t>Hình ảnh nang tuyến vú trái kích thước: 5,7 x 12,7mm(Birads-II).</t>
  </si>
  <si>
    <t xml:space="preserve">Nhân tuyến vú trái kích thước: 5,8 x 3,5 mm ( BIRADS III) </t>
  </si>
  <si>
    <t>Đa nang tuyến vú hai bên (Nang tuyến vú phải kích thước lớn nhất: 9,1 x 3,2mm. Nang tuyến vú trái kích thước lớn nhất: 14 x 5,8mm.) (BIRADS II)</t>
  </si>
  <si>
    <t xml:space="preserve">Đa nang tuyến vú hai bên ( Nang tuyến vú phải đường kính lớn nhất: 4,7mm. Nang tuyến vú trái kích thước lớn nhất: 20,4 x 5,4mm) (BIRADS II). </t>
  </si>
  <si>
    <t xml:space="preserve">Nhân tuyến vú phải kích thước: 9.3 x 4.8 mm (BIRADS III). </t>
  </si>
  <si>
    <t>Nang tuyến vú trái đường kính: 9.5mm (BIRADS II).</t>
  </si>
  <si>
    <t>Bình thường (Đã phẫu thuật bóc tách u tuyến vú hai bên)</t>
  </si>
  <si>
    <t xml:space="preserve">Đa nhân tuyến vú trái kích thước lớn nhất: 10.2 x 5.6mm (BIRADS III) </t>
  </si>
  <si>
    <t xml:space="preserve">Nang tuyến vú hai bên (Nang tuyến vú phải đường kính: 2,9 mm/Nang tuyến vú trái đường kính: 4,2 mm) (BIRADS II )/Nhân tuyến vú phải kích thước: 8,8 x 6,6 mm (BIRADS III) </t>
  </si>
  <si>
    <t xml:space="preserve">Nang tuyến vú phải đường kính lớn nhất: 7 mm (BIRADS II) </t>
  </si>
  <si>
    <t xml:space="preserve">Nhân tuyến vú trái kích thước: 8,7 x 6,3 mm (BIRADS III ) </t>
  </si>
  <si>
    <t xml:space="preserve">Nang tuyến vú phải đường kính: 4,6 mm (BIRADS II ) </t>
  </si>
  <si>
    <t xml:space="preserve">Nang tuyến vú hai bên (Nang tuyến vú phải đường kính: 4.6 mm. Nang tuyến vú trái đường kính lớn nhất: 8.6 mm)(BIRADS II) |Nhân tuyến vú phải kích thước: 9.5 x 4.8 mm (BIRADS III). </t>
  </si>
  <si>
    <t xml:space="preserve">Nang tuyến vú hai bên ( Nang tuyến vú phải đường kính: 7.4mm. Nang tuyến vú trái đường kính: 5.4mm) - BIRADS II </t>
  </si>
  <si>
    <t xml:space="preserve">Nang tuyến vú hai bên (Nang tuyến vú phải kích thước lớn nhất: 14.2 x 6.8 mm. Nang tuyến vú trái đường kính: 6.9 mm)(BIRADS II) </t>
  </si>
  <si>
    <t xml:space="preserve">Nhân tuyến vú phải kích thước: 4,9 x 10,5 mm ( BIRADS III) </t>
  </si>
  <si>
    <t>Nhân tuyến vú trái đường kính: 5.9mm (BIRADS III)</t>
  </si>
  <si>
    <t>Đa nang tuyến vú hai bên (Nang tuyến vú phải đường kính lớn nhất: 5,4mm. Nang tuyến vú trái đường kính lớn nhất: 4mm.) (BIRADS II)</t>
  </si>
  <si>
    <t>Nhân tuyến vú phải kích thước: 9,7 x 6,8mm (BIRADS III)| Nang tuyến vú phải đường kính: 4mm. (BIRADS II)</t>
  </si>
  <si>
    <t xml:space="preserve">Nang tuyến vú phải đường kính: 7.4 mm (BIRADS II) </t>
  </si>
  <si>
    <t xml:space="preserve">Nhân tuyến vú phải đường kính: 5,2 mm( BIRADS III). </t>
  </si>
  <si>
    <t xml:space="preserve">Nhân tuyến vú phải kích thước: 4,1 x 3,2 mm (BIRADS III) </t>
  </si>
  <si>
    <t xml:space="preserve"> Đa nang tuyến vú hai bên ( Nang tuyến vú phải đường kính lớn nhất: 6,8 mm. Nang tuyến vú trái đường kính lớn nhất: 6,4 mm) - BIRADS II </t>
  </si>
  <si>
    <t xml:space="preserve">Nhân tuyến vú trái kích thước: 3,6 x 7,5 mm ( BIRADS III) </t>
  </si>
  <si>
    <t xml:space="preserve">Nang tuyến vú trái đường kính: 6,2 mm (BIRADS II ) </t>
  </si>
  <si>
    <t>Nhân tuyến vú trái kích thước: 7,2 x 4,6mm. (BIRADS III)</t>
  </si>
  <si>
    <t xml:space="preserve">Nang tuyến vú hai bên (Nang tuyến vú phải đường kính: 6.5 mm. Nang tuyến vú trái đường kính: 6.1 mm)(BIRADS II) </t>
  </si>
  <si>
    <t xml:space="preserve">Nang tuyến vú trái đường kính: 5mm (BIRADS II) </t>
  </si>
  <si>
    <t>Nang tuyến vú phải đường kính: 3,1mm(Birads-II).</t>
  </si>
  <si>
    <t xml:space="preserve">Đa nang tuyến vú hai bên ( Nang tuyến vú phải kích thước lớn nhất: 7.1x14.1mm. Nang tuyến vú trái đường kính lớn nhất: 5.6mm) - BIRADS II </t>
  </si>
  <si>
    <t xml:space="preserve">Nhân tuyến vú phải kích thước: 8.7 x 6.3 mm (BIRADS III) </t>
  </si>
  <si>
    <t xml:space="preserve">Đa nang tuyến vú hai bên ( Nang tuyến vú phải kích thước lớn nhất: 8.1x3.9mm. Nang tuyến vú trái kích thước lớn nhất: 5.8x10.1mm) - BIRADS II </t>
  </si>
  <si>
    <t>Nang tuyến vú trái đường kính: 4,2mm. (BIRADS II)</t>
  </si>
  <si>
    <t xml:space="preserve">Nang tuyến vú hai bên (Nang tuyến vú phải đường kính: 5.1 mm. Nang tuyến vú trái đường kính: 6.5 mm)(BIRADS II) </t>
  </si>
  <si>
    <t>Nhân tuyến vú phải kích thước: 13,3 x 5,3mm. (BIRADS III)</t>
  </si>
  <si>
    <t>Nhân tuyến vú hai bên (Nhân tuyến vú phải kích thước: 8 x 3.9mm. Nhân tuyến vú trái đường kính: 6.3mm)(BIRADS III)</t>
  </si>
  <si>
    <t xml:space="preserve">Nang tuyến vú trái đường kính: 5.4mm (BIRADS II) </t>
  </si>
  <si>
    <t xml:space="preserve">Nhân tuyến vú phải kích thước: 3.8 x 2.9 mm (BIRADS III) </t>
  </si>
  <si>
    <t xml:space="preserve">Nang tuyến vú phải đường kính: 4,6 mm ( BIRADS II). </t>
  </si>
  <si>
    <t>Nhân tuyến vú hai bên (Nhân tuyến vú phải kích thước: 12,3 x 6,2mm. Nhân tuyến vú trái kích thước lớn nhất: 7,2 x 5,9mm.) (BIRADS III)</t>
  </si>
  <si>
    <t xml:space="preserve">Đa Nhân tuyến vú hai bên (Nhân tuyến vú phải kích thước lớn nhất: 9.7 x 5.3 mm. Nhân tuyến vú trái kích thước lớn nhất: 12.5 x 5.3 mm) - BIRADS III </t>
  </si>
  <si>
    <t xml:space="preserve">Nang tuyến vú hai bên ( Nang tuyến vú phải đường kính: 6.4mm. Nang tuyến vú trái đường kính: 7.4mm) - BIRADS II </t>
  </si>
  <si>
    <t xml:space="preserve">Nang tuyến vú hai bên (Nang tuyến vú phải đường kính: 9.6 mm. Nang tuyến vú trái đường kính: 13.8 mm) (BIRADS II) </t>
  </si>
  <si>
    <t xml:space="preserve">Nhân tuyến vú phải kích thước: 22.4 x 11.8mm (BIRADS III) | Nang tuyến vú hai bên ( Nang tuyến vú phải đường kính: 8.6mm. Nang tuyến vú trái đường kính lớn nhất: 7.6mm) - BIRADS II </t>
  </si>
  <si>
    <t xml:space="preserve">Nang tuyến vú hai bên ( Nang tuyến vú phải kích thước: 9,1 x 2,9mm. Nang tuyến vú trái kích thước: 6,9 x 3,1mm) - BIRADS II </t>
  </si>
  <si>
    <t xml:space="preserve">Đa Nang tuyến vú hai bên (Nang tuyến vú phải đường kính lớn nhất: 6.5 mm. Nang tuyến vú trái đường kính lớn nhất: 11.8 mm) ( BIRADS II) </t>
  </si>
  <si>
    <t xml:space="preserve">Nang tuyến vú phải đường kính: 7.9 mm (BIRADS II) </t>
  </si>
  <si>
    <t xml:space="preserve">Nang tuyến vú hai bên (Nang tuyến vú phải đường kính lớn nhất: 9.5 mm. Nang tuyến vú trái đường kính lớn nhất: 11.1 mm)(BIRADS II) </t>
  </si>
  <si>
    <t xml:space="preserve">Đa nang tuyến vú hai bên (Nang tuyến vú phải đường kính lớn nhất: 4,3 mm. Nang tuyến vú trái đường kính lớn nhất: 17,2 mm ) ( BIRADS II). </t>
  </si>
  <si>
    <t>Nang tuyến vú phải đường kính: 7.2mm (BIRADS II).</t>
  </si>
  <si>
    <t>Nang tuyến vú hai bên (Nang tuyến vú phải kích thước: 7,7 x 3,4mm. Nang tuyến vú trái kích thước: 8,9 x 4,6mm.) (BIRADS II)</t>
  </si>
  <si>
    <t xml:space="preserve">Nang tuyến vú hai bên (Nang tuyến vú phải đường kính: 6.4 mm. Nang tuyến vú trái đường kính lớn nhất: 8.3 mm) - BIRADS II </t>
  </si>
  <si>
    <t xml:space="preserve">Nhân tuyến vú trái kích thước: 8.8 x 6.5 mm (BIRADS III) </t>
  </si>
  <si>
    <t>Nhân tuyến vú phải kích thước: 7,3 x 3,8mm. (BIRADS III)</t>
  </si>
  <si>
    <t xml:space="preserve">Nang tuyến vú phải đường kính: 11,3 mm (BIRADS II) </t>
  </si>
  <si>
    <t xml:space="preserve">Nang tuyến vú hai bên ( Nang tuyến vú phải đường kính: 5.5mm. Nang tuyến vú trái kích thước: 6.1x14.9mm) - BIRADS II </t>
  </si>
  <si>
    <t xml:space="preserve">Nang tuyến vú phải đường kính: 6mm (BIRADS II) </t>
  </si>
  <si>
    <t xml:space="preserve">Nhân tuyến vú trái kích thước: 8.4 x 5 mm (BIRADS III). </t>
  </si>
  <si>
    <t>Nhân tuyến vú trái đường kính: 9.3 mm ( BIRADS III)</t>
  </si>
  <si>
    <t xml:space="preserve">Nhân tuyến vú phải kích thước: 5.6 x 3.7 mm (BIRADS III) </t>
  </si>
  <si>
    <t xml:space="preserve">Nhân tuyến vú phải kích thước: 18.3 x 9.1 mm (BIRADS III). </t>
  </si>
  <si>
    <t>Nhân tuyến vú phải kích thước: 21,9 x 9,1mm. (BIRADS III)</t>
  </si>
  <si>
    <t>Nang tuyến vú trái đường kính: 5,6mm. (BIRADS II) (ĐHC)</t>
  </si>
  <si>
    <t>Nang tuyến vú phải đường kính: 13.3mm (BIRADS II).</t>
  </si>
  <si>
    <t>Nang tuyến vú hai bên (Nang tuyến vú phải đường kính: 6,8mm. Nang tuyến vú trái đường kính: 6,7mm.) (BIRADS II)</t>
  </si>
  <si>
    <t xml:space="preserve">Nang tuyến vú trái đường kính: 6 mm (BIRADS II) </t>
  </si>
  <si>
    <t xml:space="preserve">Nang tuyến vú trái kích thước: 4,9 x 2 mm (BIRADS II )/Nhân tuyến vú phải kích thước: 6,3 x 3,7 mm (BIRADS III) </t>
  </si>
  <si>
    <t xml:space="preserve">Nang tuyến vú phải đường kính: 8.2 mm (BIRADS II) |Nhân tuyến vú phải kích thước: 13.3 x 4.6 mm (BIRADS III). </t>
  </si>
  <si>
    <t>Nang tuyến vú hai bên (nang tuyến vú phải kích thước 7,1x3mm , nang tuyến vú trái 6,9x 2,7mm) ( Birads II)</t>
  </si>
  <si>
    <t>Nang tuyến vú hai bên(Nang tuyến vú phải đường kính: 4,3mmNang tuyến vú trái đường kính: 4,3mm).(Birads-II).</t>
  </si>
  <si>
    <t xml:space="preserve">Nhân tuyến vú phải kích thước: 3,8 x 3,8 mm (BIRADS III) </t>
  </si>
  <si>
    <t xml:space="preserve">Nang tuyến vú phải đường kính: 5,8mm (BIRADS II) </t>
  </si>
  <si>
    <t>Nhân tuyến vú phải kích thước: 7,8 x 4,5mm. (BIRADS III)</t>
  </si>
  <si>
    <t xml:space="preserve">Nang tuyến vú trái đường kính: 5,7 mm ( BIRADS II). </t>
  </si>
  <si>
    <t xml:space="preserve">Nang tuyến vú phải kích thước: 8,4 x 4,7mm(BIRADS II ) </t>
  </si>
  <si>
    <t xml:space="preserve">Đa nang tuyến vú hai bên ( Nang tuyến vú phải đường kính lớn nhất: 7 mm. Nang tuyến vú trái đường kính lớn nhất: 6 mm) - BIRADS II/ Nhân tuyến vú phải đường kính: 7,6 mm( BIRADS III). </t>
  </si>
  <si>
    <t xml:space="preserve">Đa Nang tuyến vú trái đường kính lớn nhất: 9 mm (BIRADS II) </t>
  </si>
  <si>
    <t xml:space="preserve">Nhân tuyến vú phải kích thước: 7 x 5mm ( BIRADS III). |Nang tuyến vú hai bên (Nang tuyến vú phải đường kính: 16,1mm. Nang tuyến vú trái đường kính: 7,9mm ) ( BIRADS II). </t>
  </si>
  <si>
    <t>Nang tuyến vú phải đường kính: 7,5mm. (BIRADS II)</t>
  </si>
  <si>
    <t>Nang tuyến vú trái kích thước: 8,4 x 5,6mm. (BIRADS II)</t>
  </si>
  <si>
    <t xml:space="preserve">Nhân tuyến vú trái kích thước: 6.7 x 4 mm (BIRADS III) </t>
  </si>
  <si>
    <t>Nang tuyến vú phải đường kính: 5,4mm. (BIRADS II)</t>
  </si>
  <si>
    <t>Nang tuyến vú hai bên (Nang tuyến vú phải đường kính: 7.6mm. Nang tuyến vú trái đường kính: 2.9mm)(BIRADS II).</t>
  </si>
  <si>
    <t xml:space="preserve">Nhân tuyến vú trái kích thước: 6.2 x 4.1 mm (BIRADS III) </t>
  </si>
  <si>
    <t xml:space="preserve">Đa nang tuyến vú hai bên ( Nang tuyến vú phải đường kính lớn nhất: 6,7mm. Nang tuyến vú trái kích thước lớn nhất: 10,5 x 10,6mm) (BIRADS II). </t>
  </si>
  <si>
    <t xml:space="preserve">Nhân tuyến vú hai bên (Nhân tuyến vú phải kích thước: 6.2 x 3.3 mm. Nhân tuyến vú trái kích thước lớn nhất: 9.9 x 6.7 mm ) (BIRADS III) </t>
  </si>
  <si>
    <t>Nang tuyến vú phải đường kính: 4.8mm (BIRADS II).</t>
  </si>
  <si>
    <t xml:space="preserve">Nhân tuyến vú trái kích thước: 5,8 x 5,1 mm (BIRADS III) </t>
  </si>
  <si>
    <t>Nang tuyến vú trái đường kính: 8.2mm (BIRADS II).</t>
  </si>
  <si>
    <t>Nang tuyến vú trái đường kính: 6.9mm (BIRADS II).</t>
  </si>
  <si>
    <t xml:space="preserve">Nang tuyến vú phải kích thước: 7,6 x 3,2 mm (BIRADS II)/ Nhân tuyến vú trái kích thước: 9,9 x 18,8 mm ( BIRADS III) </t>
  </si>
  <si>
    <t xml:space="preserve">Nhân tuyến vú phải kích thước: 16.4 x 9.4 mm (BIRADS III). </t>
  </si>
  <si>
    <t xml:space="preserve">Nang tuyến vú phải đường kính: 6.6mm(BIRADS II ) </t>
  </si>
  <si>
    <t xml:space="preserve">Nang tuyến vú phải đường kính: 7.8 mm (BIRADS II) </t>
  </si>
  <si>
    <t xml:space="preserve">Nang tuyến vú phải đường kính: 7,7mm (BIRADS II) </t>
  </si>
  <si>
    <t xml:space="preserve">Nang tuyến vú hai bên (Nang tuyến vú phải đường kính lớn nhất: 6.4 mm. Nang tuyến vú trái đường kính: 6 mm) ( BIRADS II) </t>
  </si>
  <si>
    <t xml:space="preserve">Đa nang tuyến vú trái kích thước lớn nhất: 5,6 x 2,4 mm(BIRADS II) </t>
  </si>
  <si>
    <t xml:space="preserve">Nang tuyến vú hai bên ( Nang tuyến vú phải đường kính: 4.8mm. Nang tuyến vú trái đường kính: 4.8mm) - BIRADS II </t>
  </si>
  <si>
    <t>Nang tuyến vú trái đường kính: 8.4mm (BIRADS II)</t>
  </si>
  <si>
    <t xml:space="preserve">02 Nhân tuyến vú trái kích thước lớn nhất: 6.2 x 3.7 mm (BIRADS III) </t>
  </si>
  <si>
    <t xml:space="preserve">Nang tuyến vú hai bên ( Nang tuyến vú phải đường kính: 6.7mm. Nang tuyến vú trái đường kính: 14mm) - BIRADS II </t>
  </si>
  <si>
    <t xml:space="preserve">Nang tuyến vú trái đường kính: 8.1 mm (BIRADS II) </t>
  </si>
  <si>
    <t xml:space="preserve">Nhân tuyến vú trái đường kính: 4,8 mm ( BIRADS II). </t>
  </si>
  <si>
    <t xml:space="preserve">Nang tuyến vú phải đường kính: 4,1 mm (BIRADS II) </t>
  </si>
  <si>
    <t xml:space="preserve">Nang tuyến vú trái đường kính: 3,8 mm (BIRADS II )/ Nhân tuyến vú trái đường kính: 6 mm ( BIRADS III). </t>
  </si>
  <si>
    <t xml:space="preserve">Nang tuyến vú phải đường kính: 4 mm (BIRADS II) </t>
  </si>
  <si>
    <t>Nang tuyến vú phải kích thước: 5,3 x 3,5mm. (BIRADS II)</t>
  </si>
  <si>
    <t xml:space="preserve">Nhân tuyến vú phải kích thước: 7.9 x 6mm (BIRADS III) </t>
  </si>
  <si>
    <t>Nhân tuyến vú trái kích thước: 7.3 x 4.8mm (BIRADS III).</t>
  </si>
  <si>
    <t xml:space="preserve">Nhân tuyến vú phải kích thước: 6,5 x 4,7mm ( BIRADS III) </t>
  </si>
  <si>
    <t xml:space="preserve">Đa nang tuyến vú phải đường kính lớn nhất: 6,4 mm ( BIRADS II). </t>
  </si>
  <si>
    <t xml:space="preserve">Nang tuyến vú phải đường kính: 5.5 mm (BIRADS II) </t>
  </si>
  <si>
    <t xml:space="preserve">Nang tuyến vú phải đường kính: 5.2 mm (BIRADS II) </t>
  </si>
  <si>
    <t xml:space="preserve">Nang tuyến vú phải kích thước: 7,2 x 5,2mm (BIRADS II) </t>
  </si>
  <si>
    <t>Nang tuyến vú hai bên (Nang tuyến vú phải đường kính: 6.6mm. Nang tuyến vú trái đường kính: 6.9mm ) (BIRADS II )</t>
  </si>
  <si>
    <t>Hình ảnh nhân tuyến vú phải kích thước : 9 x 5 mm (Birads 3)</t>
  </si>
  <si>
    <t xml:space="preserve">Nang tuyến vú phải kích thước: 9,6 x 6,1 mm (BIRADS II ) </t>
  </si>
  <si>
    <t xml:space="preserve">Nang tuyến vú trái kích thước: 6,3 x 3,9 mm (BIRADS II ) </t>
  </si>
  <si>
    <t xml:space="preserve">Hình ảnh nang tuyến vú trái kích thước : 4 mm (BIRADS 2 ) </t>
  </si>
  <si>
    <t xml:space="preserve">Nhân tuyến vú hai bên (Nhân tuyến vú phải kích thước: 12.6 x 6.6mm. Nhân tuyến vú trái kích thước: 17.8 x 10mm) (BIRASD III) </t>
  </si>
  <si>
    <t>Nang tuyến vú trái đường kính: 4.5mm (BIRADS II).</t>
  </si>
  <si>
    <t xml:space="preserve">Nang tuyến vú hai bên ( Nang tuyến vú phải kích thước: 4,8 x 9,2 mm. Nang tuyến vú trái đường kính: 6 mm) (BIRADS II). </t>
  </si>
  <si>
    <t xml:space="preserve">Nang tuyến vú phải đường kính: 5 mm ( BIRADS II). </t>
  </si>
  <si>
    <t xml:space="preserve">Nang tuyến vú trái kích thước: 5,3 x 2,7 mm (BIRADS II ) </t>
  </si>
  <si>
    <t xml:space="preserve">Nhân tuyến vú trái kích thước: 5,5 x 3,6mm (BIRADS III) </t>
  </si>
  <si>
    <t>Nhân tuyến vú phải kích thước: 14 x 6.2mm (BIRADS III)</t>
  </si>
  <si>
    <t xml:space="preserve">Nang tuyến vú trái đường kính: 12.4mm (BIRADS II) </t>
  </si>
  <si>
    <t xml:space="preserve">Đa Nang tuyến vú phải đường kính lớn nhất: 8 mm (BIRADS II) </t>
  </si>
  <si>
    <t xml:space="preserve">Nang tuyến vú phải đường kính: 11.2 mm(BIRADS II ) </t>
  </si>
  <si>
    <t xml:space="preserve">Nhân tuyến vú hai bên ( Nhân tuyến vú phải kích thước: 25,2 x 6,7mm. Nhân tuyến vú trái kích thước: 14 x 6,1mm) - BIRADS III </t>
  </si>
  <si>
    <t xml:space="preserve">Nhân tuyến vú trái kích thước: 12,4 x 7,2 mm (BIRADS III) </t>
  </si>
  <si>
    <t>Nhân tuyến vú phải kích thước: 10.4 x 4.5mm (BIRADS III).</t>
  </si>
  <si>
    <t xml:space="preserve">Nhân tuyến vú trái kích thước: 11,6 x 4,8 mm ( BIRADS III) </t>
  </si>
  <si>
    <t>Nhân tuyến vú trái đường kính: 6.1mm (BIRADS III).</t>
  </si>
  <si>
    <t>Nang tuyến vú phải đường kính: 4,7mm. (BIRADS II) (ĐHC)</t>
  </si>
  <si>
    <t xml:space="preserve">Nhân tuyến vú phải đường kính: 8,5 mm ( BIRADS III) </t>
  </si>
  <si>
    <t xml:space="preserve">Nhân tuyến vú phải kích thước: 5,4 x 3,6 mm (BIRADS III ) </t>
  </si>
  <si>
    <t xml:space="preserve">Nang tuyến vú phải kích thước: 5,1 x 2 mm (BIRADS II ) </t>
  </si>
  <si>
    <t xml:space="preserve">Nang tuyến vú trái đường kính: 8 mm (BIRADS II) </t>
  </si>
  <si>
    <t>Nhân tuyến vú trái đường kính: 6mm. (BIRADS III)</t>
  </si>
  <si>
    <t>Nang tuyến vú phải đường kính: 9.4 mm và 15,1 mm. (BIRADS II)</t>
  </si>
  <si>
    <t>Nang tuyến vú phải đường kính lớn nhất: 6,1mm(Birads-II).</t>
  </si>
  <si>
    <t>Nang tuyến vú trái đường kính: 4.8 mm. ( BIRADS II)</t>
  </si>
  <si>
    <t>Hình ảnh nhân tuyến vú phải kích thước : 7 x 3mm ( Birads 3)| Nang tuyến vú trái kích thước : 5mm ( Birads 2)</t>
  </si>
  <si>
    <t xml:space="preserve">Đa nang tuyến vú hai bên (Nang tuyến vú phải đường kính lớn nhất: 8.9mm. Nang tuyến vú trái đường kính lớn nhất: 8.3mm ) BIRADS II </t>
  </si>
  <si>
    <t xml:space="preserve">Nang tuyến vú hai bên (Nang tuyến vú phải đường kính: 4.6mm. Nang tuyến vú trái kích thước: 5.6 x 8.3mm. ) (BIRADS II) </t>
  </si>
  <si>
    <t xml:space="preserve">Nhân tuyến vú trái đường kính: 3.1mm (BIRADS III) </t>
  </si>
  <si>
    <t xml:space="preserve">Nhân tuyến vú phải kích thước: 9,8 x 4,3 mm (BIRADS III ) </t>
  </si>
  <si>
    <t xml:space="preserve">Nang tuyến vú phải đường kính: 6.8mm (BIRADS II) </t>
  </si>
  <si>
    <t xml:space="preserve">Nang tuyến vú phải đường kính: 4.4mm (BIRADS II)|Nhân tuyến vú trái kích thước: 6.1x8mm (BIRADS III) </t>
  </si>
  <si>
    <t xml:space="preserve">Nang tuyến vú trái kích thước: 7,1 x 2,8mm( BIRADS II ) |Đa nhân tuyến vú trái kích thước lớn nhất: 24,1 x 9,8mm (BIRADS III) </t>
  </si>
  <si>
    <t xml:space="preserve">Đa Nang tuyến vú phải đường kính lớn nhất: 7.6 mm (BIRADS II) </t>
  </si>
  <si>
    <t xml:space="preserve">Nang tuyến vú trái kích thước: 5,4 x 3,6 mm (BIRADS II ) </t>
  </si>
  <si>
    <t>Nhân tuyến vú phải kích thước: 7,2 x 6mm. (BIRADS III)</t>
  </si>
  <si>
    <t>Nang tuyến vú phải đường kính: 5.2mm</t>
  </si>
  <si>
    <t xml:space="preserve">Nang tuyến vú phải đường kính: 11.2 mm (BIRADS II) </t>
  </si>
  <si>
    <t>Nhân tuyến vú trái kích thước: 6,8 x 4mm. (BIRADS III)</t>
  </si>
  <si>
    <t xml:space="preserve">Nhân tuyến vú trái kích thước: 6.7 x 3.7mm (BIRADS III) </t>
  </si>
  <si>
    <t xml:space="preserve">Nhân tuyến vú phải kích thước: 5.3 x 4 mm (BIRADS III). </t>
  </si>
  <si>
    <t xml:space="preserve">Đa nang tuyến vú hai bên ( Nang tuyến vú phải kích thước lớn nhất: 8,7 x 5,3 mm. Nang tuyến vú trái kích thước lớn nhất: 11,8 x 7 mm) - BIRADS II </t>
  </si>
  <si>
    <t xml:space="preserve">Nang tuyến vú phải đường kính: 7.9mm (BIRADS II) </t>
  </si>
  <si>
    <t xml:space="preserve">Nhân tuyến vú trái đường kính: 10 mm ( BIRADS III)/ Nang tuyến vú phải đường kính: 5,8 mm ( BIRADS II). </t>
  </si>
  <si>
    <t xml:space="preserve">Nang tuyến vú phải đường kính: 4.9mm (BIRADS II) </t>
  </si>
  <si>
    <t xml:space="preserve">Nang tuyến vú hai bên (Nang tuyến vú phải đường kính lớn nhất: 9.5 mm. Nang tuyến vú trái đường kính: 6.6 mm) - BIRADS II </t>
  </si>
  <si>
    <t>Nhân tuyến vú phải kích thước 9,6x2,4mm ( BIRADS III)</t>
  </si>
  <si>
    <t>Nhân tuyến vú trái kích thước: 11,1 x 8,9mm. (BIRADS III)</t>
  </si>
  <si>
    <t xml:space="preserve">Nhân tuyến vú trái kích thước: 7,8 x 3,9 mm (BIRADS III )/Nang tuyến vú phải kích thước: 5,3 x 2,3 mm (BIRADS II ) </t>
  </si>
  <si>
    <t xml:space="preserve">Nang tuyến vú trái đường kính: 17,2mm ( BIRADS II ) </t>
  </si>
  <si>
    <t xml:space="preserve">Đa nang tuyến vú trái đường kính lớn nhất: 5,2mm ( BIRADS II ) </t>
  </si>
  <si>
    <t>Nhân tuyến vú hai bên (Nhân tuyến vú phải kích thước: 7,4 x 3,6mm. Nhân tuyến vú trái kích thước: 5,3 x 2,9mm.) (BIRADS III)</t>
  </si>
  <si>
    <t xml:space="preserve">Nhân tuyến vú trái kích thước: 20.8 x 12.3mm (BIRADS III) | Nang tuyến vú trái kích thước: 18.3 x 4.8mm(BIRADS II ) </t>
  </si>
  <si>
    <t>Hình ảnh nhân tuyến vú phải kích thước : 7 x 5 mm (BIRADS 3)</t>
  </si>
  <si>
    <t>Nang tuyến vú trái đường kính: 5.2mm (BIRADS II).</t>
  </si>
  <si>
    <t xml:space="preserve">Nhân tuyến vú phải kích thước: 14.3 x 7.7mm (BIRADS III) | Nang tuyến vú phải đường kính: 7.9mm(BIRADS II ) </t>
  </si>
  <si>
    <t xml:space="preserve">Nhân tuyến vú trái kích thước: 9,3 x 5,4 mm ( BIRADS III). </t>
  </si>
  <si>
    <t>Nhân tuyến vú trái kích thước: 11.6 x 6.2mm.(BIRADS III)</t>
  </si>
  <si>
    <t xml:space="preserve">Nang tuyến vú hai bên (Nang tuyến vú phải đường kính lớn nhất: 6.8 mm. Nang tuyến vú trái đường kính: 3.8 mm) - BIRADS II |Nhân tuyến vú phải kích thước: 6.9 x 2.3 mm (BIRADS III) </t>
  </si>
  <si>
    <t xml:space="preserve">Nhân tuyến vú trái kích thước: 11.2 x 7.6mm (BIRADS III) </t>
  </si>
  <si>
    <t>Nhiều nốt trống âm trong cơ ngực lớn. (Sau tiêm collagen)</t>
  </si>
  <si>
    <t>Đa nang tuyến vú hai bên (nang tuyến vú trái kích thước lớn nhất: 6 x 15,8mm, nang tuyến vú phải kích thước lớn nhất: 9,3 x 18,2mm)(Birads-II).</t>
  </si>
  <si>
    <t xml:space="preserve">Nang tuyến vú hai bên (Nang tuyến vú phải đường kính: 6 mm. Nang tuyến vú trái đường kính: 4.6 mm) (BIRADS II) </t>
  </si>
  <si>
    <t>Nhân tuyến vú phải kích thước: 28.2 x 12.4mm. (BIRADS III).</t>
  </si>
  <si>
    <t>Đa nang tuyến vú hai bên (Nang tuyến vú phải kích thước lớn nhất: 10,2 x 4,2 mm/Nang tuyến vú trái kích thước: 8,8 x 6,3 mm) (BIRADS II )</t>
  </si>
  <si>
    <t>Nang tuyến vú trái đường kính: 14.9 mm ( BIRADS II )</t>
  </si>
  <si>
    <t xml:space="preserve">Nang tuyến vú hai bên ( Nang tuyến vú phải đường kính: 4,8 mm. Nang tuyến vú trái kích thước lớn nhất: 8,7 x 4,5 mm) - BIRADS II </t>
  </si>
  <si>
    <t>Nhân tuyến vú phải kích thước: 7.9 x 4.1 (BIRADS III)| Nang tuyến vú phải kích thước: 7.9 x 4.1mm.(BIRADS II)</t>
  </si>
  <si>
    <t xml:space="preserve">Nhân tuyến vú phải kích thước: 11 x 6,9 mm (BIRADS III ) </t>
  </si>
  <si>
    <t>Nang tuyến vú trái kích thước: 5,4 x 3 mm (BIRADS II )</t>
  </si>
  <si>
    <t>Nang tuyến vú phải kích thước: 9,4 x 3,5mm(Birads-II).</t>
  </si>
  <si>
    <t xml:space="preserve">Nang tuyến vú phải đường kính: 3,7 mm ( BIRADS II). </t>
  </si>
  <si>
    <t xml:space="preserve">Nhân tuyến vú phải kích thước: 9,8 x 5 mm( BIRADS III)/ Nang tuyến vú phải kích thước: 10,4 x 4,6 mm ( BIRADS II). </t>
  </si>
  <si>
    <t xml:space="preserve">Nang tuyến vú trái đường kính: 4,2 mm (BIRADS II ) </t>
  </si>
  <si>
    <t xml:space="preserve">Nang tuyến vú phải kích thước: 5,9 x 4,7mm (BIRADS II ) </t>
  </si>
  <si>
    <t xml:space="preserve">Nang tuyến vú trái đường kính: 10.8 mm (BIRADS II) </t>
  </si>
  <si>
    <t xml:space="preserve">Nang tuyến vú phải đường kính: 6,4 mm ( BIRADS II). </t>
  </si>
  <si>
    <t xml:space="preserve">Nang tuyến vú trái kích thước: 8.6 mm (BIRADS II) </t>
  </si>
  <si>
    <t>Đa nang vú 2 bên (Nang tuyến vú phải ĐK: 12.3 mm. Nang tuyến vú trái ĐK: 5.7 mm)</t>
  </si>
  <si>
    <t>Nang tuyến vú phải kích thước: 5,9 x 4,4mm. (BIRADS II)</t>
  </si>
  <si>
    <t>Nang tuyến vú trái đường kính: 3 mm (BIRADS II )</t>
  </si>
  <si>
    <t xml:space="preserve">Nhân tuyến vú phải kích thước: 8,6 x 5,9 mm (BIRADS III ) </t>
  </si>
  <si>
    <t xml:space="preserve">Đa nang tuyến vú trái đường kính lớn nhất: 8,5mm ( BIRADS II ) </t>
  </si>
  <si>
    <t>Nang tuyến vú phải đường kính 7,3mm ( BIRADS II)</t>
  </si>
  <si>
    <t xml:space="preserve">Nhân tuyến vú trái kích thước: 6,3 x 4,5 mm (BIRADS III ) </t>
  </si>
  <si>
    <t>Nhân tuyến vú phải kích thước: 8.7 x 5.2mm (BIRADS III) Nang tuyến vú phải đường kính: 8.6mm (BIRADS II)</t>
  </si>
  <si>
    <t xml:space="preserve">Nhân tuyến vú trái kích thước: 6.1x7.8mm (BIRADS III) </t>
  </si>
  <si>
    <t>Nang tuyến vú phải đường kính: 5,5mm(Birads-II).</t>
  </si>
  <si>
    <t xml:space="preserve">Giãn ống tuyến vú hai bên </t>
  </si>
  <si>
    <t xml:space="preserve">Nang tuyến vú trái đường kính: 6.3 mm (BIRADS II) </t>
  </si>
  <si>
    <t xml:space="preserve">Nhân tuyến vú hai bên ( Nhân tuyến vú phải kích thước: 27,1 x 11,9mm. Nhân tuyến vú trái kích thước: 8,9 x 5,8mm) - BIRADS III </t>
  </si>
  <si>
    <t>Đa nhân tuyến vú phải kích thước lớn nhất: 13 x 7.3mm (BIRADS III).</t>
  </si>
  <si>
    <t xml:space="preserve">Nang tuyến vú phải đường kính: 5,7mm (BIRADS II ) </t>
  </si>
  <si>
    <t>Đa nang tuyến vú phải , đường kính lớn nhất: 6mm ( BIRADS II)</t>
  </si>
  <si>
    <t>Nhân tuyến vú phải kích thước: 4,2 x 4,5mm. (BIRADS III)| Nang tuyến vú phải kích thước lớn nhất: 10 x 7,2mm. (BIRADS II)</t>
  </si>
  <si>
    <t xml:space="preserve">Nang tuyến vú phải đường kính: 7.1mm(BIRADS II ) </t>
  </si>
  <si>
    <t xml:space="preserve">Hạch hố nách phải đường kính: 7,4 mm </t>
  </si>
  <si>
    <t xml:space="preserve">Nang tuyến vú phải đường kính: 6,7 mm ( BIRADS II). </t>
  </si>
  <si>
    <t>Nhân tuyến vú trái kích thước: 8,2 x 5,3mm. (BIRADS III)</t>
  </si>
  <si>
    <t xml:space="preserve">Nhân tuyến vú phải kích thước: 9.2 x 7.3mm (BIRADS III) | Đa nang tuyến vú hai bên (Nang tuyến vú phải kích thước lớn nhất: 17 x 6.9mm. Nang tuyến vú trái đường kính lớn nhất: 8.9mm) (BIRADS II) </t>
  </si>
  <si>
    <t xml:space="preserve">Nhân tuyến vú trái kích thước: 4,8 x 3 mm (BIRADS III ) </t>
  </si>
  <si>
    <t xml:space="preserve">Nhân tuyến vú phải kích thước: 22.8 x 5.6mm (BIRADS IV) | Nhân tuyến vú trái kích thước: 8 x 5.9mm (BIRADS III) </t>
  </si>
  <si>
    <t>Hình ảnh nhân tuyến vú trái kích thước : 9 x 5 mm (Birads 2)</t>
  </si>
  <si>
    <t>Nhân tuyến vú trái kích thước: 11,6 x 5mm. (BIRADS III)| Nang tuyến vú phải kích thước: 6,9 x 4,3mm. (BIRADS II)</t>
  </si>
  <si>
    <t xml:space="preserve">Nhân tuyến vú phải kích thước: 3,9 x 9,8 mm ( BIRADS III) </t>
  </si>
  <si>
    <t xml:space="preserve">Nang tuyến vú trái đường kính: 7 mm (BIRADS II) </t>
  </si>
  <si>
    <t>Nhân tuyến vú trái kích thước: 6,3 x 5mm. (BIRADS III)</t>
  </si>
  <si>
    <t xml:space="preserve">Nang tuyến vú hai bên (Nang tuyến vú phải kích thước: 4,3 x 2,1 mm/Nang tuyến vú trái kích thước: 5,3 x 2 mm)(BIRADS II ) </t>
  </si>
  <si>
    <t xml:space="preserve">Nang tuyến vú hai bên (Nang tuyến vú phải đường kính lớn nhất: 7.8 mm. Nang tuyến vú trái đường kính: 4.3 mm) ( BIRADS II) </t>
  </si>
  <si>
    <t>Đa nang tuyến vú trái kích thước: 11,9 x 5,9mm. (BIRADS II)</t>
  </si>
  <si>
    <t xml:space="preserve">Đa nang tuyến vú trái kích thước lớn nhất: 7,8 x 3,3 mm (BIRADS II) </t>
  </si>
  <si>
    <t>Nang tuyến vú hai bên (Nang tuyến vú phải kích thước: 8.8 x 3.3mm. Nang tuyến vú trái đường kính: 9.9mm)(BIRADS II).</t>
  </si>
  <si>
    <t xml:space="preserve">Nhân tuyến vú trái kích thước: 9,5 x 6,9mm (BIRADS III) </t>
  </si>
  <si>
    <t xml:space="preserve"> Đa nang tuyến vú phải đường kính lớn nhất: 6,2 mm ( BIRADS II). </t>
  </si>
  <si>
    <t>Nang tuyến vú phải kích thước: 4,3mm(Birads-II).</t>
  </si>
  <si>
    <t>Nhân tuyến vú trái kích thước: 8,4 x 4,9mm. (BIRADS III)</t>
  </si>
  <si>
    <t xml:space="preserve">Đa nang tuyến vú phải đường kính lớn nhất: 7,5 mm ( BIRADS II). </t>
  </si>
  <si>
    <t>CÔNG TY TNHH MANI HÀ NỘI</t>
  </si>
  <si>
    <t>D:\Downloads\</t>
  </si>
  <si>
    <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</si>
</sst>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000"/>
    <numFmt numFmtId="166" formatCode="[$-1010000]d/m/yyyy;@"/>
    <numFmt numFmtId="167" formatCode="00000"/>
    <numFmt numFmtId="168" formatCode="dd/mm"/>
    <numFmt numFmtId="169" formatCode="000000"/>
  </numFmts>
  <fonts count="62">
    <font>
      <sz val="11"/>
      <color theme="1"/>
      <name val="Arial"/>
      <family val="2"/>
      <scheme val="minor"/>
    </font>
    <font>
      <sz val="10"/>
      <name val="Arial"/>
      <family val="2"/>
    </font>
    <font>
      <sz val="11"/>
      <color theme="1"/>
      <name val="Cambria"/>
      <family val="1"/>
    </font>
    <font>
      <b/>
      <sz val="11"/>
      <color theme="1"/>
      <name val="Cambria"/>
      <family val="1"/>
    </font>
    <font>
      <b/>
      <sz val="14"/>
      <color theme="1"/>
      <name val="Cambria"/>
      <family val="1"/>
    </font>
    <font>
      <b/>
      <sz val="16"/>
      <color theme="1"/>
      <name val="Cambria"/>
      <family val="1"/>
    </font>
    <font>
      <b/>
      <sz val="36"/>
      <color theme="1"/>
      <name val="Cambria"/>
      <family val="1"/>
    </font>
    <font>
      <b/>
      <sz val="11"/>
      <color theme="1"/>
      <name val="Arial"/>
      <family val="2"/>
      <scheme val="minor"/>
    </font>
    <font>
      <b/>
      <sz val="11"/>
      <color rgb="FFFF0000"/>
      <name val="Cambria"/>
      <family val="1"/>
    </font>
    <font>
      <b/>
      <sz val="11"/>
      <color rgb="FFC00000"/>
      <name val="Cambria"/>
      <family val="1"/>
    </font>
    <font>
      <b/>
      <sz val="20"/>
      <color theme="8" tint="-0.499984740745262"/>
      <name val="Cambria"/>
      <family val="1"/>
    </font>
    <font>
      <b/>
      <sz val="20"/>
      <color theme="5" tint="-0.499984740745262"/>
      <name val="Cambria"/>
      <family val="1"/>
    </font>
    <font>
      <b/>
      <sz val="20"/>
      <color theme="9" tint="-0.499984740745262"/>
      <name val="Cambria"/>
      <family val="1"/>
    </font>
    <font>
      <b/>
      <sz val="20"/>
      <name val="Cambria"/>
      <family val="1"/>
    </font>
    <font>
      <sz val="11"/>
      <color theme="0"/>
      <name val="Cambria"/>
      <family val="1"/>
    </font>
    <font>
      <sz val="11"/>
      <color theme="5"/>
      <name val="Arial"/>
      <family val="2"/>
      <scheme val="minor"/>
    </font>
    <font>
      <sz val="11"/>
      <name val="Arial"/>
      <family val="2"/>
      <scheme val="minor"/>
    </font>
    <font>
      <b/>
      <sz val="16"/>
      <color rgb="FFFF0000"/>
      <name val="Arial"/>
      <family val="2"/>
      <scheme val="minor"/>
    </font>
    <font>
      <sz val="8"/>
      <name val="Arial"/>
      <family val="2"/>
      <scheme val="minor"/>
    </font>
    <font>
      <b/>
      <sz val="20"/>
      <color rgb="FF7030A0"/>
      <name val="Cambria"/>
      <family val="1"/>
    </font>
    <font>
      <sz val="11"/>
      <color rgb="FFFF0000"/>
      <name val="Arial"/>
      <family val="2"/>
      <scheme val="minor"/>
    </font>
    <font>
      <b/>
      <sz val="11"/>
      <color rgb="FFFF0000"/>
      <name val="Arial"/>
      <family val="2"/>
      <scheme val="minor"/>
    </font>
    <font>
      <sz val="11"/>
      <color rgb="FFFF0000"/>
      <name val="Cambria"/>
      <family val="1"/>
    </font>
    <font>
      <b/>
      <sz val="12"/>
      <color theme="1"/>
      <name val="Cambria"/>
      <family val="1"/>
    </font>
    <font>
      <sz val="12"/>
      <color theme="1"/>
      <name val="Cambria"/>
      <family val="1"/>
    </font>
    <font>
      <b/>
      <sz val="11"/>
      <color theme="0"/>
      <name val="Cambria"/>
      <family val="1"/>
    </font>
    <font>
      <sz val="11"/>
      <color rgb="FFC00000"/>
      <name val="Cambria"/>
      <family val="1"/>
    </font>
    <font>
      <b/>
      <sz val="13"/>
      <color theme="1"/>
      <name val="Cambria"/>
      <family val="1"/>
    </font>
    <font>
      <sz val="13"/>
      <color theme="1"/>
      <name val="Cambria"/>
      <family val="1"/>
    </font>
    <font>
      <b/>
      <sz val="14"/>
      <color rgb="FFFF0000"/>
      <name val="Cambria"/>
      <family val="1"/>
    </font>
    <font>
      <b/>
      <sz val="16"/>
      <color rgb="FFFF0000"/>
      <name val="Cambria"/>
      <family val="1"/>
    </font>
    <font>
      <b/>
      <sz val="18"/>
      <color rgb="FFFF0000"/>
      <name val="Cambria"/>
      <family val="1"/>
    </font>
    <font>
      <b/>
      <sz val="12"/>
      <color rgb="FFC00000"/>
      <name val="Cambria"/>
      <family val="1"/>
    </font>
    <font>
      <b/>
      <sz val="13"/>
      <color rgb="FFFF0000"/>
      <name val="Cambria"/>
      <family val="1"/>
    </font>
    <font>
      <sz val="14"/>
      <color theme="1"/>
      <name val="Cambria"/>
      <family val="1"/>
    </font>
    <font>
      <b/>
      <sz val="14"/>
      <color rgb="FFC00000"/>
      <name val="Cambria"/>
      <family val="1"/>
    </font>
    <font>
      <b/>
      <sz val="13"/>
      <color rgb="FFC00000"/>
      <name val="Cambria"/>
      <family val="1"/>
    </font>
    <font>
      <b/>
      <sz val="24"/>
      <name val="Cambria"/>
      <family val="1"/>
    </font>
    <font>
      <sz val="10"/>
      <color indexed="8"/>
      <name val="MS Sans Serif"/>
    </font>
    <font>
      <sz val="11"/>
      <color theme="1"/>
      <name val="Arial"/>
      <family val="2"/>
      <charset val="128"/>
      <scheme val="minor"/>
    </font>
    <font>
      <sz val="11"/>
      <color theme="1"/>
      <name val="Arial"/>
      <family val="2"/>
      <charset val="163"/>
      <scheme val="minor"/>
    </font>
    <font>
      <sz val="11"/>
      <color theme="1"/>
      <name val="Arial"/>
      <family val="2"/>
      <scheme val="minor"/>
    </font>
    <font>
      <sz val="10"/>
      <color rgb="FF000000"/>
      <name val="Arial"/>
      <family val="2"/>
      <scheme val="minor"/>
    </font>
    <font>
      <sz val="12"/>
      <color theme="1"/>
      <name val="Times New Roman"/>
      <family val="1"/>
      <scheme val="major"/>
    </font>
    <font>
      <b/>
      <sz val="12"/>
      <color theme="1"/>
      <name val="Times New Roman"/>
      <family val="1"/>
      <scheme val="major"/>
    </font>
    <font>
      <b/>
      <sz val="12"/>
      <color rgb="FFC00000"/>
      <name val="Times New Roman"/>
      <family val="1"/>
      <scheme val="major"/>
    </font>
    <font>
      <sz val="11"/>
      <color theme="1"/>
      <name val="Times New Roman"/>
      <family val="1"/>
      <scheme val="major"/>
    </font>
    <font>
      <b/>
      <sz val="13"/>
      <color theme="1"/>
      <name val="Times New Roman"/>
      <family val="1"/>
    </font>
    <font>
      <sz val="11"/>
      <color theme="1"/>
      <name val="Times New Roman"/>
      <family val="1"/>
    </font>
    <font>
      <b/>
      <i/>
      <sz val="13"/>
      <color theme="1"/>
      <name val="Times New Roman"/>
      <family val="1"/>
    </font>
    <font>
      <b/>
      <sz val="11"/>
      <name val="Times New Roman"/>
      <family val="1"/>
    </font>
    <font>
      <b/>
      <sz val="11"/>
      <color theme="1"/>
      <name val="Times New Roman"/>
      <family val="1"/>
    </font>
    <font>
      <sz val="11"/>
      <name val="Times New Roman"/>
      <family val="1"/>
    </font>
    <font>
      <sz val="12"/>
      <color theme="1"/>
      <name val="Times New Roman"/>
      <family val="1"/>
    </font>
    <font>
      <sz val="28"/>
      <color theme="1"/>
      <name val="Free 3 of 9 Extended"/>
    </font>
    <font>
      <sz val="16"/>
      <color theme="1"/>
      <name val="Times New Roman"/>
      <family val="1"/>
      <scheme val="major"/>
    </font>
    <font>
      <b/>
      <sz val="16"/>
      <color rgb="FFFF0000"/>
      <name val="Times New Roman"/>
      <family val="1"/>
      <scheme val="major"/>
    </font>
    <font>
      <b/>
      <sz val="18"/>
      <color theme="1"/>
      <name val="Times New Roman"/>
      <family val="1"/>
      <scheme val="major"/>
    </font>
    <font>
      <sz val="18"/>
      <color theme="1"/>
      <name val="Times New Roman"/>
      <family val="1"/>
      <scheme val="major"/>
    </font>
    <font>
      <b/>
      <sz val="18"/>
      <color rgb="FFFF0000"/>
      <name val="Times New Roman"/>
      <family val="1"/>
      <scheme val="major"/>
    </font>
    <font>
      <sz val="11"/>
      <color rgb="FF000000"/>
      <name val="Times New Roman"/>
      <family val="1"/>
    </font>
    <font>
      <sz val="11"/>
      <color rgb="FFFF0000"/>
      <name val="Times New Roman"/>
      <family val="1"/>
    </font>
  </fonts>
  <fills count="13">
    <fill>
      <patternFill patternType="none"/>
    </fill>
    <fill>
      <patternFill patternType="gray125"/>
    </fill>
    <fill>
      <patternFill patternType="solid">
        <fgColor theme="0"/>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rgb="FFC00000"/>
        <bgColor indexed="64"/>
      </patternFill>
    </fill>
    <fill>
      <patternFill patternType="solid">
        <fgColor theme="2"/>
        <bgColor indexed="64"/>
      </patternFill>
    </fill>
    <fill>
      <patternFill patternType="solid">
        <fgColor rgb="FFFFFF00"/>
        <bgColor indexed="64"/>
      </patternFill>
    </fill>
    <fill>
      <patternFill patternType="solid">
        <fgColor rgb="FF92D050"/>
        <bgColor indexed="64"/>
      </patternFill>
    </fill>
    <fill>
      <patternFill patternType="solid">
        <fgColor rgb="FFFF0000"/>
        <bgColor indexed="64"/>
      </patternFill>
    </fill>
    <fill>
      <patternFill patternType="solid">
        <fgColor theme="4" tint="0.79998168889431442"/>
        <bgColor indexed="64"/>
      </patternFill>
    </fill>
    <fill>
      <patternFill patternType="solid">
        <fgColor rgb="FFFFFFFF"/>
      </patternFill>
    </fill>
    <fill>
      <patternFill patternType="solid">
        <fgColor theme="9" tint="0.79998168889431442"/>
        <bgColor indexed="64"/>
      </patternFill>
    </fill>
  </fills>
  <borders count="33">
    <border>
      <left/>
      <right/>
      <top/>
      <bottom/>
      <diagonal/>
    </border>
    <border>
      <left/>
      <right/>
      <top/>
      <bottom style="medium">
        <color theme="4" tint="-0.499984740745262"/>
      </bottom>
      <diagonal/>
    </border>
    <border>
      <left/>
      <right/>
      <top style="medium">
        <color theme="4" tint="-0.499984740745262"/>
      </top>
      <bottom/>
      <diagonal/>
    </border>
    <border>
      <left style="medium">
        <color theme="4" tint="-0.499984740745262"/>
      </left>
      <right/>
      <top style="medium">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bottom/>
      <diagonal/>
    </border>
    <border>
      <left/>
      <right style="medium">
        <color theme="4" tint="-0.499984740745262"/>
      </right>
      <top/>
      <bottom/>
      <diagonal/>
    </border>
    <border>
      <left style="medium">
        <color theme="4" tint="-0.499984740745262"/>
      </left>
      <right/>
      <top/>
      <bottom style="medium">
        <color theme="4" tint="-0.499984740745262"/>
      </bottom>
      <diagonal/>
    </border>
    <border>
      <left/>
      <right style="medium">
        <color theme="4" tint="-0.499984740745262"/>
      </right>
      <top/>
      <bottom style="medium">
        <color theme="4" tint="-0.499984740745262"/>
      </bottom>
      <diagonal/>
    </border>
    <border>
      <left style="medium">
        <color rgb="FFFF0000"/>
      </left>
      <right style="thin">
        <color rgb="FFFF0000"/>
      </right>
      <top style="medium">
        <color rgb="FFFF0000"/>
      </top>
      <bottom style="thin">
        <color rgb="FFFF0000"/>
      </bottom>
      <diagonal/>
    </border>
    <border>
      <left style="thin">
        <color rgb="FFFF0000"/>
      </left>
      <right style="medium">
        <color rgb="FFFF0000"/>
      </right>
      <top style="medium">
        <color rgb="FFFF0000"/>
      </top>
      <bottom style="thin">
        <color rgb="FFFF0000"/>
      </bottom>
      <diagonal/>
    </border>
    <border>
      <left style="medium">
        <color rgb="FFFF0000"/>
      </left>
      <right style="thin">
        <color rgb="FFFF0000"/>
      </right>
      <top style="thin">
        <color rgb="FFFF0000"/>
      </top>
      <bottom style="thin">
        <color rgb="FFFF0000"/>
      </bottom>
      <diagonal/>
    </border>
    <border>
      <left style="thin">
        <color rgb="FFFF0000"/>
      </left>
      <right style="medium">
        <color rgb="FFFF0000"/>
      </right>
      <top style="thin">
        <color rgb="FFFF0000"/>
      </top>
      <bottom style="thin">
        <color rgb="FFFF0000"/>
      </bottom>
      <diagonal/>
    </border>
    <border>
      <left style="medium">
        <color rgb="FFFF0000"/>
      </left>
      <right style="thin">
        <color rgb="FFFF0000"/>
      </right>
      <top style="thin">
        <color rgb="FFFF0000"/>
      </top>
      <bottom style="medium">
        <color rgb="FFFF0000"/>
      </bottom>
      <diagonal/>
    </border>
    <border>
      <left style="thin">
        <color rgb="FFFF0000"/>
      </left>
      <right style="medium">
        <color rgb="FFFF0000"/>
      </right>
      <top style="thin">
        <color rgb="FFFF0000"/>
      </top>
      <bottom style="medium">
        <color rgb="FFFF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theme="0" tint="-0.34998626667073579"/>
      </left>
      <right/>
      <top style="medium">
        <color theme="0" tint="-0.34998626667073579"/>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double">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DashDotDot">
        <color indexed="64"/>
      </top>
      <bottom style="thin">
        <color indexed="64"/>
      </bottom>
      <diagonal/>
    </border>
    <border>
      <left style="thin">
        <color indexed="64"/>
      </left>
      <right/>
      <top/>
      <bottom/>
      <diagonal/>
    </border>
    <border>
      <left style="thin">
        <color indexed="64"/>
      </left>
      <right/>
      <top style="thin">
        <color indexed="64"/>
      </top>
      <bottom style="double">
        <color indexed="64"/>
      </bottom>
      <diagonal/>
    </border>
    <border>
      <left style="thin">
        <color indexed="64"/>
      </left>
      <right style="thin">
        <color indexed="64"/>
      </right>
      <top style="mediumDashDot">
        <color indexed="64"/>
      </top>
      <bottom style="thin">
        <color indexed="64"/>
      </bottom>
      <diagonal/>
    </border>
    <border>
      <left style="thin">
        <color indexed="64"/>
      </left>
      <right style="thin">
        <color indexed="64"/>
      </right>
      <top style="thin">
        <color indexed="64"/>
      </top>
      <bottom style="mediumDashDot">
        <color indexed="64"/>
      </bottom>
      <diagonal/>
    </border>
    <border>
      <left style="medium">
        <color indexed="64"/>
      </left>
      <right style="thin">
        <color indexed="64"/>
      </right>
      <top/>
      <bottom/>
      <diagonal/>
    </border>
    <border>
      <left style="thin">
        <color indexed="64"/>
      </left>
      <right/>
      <top style="medium">
        <color indexed="64"/>
      </top>
      <bottom style="thin">
        <color indexed="64"/>
      </bottom>
      <diagonal/>
    </border>
    <border>
      <left/>
      <right/>
      <top style="thin">
        <color indexed="64"/>
      </top>
      <bottom/>
      <diagonal/>
    </border>
  </borders>
  <cellStyleXfs count="12">
    <xf numFmtId="0" fontId="0" fillId="0" borderId="0"/>
    <xf numFmtId="0" fontId="1" fillId="0" borderId="0"/>
    <xf numFmtId="0" fontId="38" fillId="0" borderId="0"/>
    <xf numFmtId="0" fontId="39" fillId="0" borderId="0"/>
    <xf numFmtId="0" fontId="1" fillId="0" borderId="0"/>
    <xf numFmtId="0" fontId="40" fillId="0" borderId="0"/>
    <xf numFmtId="0" fontId="1" fillId="0" borderId="0"/>
    <xf numFmtId="0" fontId="41" fillId="0" borderId="0"/>
    <xf numFmtId="164" fontId="42" fillId="0" borderId="0" applyFont="0" applyFill="0" applyBorder="0" applyAlignment="0" applyProtection="0"/>
    <xf numFmtId="0" fontId="1" fillId="0" borderId="0"/>
    <xf numFmtId="0" fontId="1" fillId="0" borderId="0"/>
    <xf numFmtId="169" fontId="41" fillId="0" borderId="0"/>
  </cellStyleXfs>
  <cellXfs count="292">
    <xf numFmtId="0" fontId="0" fillId="0" borderId="0" xfId="0"/>
    <xf numFmtId="0" fontId="2" fillId="0" borderId="0" xfId="0" applyFont="1"/>
    <xf numFmtId="0" fontId="2" fillId="0" borderId="0" xfId="0" applyFont="1" applyAlignment="1">
      <alignment horizontal="right"/>
    </xf>
    <xf numFmtId="0" fontId="2" fillId="0" borderId="1" xfId="0" applyFont="1" applyBorder="1"/>
    <xf numFmtId="0" fontId="3" fillId="0" borderId="0" xfId="0" applyFont="1" applyAlignment="1">
      <alignment horizontal="left"/>
    </xf>
    <xf numFmtId="0" fontId="2" fillId="0" borderId="0" xfId="0" applyFont="1" applyAlignment="1">
      <alignment vertical="center"/>
    </xf>
    <xf numFmtId="0" fontId="3" fillId="0" borderId="0" xfId="0" applyFont="1" applyAlignment="1">
      <alignment vertical="center"/>
    </xf>
    <xf numFmtId="0" fontId="3" fillId="0" borderId="0" xfId="0" applyFont="1" applyAlignment="1">
      <alignment horizontal="left" vertical="top" indent="1"/>
    </xf>
    <xf numFmtId="14" fontId="2" fillId="0" borderId="0" xfId="0" applyNumberFormat="1" applyFont="1" applyAlignment="1">
      <alignment horizontal="center"/>
    </xf>
    <xf numFmtId="0" fontId="3" fillId="0" borderId="0" xfId="0" applyFont="1" applyAlignment="1">
      <alignment horizontal="center"/>
    </xf>
    <xf numFmtId="0" fontId="2" fillId="0" borderId="2" xfId="0" applyFont="1" applyBorder="1"/>
    <xf numFmtId="0" fontId="3" fillId="2" borderId="2" xfId="0" applyFont="1" applyFill="1" applyBorder="1"/>
    <xf numFmtId="0" fontId="3" fillId="0" borderId="2" xfId="0" applyFont="1" applyBorder="1"/>
    <xf numFmtId="0" fontId="2" fillId="0" borderId="4" xfId="0" applyFont="1" applyBorder="1"/>
    <xf numFmtId="0" fontId="3" fillId="0" borderId="0" xfId="0" applyFont="1"/>
    <xf numFmtId="0" fontId="2" fillId="0" borderId="6" xfId="0" applyFont="1" applyBorder="1"/>
    <xf numFmtId="0" fontId="2" fillId="0" borderId="7" xfId="0" applyFont="1" applyBorder="1"/>
    <xf numFmtId="0" fontId="2" fillId="0" borderId="8" xfId="0" applyFont="1" applyBorder="1"/>
    <xf numFmtId="0" fontId="2" fillId="0" borderId="3" xfId="0" applyFont="1" applyBorder="1" applyAlignment="1">
      <alignment horizontal="left" indent="1"/>
    </xf>
    <xf numFmtId="0" fontId="2" fillId="0" borderId="5" xfId="0" applyFont="1" applyBorder="1" applyAlignment="1">
      <alignment horizontal="left" indent="1"/>
    </xf>
    <xf numFmtId="0" fontId="2" fillId="0" borderId="0" xfId="0" quotePrefix="1" applyFont="1"/>
    <xf numFmtId="0" fontId="9" fillId="0" borderId="0" xfId="0" applyFont="1"/>
    <xf numFmtId="0" fontId="3" fillId="0" borderId="0" xfId="0" applyFont="1" applyAlignment="1">
      <alignment horizontal="left" vertical="top" indent="2"/>
    </xf>
    <xf numFmtId="0" fontId="3" fillId="0" borderId="0" xfId="0" applyFont="1" applyAlignment="1">
      <alignment horizontal="left" vertical="top"/>
    </xf>
    <xf numFmtId="0" fontId="2" fillId="0" borderId="0" xfId="0" applyFont="1" applyAlignment="1">
      <alignment horizontal="left"/>
    </xf>
    <xf numFmtId="0" fontId="5" fillId="0" borderId="0" xfId="0" applyFont="1" applyAlignment="1">
      <alignment vertical="top" wrapText="1"/>
    </xf>
    <xf numFmtId="0" fontId="2" fillId="4" borderId="11" xfId="0" applyFont="1" applyFill="1" applyBorder="1" applyAlignment="1">
      <alignment vertical="center"/>
    </xf>
    <xf numFmtId="0" fontId="3" fillId="3" borderId="12" xfId="0" applyFont="1" applyFill="1" applyBorder="1" applyAlignment="1">
      <alignment vertical="center"/>
    </xf>
    <xf numFmtId="0" fontId="2" fillId="4" borderId="13" xfId="0" applyFont="1" applyFill="1" applyBorder="1" applyAlignment="1">
      <alignment vertical="center"/>
    </xf>
    <xf numFmtId="0" fontId="3" fillId="3" borderId="14" xfId="0" applyFont="1" applyFill="1" applyBorder="1" applyAlignment="1">
      <alignment vertical="center"/>
    </xf>
    <xf numFmtId="0" fontId="4" fillId="0" borderId="0" xfId="0" applyFont="1" applyAlignment="1">
      <alignment vertical="center"/>
    </xf>
    <xf numFmtId="0" fontId="14" fillId="0" borderId="0" xfId="0" applyFont="1"/>
    <xf numFmtId="0" fontId="2" fillId="0" borderId="0" xfId="0" applyFont="1" applyAlignment="1">
      <alignment vertical="top"/>
    </xf>
    <xf numFmtId="0" fontId="0" fillId="7" borderId="0" xfId="0" applyFill="1"/>
    <xf numFmtId="0" fontId="0" fillId="0" borderId="0" xfId="0"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xf numFmtId="0" fontId="0" fillId="5" borderId="0" xfId="0" applyFill="1"/>
    <xf numFmtId="14" fontId="3" fillId="0" borderId="2" xfId="0" applyNumberFormat="1" applyFont="1" applyBorder="1"/>
    <xf numFmtId="0" fontId="20" fillId="0" borderId="0" xfId="0" applyFont="1"/>
    <xf numFmtId="0" fontId="22" fillId="0" borderId="0" xfId="0" applyFont="1" applyAlignment="1">
      <alignment vertical="top"/>
    </xf>
    <xf numFmtId="0" fontId="7" fillId="8" borderId="15" xfId="0" applyFont="1" applyFill="1" applyBorder="1" applyAlignment="1">
      <alignment horizontal="center" vertical="center"/>
    </xf>
    <xf numFmtId="22" fontId="7" fillId="8" borderId="15" xfId="0" applyNumberFormat="1" applyFont="1" applyFill="1" applyBorder="1" applyAlignment="1">
      <alignment horizontal="center" vertical="center"/>
    </xf>
    <xf numFmtId="0" fontId="7" fillId="0" borderId="15" xfId="0" applyFont="1" applyBorder="1" applyAlignment="1">
      <alignment horizontal="center"/>
    </xf>
    <xf numFmtId="0" fontId="0" fillId="0" borderId="15" xfId="0" applyBorder="1" applyAlignment="1">
      <alignment horizontal="center"/>
    </xf>
    <xf numFmtId="0" fontId="43" fillId="0" borderId="3" xfId="0" applyFont="1" applyBorder="1" applyAlignment="1">
      <alignment horizontal="left" indent="1"/>
    </xf>
    <xf numFmtId="0" fontId="44" fillId="2" borderId="2" xfId="0" applyFont="1" applyFill="1" applyBorder="1"/>
    <xf numFmtId="0" fontId="43" fillId="0" borderId="2" xfId="0" applyFont="1" applyBorder="1"/>
    <xf numFmtId="0" fontId="44" fillId="0" borderId="2" xfId="0" applyFont="1" applyBorder="1"/>
    <xf numFmtId="0" fontId="43" fillId="0" borderId="4" xfId="0" applyFont="1" applyBorder="1"/>
    <xf numFmtId="0" fontId="43" fillId="0" borderId="5" xfId="0" applyFont="1" applyBorder="1" applyAlignment="1">
      <alignment horizontal="left" indent="1"/>
    </xf>
    <xf numFmtId="0" fontId="44" fillId="0" borderId="0" xfId="0" applyFont="1" applyAlignment="1">
      <alignment horizontal="left"/>
    </xf>
    <xf numFmtId="0" fontId="43" fillId="0" borderId="0" xfId="0" applyFont="1"/>
    <xf numFmtId="0" fontId="44" fillId="0" borderId="0" xfId="0" applyFont="1"/>
    <xf numFmtId="0" fontId="43" fillId="0" borderId="6" xfId="0" applyFont="1" applyBorder="1"/>
    <xf numFmtId="0" fontId="45" fillId="0" borderId="0" xfId="0" applyFont="1"/>
    <xf numFmtId="0" fontId="43" fillId="0" borderId="7" xfId="0" applyFont="1" applyBorder="1"/>
    <xf numFmtId="0" fontId="43" fillId="0" borderId="1" xfId="0" applyFont="1" applyBorder="1"/>
    <xf numFmtId="0" fontId="43" fillId="0" borderId="8" xfId="0" applyFont="1" applyBorder="1"/>
    <xf numFmtId="0" fontId="44" fillId="0" borderId="0" xfId="0" applyFont="1" applyAlignment="1">
      <alignment horizontal="left" vertical="top" indent="1"/>
    </xf>
    <xf numFmtId="0" fontId="44" fillId="0" borderId="0" xfId="0" applyFont="1" applyAlignment="1">
      <alignment vertical="center"/>
    </xf>
    <xf numFmtId="0" fontId="43" fillId="0" borderId="0" xfId="0" applyFont="1" applyAlignment="1">
      <alignment horizontal="right"/>
    </xf>
    <xf numFmtId="0" fontId="2" fillId="0" borderId="0" xfId="0" applyFont="1" applyAlignment="1">
      <alignment horizontal="center"/>
    </xf>
    <xf numFmtId="0" fontId="9" fillId="0" borderId="0" xfId="0" applyFont="1" applyAlignment="1">
      <alignment horizontal="center"/>
    </xf>
    <xf numFmtId="49" fontId="2" fillId="0" borderId="0" xfId="0" applyNumberFormat="1" applyFont="1" applyAlignment="1">
      <alignment horizontal="center"/>
    </xf>
    <xf numFmtId="0" fontId="28" fillId="0" borderId="0" xfId="0" applyFont="1" applyAlignment="1">
      <alignment horizontal="center"/>
    </xf>
    <xf numFmtId="0" fontId="26" fillId="0" borderId="0" xfId="0" applyFont="1" applyAlignment="1">
      <alignment horizontal="center"/>
    </xf>
    <xf numFmtId="0" fontId="0" fillId="0" borderId="15" xfId="0" applyBorder="1"/>
    <xf numFmtId="0" fontId="48" fillId="0" borderId="0" xfId="0" applyFont="1"/>
    <xf numFmtId="0" fontId="49" fillId="0" borderId="15" xfId="0" applyFont="1" applyBorder="1" applyAlignment="1">
      <alignment vertical="center" wrapText="1"/>
    </xf>
    <xf numFmtId="0" fontId="49" fillId="0" borderId="15" xfId="0" applyFont="1" applyBorder="1" applyAlignment="1">
      <alignment horizontal="center" vertical="center" wrapText="1"/>
    </xf>
    <xf numFmtId="0" fontId="2" fillId="0" borderId="15" xfId="0" applyFont="1" applyBorder="1" applyAlignment="1">
      <alignment horizontal="center"/>
    </xf>
    <xf numFmtId="0" fontId="0" fillId="0" borderId="15" xfId="0" applyBorder="1" applyAlignment="1">
      <alignment horizontal="center" wrapText="1"/>
    </xf>
    <xf numFmtId="0" fontId="27" fillId="0" borderId="0" xfId="0" applyFont="1" applyAlignment="1">
      <alignment horizontal="left" vertical="top" indent="1"/>
    </xf>
    <xf numFmtId="0" fontId="27" fillId="0" borderId="0" xfId="0" applyFont="1" applyAlignment="1">
      <alignment vertical="center"/>
    </xf>
    <xf numFmtId="0" fontId="0" fillId="0" borderId="0" xfId="0" applyAlignment="1">
      <alignment vertical="center"/>
    </xf>
    <xf numFmtId="0" fontId="0" fillId="0" borderId="19" xfId="0" applyBorder="1"/>
    <xf numFmtId="0" fontId="0" fillId="0" borderId="23" xfId="0" applyBorder="1"/>
    <xf numFmtId="0" fontId="0" fillId="0" borderId="22" xfId="0" applyBorder="1"/>
    <xf numFmtId="0" fontId="0" fillId="0" borderId="24" xfId="0" applyBorder="1"/>
    <xf numFmtId="0" fontId="0" fillId="0" borderId="25" xfId="0" applyBorder="1"/>
    <xf numFmtId="0" fontId="0" fillId="0" borderId="28" xfId="0" applyBorder="1"/>
    <xf numFmtId="0" fontId="0" fillId="0" borderId="29" xfId="0" applyBorder="1"/>
    <xf numFmtId="0" fontId="28" fillId="0" borderId="0" xfId="0" applyFont="1"/>
    <xf numFmtId="14" fontId="28" fillId="0" borderId="0" xfId="0" applyNumberFormat="1" applyFont="1" applyAlignment="1">
      <alignment horizontal="center"/>
    </xf>
    <xf numFmtId="14" fontId="27" fillId="0" borderId="0" xfId="0" applyNumberFormat="1" applyFont="1" applyAlignment="1">
      <alignment vertical="center"/>
    </xf>
    <xf numFmtId="0" fontId="27" fillId="0" borderId="0" xfId="0" applyFont="1"/>
    <xf numFmtId="0" fontId="27" fillId="0" borderId="0" xfId="0" applyFont="1" applyAlignment="1">
      <alignment horizontal="left"/>
    </xf>
    <xf numFmtId="0" fontId="27" fillId="0" borderId="0" xfId="0" applyFont="1" applyAlignment="1">
      <alignment horizontal="center"/>
    </xf>
    <xf numFmtId="0" fontId="28" fillId="0" borderId="0" xfId="0" applyFont="1" applyAlignment="1">
      <alignment horizontal="right"/>
    </xf>
    <xf numFmtId="0" fontId="2" fillId="2" borderId="0" xfId="0" applyFont="1" applyFill="1"/>
    <xf numFmtId="165" fontId="6" fillId="2" borderId="0" xfId="0" applyNumberFormat="1" applyFont="1" applyFill="1" applyAlignment="1">
      <alignment horizontal="center" vertical="center"/>
    </xf>
    <xf numFmtId="0" fontId="28" fillId="0" borderId="3" xfId="0" applyFont="1" applyBorder="1" applyAlignment="1">
      <alignment horizontal="left" indent="1"/>
    </xf>
    <xf numFmtId="0" fontId="28" fillId="0" borderId="2" xfId="0" applyFont="1" applyBorder="1"/>
    <xf numFmtId="0" fontId="28" fillId="0" borderId="4" xfId="0" applyFont="1" applyBorder="1"/>
    <xf numFmtId="0" fontId="28" fillId="4" borderId="11" xfId="0" applyFont="1" applyFill="1" applyBorder="1" applyAlignment="1">
      <alignment vertical="center"/>
    </xf>
    <xf numFmtId="0" fontId="27" fillId="3" borderId="12" xfId="0" applyFont="1" applyFill="1" applyBorder="1" applyAlignment="1">
      <alignment horizontal="left" vertical="center"/>
    </xf>
    <xf numFmtId="0" fontId="27" fillId="2" borderId="0" xfId="0" applyFont="1" applyFill="1" applyAlignment="1">
      <alignment vertical="center"/>
    </xf>
    <xf numFmtId="0" fontId="28" fillId="0" borderId="5" xfId="0" applyFont="1" applyBorder="1" applyAlignment="1">
      <alignment horizontal="left" indent="1"/>
    </xf>
    <xf numFmtId="0" fontId="28" fillId="0" borderId="6" xfId="0" applyFont="1" applyBorder="1"/>
    <xf numFmtId="14" fontId="27" fillId="3" borderId="12" xfId="0" applyNumberFormat="1" applyFont="1" applyFill="1" applyBorder="1" applyAlignment="1">
      <alignment horizontal="left" vertical="center"/>
    </xf>
    <xf numFmtId="14" fontId="27" fillId="2" borderId="0" xfId="0" applyNumberFormat="1" applyFont="1" applyFill="1" applyAlignment="1">
      <alignment vertical="center"/>
    </xf>
    <xf numFmtId="0" fontId="33" fillId="2" borderId="0" xfId="0" applyFont="1" applyFill="1" applyAlignment="1">
      <alignment vertical="center"/>
    </xf>
    <xf numFmtId="0" fontId="36" fillId="0" borderId="0" xfId="0" applyFont="1"/>
    <xf numFmtId="0" fontId="28" fillId="4" borderId="13" xfId="0" applyFont="1" applyFill="1" applyBorder="1" applyAlignment="1">
      <alignment vertical="center"/>
    </xf>
    <xf numFmtId="0" fontId="27" fillId="3" borderId="14" xfId="0" applyFont="1" applyFill="1" applyBorder="1" applyAlignment="1">
      <alignment horizontal="left" vertical="center"/>
    </xf>
    <xf numFmtId="0" fontId="28" fillId="0" borderId="7" xfId="0" applyFont="1" applyBorder="1"/>
    <xf numFmtId="0" fontId="28" fillId="0" borderId="1" xfId="0" applyFont="1" applyBorder="1"/>
    <xf numFmtId="0" fontId="28" fillId="0" borderId="8" xfId="0" applyFont="1" applyBorder="1"/>
    <xf numFmtId="0" fontId="28" fillId="0" borderId="0" xfId="0" applyFont="1" applyAlignment="1">
      <alignment horizontal="left"/>
    </xf>
    <xf numFmtId="0" fontId="28" fillId="2" borderId="0" xfId="0" applyFont="1" applyFill="1"/>
    <xf numFmtId="0" fontId="33" fillId="0" borderId="0" xfId="0" applyFont="1" applyAlignment="1">
      <alignment vertical="center"/>
    </xf>
    <xf numFmtId="0" fontId="28" fillId="0" borderId="0" xfId="0" applyFont="1" applyAlignment="1">
      <alignment vertical="center"/>
    </xf>
    <xf numFmtId="0" fontId="28" fillId="2" borderId="0" xfId="0" applyFont="1" applyFill="1" applyAlignment="1">
      <alignment wrapText="1"/>
    </xf>
    <xf numFmtId="0" fontId="28" fillId="0" borderId="0" xfId="0" applyFont="1" applyAlignment="1">
      <alignment horizontal="left" vertical="center"/>
    </xf>
    <xf numFmtId="0" fontId="28" fillId="2" borderId="0" xfId="0" applyFont="1" applyFill="1" applyAlignment="1">
      <alignment vertical="center"/>
    </xf>
    <xf numFmtId="0" fontId="27" fillId="2" borderId="0" xfId="0" applyFont="1" applyFill="1"/>
    <xf numFmtId="14" fontId="28" fillId="0" borderId="0" xfId="0" applyNumberFormat="1" applyFont="1"/>
    <xf numFmtId="0" fontId="24" fillId="0" borderId="3" xfId="0" applyFont="1" applyBorder="1" applyAlignment="1">
      <alignment horizontal="left" indent="1"/>
    </xf>
    <xf numFmtId="0" fontId="3" fillId="6" borderId="12" xfId="0" applyFont="1" applyFill="1" applyBorder="1" applyAlignment="1">
      <alignment horizontal="left" vertical="center"/>
    </xf>
    <xf numFmtId="0" fontId="24" fillId="0" borderId="5" xfId="0" applyFont="1" applyBorder="1" applyAlignment="1">
      <alignment horizontal="left" indent="1"/>
    </xf>
    <xf numFmtId="0" fontId="23" fillId="0" borderId="0" xfId="0" applyFont="1" applyAlignment="1">
      <alignment horizontal="left"/>
    </xf>
    <xf numFmtId="0" fontId="24" fillId="0" borderId="0" xfId="0" applyFont="1"/>
    <xf numFmtId="0" fontId="3" fillId="2" borderId="0" xfId="0" applyFont="1" applyFill="1" applyAlignment="1">
      <alignment vertical="center"/>
    </xf>
    <xf numFmtId="14" fontId="3" fillId="6" borderId="12" xfId="0" applyNumberFormat="1" applyFont="1" applyFill="1" applyBorder="1" applyAlignment="1">
      <alignment horizontal="left" vertical="center"/>
    </xf>
    <xf numFmtId="14" fontId="3" fillId="2" borderId="0" xfId="0" applyNumberFormat="1" applyFont="1" applyFill="1" applyAlignment="1">
      <alignment vertical="center"/>
    </xf>
    <xf numFmtId="0" fontId="8" fillId="2" borderId="0" xfId="0" applyFont="1" applyFill="1" applyAlignment="1">
      <alignment vertical="center"/>
    </xf>
    <xf numFmtId="0" fontId="3" fillId="6" borderId="14" xfId="0" applyFont="1" applyFill="1" applyBorder="1" applyAlignment="1">
      <alignment horizontal="left" vertical="center"/>
    </xf>
    <xf numFmtId="0" fontId="24" fillId="0" borderId="7" xfId="0" applyFont="1" applyBorder="1"/>
    <xf numFmtId="0" fontId="24" fillId="0" borderId="1" xfId="0" applyFont="1" applyBorder="1"/>
    <xf numFmtId="0" fontId="24" fillId="0" borderId="8" xfId="0" applyFont="1" applyBorder="1"/>
    <xf numFmtId="0" fontId="23" fillId="0" borderId="0" xfId="0" applyFont="1" applyAlignment="1">
      <alignment horizontal="left" vertical="top" indent="2"/>
    </xf>
    <xf numFmtId="0" fontId="3" fillId="0" borderId="15" xfId="0" applyFont="1" applyBorder="1" applyAlignment="1">
      <alignment horizontal="center" vertical="center"/>
    </xf>
    <xf numFmtId="0" fontId="23" fillId="0" borderId="0" xfId="0" applyFont="1" applyAlignment="1">
      <alignment vertical="center"/>
    </xf>
    <xf numFmtId="14" fontId="24" fillId="0" borderId="0" xfId="0" applyNumberFormat="1" applyFont="1" applyAlignment="1">
      <alignment horizontal="center"/>
    </xf>
    <xf numFmtId="0" fontId="2" fillId="0" borderId="0" xfId="0" applyFont="1" applyAlignment="1">
      <alignment horizontal="left" wrapText="1"/>
    </xf>
    <xf numFmtId="0" fontId="2" fillId="2" borderId="0" xfId="0" applyFont="1" applyFill="1" applyAlignment="1">
      <alignment wrapText="1"/>
    </xf>
    <xf numFmtId="0" fontId="3" fillId="0" borderId="0" xfId="0" applyFont="1" applyAlignment="1">
      <alignment horizontal="left" vertical="center"/>
    </xf>
    <xf numFmtId="0" fontId="2" fillId="0" borderId="0" xfId="0" applyFont="1" applyAlignment="1">
      <alignment horizontal="left" vertical="center"/>
    </xf>
    <xf numFmtId="0" fontId="2" fillId="2" borderId="0" xfId="0" applyFont="1" applyFill="1" applyAlignment="1">
      <alignment vertical="center"/>
    </xf>
    <xf numFmtId="14" fontId="2" fillId="0" borderId="0" xfId="0" applyNumberFormat="1" applyFont="1"/>
    <xf numFmtId="0" fontId="3" fillId="0" borderId="15" xfId="0" applyFont="1" applyBorder="1" applyAlignment="1">
      <alignment horizontal="center" vertical="center" wrapText="1"/>
    </xf>
    <xf numFmtId="0" fontId="27" fillId="0" borderId="0" xfId="0" applyFont="1" applyAlignment="1">
      <alignment horizontal="left" vertical="top" indent="2"/>
    </xf>
    <xf numFmtId="0" fontId="27" fillId="0" borderId="0" xfId="0" applyFont="1" applyAlignment="1">
      <alignment horizontal="left" vertical="top"/>
    </xf>
    <xf numFmtId="0" fontId="27" fillId="0" borderId="0" xfId="0" applyFont="1" applyAlignment="1">
      <alignment vertical="top" wrapText="1"/>
    </xf>
    <xf numFmtId="0" fontId="4" fillId="0" borderId="0" xfId="0" applyFont="1"/>
    <xf numFmtId="0" fontId="4" fillId="0" borderId="0" xfId="0" applyFont="1" applyAlignment="1">
      <alignment horizontal="left"/>
    </xf>
    <xf numFmtId="0" fontId="4" fillId="2" borderId="0" xfId="0" applyFont="1" applyFill="1"/>
    <xf numFmtId="0" fontId="34" fillId="0" borderId="3" xfId="0" applyFont="1" applyBorder="1" applyAlignment="1">
      <alignment horizontal="left" indent="1"/>
    </xf>
    <xf numFmtId="0" fontId="34" fillId="0" borderId="5" xfId="0" applyFont="1" applyBorder="1" applyAlignment="1">
      <alignment horizontal="left" indent="1"/>
    </xf>
    <xf numFmtId="0" fontId="34" fillId="0" borderId="0" xfId="0" applyFont="1"/>
    <xf numFmtId="0" fontId="34" fillId="0" borderId="7" xfId="0" applyFont="1" applyBorder="1"/>
    <xf numFmtId="0" fontId="34" fillId="0" borderId="1" xfId="0" applyFont="1" applyBorder="1"/>
    <xf numFmtId="0" fontId="34" fillId="0" borderId="8" xfId="0" applyFont="1" applyBorder="1"/>
    <xf numFmtId="0" fontId="4" fillId="0" borderId="0" xfId="0" applyFont="1" applyAlignment="1">
      <alignment horizontal="left" vertical="top" indent="1"/>
    </xf>
    <xf numFmtId="14" fontId="34" fillId="0" borderId="0" xfId="0" applyNumberFormat="1" applyFont="1" applyAlignment="1">
      <alignment horizontal="center"/>
    </xf>
    <xf numFmtId="0" fontId="2" fillId="0" borderId="0" xfId="0" applyFont="1" applyAlignment="1">
      <alignment wrapText="1"/>
    </xf>
    <xf numFmtId="0" fontId="3" fillId="2" borderId="0" xfId="0" applyFont="1" applyFill="1"/>
    <xf numFmtId="168" fontId="50" fillId="10" borderId="15" xfId="10" quotePrefix="1" applyNumberFormat="1" applyFont="1" applyFill="1" applyBorder="1" applyAlignment="1">
      <alignment horizontal="center" vertical="center" wrapText="1"/>
    </xf>
    <xf numFmtId="1" fontId="50" fillId="10" borderId="15" xfId="10" quotePrefix="1" applyNumberFormat="1" applyFont="1" applyFill="1" applyBorder="1" applyAlignment="1">
      <alignment horizontal="center" vertical="center" wrapText="1"/>
    </xf>
    <xf numFmtId="14" fontId="51" fillId="10" borderId="15" xfId="0" applyNumberFormat="1" applyFont="1" applyFill="1" applyBorder="1" applyAlignment="1">
      <alignment horizontal="center" vertical="center"/>
    </xf>
    <xf numFmtId="0" fontId="50" fillId="10" borderId="15" xfId="10" applyFont="1" applyFill="1" applyBorder="1" applyAlignment="1">
      <alignment horizontal="center" vertical="center" wrapText="1"/>
    </xf>
    <xf numFmtId="0" fontId="51" fillId="10" borderId="15" xfId="0" applyFont="1" applyFill="1" applyBorder="1" applyAlignment="1">
      <alignment horizontal="center" vertical="center"/>
    </xf>
    <xf numFmtId="0" fontId="48" fillId="0" borderId="15" xfId="0" applyFont="1" applyBorder="1" applyAlignment="1">
      <alignment horizontal="center" vertical="center"/>
    </xf>
    <xf numFmtId="0" fontId="52" fillId="0" borderId="15" xfId="10" applyFont="1" applyBorder="1" applyAlignment="1">
      <alignment horizontal="left" vertical="center" wrapText="1"/>
    </xf>
    <xf numFmtId="0" fontId="48" fillId="0" borderId="15" xfId="0" applyFont="1" applyBorder="1" applyAlignment="1">
      <alignment vertical="center"/>
    </xf>
    <xf numFmtId="0" fontId="2" fillId="0" borderId="24" xfId="0" applyFont="1" applyBorder="1" applyAlignment="1">
      <alignment horizontal="center"/>
    </xf>
    <xf numFmtId="0" fontId="46" fillId="0" borderId="0" xfId="0" applyFont="1" applyAlignment="1">
      <alignment wrapText="1"/>
    </xf>
    <xf numFmtId="0" fontId="2" fillId="0" borderId="32" xfId="0" applyFont="1" applyBorder="1" applyAlignment="1">
      <alignment horizontal="center"/>
    </xf>
    <xf numFmtId="0" fontId="53" fillId="0" borderId="15" xfId="0" applyFont="1" applyBorder="1" applyAlignment="1">
      <alignment horizontal="center" vertical="center" wrapText="1"/>
    </xf>
    <xf numFmtId="0" fontId="27" fillId="2" borderId="2" xfId="0" applyFont="1" applyFill="1" applyBorder="1"/>
    <xf numFmtId="166" fontId="27" fillId="0" borderId="2" xfId="0" applyNumberFormat="1" applyFont="1" applyBorder="1"/>
    <xf numFmtId="14" fontId="27" fillId="0" borderId="2" xfId="0" applyNumberFormat="1" applyFont="1" applyBorder="1"/>
    <xf numFmtId="0" fontId="23" fillId="2" borderId="2" xfId="0" applyFont="1" applyFill="1" applyBorder="1"/>
    <xf numFmtId="0" fontId="24" fillId="0" borderId="2" xfId="0" applyFont="1" applyBorder="1"/>
    <xf numFmtId="14" fontId="23" fillId="0" borderId="2" xfId="0" applyNumberFormat="1" applyFont="1" applyBorder="1"/>
    <xf numFmtId="0" fontId="24" fillId="0" borderId="4" xfId="0" applyFont="1" applyBorder="1"/>
    <xf numFmtId="0" fontId="23" fillId="0" borderId="0" xfId="0" applyFont="1"/>
    <xf numFmtId="0" fontId="24" fillId="0" borderId="6" xfId="0" applyFont="1" applyBorder="1"/>
    <xf numFmtId="0" fontId="32" fillId="0" borderId="0" xfId="0" applyFont="1"/>
    <xf numFmtId="0" fontId="4" fillId="2" borderId="2" xfId="0" applyFont="1" applyFill="1" applyBorder="1"/>
    <xf numFmtId="0" fontId="34" fillId="0" borderId="2" xfId="0" applyFont="1" applyBorder="1"/>
    <xf numFmtId="166" fontId="4" fillId="0" borderId="2" xfId="0" applyNumberFormat="1" applyFont="1" applyBorder="1"/>
    <xf numFmtId="0" fontId="34" fillId="0" borderId="4" xfId="0" applyFont="1" applyBorder="1"/>
    <xf numFmtId="0" fontId="34" fillId="0" borderId="6" xfId="0" applyFont="1" applyBorder="1"/>
    <xf numFmtId="0" fontId="35" fillId="0" borderId="0" xfId="0" applyFont="1"/>
    <xf numFmtId="0" fontId="4" fillId="0" borderId="0" xfId="0" applyFont="1" applyAlignment="1">
      <alignment horizontal="left" vertical="center" indent="1"/>
    </xf>
    <xf numFmtId="0" fontId="4" fillId="0" borderId="0" xfId="0" applyFont="1" applyAlignment="1">
      <alignment horizontal="left" vertical="top" indent="2"/>
    </xf>
    <xf numFmtId="22" fontId="0" fillId="0" borderId="15" xfId="0" applyNumberFormat="1" applyBorder="1" applyAlignment="1">
      <alignment horizontal="center"/>
    </xf>
    <xf numFmtId="0" fontId="57" fillId="0" borderId="17" xfId="0" applyFont="1" applyBorder="1" applyAlignment="1">
      <alignment vertical="center"/>
    </xf>
    <xf numFmtId="0" fontId="57" fillId="0" borderId="15" xfId="0" applyFont="1" applyBorder="1" applyAlignment="1">
      <alignment horizontal="center" vertical="center"/>
    </xf>
    <xf numFmtId="0" fontId="57" fillId="0" borderId="15" xfId="0" applyFont="1" applyBorder="1" applyAlignment="1">
      <alignment vertical="center"/>
    </xf>
    <xf numFmtId="0" fontId="48" fillId="0" borderId="15" xfId="0" applyFont="1" applyBorder="1" applyAlignment="1">
      <alignment horizontal="center" vertical="center" wrapText="1"/>
    </xf>
    <xf numFmtId="0" fontId="48" fillId="7" borderId="15" xfId="0" applyFont="1" applyFill="1" applyBorder="1" applyAlignment="1">
      <alignment horizontal="center" vertical="center" wrapText="1"/>
    </xf>
    <xf numFmtId="49" fontId="48" fillId="0" borderId="15" xfId="0" applyNumberFormat="1" applyFont="1" applyBorder="1" applyAlignment="1">
      <alignment horizontal="center" vertical="center" wrapText="1"/>
    </xf>
    <xf numFmtId="49" fontId="48" fillId="0" borderId="15" xfId="0" quotePrefix="1" applyNumberFormat="1" applyFont="1" applyBorder="1" applyAlignment="1">
      <alignment horizontal="center" vertical="center" wrapText="1"/>
    </xf>
    <xf numFmtId="49" fontId="52" fillId="2" borderId="15" xfId="0" applyNumberFormat="1" applyFont="1" applyFill="1" applyBorder="1" applyAlignment="1">
      <alignment horizontal="center" vertical="center" wrapText="1"/>
    </xf>
    <xf numFmtId="49" fontId="52" fillId="0" borderId="15" xfId="1" applyNumberFormat="1" applyFont="1" applyBorder="1" applyAlignment="1">
      <alignment horizontal="center" vertical="center" wrapText="1"/>
    </xf>
    <xf numFmtId="49" fontId="60" fillId="11" borderId="15" xfId="0" applyNumberFormat="1" applyFont="1" applyFill="1" applyBorder="1" applyAlignment="1">
      <alignment horizontal="center" vertical="center" wrapText="1"/>
    </xf>
    <xf numFmtId="49" fontId="60" fillId="11" borderId="15" xfId="0" quotePrefix="1" applyNumberFormat="1" applyFont="1" applyFill="1" applyBorder="1" applyAlignment="1">
      <alignment horizontal="center" vertical="center" wrapText="1"/>
    </xf>
    <xf numFmtId="49" fontId="52" fillId="0" borderId="15" xfId="0" applyNumberFormat="1" applyFont="1" applyBorder="1" applyAlignment="1">
      <alignment horizontal="center" vertical="center" wrapText="1"/>
    </xf>
    <xf numFmtId="49" fontId="48" fillId="2" borderId="15" xfId="0" quotePrefix="1" applyNumberFormat="1" applyFont="1" applyFill="1" applyBorder="1" applyAlignment="1">
      <alignment horizontal="center" vertical="center" wrapText="1"/>
    </xf>
    <xf numFmtId="49" fontId="48" fillId="12" borderId="15" xfId="0" applyNumberFormat="1" applyFont="1" applyFill="1" applyBorder="1" applyAlignment="1">
      <alignment horizontal="center" vertical="center" wrapText="1"/>
    </xf>
    <xf numFmtId="49" fontId="52" fillId="2" borderId="15" xfId="1" applyNumberFormat="1" applyFont="1" applyFill="1" applyBorder="1" applyAlignment="1">
      <alignment horizontal="center" vertical="center" wrapText="1"/>
    </xf>
    <xf numFmtId="49" fontId="52" fillId="2" borderId="15" xfId="0" applyNumberFormat="1" applyFont="1" applyFill="1" applyBorder="1" applyAlignment="1" applyProtection="1">
      <alignment horizontal="center" vertical="center" wrapText="1"/>
      <protection locked="0"/>
    </xf>
    <xf numFmtId="49" fontId="48" fillId="2" borderId="15" xfId="0" applyNumberFormat="1" applyFont="1" applyFill="1" applyBorder="1" applyAlignment="1">
      <alignment horizontal="center" vertical="center" wrapText="1"/>
    </xf>
    <xf numFmtId="49" fontId="61" fillId="0" borderId="15" xfId="0" quotePrefix="1" applyNumberFormat="1" applyFont="1" applyBorder="1" applyAlignment="1">
      <alignment horizontal="center" vertical="center" wrapText="1"/>
    </xf>
    <xf numFmtId="49" fontId="52" fillId="2" borderId="15" xfId="0" quotePrefix="1" applyNumberFormat="1" applyFont="1" applyFill="1" applyBorder="1" applyAlignment="1">
      <alignment horizontal="center" vertical="center" wrapText="1"/>
    </xf>
    <xf numFmtId="49" fontId="52" fillId="2" borderId="15" xfId="1" applyNumberFormat="1" applyFont="1" applyFill="1" applyBorder="1" applyAlignment="1" applyProtection="1">
      <alignment horizontal="center" vertical="center" wrapText="1"/>
      <protection locked="0"/>
    </xf>
    <xf numFmtId="49" fontId="52" fillId="0" borderId="15" xfId="1" quotePrefix="1" applyNumberFormat="1" applyFont="1" applyBorder="1" applyAlignment="1">
      <alignment horizontal="center" vertical="center" wrapText="1"/>
    </xf>
    <xf numFmtId="49" fontId="61" fillId="0" borderId="15" xfId="0" applyNumberFormat="1" applyFont="1" applyBorder="1" applyAlignment="1">
      <alignment horizontal="center" vertical="center" wrapText="1"/>
    </xf>
    <xf numFmtId="49" fontId="52" fillId="2" borderId="15" xfId="0" quotePrefix="1" applyNumberFormat="1" applyFont="1" applyFill="1" applyBorder="1" applyAlignment="1" applyProtection="1">
      <alignment horizontal="center" vertical="center" wrapText="1"/>
      <protection locked="0"/>
    </xf>
    <xf numFmtId="49" fontId="48" fillId="7" borderId="15" xfId="0" applyNumberFormat="1" applyFont="1" applyFill="1" applyBorder="1" applyAlignment="1">
      <alignment horizontal="center" vertical="center" wrapText="1"/>
    </xf>
    <xf numFmtId="49" fontId="52" fillId="2" borderId="15" xfId="11" quotePrefix="1" applyNumberFormat="1" applyFont="1" applyFill="1" applyBorder="1" applyAlignment="1">
      <alignment horizontal="center" vertical="center" wrapText="1"/>
    </xf>
    <xf numFmtId="49" fontId="48" fillId="7" borderId="15" xfId="0" quotePrefix="1" applyNumberFormat="1" applyFont="1" applyFill="1" applyBorder="1" applyAlignment="1">
      <alignment horizontal="center" vertical="center" wrapText="1"/>
    </xf>
    <xf numFmtId="49" fontId="48" fillId="0" borderId="15" xfId="0" applyNumberFormat="1" applyFont="1" applyBorder="1" applyAlignment="1">
      <alignment horizontal="center" vertical="center"/>
    </xf>
    <xf numFmtId="0" fontId="48" fillId="7" borderId="15" xfId="0" quotePrefix="1" applyFont="1" applyFill="1" applyBorder="1" applyAlignment="1">
      <alignment horizontal="center" vertical="center" wrapText="1"/>
    </xf>
    <xf numFmtId="0" fontId="48" fillId="0" borderId="15" xfId="0" applyFont="1" applyBorder="1" applyAlignment="1">
      <alignment horizontal="left" vertical="center"/>
    </xf>
    <xf numFmtId="0" fontId="48" fillId="7" borderId="15" xfId="0" applyFont="1" applyFill="1" applyBorder="1" applyAlignment="1">
      <alignment vertical="center" wrapText="1"/>
    </xf>
    <xf numFmtId="14" fontId="3" fillId="3" borderId="12" xfId="0" applyNumberFormat="1" applyFont="1" applyFill="1" applyBorder="1" applyAlignment="1">
      <alignment vertical="center"/>
    </xf>
    <xf numFmtId="0" fontId="25" fillId="9" borderId="0" xfId="0" applyFont="1" applyFill="1" applyAlignment="1">
      <alignment horizontal="center" vertical="center"/>
    </xf>
    <xf numFmtId="0" fontId="49" fillId="0" borderId="15" xfId="0" applyFont="1" applyBorder="1" applyAlignment="1">
      <alignment horizontal="left" vertical="center" wrapText="1"/>
    </xf>
    <xf numFmtId="0" fontId="47" fillId="0" borderId="16" xfId="0" applyFont="1" applyBorder="1" applyAlignment="1">
      <alignment horizontal="center" vertical="center" wrapText="1"/>
    </xf>
    <xf numFmtId="0" fontId="47" fillId="0" borderId="18" xfId="0" applyFont="1" applyBorder="1" applyAlignment="1">
      <alignment horizontal="center" vertical="center" wrapText="1"/>
    </xf>
    <xf numFmtId="0" fontId="28" fillId="0" borderId="0" xfId="0" applyFont="1" applyAlignment="1" applyProtection="1">
      <alignment horizontal="left" vertical="top" wrapText="1" indent="1"/>
      <protection locked="0"/>
    </xf>
    <xf numFmtId="0" fontId="4" fillId="0" borderId="0" xfId="0" applyFont="1" applyAlignment="1" applyProtection="1">
      <alignment horizontal="left" vertical="top" wrapText="1" indent="1"/>
      <protection locked="0"/>
    </xf>
    <xf numFmtId="165" fontId="6" fillId="3" borderId="10" xfId="0" applyNumberFormat="1" applyFont="1" applyFill="1" applyBorder="1" applyAlignment="1" applyProtection="1">
      <alignment horizontal="center" vertical="center"/>
      <protection locked="0"/>
    </xf>
    <xf numFmtId="165" fontId="6" fillId="3" borderId="12" xfId="0" applyNumberFormat="1" applyFont="1" applyFill="1" applyBorder="1" applyAlignment="1" applyProtection="1">
      <alignment horizontal="center" vertical="center"/>
      <protection locked="0"/>
    </xf>
    <xf numFmtId="0" fontId="10" fillId="0" borderId="1" xfId="0" applyFont="1" applyBorder="1" applyAlignment="1">
      <alignment horizontal="center"/>
    </xf>
    <xf numFmtId="0" fontId="27" fillId="0" borderId="2" xfId="0" applyFont="1" applyBorder="1" applyAlignment="1">
      <alignment horizontal="center" vertical="center"/>
    </xf>
    <xf numFmtId="0" fontId="31" fillId="4" borderId="9" xfId="0" applyFont="1" applyFill="1" applyBorder="1" applyAlignment="1">
      <alignment horizontal="left" vertical="center"/>
    </xf>
    <xf numFmtId="0" fontId="31" fillId="4" borderId="11" xfId="0" applyFont="1" applyFill="1" applyBorder="1" applyAlignment="1">
      <alignment horizontal="left" vertical="center"/>
    </xf>
    <xf numFmtId="0" fontId="28" fillId="0" borderId="0" xfId="0" applyFont="1" applyAlignment="1">
      <alignment horizontal="center" vertical="center"/>
    </xf>
    <xf numFmtId="0" fontId="58" fillId="0" borderId="15" xfId="0" applyFont="1" applyBorder="1" applyAlignment="1">
      <alignment horizontal="center" vertical="center"/>
    </xf>
    <xf numFmtId="0" fontId="54" fillId="0" borderId="0" xfId="0" applyFont="1" applyAlignment="1">
      <alignment horizontal="center" vertical="center"/>
    </xf>
    <xf numFmtId="0" fontId="59" fillId="0" borderId="15" xfId="0" applyFont="1" applyBorder="1" applyAlignment="1">
      <alignment horizontal="center" vertical="center" wrapText="1"/>
    </xf>
    <xf numFmtId="0" fontId="2" fillId="0" borderId="0" xfId="0" applyFont="1" applyAlignment="1">
      <alignment horizontal="center" wrapText="1"/>
    </xf>
    <xf numFmtId="0" fontId="2" fillId="0" borderId="0" xfId="0" applyFont="1" applyAlignment="1">
      <alignment horizontal="center"/>
    </xf>
    <xf numFmtId="0" fontId="27" fillId="0" borderId="0" xfId="0" applyFont="1" applyAlignment="1">
      <alignment horizontal="left"/>
    </xf>
    <xf numFmtId="0" fontId="58" fillId="0" borderId="16" xfId="0" applyFont="1" applyBorder="1" applyAlignment="1">
      <alignment horizontal="center" vertical="center"/>
    </xf>
    <xf numFmtId="0" fontId="3" fillId="0" borderId="0" xfId="0" applyFont="1" applyAlignment="1">
      <alignment horizontal="center" vertical="center"/>
    </xf>
    <xf numFmtId="0" fontId="11" fillId="0" borderId="1" xfId="0" applyFont="1" applyBorder="1" applyAlignment="1">
      <alignment horizontal="center"/>
    </xf>
    <xf numFmtId="0" fontId="23" fillId="0" borderId="0" xfId="0" applyFont="1" applyAlignment="1">
      <alignment horizontal="left"/>
    </xf>
    <xf numFmtId="0" fontId="30" fillId="4" borderId="9" xfId="0" applyFont="1" applyFill="1" applyBorder="1" applyAlignment="1">
      <alignment horizontal="left" vertical="center"/>
    </xf>
    <xf numFmtId="0" fontId="30" fillId="4" borderId="11" xfId="0" applyFont="1" applyFill="1" applyBorder="1" applyAlignment="1">
      <alignment horizontal="left" vertical="center"/>
    </xf>
    <xf numFmtId="167" fontId="6" fillId="3" borderId="10" xfId="0" applyNumberFormat="1" applyFont="1" applyFill="1" applyBorder="1" applyAlignment="1" applyProtection="1">
      <alignment horizontal="center" vertical="center"/>
      <protection locked="0"/>
    </xf>
    <xf numFmtId="167" fontId="6" fillId="3" borderId="12" xfId="0" applyNumberFormat="1" applyFont="1" applyFill="1" applyBorder="1" applyAlignment="1" applyProtection="1">
      <alignment horizontal="center" vertical="center"/>
      <protection locked="0"/>
    </xf>
    <xf numFmtId="0" fontId="2" fillId="0" borderId="0" xfId="0" applyFont="1" applyAlignment="1">
      <alignment horizontal="center" vertical="center"/>
    </xf>
    <xf numFmtId="0" fontId="24" fillId="0" borderId="0" xfId="0" applyFont="1" applyAlignment="1" applyProtection="1">
      <alignment horizontal="left" vertical="top" wrapText="1" indent="1"/>
      <protection locked="0"/>
    </xf>
    <xf numFmtId="0" fontId="12" fillId="0" borderId="1" xfId="0" applyFont="1" applyBorder="1" applyAlignment="1">
      <alignment horizontal="center"/>
    </xf>
    <xf numFmtId="0" fontId="23" fillId="0" borderId="2" xfId="0" applyFont="1" applyBorder="1" applyAlignment="1">
      <alignment horizontal="center" vertical="center"/>
    </xf>
    <xf numFmtId="0" fontId="56" fillId="0" borderId="15" xfId="0" applyFont="1" applyBorder="1" applyAlignment="1">
      <alignment horizontal="center" vertical="center" wrapText="1"/>
    </xf>
    <xf numFmtId="0" fontId="55" fillId="0" borderId="15" xfId="0" applyFont="1" applyBorder="1" applyAlignment="1">
      <alignment horizontal="center" vertical="center"/>
    </xf>
    <xf numFmtId="0" fontId="30" fillId="4" borderId="9" xfId="0" applyFont="1" applyFill="1" applyBorder="1" applyAlignment="1">
      <alignment horizontal="center" vertical="center"/>
    </xf>
    <xf numFmtId="0" fontId="30" fillId="4" borderId="11" xfId="0" applyFont="1" applyFill="1" applyBorder="1" applyAlignment="1">
      <alignment horizontal="center" vertical="center"/>
    </xf>
    <xf numFmtId="0" fontId="19" fillId="0" borderId="1" xfId="0" applyFont="1" applyBorder="1" applyAlignment="1">
      <alignment horizontal="center"/>
    </xf>
    <xf numFmtId="0" fontId="54" fillId="0" borderId="0" xfId="0" applyFont="1" applyAlignment="1">
      <alignment horizontal="center" vertical="center" wrapText="1"/>
    </xf>
    <xf numFmtId="0" fontId="4" fillId="0" borderId="0" xfId="0" applyFont="1" applyAlignment="1">
      <alignment horizontal="left"/>
    </xf>
    <xf numFmtId="0" fontId="34" fillId="0" borderId="0" xfId="0" applyFont="1" applyAlignment="1" applyProtection="1">
      <alignment horizontal="left" vertical="top" wrapText="1" indent="1"/>
      <protection locked="0"/>
    </xf>
    <xf numFmtId="0" fontId="29" fillId="4" borderId="9" xfId="0" applyFont="1" applyFill="1" applyBorder="1" applyAlignment="1">
      <alignment horizontal="left" vertical="center"/>
    </xf>
    <xf numFmtId="0" fontId="29" fillId="4" borderId="11" xfId="0" applyFont="1" applyFill="1" applyBorder="1" applyAlignment="1">
      <alignment horizontal="left" vertical="center"/>
    </xf>
    <xf numFmtId="0" fontId="37" fillId="0" borderId="1" xfId="0" applyFont="1" applyBorder="1" applyAlignment="1">
      <alignment horizontal="center"/>
    </xf>
    <xf numFmtId="0" fontId="4" fillId="0" borderId="2" xfId="0" applyFont="1" applyBorder="1" applyAlignment="1">
      <alignment horizontal="center" vertical="center"/>
    </xf>
    <xf numFmtId="0" fontId="0" fillId="0" borderId="23" xfId="0" applyBorder="1" applyAlignment="1">
      <alignment horizontal="center" vertical="center"/>
    </xf>
    <xf numFmtId="0" fontId="0" fillId="0" borderId="22" xfId="0" applyBorder="1" applyAlignment="1">
      <alignment horizontal="center" vertical="center"/>
    </xf>
    <xf numFmtId="0" fontId="0" fillId="0" borderId="15" xfId="0" applyBorder="1" applyAlignment="1">
      <alignment horizontal="center" vertical="center"/>
    </xf>
    <xf numFmtId="0" fontId="0" fillId="0" borderId="24" xfId="0" applyBorder="1" applyAlignment="1">
      <alignment horizontal="center" vertical="center"/>
    </xf>
    <xf numFmtId="0" fontId="0" fillId="0" borderId="25" xfId="0" applyBorder="1" applyAlignment="1">
      <alignment horizontal="center" vertical="center"/>
    </xf>
    <xf numFmtId="0" fontId="0" fillId="0" borderId="28" xfId="0" applyBorder="1" applyAlignment="1">
      <alignment horizontal="center" vertical="center"/>
    </xf>
    <xf numFmtId="0" fontId="0" fillId="0" borderId="28" xfId="0" applyBorder="1" applyAlignment="1">
      <alignment horizontal="center"/>
    </xf>
    <xf numFmtId="0" fontId="0" fillId="0" borderId="22" xfId="0" applyBorder="1" applyAlignment="1">
      <alignment horizontal="center"/>
    </xf>
    <xf numFmtId="0" fontId="2" fillId="0" borderId="20" xfId="0" applyFont="1" applyBorder="1" applyAlignment="1">
      <alignment horizontal="center" vertical="center"/>
    </xf>
    <xf numFmtId="0" fontId="2" fillId="0" borderId="31" xfId="0" applyFont="1" applyBorder="1" applyAlignment="1">
      <alignment horizontal="center" vertical="center"/>
    </xf>
    <xf numFmtId="0" fontId="2" fillId="0" borderId="30" xfId="0" applyFont="1" applyBorder="1" applyAlignment="1">
      <alignment horizontal="center" vertical="center"/>
    </xf>
    <xf numFmtId="0" fontId="2" fillId="0" borderId="26" xfId="0" applyFont="1" applyBorder="1" applyAlignment="1">
      <alignment horizontal="center" vertical="center"/>
    </xf>
    <xf numFmtId="0" fontId="2" fillId="0" borderId="21" xfId="0" applyFont="1" applyBorder="1" applyAlignment="1">
      <alignment horizontal="center" vertical="center"/>
    </xf>
    <xf numFmtId="0" fontId="2" fillId="0" borderId="27" xfId="0" applyFont="1" applyBorder="1" applyAlignment="1">
      <alignment horizontal="center" vertical="center"/>
    </xf>
    <xf numFmtId="0" fontId="2" fillId="0" borderId="19" xfId="0" applyFont="1" applyBorder="1" applyAlignment="1">
      <alignment horizontal="center" vertical="center"/>
    </xf>
    <xf numFmtId="0" fontId="2" fillId="0" borderId="22" xfId="0" applyFont="1" applyBorder="1" applyAlignment="1">
      <alignment horizontal="center" vertical="center"/>
    </xf>
    <xf numFmtId="0" fontId="2" fillId="0" borderId="23" xfId="0" applyFont="1" applyBorder="1" applyAlignment="1">
      <alignment horizontal="center" vertical="center"/>
    </xf>
    <xf numFmtId="0" fontId="43" fillId="0" borderId="0" xfId="0" applyFont="1" applyAlignment="1">
      <alignment horizontal="left" vertical="top" wrapText="1" indent="1"/>
    </xf>
    <xf numFmtId="0" fontId="44" fillId="0" borderId="0" xfId="0" applyFont="1" applyAlignment="1">
      <alignment vertical="center"/>
    </xf>
    <xf numFmtId="0" fontId="44" fillId="0" borderId="2" xfId="0" applyFont="1" applyBorder="1" applyAlignment="1">
      <alignment horizontal="center" vertical="center"/>
    </xf>
    <xf numFmtId="14" fontId="43" fillId="0" borderId="0" xfId="0" applyNumberFormat="1" applyFont="1" applyAlignment="1">
      <alignment horizontal="center"/>
    </xf>
    <xf numFmtId="0" fontId="44" fillId="0" borderId="0" xfId="0" applyFont="1" applyAlignment="1">
      <alignment horizontal="center"/>
    </xf>
    <xf numFmtId="0" fontId="43" fillId="0" borderId="0" xfId="0" applyFont="1" applyAlignment="1">
      <alignment horizontal="center"/>
    </xf>
    <xf numFmtId="0" fontId="2" fillId="0" borderId="0" xfId="0" applyFont="1" applyAlignment="1">
      <alignment horizontal="left" vertical="top" wrapText="1" indent="1"/>
    </xf>
    <xf numFmtId="0" fontId="4" fillId="0" borderId="0" xfId="0" applyFont="1" applyAlignment="1">
      <alignment vertical="center"/>
    </xf>
    <xf numFmtId="0" fontId="5" fillId="0" borderId="2" xfId="0" applyFont="1" applyBorder="1" applyAlignment="1">
      <alignment horizontal="center" vertical="center"/>
    </xf>
    <xf numFmtId="0" fontId="5" fillId="0" borderId="0" xfId="0" applyFont="1" applyAlignment="1">
      <alignment horizontal="left" vertical="top" wrapText="1" indent="1"/>
    </xf>
    <xf numFmtId="0" fontId="13" fillId="0" borderId="1" xfId="0" applyFont="1" applyBorder="1" applyAlignment="1">
      <alignment horizontal="center"/>
    </xf>
  </cellXfs>
  <cellStyles count="12">
    <cellStyle name="Comma 2" xfId="8" xr:uid="{00000000-0005-0000-0000-000000000000}"/>
    <cellStyle name="Normal" xfId="0" builtinId="0"/>
    <cellStyle name="Normal 2" xfId="7" xr:uid="{00000000-0005-0000-0000-000002000000}"/>
    <cellStyle name="Normal 2 10" xfId="1" xr:uid="{00000000-0005-0000-0000-000003000000}"/>
    <cellStyle name="Normal 2 2 2" xfId="4" xr:uid="{00000000-0005-0000-0000-000004000000}"/>
    <cellStyle name="Normal 3" xfId="2" xr:uid="{00000000-0005-0000-0000-000005000000}"/>
    <cellStyle name="Normal 3 2" xfId="6" xr:uid="{00000000-0005-0000-0000-000006000000}"/>
    <cellStyle name="Normal 4 2" xfId="5" xr:uid="{00000000-0005-0000-0000-000007000000}"/>
    <cellStyle name="Normal 5" xfId="11" xr:uid="{00000000-0005-0000-0000-000008000000}"/>
    <cellStyle name="Normal 6" xfId="10" xr:uid="{00000000-0005-0000-0000-000009000000}"/>
    <cellStyle name="Normal 6 10" xfId="3" xr:uid="{00000000-0005-0000-0000-00000A000000}"/>
    <cellStyle name="標準_全社従業員_1" xfId="9" xr:uid="{00000000-0005-0000-0000-00000B000000}"/>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09E66"/>
      <color rgb="FFFBE5D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2" Type="http://schemas.openxmlformats.org/officeDocument/2006/relationships/image" Target="../media/image6.pn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16.png"/></Relationships>
</file>

<file path=xl/drawings/_rels/drawing10.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16.png"/></Relationships>
</file>

<file path=xl/drawings/_rels/drawing11.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16.png"/></Relationships>
</file>

<file path=xl/drawings/_rels/drawing12.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image" Target="../media/image1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9.emf"/><Relationship Id="rId1"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3.emf"/><Relationship Id="rId1" Type="http://schemas.openxmlformats.org/officeDocument/2006/relationships/image" Target="../media/image12.emf"/></Relationships>
</file>

<file path=xl/drawings/_rels/vmlDrawing6.vml.rels><?xml version="1.0" encoding="UTF-8" standalone="yes"?>
<Relationships xmlns="http://schemas.openxmlformats.org/package/2006/relationships"><Relationship Id="rId2" Type="http://schemas.openxmlformats.org/officeDocument/2006/relationships/image" Target="../media/image15.emf"/><Relationship Id="rId1" Type="http://schemas.openxmlformats.org/officeDocument/2006/relationships/image" Target="../media/image14.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190500</xdr:colOff>
          <xdr:row>1</xdr:row>
          <xdr:rowOff>57150</xdr:rowOff>
        </xdr:from>
        <xdr:to>
          <xdr:col>11</xdr:col>
          <xdr:colOff>285750</xdr:colOff>
          <xdr:row>2</xdr:row>
          <xdr:rowOff>152400</xdr:rowOff>
        </xdr:to>
        <xdr:sp macro="" textlink="">
          <xdr:nvSpPr>
            <xdr:cNvPr id="10241" name="cmd_LoadFormConfig"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0</xdr:colOff>
      <xdr:row>6</xdr:row>
      <xdr:rowOff>123825</xdr:rowOff>
    </xdr:from>
    <xdr:to>
      <xdr:col>15</xdr:col>
      <xdr:colOff>9525</xdr:colOff>
      <xdr:row>6</xdr:row>
      <xdr:rowOff>1162195</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6505575" y="3067050"/>
          <a:ext cx="6981825" cy="103837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1171575</xdr:colOff>
          <xdr:row>10</xdr:row>
          <xdr:rowOff>76200</xdr:rowOff>
        </xdr:from>
        <xdr:to>
          <xdr:col>8</xdr:col>
          <xdr:colOff>2171700</xdr:colOff>
          <xdr:row>11</xdr:row>
          <xdr:rowOff>123825</xdr:rowOff>
        </xdr:to>
        <xdr:sp macro="" textlink="">
          <xdr:nvSpPr>
            <xdr:cNvPr id="1025" name="cmd_RESETKQ" hidden="1">
              <a:extLst>
                <a:ext uri="{63B3BB69-23CF-44E3-9099-C40C66FF867C}">
                  <a14:compatExt spid="_x0000_s1025"/>
                </a:ext>
                <a:ext uri="{FF2B5EF4-FFF2-40B4-BE49-F238E27FC236}">
                  <a16:creationId xmlns:a16="http://schemas.microsoft.com/office/drawing/2014/main" id="{00000000-0008-0000-03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95250</xdr:rowOff>
        </xdr:from>
        <xdr:to>
          <xdr:col>7</xdr:col>
          <xdr:colOff>1114425</xdr:colOff>
          <xdr:row>11</xdr:row>
          <xdr:rowOff>123825</xdr:rowOff>
        </xdr:to>
        <xdr:sp macro="" textlink="">
          <xdr:nvSpPr>
            <xdr:cNvPr id="1028" name="cmd_LUU_IN_OBUNGNAM" hidden="1">
              <a:extLst>
                <a:ext uri="{63B3BB69-23CF-44E3-9099-C40C66FF867C}">
                  <a14:compatExt spid="_x0000_s1028"/>
                </a:ext>
                <a:ext uri="{FF2B5EF4-FFF2-40B4-BE49-F238E27FC236}">
                  <a16:creationId xmlns:a16="http://schemas.microsoft.com/office/drawing/2014/main" id="{00000000-0008-0000-03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absolute">
    <xdr:from>
      <xdr:col>1</xdr:col>
      <xdr:colOff>279400</xdr:colOff>
      <xdr:row>0</xdr:row>
      <xdr:rowOff>0</xdr:rowOff>
    </xdr:from>
    <xdr:to>
      <xdr:col>5</xdr:col>
      <xdr:colOff>300566</xdr:colOff>
      <xdr:row>3</xdr:row>
      <xdr:rowOff>361949</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570753" y="0"/>
          <a:ext cx="7865284" cy="1191184"/>
          <a:chOff x="390525" y="66676"/>
          <a:chExt cx="6896100" cy="1190624"/>
        </a:xfrm>
      </xdr:grpSpPr>
      <xdr:pic>
        <xdr:nvPicPr>
          <xdr:cNvPr id="4" name="Picture 3">
            <a:extLst>
              <a:ext uri="{FF2B5EF4-FFF2-40B4-BE49-F238E27FC236}">
                <a16:creationId xmlns:a16="http://schemas.microsoft.com/office/drawing/2014/main" id="{00000000-0008-0000-03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3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3"/>
          </a:xfrm>
          <a:prstGeom prst="rect">
            <a:avLst/>
          </a:prstGeom>
        </xdr:spPr>
      </xdr:pic>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1171575</xdr:colOff>
          <xdr:row>10</xdr:row>
          <xdr:rowOff>76200</xdr:rowOff>
        </xdr:from>
        <xdr:to>
          <xdr:col>8</xdr:col>
          <xdr:colOff>2171700</xdr:colOff>
          <xdr:row>11</xdr:row>
          <xdr:rowOff>85725</xdr:rowOff>
        </xdr:to>
        <xdr:sp macro="" textlink="">
          <xdr:nvSpPr>
            <xdr:cNvPr id="2049" name="CommandButton1" hidden="1">
              <a:extLst>
                <a:ext uri="{63B3BB69-23CF-44E3-9099-C40C66FF867C}">
                  <a14:compatExt spid="_x0000_s2049"/>
                </a:ext>
                <a:ext uri="{FF2B5EF4-FFF2-40B4-BE49-F238E27FC236}">
                  <a16:creationId xmlns:a16="http://schemas.microsoft.com/office/drawing/2014/main" id="{00000000-0008-0000-04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95250</xdr:rowOff>
        </xdr:from>
        <xdr:to>
          <xdr:col>7</xdr:col>
          <xdr:colOff>1114425</xdr:colOff>
          <xdr:row>11</xdr:row>
          <xdr:rowOff>85725</xdr:rowOff>
        </xdr:to>
        <xdr:sp macro="" textlink="">
          <xdr:nvSpPr>
            <xdr:cNvPr id="2050" name="CMD_OBUNG_NU" hidden="1">
              <a:extLst>
                <a:ext uri="{63B3BB69-23CF-44E3-9099-C40C66FF867C}">
                  <a14:compatExt spid="_x0000_s2050"/>
                </a:ext>
                <a:ext uri="{FF2B5EF4-FFF2-40B4-BE49-F238E27FC236}">
                  <a16:creationId xmlns:a16="http://schemas.microsoft.com/office/drawing/2014/main" id="{00000000-0008-0000-04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133350</xdr:colOff>
          <xdr:row>18</xdr:row>
          <xdr:rowOff>85725</xdr:rowOff>
        </xdr:from>
        <xdr:to>
          <xdr:col>7</xdr:col>
          <xdr:colOff>1133475</xdr:colOff>
          <xdr:row>18</xdr:row>
          <xdr:rowOff>457200</xdr:rowOff>
        </xdr:to>
        <xdr:sp macro="" textlink="">
          <xdr:nvSpPr>
            <xdr:cNvPr id="2051" name="cmd_NUCOTHAI"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333375</xdr:colOff>
      <xdr:row>0</xdr:row>
      <xdr:rowOff>0</xdr:rowOff>
    </xdr:from>
    <xdr:to>
      <xdr:col>6</xdr:col>
      <xdr:colOff>66675</xdr:colOff>
      <xdr:row>3</xdr:row>
      <xdr:rowOff>361949</xdr:rowOff>
    </xdr:to>
    <xdr:grpSp>
      <xdr:nvGrpSpPr>
        <xdr:cNvPr id="5" name="Group 4">
          <a:extLst>
            <a:ext uri="{FF2B5EF4-FFF2-40B4-BE49-F238E27FC236}">
              <a16:creationId xmlns:a16="http://schemas.microsoft.com/office/drawing/2014/main" id="{00000000-0008-0000-0400-000005000000}"/>
            </a:ext>
          </a:extLst>
        </xdr:cNvPr>
        <xdr:cNvGrpSpPr/>
      </xdr:nvGrpSpPr>
      <xdr:grpSpPr>
        <a:xfrm>
          <a:off x="624728" y="0"/>
          <a:ext cx="7913594" cy="1191184"/>
          <a:chOff x="390525" y="66676"/>
          <a:chExt cx="6896100" cy="1190624"/>
        </a:xfrm>
      </xdr:grpSpPr>
      <xdr:pic>
        <xdr:nvPicPr>
          <xdr:cNvPr id="6" name="Picture 5">
            <a:extLst>
              <a:ext uri="{FF2B5EF4-FFF2-40B4-BE49-F238E27FC236}">
                <a16:creationId xmlns:a16="http://schemas.microsoft.com/office/drawing/2014/main" id="{00000000-0008-0000-04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1171575</xdr:colOff>
          <xdr:row>10</xdr:row>
          <xdr:rowOff>76200</xdr:rowOff>
        </xdr:from>
        <xdr:to>
          <xdr:col>8</xdr:col>
          <xdr:colOff>2171700</xdr:colOff>
          <xdr:row>11</xdr:row>
          <xdr:rowOff>28575</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5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95250</xdr:rowOff>
        </xdr:from>
        <xdr:to>
          <xdr:col>7</xdr:col>
          <xdr:colOff>1114425</xdr:colOff>
          <xdr:row>11</xdr:row>
          <xdr:rowOff>28575</xdr:rowOff>
        </xdr:to>
        <xdr:sp macro="" textlink="">
          <xdr:nvSpPr>
            <xdr:cNvPr id="3074" name="cmd_LUU_IN_TUYENGIAP" hidden="1">
              <a:extLst>
                <a:ext uri="{63B3BB69-23CF-44E3-9099-C40C66FF867C}">
                  <a14:compatExt spid="_x0000_s3074"/>
                </a:ext>
                <a:ext uri="{FF2B5EF4-FFF2-40B4-BE49-F238E27FC236}">
                  <a16:creationId xmlns:a16="http://schemas.microsoft.com/office/drawing/2014/main" id="{00000000-0008-0000-05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361950</xdr:colOff>
      <xdr:row>0</xdr:row>
      <xdr:rowOff>0</xdr:rowOff>
    </xdr:from>
    <xdr:to>
      <xdr:col>6</xdr:col>
      <xdr:colOff>28575</xdr:colOff>
      <xdr:row>3</xdr:row>
      <xdr:rowOff>361949</xdr:rowOff>
    </xdr:to>
    <xdr:grpSp>
      <xdr:nvGrpSpPr>
        <xdr:cNvPr id="4" name="Group 3">
          <a:extLst>
            <a:ext uri="{FF2B5EF4-FFF2-40B4-BE49-F238E27FC236}">
              <a16:creationId xmlns:a16="http://schemas.microsoft.com/office/drawing/2014/main" id="{00000000-0008-0000-0500-000004000000}"/>
            </a:ext>
          </a:extLst>
        </xdr:cNvPr>
        <xdr:cNvGrpSpPr/>
      </xdr:nvGrpSpPr>
      <xdr:grpSpPr>
        <a:xfrm>
          <a:off x="653303" y="0"/>
          <a:ext cx="7925360" cy="1191184"/>
          <a:chOff x="390525" y="66676"/>
          <a:chExt cx="6896100" cy="1190624"/>
        </a:xfrm>
      </xdr:grpSpPr>
      <xdr:pic>
        <xdr:nvPicPr>
          <xdr:cNvPr id="6" name="Picture 5">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1171575</xdr:colOff>
          <xdr:row>10</xdr:row>
          <xdr:rowOff>76200</xdr:rowOff>
        </xdr:from>
        <xdr:to>
          <xdr:col>8</xdr:col>
          <xdr:colOff>2171700</xdr:colOff>
          <xdr:row>10</xdr:row>
          <xdr:rowOff>447675</xdr:rowOff>
        </xdr:to>
        <xdr:sp macro="" textlink="">
          <xdr:nvSpPr>
            <xdr:cNvPr id="4097" name="CommandButton1" hidden="1">
              <a:extLst>
                <a:ext uri="{63B3BB69-23CF-44E3-9099-C40C66FF867C}">
                  <a14:compatExt spid="_x0000_s4097"/>
                </a:ext>
                <a:ext uri="{FF2B5EF4-FFF2-40B4-BE49-F238E27FC236}">
                  <a16:creationId xmlns:a16="http://schemas.microsoft.com/office/drawing/2014/main" id="{00000000-0008-0000-06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10</xdr:row>
          <xdr:rowOff>95250</xdr:rowOff>
        </xdr:from>
        <xdr:to>
          <xdr:col>7</xdr:col>
          <xdr:colOff>1114425</xdr:colOff>
          <xdr:row>10</xdr:row>
          <xdr:rowOff>447675</xdr:rowOff>
        </xdr:to>
        <xdr:sp macro="" textlink="">
          <xdr:nvSpPr>
            <xdr:cNvPr id="4098" name="cmd_LUU_IN_TUYENVU" hidden="1">
              <a:extLst>
                <a:ext uri="{63B3BB69-23CF-44E3-9099-C40C66FF867C}">
                  <a14:compatExt spid="_x0000_s4098"/>
                </a:ext>
                <a:ext uri="{FF2B5EF4-FFF2-40B4-BE49-F238E27FC236}">
                  <a16:creationId xmlns:a16="http://schemas.microsoft.com/office/drawing/2014/main" id="{00000000-0008-0000-0600-000002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323850</xdr:colOff>
      <xdr:row>0</xdr:row>
      <xdr:rowOff>0</xdr:rowOff>
    </xdr:from>
    <xdr:to>
      <xdr:col>6</xdr:col>
      <xdr:colOff>95250</xdr:colOff>
      <xdr:row>3</xdr:row>
      <xdr:rowOff>361949</xdr:rowOff>
    </xdr:to>
    <xdr:grpSp>
      <xdr:nvGrpSpPr>
        <xdr:cNvPr id="4" name="Group 3">
          <a:extLst>
            <a:ext uri="{FF2B5EF4-FFF2-40B4-BE49-F238E27FC236}">
              <a16:creationId xmlns:a16="http://schemas.microsoft.com/office/drawing/2014/main" id="{00000000-0008-0000-0600-000004000000}"/>
            </a:ext>
          </a:extLst>
        </xdr:cNvPr>
        <xdr:cNvGrpSpPr/>
      </xdr:nvGrpSpPr>
      <xdr:grpSpPr>
        <a:xfrm>
          <a:off x="609600" y="0"/>
          <a:ext cx="8026400" cy="1198032"/>
          <a:chOff x="390525" y="66676"/>
          <a:chExt cx="6896100" cy="1190624"/>
        </a:xfrm>
      </xdr:grpSpPr>
      <xdr:pic>
        <xdr:nvPicPr>
          <xdr:cNvPr id="6" name="Picture 5">
            <a:extLst>
              <a:ext uri="{FF2B5EF4-FFF2-40B4-BE49-F238E27FC236}">
                <a16:creationId xmlns:a16="http://schemas.microsoft.com/office/drawing/2014/main" id="{00000000-0008-0000-06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1152525</xdr:colOff>
          <xdr:row>10</xdr:row>
          <xdr:rowOff>95250</xdr:rowOff>
        </xdr:from>
        <xdr:to>
          <xdr:col>8</xdr:col>
          <xdr:colOff>2152650</xdr:colOff>
          <xdr:row>10</xdr:row>
          <xdr:rowOff>466725</xdr:rowOff>
        </xdr:to>
        <xdr:sp macro="" textlink="">
          <xdr:nvSpPr>
            <xdr:cNvPr id="5121" name="CommandButton1" hidden="1">
              <a:extLst>
                <a:ext uri="{63B3BB69-23CF-44E3-9099-C40C66FF867C}">
                  <a14:compatExt spid="_x0000_s5121"/>
                </a:ext>
                <a:ext uri="{FF2B5EF4-FFF2-40B4-BE49-F238E27FC236}">
                  <a16:creationId xmlns:a16="http://schemas.microsoft.com/office/drawing/2014/main" id="{00000000-0008-0000-0700-000001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57150</xdr:colOff>
          <xdr:row>10</xdr:row>
          <xdr:rowOff>95250</xdr:rowOff>
        </xdr:from>
        <xdr:to>
          <xdr:col>7</xdr:col>
          <xdr:colOff>1171575</xdr:colOff>
          <xdr:row>10</xdr:row>
          <xdr:rowOff>447675</xdr:rowOff>
        </xdr:to>
        <xdr:sp macro="" textlink="">
          <xdr:nvSpPr>
            <xdr:cNvPr id="5122" name="cmd_LUU_IN_TCPP" hidden="1">
              <a:extLst>
                <a:ext uri="{63B3BB69-23CF-44E3-9099-C40C66FF867C}">
                  <a14:compatExt spid="_x0000_s5122"/>
                </a:ext>
                <a:ext uri="{FF2B5EF4-FFF2-40B4-BE49-F238E27FC236}">
                  <a16:creationId xmlns:a16="http://schemas.microsoft.com/office/drawing/2014/main" id="{00000000-0008-0000-07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542925</xdr:colOff>
      <xdr:row>0</xdr:row>
      <xdr:rowOff>0</xdr:rowOff>
    </xdr:from>
    <xdr:to>
      <xdr:col>5</xdr:col>
      <xdr:colOff>361950</xdr:colOff>
      <xdr:row>3</xdr:row>
      <xdr:rowOff>361949</xdr:rowOff>
    </xdr:to>
    <xdr:grpSp>
      <xdr:nvGrpSpPr>
        <xdr:cNvPr id="4" name="Group 3">
          <a:extLst>
            <a:ext uri="{FF2B5EF4-FFF2-40B4-BE49-F238E27FC236}">
              <a16:creationId xmlns:a16="http://schemas.microsoft.com/office/drawing/2014/main" id="{00000000-0008-0000-0700-000004000000}"/>
            </a:ext>
          </a:extLst>
        </xdr:cNvPr>
        <xdr:cNvGrpSpPr/>
      </xdr:nvGrpSpPr>
      <xdr:grpSpPr>
        <a:xfrm>
          <a:off x="834278" y="0"/>
          <a:ext cx="7920878" cy="1191184"/>
          <a:chOff x="390525" y="66676"/>
          <a:chExt cx="6896100" cy="1190624"/>
        </a:xfrm>
      </xdr:grpSpPr>
      <xdr:pic>
        <xdr:nvPicPr>
          <xdr:cNvPr id="6" name="Picture 5">
            <a:extLst>
              <a:ext uri="{FF2B5EF4-FFF2-40B4-BE49-F238E27FC236}">
                <a16:creationId xmlns:a16="http://schemas.microsoft.com/office/drawing/2014/main" id="{00000000-0008-0000-0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xdr:from>
      <xdr:col>1</xdr:col>
      <xdr:colOff>142875</xdr:colOff>
      <xdr:row>0</xdr:row>
      <xdr:rowOff>66676</xdr:rowOff>
    </xdr:from>
    <xdr:to>
      <xdr:col>5</xdr:col>
      <xdr:colOff>419100</xdr:colOff>
      <xdr:row>3</xdr:row>
      <xdr:rowOff>295275</xdr:rowOff>
    </xdr:to>
    <xdr:grpSp>
      <xdr:nvGrpSpPr>
        <xdr:cNvPr id="3" name="Group 2">
          <a:extLst>
            <a:ext uri="{FF2B5EF4-FFF2-40B4-BE49-F238E27FC236}">
              <a16:creationId xmlns:a16="http://schemas.microsoft.com/office/drawing/2014/main" id="{00000000-0008-0000-0A00-000003000000}"/>
            </a:ext>
          </a:extLst>
        </xdr:cNvPr>
        <xdr:cNvGrpSpPr/>
      </xdr:nvGrpSpPr>
      <xdr:grpSpPr>
        <a:xfrm>
          <a:off x="428625" y="66676"/>
          <a:ext cx="7839075" cy="1190624"/>
          <a:chOff x="390525" y="66676"/>
          <a:chExt cx="6896100" cy="1190624"/>
        </a:xfrm>
      </xdr:grpSpPr>
      <xdr:pic>
        <xdr:nvPicPr>
          <xdr:cNvPr id="5" name="Picture 4">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0525" y="95250"/>
            <a:ext cx="1571796"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2"/>
          <a:stretch>
            <a:fillRect/>
          </a:stretch>
        </xdr:blipFill>
        <xdr:spPr>
          <a:xfrm>
            <a:off x="2038351" y="66676"/>
            <a:ext cx="5248274" cy="967630"/>
          </a:xfrm>
          <a:prstGeom prst="rect">
            <a:avLst/>
          </a:prstGeom>
        </xdr:spPr>
      </xdr:pic>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228600</xdr:colOff>
      <xdr:row>0</xdr:row>
      <xdr:rowOff>0</xdr:rowOff>
    </xdr:from>
    <xdr:to>
      <xdr:col>6</xdr:col>
      <xdr:colOff>672587</xdr:colOff>
      <xdr:row>3</xdr:row>
      <xdr:rowOff>276225</xdr:rowOff>
    </xdr:to>
    <xdr:grpSp>
      <xdr:nvGrpSpPr>
        <xdr:cNvPr id="3" name="Group 2">
          <a:extLst>
            <a:ext uri="{FF2B5EF4-FFF2-40B4-BE49-F238E27FC236}">
              <a16:creationId xmlns:a16="http://schemas.microsoft.com/office/drawing/2014/main" id="{00000000-0008-0000-0B00-000003000000}"/>
            </a:ext>
          </a:extLst>
        </xdr:cNvPr>
        <xdr:cNvGrpSpPr/>
      </xdr:nvGrpSpPr>
      <xdr:grpSpPr>
        <a:xfrm>
          <a:off x="514350" y="0"/>
          <a:ext cx="8330687" cy="1104900"/>
          <a:chOff x="419100" y="57150"/>
          <a:chExt cx="8330687" cy="1104900"/>
        </a:xfrm>
      </xdr:grpSpPr>
      <xdr:pic>
        <xdr:nvPicPr>
          <xdr:cNvPr id="4" name="Picture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1"/>
          <a:stretch>
            <a:fillRect/>
          </a:stretch>
        </xdr:blipFill>
        <xdr:spPr>
          <a:xfrm>
            <a:off x="2638424" y="57150"/>
            <a:ext cx="6111363" cy="971550"/>
          </a:xfrm>
          <a:prstGeom prst="rect">
            <a:avLst/>
          </a:prstGeom>
        </xdr:spPr>
      </xdr:pic>
      <xdr:pic>
        <xdr:nvPicPr>
          <xdr:cNvPr id="5" name="Picture 4">
            <a:extLst>
              <a:ext uri="{FF2B5EF4-FFF2-40B4-BE49-F238E27FC236}">
                <a16:creationId xmlns:a16="http://schemas.microsoft.com/office/drawing/2014/main" id="{00000000-0008-0000-0B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0.xml><?xml version="1.0" encoding="utf-8"?>
<xdr:wsDr xmlns:xdr="http://schemas.openxmlformats.org/drawingml/2006/spreadsheetDrawing" xmlns:a="http://schemas.openxmlformats.org/drawingml/2006/main">
  <xdr:twoCellAnchor>
    <xdr:from>
      <xdr:col>1</xdr:col>
      <xdr:colOff>304800</xdr:colOff>
      <xdr:row>0</xdr:row>
      <xdr:rowOff>0</xdr:rowOff>
    </xdr:from>
    <xdr:to>
      <xdr:col>6</xdr:col>
      <xdr:colOff>377312</xdr:colOff>
      <xdr:row>3</xdr:row>
      <xdr:rowOff>276225</xdr:rowOff>
    </xdr:to>
    <xdr:grpSp>
      <xdr:nvGrpSpPr>
        <xdr:cNvPr id="3" name="Group 2">
          <a:extLst>
            <a:ext uri="{FF2B5EF4-FFF2-40B4-BE49-F238E27FC236}">
              <a16:creationId xmlns:a16="http://schemas.microsoft.com/office/drawing/2014/main" id="{00000000-0008-0000-0C00-000003000000}"/>
            </a:ext>
          </a:extLst>
        </xdr:cNvPr>
        <xdr:cNvGrpSpPr/>
      </xdr:nvGrpSpPr>
      <xdr:grpSpPr>
        <a:xfrm>
          <a:off x="590550" y="0"/>
          <a:ext cx="8330687" cy="1104900"/>
          <a:chOff x="419100" y="57150"/>
          <a:chExt cx="8330687" cy="1104900"/>
        </a:xfrm>
      </xdr:grpSpPr>
      <xdr:pic>
        <xdr:nvPicPr>
          <xdr:cNvPr id="4" name="Picture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1"/>
          <a:stretch>
            <a:fillRect/>
          </a:stretch>
        </xdr:blipFill>
        <xdr:spPr>
          <a:xfrm>
            <a:off x="2638424" y="57150"/>
            <a:ext cx="6111363" cy="971550"/>
          </a:xfrm>
          <a:prstGeom prst="rect">
            <a:avLst/>
          </a:prstGeom>
        </xdr:spPr>
      </xdr:pic>
      <xdr:pic>
        <xdr:nvPicPr>
          <xdr:cNvPr id="5" name="Picture 4">
            <a:extLst>
              <a:ext uri="{FF2B5EF4-FFF2-40B4-BE49-F238E27FC236}">
                <a16:creationId xmlns:a16="http://schemas.microsoft.com/office/drawing/2014/main" id="{00000000-0008-0000-0C00-000005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219075</xdr:colOff>
      <xdr:row>0</xdr:row>
      <xdr:rowOff>0</xdr:rowOff>
    </xdr:from>
    <xdr:to>
      <xdr:col>6</xdr:col>
      <xdr:colOff>663062</xdr:colOff>
      <xdr:row>3</xdr:row>
      <xdr:rowOff>276225</xdr:rowOff>
    </xdr:to>
    <xdr:grpSp>
      <xdr:nvGrpSpPr>
        <xdr:cNvPr id="6" name="Group 5">
          <a:extLst>
            <a:ext uri="{FF2B5EF4-FFF2-40B4-BE49-F238E27FC236}">
              <a16:creationId xmlns:a16="http://schemas.microsoft.com/office/drawing/2014/main" id="{00000000-0008-0000-0D00-000006000000}"/>
            </a:ext>
          </a:extLst>
        </xdr:cNvPr>
        <xdr:cNvGrpSpPr/>
      </xdr:nvGrpSpPr>
      <xdr:grpSpPr>
        <a:xfrm>
          <a:off x="504825" y="0"/>
          <a:ext cx="8330687" cy="1104900"/>
          <a:chOff x="419100" y="57150"/>
          <a:chExt cx="8330687" cy="1104900"/>
        </a:xfrm>
      </xdr:grpSpPr>
      <xdr:pic>
        <xdr:nvPicPr>
          <xdr:cNvPr id="7" name="Picture 6">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1"/>
          <a:stretch>
            <a:fillRect/>
          </a:stretch>
        </xdr:blipFill>
        <xdr:spPr>
          <a:xfrm>
            <a:off x="2638424" y="57150"/>
            <a:ext cx="6111363" cy="971550"/>
          </a:xfrm>
          <a:prstGeom prst="rect">
            <a:avLst/>
          </a:prstGeom>
        </xdr:spPr>
      </xdr:pic>
      <xdr:pic>
        <xdr:nvPicPr>
          <xdr:cNvPr id="8" name="Picture 7">
            <a:extLst>
              <a:ext uri="{FF2B5EF4-FFF2-40B4-BE49-F238E27FC236}">
                <a16:creationId xmlns:a16="http://schemas.microsoft.com/office/drawing/2014/main" id="{00000000-0008-0000-0D00-000008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180975</xdr:colOff>
      <xdr:row>0</xdr:row>
      <xdr:rowOff>57150</xdr:rowOff>
    </xdr:from>
    <xdr:to>
      <xdr:col>5</xdr:col>
      <xdr:colOff>691637</xdr:colOff>
      <xdr:row>3</xdr:row>
      <xdr:rowOff>333375</xdr:rowOff>
    </xdr:to>
    <xdr:grpSp>
      <xdr:nvGrpSpPr>
        <xdr:cNvPr id="13" name="Group 12">
          <a:extLst>
            <a:ext uri="{FF2B5EF4-FFF2-40B4-BE49-F238E27FC236}">
              <a16:creationId xmlns:a16="http://schemas.microsoft.com/office/drawing/2014/main" id="{00000000-0008-0000-0E00-00000D000000}"/>
            </a:ext>
          </a:extLst>
        </xdr:cNvPr>
        <xdr:cNvGrpSpPr/>
      </xdr:nvGrpSpPr>
      <xdr:grpSpPr>
        <a:xfrm>
          <a:off x="466725" y="57150"/>
          <a:ext cx="8340212" cy="1104900"/>
          <a:chOff x="419100" y="57150"/>
          <a:chExt cx="8340212" cy="1104900"/>
        </a:xfrm>
      </xdr:grpSpPr>
      <xdr:pic>
        <xdr:nvPicPr>
          <xdr:cNvPr id="12" name="Picture 11">
            <a:extLst>
              <a:ext uri="{FF2B5EF4-FFF2-40B4-BE49-F238E27FC236}">
                <a16:creationId xmlns:a16="http://schemas.microsoft.com/office/drawing/2014/main" id="{00000000-0008-0000-0E00-00000C000000}"/>
              </a:ext>
            </a:extLst>
          </xdr:cNvPr>
          <xdr:cNvPicPr>
            <a:picLocks noChangeAspect="1"/>
          </xdr:cNvPicPr>
        </xdr:nvPicPr>
        <xdr:blipFill>
          <a:blip xmlns:r="http://schemas.openxmlformats.org/officeDocument/2006/relationships" r:embed="rId1"/>
          <a:stretch>
            <a:fillRect/>
          </a:stretch>
        </xdr:blipFill>
        <xdr:spPr>
          <a:xfrm>
            <a:off x="2647949" y="57150"/>
            <a:ext cx="6111363" cy="971550"/>
          </a:xfrm>
          <a:prstGeom prst="rect">
            <a:avLst/>
          </a:prstGeom>
        </xdr:spPr>
      </xdr:pic>
      <xdr:pic>
        <xdr:nvPicPr>
          <xdr:cNvPr id="3" name="Picture 2">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9100" y="133350"/>
            <a:ext cx="179070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6.xml"/><Relationship Id="rId3" Type="http://schemas.openxmlformats.org/officeDocument/2006/relationships/vmlDrawing" Target="../drawings/vmlDrawing3.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ontrol" Target="../activeX/activeX5.xml"/><Relationship Id="rId5" Type="http://schemas.openxmlformats.org/officeDocument/2006/relationships/image" Target="../media/image7.emf"/><Relationship Id="rId4" Type="http://schemas.openxmlformats.org/officeDocument/2006/relationships/control" Target="../activeX/activeX4.xml"/><Relationship Id="rId9" Type="http://schemas.openxmlformats.org/officeDocument/2006/relationships/image" Target="../media/image9.emf"/></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11.emf"/><Relationship Id="rId2" Type="http://schemas.openxmlformats.org/officeDocument/2006/relationships/drawing" Target="../drawings/drawing5.xml"/><Relationship Id="rId1" Type="http://schemas.openxmlformats.org/officeDocument/2006/relationships/printerSettings" Target="../printerSettings/printerSettings6.bin"/><Relationship Id="rId6" Type="http://schemas.openxmlformats.org/officeDocument/2006/relationships/control" Target="../activeX/activeX8.xml"/><Relationship Id="rId5" Type="http://schemas.openxmlformats.org/officeDocument/2006/relationships/image" Target="../media/image10.emf"/><Relationship Id="rId4" Type="http://schemas.openxmlformats.org/officeDocument/2006/relationships/control" Target="../activeX/activeX7.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13.emf"/><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ntrol" Target="../activeX/activeX10.xml"/><Relationship Id="rId5" Type="http://schemas.openxmlformats.org/officeDocument/2006/relationships/image" Target="../media/image12.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image" Target="../media/image15.emf"/><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ntrol" Target="../activeX/activeX12.xml"/><Relationship Id="rId5" Type="http://schemas.openxmlformats.org/officeDocument/2006/relationships/image" Target="../media/image14.emf"/><Relationship Id="rId4" Type="http://schemas.openxmlformats.org/officeDocument/2006/relationships/control" Target="../activeX/activeX11.xml"/></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M3270"/>
  <sheetViews>
    <sheetView zoomScale="85" zoomScaleNormal="85" workbookViewId="0">
      <pane xSplit="4" ySplit="2" topLeftCell="E2793" activePane="bottomRight" state="frozen"/>
      <selection pane="topRight" activeCell="E1" sqref="E1"/>
      <selection pane="bottomLeft" activeCell="A3" sqref="A3"/>
      <selection pane="bottomRight" activeCell="H2805" sqref="H2805"/>
    </sheetView>
  </sheetViews>
  <sheetFormatPr defaultColWidth="9.125" defaultRowHeight="14.25"/>
  <cols>
    <col min="1" max="1" width="8.75" style="67"/>
    <col min="2" max="2" width="7.25" style="63" customWidth="1"/>
    <col min="3" max="3" width="19.75" style="63" customWidth="1"/>
    <col min="4" max="4" width="16.875" style="63" customWidth="1"/>
    <col min="5" max="5" width="30.875" style="63" customWidth="1"/>
    <col min="6" max="6" width="13.625" style="63" customWidth="1"/>
    <col min="7" max="7" width="16" style="65" customWidth="1"/>
    <col min="8" max="8" width="34.375" style="63" customWidth="1"/>
    <col min="9" max="9" width="30.625" style="63" customWidth="1"/>
    <col min="10" max="10" width="28.125" style="63" customWidth="1"/>
    <col min="11" max="11" width="26.375" style="63" customWidth="1"/>
    <col min="12" max="12" width="25.375" style="63" customWidth="1"/>
    <col min="13" max="16" width="20" style="63" customWidth="1"/>
    <col min="17" max="16384" width="9.125" style="63"/>
  </cols>
  <sheetData>
    <row r="1" spans="1:13" ht="20.25" customHeight="1">
      <c r="A1" s="221" t="s">
        <v>60</v>
      </c>
      <c r="B1" s="64" t="s">
        <v>61</v>
      </c>
    </row>
    <row r="2" spans="1:13" s="66" customFormat="1" ht="33.75" customHeight="1">
      <c r="A2" s="221"/>
      <c r="B2" s="159" t="s">
        <v>255</v>
      </c>
      <c r="C2" s="159" t="s">
        <v>256</v>
      </c>
      <c r="D2" s="160" t="s">
        <v>1</v>
      </c>
      <c r="E2" s="159" t="s">
        <v>257</v>
      </c>
      <c r="F2" s="159" t="s">
        <v>2</v>
      </c>
      <c r="G2" s="161" t="s">
        <v>3</v>
      </c>
      <c r="H2" s="161" t="s">
        <v>258</v>
      </c>
      <c r="I2" s="162" t="s">
        <v>259</v>
      </c>
      <c r="J2" s="163" t="s">
        <v>55</v>
      </c>
      <c r="K2" s="163" t="s">
        <v>56</v>
      </c>
      <c r="L2" s="163" t="s">
        <v>57</v>
      </c>
      <c r="M2" s="163" t="s">
        <v>58</v>
      </c>
    </row>
    <row r="3" spans="1:13" ht="45">
      <c r="A3" s="67">
        <f t="shared" ref="A3:A66" si="0">IFERROR(VALUE(RIGHT(C3,4)),"")</f>
        <v>1</v>
      </c>
      <c r="B3" s="164">
        <v>1</v>
      </c>
      <c r="C3" s="193" t="s">
        <v>1296</v>
      </c>
      <c r="D3" s="195" t="s">
        <v>4564</v>
      </c>
      <c r="E3" s="193" t="s">
        <v>7782</v>
      </c>
      <c r="F3" s="193" t="s">
        <v>59</v>
      </c>
      <c r="G3" s="195" t="s">
        <v>9951</v>
      </c>
      <c r="H3" s="166" t="s">
        <v>13436</v>
      </c>
      <c r="I3" s="193" t="s">
        <v>12808</v>
      </c>
      <c r="J3" s="193" t="s">
        <v>11992</v>
      </c>
      <c r="K3" s="170"/>
      <c r="L3" s="193"/>
      <c r="M3" s="165"/>
    </row>
    <row r="4" spans="1:13" ht="30">
      <c r="A4" s="67">
        <f t="shared" si="0"/>
        <v>2</v>
      </c>
      <c r="B4" s="164">
        <v>2</v>
      </c>
      <c r="C4" s="193" t="s">
        <v>1297</v>
      </c>
      <c r="D4" s="195" t="s">
        <v>4565</v>
      </c>
      <c r="E4" s="193" t="s">
        <v>579</v>
      </c>
      <c r="F4" s="193" t="s">
        <v>59</v>
      </c>
      <c r="G4" s="195" t="s">
        <v>9952</v>
      </c>
      <c r="H4" s="166" t="s">
        <v>13436</v>
      </c>
      <c r="I4" s="193" t="s">
        <v>1250</v>
      </c>
      <c r="J4" s="193" t="s">
        <v>11993</v>
      </c>
      <c r="K4" s="170"/>
      <c r="L4" s="193"/>
      <c r="M4" s="165"/>
    </row>
    <row r="5" spans="1:13" ht="30">
      <c r="A5" s="67">
        <f t="shared" si="0"/>
        <v>3</v>
      </c>
      <c r="B5" s="164">
        <v>3</v>
      </c>
      <c r="C5" s="193" t="s">
        <v>1298</v>
      </c>
      <c r="D5" s="195" t="s">
        <v>4566</v>
      </c>
      <c r="E5" s="193" t="s">
        <v>7783</v>
      </c>
      <c r="F5" s="193" t="s">
        <v>59</v>
      </c>
      <c r="G5" s="195" t="s">
        <v>9953</v>
      </c>
      <c r="H5" s="166" t="s">
        <v>13436</v>
      </c>
      <c r="I5" s="193" t="s">
        <v>12809</v>
      </c>
      <c r="J5" s="193" t="s">
        <v>11994</v>
      </c>
      <c r="K5" s="170"/>
      <c r="L5" s="193"/>
      <c r="M5" s="165"/>
    </row>
    <row r="6" spans="1:13" ht="15.75">
      <c r="A6" s="67">
        <f t="shared" si="0"/>
        <v>4</v>
      </c>
      <c r="B6" s="164">
        <v>4</v>
      </c>
      <c r="C6" s="193" t="s">
        <v>1299</v>
      </c>
      <c r="D6" s="195" t="s">
        <v>4567</v>
      </c>
      <c r="E6" s="193" t="s">
        <v>7784</v>
      </c>
      <c r="F6" s="193" t="s">
        <v>59</v>
      </c>
      <c r="G6" s="195" t="s">
        <v>9954</v>
      </c>
      <c r="H6" s="166" t="s">
        <v>13436</v>
      </c>
      <c r="I6" s="193" t="s">
        <v>12810</v>
      </c>
      <c r="J6" s="219" t="s">
        <v>146</v>
      </c>
      <c r="K6" s="170"/>
      <c r="L6" s="193"/>
      <c r="M6" s="165"/>
    </row>
    <row r="7" spans="1:13" ht="15.75">
      <c r="A7" s="67">
        <f t="shared" si="0"/>
        <v>5</v>
      </c>
      <c r="B7" s="164">
        <v>5</v>
      </c>
      <c r="C7" s="193" t="s">
        <v>1300</v>
      </c>
      <c r="D7" s="196" t="s">
        <v>4568</v>
      </c>
      <c r="E7" s="193" t="s">
        <v>585</v>
      </c>
      <c r="F7" s="193" t="s">
        <v>59</v>
      </c>
      <c r="G7" s="195" t="s">
        <v>9955</v>
      </c>
      <c r="H7" s="166" t="s">
        <v>13436</v>
      </c>
      <c r="I7" s="193" t="s">
        <v>1248</v>
      </c>
      <c r="J7" s="193" t="s">
        <v>11995</v>
      </c>
      <c r="K7" s="170"/>
      <c r="L7" s="193"/>
      <c r="M7" s="165"/>
    </row>
    <row r="8" spans="1:13" ht="15.75">
      <c r="A8" s="67">
        <f t="shared" si="0"/>
        <v>6</v>
      </c>
      <c r="B8" s="164">
        <v>6</v>
      </c>
      <c r="C8" s="193" t="s">
        <v>1301</v>
      </c>
      <c r="D8" s="195" t="s">
        <v>4569</v>
      </c>
      <c r="E8" s="193" t="s">
        <v>7785</v>
      </c>
      <c r="F8" s="193" t="s">
        <v>59</v>
      </c>
      <c r="G8" s="195" t="s">
        <v>9956</v>
      </c>
      <c r="H8" s="166" t="s">
        <v>13436</v>
      </c>
      <c r="I8" s="193" t="s">
        <v>1250</v>
      </c>
      <c r="J8" s="193" t="s">
        <v>146</v>
      </c>
      <c r="K8" s="170"/>
      <c r="L8" s="193"/>
      <c r="M8" s="165"/>
    </row>
    <row r="9" spans="1:13" ht="15.75">
      <c r="A9" s="67">
        <f t="shared" si="0"/>
        <v>7</v>
      </c>
      <c r="B9" s="164">
        <v>7</v>
      </c>
      <c r="C9" s="193" t="s">
        <v>1302</v>
      </c>
      <c r="D9" s="196" t="s">
        <v>4570</v>
      </c>
      <c r="E9" s="193" t="s">
        <v>7786</v>
      </c>
      <c r="F9" s="193" t="s">
        <v>59</v>
      </c>
      <c r="G9" s="195" t="s">
        <v>9957</v>
      </c>
      <c r="H9" s="166" t="s">
        <v>13436</v>
      </c>
      <c r="I9" s="193" t="s">
        <v>12811</v>
      </c>
      <c r="J9" s="193"/>
      <c r="K9" s="170"/>
      <c r="L9" s="193"/>
      <c r="M9" s="165"/>
    </row>
    <row r="10" spans="1:13" ht="30">
      <c r="A10" s="67">
        <f t="shared" si="0"/>
        <v>8</v>
      </c>
      <c r="B10" s="164">
        <v>8</v>
      </c>
      <c r="C10" s="193" t="s">
        <v>1303</v>
      </c>
      <c r="D10" s="195" t="s">
        <v>4571</v>
      </c>
      <c r="E10" s="193" t="s">
        <v>7787</v>
      </c>
      <c r="F10" s="193" t="s">
        <v>114</v>
      </c>
      <c r="G10" s="195" t="s">
        <v>9958</v>
      </c>
      <c r="H10" s="166" t="s">
        <v>13436</v>
      </c>
      <c r="I10" s="193" t="s">
        <v>12812</v>
      </c>
      <c r="J10" s="219" t="s">
        <v>11996</v>
      </c>
      <c r="K10" s="170"/>
      <c r="L10" s="193" t="s">
        <v>12841</v>
      </c>
      <c r="M10" s="165"/>
    </row>
    <row r="11" spans="1:13" ht="90">
      <c r="A11" s="67">
        <f t="shared" si="0"/>
        <v>9</v>
      </c>
      <c r="B11" s="164">
        <v>9</v>
      </c>
      <c r="C11" s="193" t="s">
        <v>1304</v>
      </c>
      <c r="D11" s="195" t="s">
        <v>4572</v>
      </c>
      <c r="E11" s="193" t="s">
        <v>7788</v>
      </c>
      <c r="F11" s="193" t="s">
        <v>59</v>
      </c>
      <c r="G11" s="195" t="s">
        <v>9959</v>
      </c>
      <c r="H11" s="166" t="s">
        <v>13436</v>
      </c>
      <c r="I11" s="193" t="s">
        <v>12813</v>
      </c>
      <c r="J11" s="193" t="s">
        <v>11997</v>
      </c>
      <c r="K11" s="170"/>
      <c r="L11" s="193"/>
      <c r="M11" s="165"/>
    </row>
    <row r="12" spans="1:13" ht="15.75">
      <c r="A12" s="67">
        <f t="shared" si="0"/>
        <v>10</v>
      </c>
      <c r="B12" s="164">
        <v>10</v>
      </c>
      <c r="C12" s="193" t="s">
        <v>1305</v>
      </c>
      <c r="D12" s="195" t="s">
        <v>4573</v>
      </c>
      <c r="E12" s="193" t="s">
        <v>7789</v>
      </c>
      <c r="F12" s="193" t="s">
        <v>59</v>
      </c>
      <c r="G12" s="195" t="s">
        <v>9960</v>
      </c>
      <c r="H12" s="166" t="s">
        <v>13436</v>
      </c>
      <c r="I12" s="193" t="s">
        <v>1249</v>
      </c>
      <c r="J12" s="219" t="s">
        <v>164</v>
      </c>
      <c r="K12" s="170"/>
      <c r="L12" s="193"/>
      <c r="M12" s="165"/>
    </row>
    <row r="13" spans="1:13" ht="15.75">
      <c r="A13" s="67">
        <f t="shared" si="0"/>
        <v>11</v>
      </c>
      <c r="B13" s="164">
        <v>11</v>
      </c>
      <c r="C13" s="193" t="s">
        <v>1306</v>
      </c>
      <c r="D13" s="196" t="s">
        <v>4574</v>
      </c>
      <c r="E13" s="193" t="s">
        <v>7790</v>
      </c>
      <c r="F13" s="193" t="s">
        <v>59</v>
      </c>
      <c r="G13" s="195" t="s">
        <v>9961</v>
      </c>
      <c r="H13" s="166" t="s">
        <v>13436</v>
      </c>
      <c r="I13" s="193" t="s">
        <v>12814</v>
      </c>
      <c r="J13" s="219" t="s">
        <v>148</v>
      </c>
      <c r="K13" s="170"/>
      <c r="L13" s="193"/>
      <c r="M13" s="165"/>
    </row>
    <row r="14" spans="1:13" ht="30">
      <c r="A14" s="67">
        <f t="shared" si="0"/>
        <v>12</v>
      </c>
      <c r="B14" s="164">
        <v>12</v>
      </c>
      <c r="C14" s="193" t="s">
        <v>1307</v>
      </c>
      <c r="D14" s="195" t="s">
        <v>4575</v>
      </c>
      <c r="E14" s="193" t="s">
        <v>7791</v>
      </c>
      <c r="F14" s="193" t="s">
        <v>114</v>
      </c>
      <c r="G14" s="195" t="s">
        <v>9962</v>
      </c>
      <c r="H14" s="166" t="s">
        <v>13436</v>
      </c>
      <c r="I14" s="193" t="s">
        <v>12815</v>
      </c>
      <c r="J14" s="193" t="s">
        <v>146</v>
      </c>
      <c r="K14" s="170"/>
      <c r="L14" s="193" t="s">
        <v>12842</v>
      </c>
      <c r="M14" s="165"/>
    </row>
    <row r="15" spans="1:13" ht="15.75">
      <c r="A15" s="67">
        <f t="shared" si="0"/>
        <v>13</v>
      </c>
      <c r="B15" s="164">
        <v>13</v>
      </c>
      <c r="C15" s="193" t="s">
        <v>1308</v>
      </c>
      <c r="D15" s="197" t="s">
        <v>4576</v>
      </c>
      <c r="E15" s="193" t="s">
        <v>7792</v>
      </c>
      <c r="F15" s="193" t="s">
        <v>59</v>
      </c>
      <c r="G15" s="195" t="s">
        <v>9963</v>
      </c>
      <c r="H15" s="166" t="s">
        <v>13436</v>
      </c>
      <c r="I15" s="193" t="s">
        <v>12816</v>
      </c>
      <c r="J15" s="193" t="s">
        <v>11998</v>
      </c>
      <c r="K15" s="170"/>
      <c r="L15" s="193"/>
      <c r="M15" s="165"/>
    </row>
    <row r="16" spans="1:13" ht="15.75">
      <c r="A16" s="67">
        <f t="shared" si="0"/>
        <v>14</v>
      </c>
      <c r="B16" s="164">
        <v>14</v>
      </c>
      <c r="C16" s="193" t="s">
        <v>1309</v>
      </c>
      <c r="D16" s="195" t="s">
        <v>4577</v>
      </c>
      <c r="E16" s="193" t="s">
        <v>7793</v>
      </c>
      <c r="F16" s="193" t="s">
        <v>59</v>
      </c>
      <c r="G16" s="195" t="s">
        <v>9964</v>
      </c>
      <c r="H16" s="166" t="s">
        <v>13436</v>
      </c>
      <c r="I16" s="193" t="s">
        <v>12817</v>
      </c>
      <c r="J16" s="193" t="s">
        <v>147</v>
      </c>
      <c r="K16" s="170"/>
      <c r="L16" s="193"/>
      <c r="M16" s="165"/>
    </row>
    <row r="17" spans="1:13" ht="30">
      <c r="A17" s="67">
        <f t="shared" si="0"/>
        <v>15</v>
      </c>
      <c r="B17" s="164">
        <v>15</v>
      </c>
      <c r="C17" s="193" t="s">
        <v>1310</v>
      </c>
      <c r="D17" s="195" t="s">
        <v>4578</v>
      </c>
      <c r="E17" s="193" t="s">
        <v>7794</v>
      </c>
      <c r="F17" s="193" t="s">
        <v>59</v>
      </c>
      <c r="G17" s="195" t="s">
        <v>9965</v>
      </c>
      <c r="H17" s="166" t="s">
        <v>13436</v>
      </c>
      <c r="I17" s="193" t="s">
        <v>12818</v>
      </c>
      <c r="J17" s="193" t="s">
        <v>11999</v>
      </c>
      <c r="K17" s="170"/>
      <c r="L17" s="193"/>
      <c r="M17" s="165"/>
    </row>
    <row r="18" spans="1:13" ht="15.75">
      <c r="A18" s="67">
        <f t="shared" si="0"/>
        <v>16</v>
      </c>
      <c r="B18" s="164">
        <v>16</v>
      </c>
      <c r="C18" s="193" t="s">
        <v>1311</v>
      </c>
      <c r="D18" s="195" t="s">
        <v>4579</v>
      </c>
      <c r="E18" s="193" t="s">
        <v>7795</v>
      </c>
      <c r="F18" s="193" t="s">
        <v>114</v>
      </c>
      <c r="G18" s="195" t="s">
        <v>9966</v>
      </c>
      <c r="H18" s="166" t="s">
        <v>13436</v>
      </c>
      <c r="I18" s="193" t="s">
        <v>12819</v>
      </c>
      <c r="J18" s="193" t="s">
        <v>146</v>
      </c>
      <c r="K18" s="170"/>
      <c r="L18" s="193" t="s">
        <v>146</v>
      </c>
      <c r="M18" s="165"/>
    </row>
    <row r="19" spans="1:13" ht="15.75">
      <c r="A19" s="67">
        <f t="shared" si="0"/>
        <v>17</v>
      </c>
      <c r="B19" s="164">
        <v>17</v>
      </c>
      <c r="C19" s="193" t="s">
        <v>1312</v>
      </c>
      <c r="D19" s="195" t="s">
        <v>4580</v>
      </c>
      <c r="E19" s="193" t="s">
        <v>208</v>
      </c>
      <c r="F19" s="193" t="s">
        <v>114</v>
      </c>
      <c r="G19" s="195" t="s">
        <v>9967</v>
      </c>
      <c r="H19" s="166" t="s">
        <v>13436</v>
      </c>
      <c r="I19" s="193" t="s">
        <v>12818</v>
      </c>
      <c r="J19" s="193" t="s">
        <v>1252</v>
      </c>
      <c r="K19" s="170"/>
      <c r="L19" s="193" t="s">
        <v>146</v>
      </c>
      <c r="M19" s="165"/>
    </row>
    <row r="20" spans="1:13" ht="15.75">
      <c r="A20" s="67">
        <f t="shared" si="0"/>
        <v>18</v>
      </c>
      <c r="B20" s="164">
        <v>18</v>
      </c>
      <c r="C20" s="193" t="s">
        <v>1313</v>
      </c>
      <c r="D20" s="195" t="s">
        <v>4581</v>
      </c>
      <c r="E20" s="193" t="s">
        <v>7796</v>
      </c>
      <c r="F20" s="193" t="s">
        <v>59</v>
      </c>
      <c r="G20" s="195" t="s">
        <v>9968</v>
      </c>
      <c r="H20" s="166" t="s">
        <v>13436</v>
      </c>
      <c r="I20" s="193" t="s">
        <v>12820</v>
      </c>
      <c r="J20" s="193" t="s">
        <v>146</v>
      </c>
      <c r="K20" s="170"/>
      <c r="L20" s="193"/>
      <c r="M20" s="165"/>
    </row>
    <row r="21" spans="1:13" ht="30">
      <c r="A21" s="67">
        <f t="shared" si="0"/>
        <v>19</v>
      </c>
      <c r="B21" s="164">
        <v>19</v>
      </c>
      <c r="C21" s="193" t="s">
        <v>1314</v>
      </c>
      <c r="D21" s="195" t="s">
        <v>4582</v>
      </c>
      <c r="E21" s="193" t="s">
        <v>377</v>
      </c>
      <c r="F21" s="193" t="s">
        <v>59</v>
      </c>
      <c r="G21" s="195" t="s">
        <v>9969</v>
      </c>
      <c r="H21" s="166" t="s">
        <v>13436</v>
      </c>
      <c r="I21" s="193" t="s">
        <v>12821</v>
      </c>
      <c r="J21" s="219" t="s">
        <v>12000</v>
      </c>
      <c r="K21" s="170"/>
      <c r="L21" s="193"/>
      <c r="M21" s="165"/>
    </row>
    <row r="22" spans="1:13" ht="15.75">
      <c r="A22" s="67">
        <f t="shared" si="0"/>
        <v>20</v>
      </c>
      <c r="B22" s="164">
        <v>20</v>
      </c>
      <c r="C22" s="193" t="s">
        <v>1315</v>
      </c>
      <c r="D22" s="195" t="s">
        <v>4583</v>
      </c>
      <c r="E22" s="193" t="s">
        <v>7797</v>
      </c>
      <c r="F22" s="193" t="s">
        <v>59</v>
      </c>
      <c r="G22" s="195" t="s">
        <v>9970</v>
      </c>
      <c r="H22" s="166" t="s">
        <v>13436</v>
      </c>
      <c r="I22" s="193" t="s">
        <v>12808</v>
      </c>
      <c r="J22" s="193" t="s">
        <v>146</v>
      </c>
      <c r="K22" s="170"/>
      <c r="L22" s="193"/>
      <c r="M22" s="165"/>
    </row>
    <row r="23" spans="1:13" ht="75">
      <c r="A23" s="67">
        <f t="shared" si="0"/>
        <v>21</v>
      </c>
      <c r="B23" s="164">
        <v>21</v>
      </c>
      <c r="C23" s="193" t="s">
        <v>1316</v>
      </c>
      <c r="D23" s="195" t="s">
        <v>4584</v>
      </c>
      <c r="E23" s="193" t="s">
        <v>7798</v>
      </c>
      <c r="F23" s="193" t="s">
        <v>114</v>
      </c>
      <c r="G23" s="195" t="s">
        <v>9971</v>
      </c>
      <c r="H23" s="166" t="s">
        <v>13436</v>
      </c>
      <c r="I23" s="193" t="s">
        <v>12822</v>
      </c>
      <c r="J23" s="219" t="s">
        <v>146</v>
      </c>
      <c r="K23" s="170"/>
      <c r="L23" s="193" t="s">
        <v>12843</v>
      </c>
      <c r="M23" s="165"/>
    </row>
    <row r="24" spans="1:13" ht="30">
      <c r="A24" s="67">
        <f t="shared" si="0"/>
        <v>22</v>
      </c>
      <c r="B24" s="164">
        <v>22</v>
      </c>
      <c r="C24" s="193" t="s">
        <v>1317</v>
      </c>
      <c r="D24" s="195" t="s">
        <v>4585</v>
      </c>
      <c r="E24" s="193" t="s">
        <v>462</v>
      </c>
      <c r="F24" s="193" t="s">
        <v>114</v>
      </c>
      <c r="G24" s="195" t="s">
        <v>9972</v>
      </c>
      <c r="H24" s="166" t="s">
        <v>13436</v>
      </c>
      <c r="I24" s="193" t="s">
        <v>12814</v>
      </c>
      <c r="J24" s="193" t="s">
        <v>12001</v>
      </c>
      <c r="K24" s="170"/>
      <c r="L24" s="193" t="s">
        <v>146</v>
      </c>
      <c r="M24" s="165"/>
    </row>
    <row r="25" spans="1:13" ht="15.75">
      <c r="A25" s="67">
        <f t="shared" si="0"/>
        <v>23</v>
      </c>
      <c r="B25" s="164">
        <v>23</v>
      </c>
      <c r="C25" s="193" t="s">
        <v>1318</v>
      </c>
      <c r="D25" s="196" t="s">
        <v>4586</v>
      </c>
      <c r="E25" s="193" t="s">
        <v>7799</v>
      </c>
      <c r="F25" s="193" t="s">
        <v>59</v>
      </c>
      <c r="G25" s="195" t="s">
        <v>9973</v>
      </c>
      <c r="H25" s="166" t="s">
        <v>13436</v>
      </c>
      <c r="I25" s="193" t="s">
        <v>12823</v>
      </c>
      <c r="J25" s="219" t="s">
        <v>146</v>
      </c>
      <c r="K25" s="170"/>
      <c r="L25" s="193"/>
      <c r="M25" s="165"/>
    </row>
    <row r="26" spans="1:13" ht="60">
      <c r="A26" s="67">
        <f t="shared" si="0"/>
        <v>24</v>
      </c>
      <c r="B26" s="164">
        <v>24</v>
      </c>
      <c r="C26" s="193" t="s">
        <v>1319</v>
      </c>
      <c r="D26" s="195" t="s">
        <v>4587</v>
      </c>
      <c r="E26" s="193" t="s">
        <v>395</v>
      </c>
      <c r="F26" s="193" t="s">
        <v>114</v>
      </c>
      <c r="G26" s="195" t="s">
        <v>9974</v>
      </c>
      <c r="H26" s="166" t="s">
        <v>13436</v>
      </c>
      <c r="I26" s="193" t="s">
        <v>12824</v>
      </c>
      <c r="J26" s="193" t="s">
        <v>147</v>
      </c>
      <c r="K26" s="170"/>
      <c r="L26" s="193" t="s">
        <v>12844</v>
      </c>
      <c r="M26" s="165"/>
    </row>
    <row r="27" spans="1:13" ht="15.75">
      <c r="A27" s="67">
        <f t="shared" si="0"/>
        <v>25</v>
      </c>
      <c r="B27" s="164">
        <v>25</v>
      </c>
      <c r="C27" s="193" t="s">
        <v>1320</v>
      </c>
      <c r="D27" s="195" t="s">
        <v>4588</v>
      </c>
      <c r="E27" s="193" t="s">
        <v>7800</v>
      </c>
      <c r="F27" s="193" t="s">
        <v>114</v>
      </c>
      <c r="G27" s="195" t="s">
        <v>9975</v>
      </c>
      <c r="H27" s="166" t="s">
        <v>13436</v>
      </c>
      <c r="I27" s="193" t="s">
        <v>12824</v>
      </c>
      <c r="J27" s="193" t="s">
        <v>147</v>
      </c>
      <c r="K27" s="170"/>
      <c r="L27" s="193" t="s">
        <v>146</v>
      </c>
      <c r="M27" s="165"/>
    </row>
    <row r="28" spans="1:13" ht="60">
      <c r="A28" s="67">
        <f t="shared" si="0"/>
        <v>26</v>
      </c>
      <c r="B28" s="164">
        <v>26</v>
      </c>
      <c r="C28" s="193" t="s">
        <v>1321</v>
      </c>
      <c r="D28" s="195" t="s">
        <v>4589</v>
      </c>
      <c r="E28" s="193" t="s">
        <v>7801</v>
      </c>
      <c r="F28" s="193" t="s">
        <v>114</v>
      </c>
      <c r="G28" s="195" t="s">
        <v>9976</v>
      </c>
      <c r="H28" s="166" t="s">
        <v>13436</v>
      </c>
      <c r="I28" s="193" t="s">
        <v>12825</v>
      </c>
      <c r="J28" s="219" t="s">
        <v>12002</v>
      </c>
      <c r="K28" s="170"/>
      <c r="L28" s="193" t="s">
        <v>146</v>
      </c>
      <c r="M28" s="165"/>
    </row>
    <row r="29" spans="1:13" ht="15.75">
      <c r="A29" s="67">
        <f t="shared" si="0"/>
        <v>27</v>
      </c>
      <c r="B29" s="164">
        <v>27</v>
      </c>
      <c r="C29" s="193" t="s">
        <v>1322</v>
      </c>
      <c r="D29" s="195" t="s">
        <v>4590</v>
      </c>
      <c r="E29" s="193" t="s">
        <v>155</v>
      </c>
      <c r="F29" s="193" t="s">
        <v>114</v>
      </c>
      <c r="G29" s="195" t="s">
        <v>9977</v>
      </c>
      <c r="H29" s="166" t="s">
        <v>13436</v>
      </c>
      <c r="I29" s="193" t="s">
        <v>12826</v>
      </c>
      <c r="J29" s="193" t="s">
        <v>146</v>
      </c>
      <c r="K29" s="170"/>
      <c r="L29" s="193" t="s">
        <v>146</v>
      </c>
      <c r="M29" s="165"/>
    </row>
    <row r="30" spans="1:13" ht="15.75">
      <c r="A30" s="67">
        <f t="shared" si="0"/>
        <v>28</v>
      </c>
      <c r="B30" s="164">
        <v>28</v>
      </c>
      <c r="C30" s="193" t="s">
        <v>1323</v>
      </c>
      <c r="D30" s="195" t="s">
        <v>4591</v>
      </c>
      <c r="E30" s="193" t="s">
        <v>157</v>
      </c>
      <c r="F30" s="193" t="s">
        <v>114</v>
      </c>
      <c r="G30" s="195" t="s">
        <v>9978</v>
      </c>
      <c r="H30" s="166" t="s">
        <v>13436</v>
      </c>
      <c r="I30" s="193" t="s">
        <v>12814</v>
      </c>
      <c r="J30" s="219" t="s">
        <v>146</v>
      </c>
      <c r="K30" s="170"/>
      <c r="L30" s="193" t="s">
        <v>146</v>
      </c>
      <c r="M30" s="165"/>
    </row>
    <row r="31" spans="1:13" ht="45">
      <c r="A31" s="67">
        <f t="shared" si="0"/>
        <v>29</v>
      </c>
      <c r="B31" s="164">
        <v>29</v>
      </c>
      <c r="C31" s="193" t="s">
        <v>1324</v>
      </c>
      <c r="D31" s="195" t="s">
        <v>4592</v>
      </c>
      <c r="E31" s="193" t="s">
        <v>7802</v>
      </c>
      <c r="F31" s="193" t="s">
        <v>114</v>
      </c>
      <c r="G31" s="195" t="s">
        <v>9979</v>
      </c>
      <c r="H31" s="166" t="s">
        <v>13436</v>
      </c>
      <c r="I31" s="193" t="s">
        <v>12827</v>
      </c>
      <c r="J31" s="193" t="s">
        <v>12003</v>
      </c>
      <c r="K31" s="170"/>
      <c r="L31" s="193" t="s">
        <v>12845</v>
      </c>
      <c r="M31" s="165"/>
    </row>
    <row r="32" spans="1:13" ht="15.75">
      <c r="A32" s="67">
        <f t="shared" si="0"/>
        <v>30</v>
      </c>
      <c r="B32" s="164">
        <v>30</v>
      </c>
      <c r="C32" s="193" t="s">
        <v>1325</v>
      </c>
      <c r="D32" s="195" t="s">
        <v>4593</v>
      </c>
      <c r="E32" s="193" t="s">
        <v>7803</v>
      </c>
      <c r="F32" s="193" t="s">
        <v>114</v>
      </c>
      <c r="G32" s="195" t="s">
        <v>9980</v>
      </c>
      <c r="H32" s="166" t="s">
        <v>13436</v>
      </c>
      <c r="I32" s="193" t="s">
        <v>12814</v>
      </c>
      <c r="J32" s="219" t="s">
        <v>146</v>
      </c>
      <c r="K32" s="170"/>
      <c r="L32" s="193" t="s">
        <v>146</v>
      </c>
      <c r="M32" s="165"/>
    </row>
    <row r="33" spans="1:13" ht="15.75">
      <c r="A33" s="67">
        <f t="shared" si="0"/>
        <v>31</v>
      </c>
      <c r="B33" s="164">
        <v>31</v>
      </c>
      <c r="C33" s="193" t="s">
        <v>1326</v>
      </c>
      <c r="D33" s="195" t="s">
        <v>4594</v>
      </c>
      <c r="E33" s="193" t="s">
        <v>7804</v>
      </c>
      <c r="F33" s="193" t="s">
        <v>114</v>
      </c>
      <c r="G33" s="195" t="s">
        <v>9981</v>
      </c>
      <c r="H33" s="166" t="s">
        <v>13436</v>
      </c>
      <c r="I33" s="193" t="s">
        <v>12819</v>
      </c>
      <c r="J33" s="193" t="s">
        <v>146</v>
      </c>
      <c r="K33" s="170"/>
      <c r="L33" s="193" t="s">
        <v>146</v>
      </c>
      <c r="M33" s="165"/>
    </row>
    <row r="34" spans="1:13" ht="15.75">
      <c r="A34" s="67">
        <f t="shared" si="0"/>
        <v>32</v>
      </c>
      <c r="B34" s="164">
        <v>32</v>
      </c>
      <c r="C34" s="193" t="s">
        <v>1327</v>
      </c>
      <c r="D34" s="196" t="s">
        <v>4595</v>
      </c>
      <c r="E34" s="193" t="s">
        <v>7805</v>
      </c>
      <c r="F34" s="193" t="s">
        <v>59</v>
      </c>
      <c r="G34" s="195" t="s">
        <v>9982</v>
      </c>
      <c r="H34" s="166" t="s">
        <v>13436</v>
      </c>
      <c r="I34" s="193" t="s">
        <v>12814</v>
      </c>
      <c r="J34" s="193" t="s">
        <v>146</v>
      </c>
      <c r="K34" s="170"/>
      <c r="L34" s="193"/>
      <c r="M34" s="165"/>
    </row>
    <row r="35" spans="1:13" ht="15.75">
      <c r="A35" s="67">
        <f t="shared" si="0"/>
        <v>33</v>
      </c>
      <c r="B35" s="164">
        <v>33</v>
      </c>
      <c r="C35" s="193" t="s">
        <v>1328</v>
      </c>
      <c r="D35" s="195" t="s">
        <v>4596</v>
      </c>
      <c r="E35" s="193" t="s">
        <v>7806</v>
      </c>
      <c r="F35" s="193" t="s">
        <v>59</v>
      </c>
      <c r="G35" s="195" t="s">
        <v>9983</v>
      </c>
      <c r="H35" s="166" t="s">
        <v>13436</v>
      </c>
      <c r="I35" s="193" t="s">
        <v>12817</v>
      </c>
      <c r="J35" s="193" t="s">
        <v>146</v>
      </c>
      <c r="K35" s="170"/>
      <c r="L35" s="193"/>
      <c r="M35" s="165"/>
    </row>
    <row r="36" spans="1:13" ht="15.75">
      <c r="A36" s="67">
        <f t="shared" si="0"/>
        <v>34</v>
      </c>
      <c r="B36" s="164">
        <v>34</v>
      </c>
      <c r="C36" s="193" t="s">
        <v>1329</v>
      </c>
      <c r="D36" s="195" t="s">
        <v>4597</v>
      </c>
      <c r="E36" s="193" t="s">
        <v>7807</v>
      </c>
      <c r="F36" s="193" t="s">
        <v>114</v>
      </c>
      <c r="G36" s="195" t="s">
        <v>9984</v>
      </c>
      <c r="H36" s="166" t="s">
        <v>13436</v>
      </c>
      <c r="I36" s="193" t="s">
        <v>12824</v>
      </c>
      <c r="J36" s="193" t="s">
        <v>146</v>
      </c>
      <c r="K36" s="170"/>
      <c r="L36" s="193" t="s">
        <v>146</v>
      </c>
      <c r="M36" s="165"/>
    </row>
    <row r="37" spans="1:13" ht="30">
      <c r="A37" s="67">
        <f t="shared" si="0"/>
        <v>35</v>
      </c>
      <c r="B37" s="164">
        <v>35</v>
      </c>
      <c r="C37" s="193" t="s">
        <v>1330</v>
      </c>
      <c r="D37" s="195" t="s">
        <v>4598</v>
      </c>
      <c r="E37" s="193" t="s">
        <v>7808</v>
      </c>
      <c r="F37" s="193" t="s">
        <v>114</v>
      </c>
      <c r="G37" s="195" t="s">
        <v>9985</v>
      </c>
      <c r="H37" s="166" t="s">
        <v>13436</v>
      </c>
      <c r="I37" s="193" t="s">
        <v>12817</v>
      </c>
      <c r="J37" s="193" t="s">
        <v>12004</v>
      </c>
      <c r="K37" s="170"/>
      <c r="L37" s="193" t="s">
        <v>12846</v>
      </c>
      <c r="M37" s="165"/>
    </row>
    <row r="38" spans="1:13" ht="30">
      <c r="A38" s="67">
        <f t="shared" si="0"/>
        <v>36</v>
      </c>
      <c r="B38" s="164">
        <v>36</v>
      </c>
      <c r="C38" s="193" t="s">
        <v>1331</v>
      </c>
      <c r="D38" s="195" t="s">
        <v>4599</v>
      </c>
      <c r="E38" s="193" t="s">
        <v>622</v>
      </c>
      <c r="F38" s="193" t="s">
        <v>114</v>
      </c>
      <c r="G38" s="195" t="s">
        <v>9986</v>
      </c>
      <c r="H38" s="166" t="s">
        <v>13436</v>
      </c>
      <c r="I38" s="193" t="s">
        <v>12808</v>
      </c>
      <c r="J38" s="193" t="s">
        <v>12005</v>
      </c>
      <c r="K38" s="170"/>
      <c r="L38" s="193" t="s">
        <v>146</v>
      </c>
      <c r="M38" s="165"/>
    </row>
    <row r="39" spans="1:13" ht="15.75">
      <c r="A39" s="67">
        <f t="shared" si="0"/>
        <v>37</v>
      </c>
      <c r="B39" s="164">
        <v>37</v>
      </c>
      <c r="C39" s="193" t="s">
        <v>1332</v>
      </c>
      <c r="D39" s="195" t="s">
        <v>4600</v>
      </c>
      <c r="E39" s="193" t="s">
        <v>7809</v>
      </c>
      <c r="F39" s="193" t="s">
        <v>114</v>
      </c>
      <c r="G39" s="195" t="s">
        <v>9987</v>
      </c>
      <c r="H39" s="166" t="s">
        <v>13436</v>
      </c>
      <c r="I39" s="193" t="s">
        <v>12824</v>
      </c>
      <c r="J39" s="193" t="s">
        <v>1252</v>
      </c>
      <c r="K39" s="170"/>
      <c r="L39" s="193" t="s">
        <v>146</v>
      </c>
      <c r="M39" s="165"/>
    </row>
    <row r="40" spans="1:13" ht="45">
      <c r="A40" s="67">
        <f t="shared" si="0"/>
        <v>38</v>
      </c>
      <c r="B40" s="164">
        <v>38</v>
      </c>
      <c r="C40" s="193" t="s">
        <v>1333</v>
      </c>
      <c r="D40" s="195" t="s">
        <v>4601</v>
      </c>
      <c r="E40" s="193" t="s">
        <v>7810</v>
      </c>
      <c r="F40" s="193" t="s">
        <v>114</v>
      </c>
      <c r="G40" s="195" t="s">
        <v>9988</v>
      </c>
      <c r="H40" s="166" t="s">
        <v>13436</v>
      </c>
      <c r="I40" s="193" t="s">
        <v>12824</v>
      </c>
      <c r="J40" s="193" t="s">
        <v>12006</v>
      </c>
      <c r="K40" s="170"/>
      <c r="L40" s="193" t="s">
        <v>12847</v>
      </c>
      <c r="M40" s="165"/>
    </row>
    <row r="41" spans="1:13" ht="30">
      <c r="A41" s="67">
        <f t="shared" si="0"/>
        <v>39</v>
      </c>
      <c r="B41" s="164">
        <v>39</v>
      </c>
      <c r="C41" s="193" t="s">
        <v>1334</v>
      </c>
      <c r="D41" s="195" t="s">
        <v>4602</v>
      </c>
      <c r="E41" s="193" t="s">
        <v>7811</v>
      </c>
      <c r="F41" s="193" t="s">
        <v>114</v>
      </c>
      <c r="G41" s="195" t="s">
        <v>9972</v>
      </c>
      <c r="H41" s="166" t="s">
        <v>13436</v>
      </c>
      <c r="I41" s="193" t="s">
        <v>12813</v>
      </c>
      <c r="J41" s="193" t="s">
        <v>146</v>
      </c>
      <c r="K41" s="170"/>
      <c r="L41" s="193" t="s">
        <v>12848</v>
      </c>
      <c r="M41" s="165"/>
    </row>
    <row r="42" spans="1:13" ht="15.75">
      <c r="A42" s="67">
        <f t="shared" si="0"/>
        <v>40</v>
      </c>
      <c r="B42" s="164">
        <v>40</v>
      </c>
      <c r="C42" s="193" t="s">
        <v>1335</v>
      </c>
      <c r="D42" s="197" t="s">
        <v>4603</v>
      </c>
      <c r="E42" s="193" t="s">
        <v>7812</v>
      </c>
      <c r="F42" s="193" t="s">
        <v>59</v>
      </c>
      <c r="G42" s="195" t="s">
        <v>9989</v>
      </c>
      <c r="H42" s="166" t="s">
        <v>13436</v>
      </c>
      <c r="I42" s="193" t="s">
        <v>12828</v>
      </c>
      <c r="J42" s="193" t="s">
        <v>12007</v>
      </c>
      <c r="K42" s="170"/>
      <c r="L42" s="193"/>
      <c r="M42" s="165"/>
    </row>
    <row r="43" spans="1:13" ht="15.75">
      <c r="A43" s="67">
        <f t="shared" si="0"/>
        <v>41</v>
      </c>
      <c r="B43" s="164">
        <v>41</v>
      </c>
      <c r="C43" s="193" t="s">
        <v>1336</v>
      </c>
      <c r="D43" s="195" t="s">
        <v>4604</v>
      </c>
      <c r="E43" s="193" t="s">
        <v>7813</v>
      </c>
      <c r="F43" s="193" t="s">
        <v>114</v>
      </c>
      <c r="G43" s="195" t="s">
        <v>9990</v>
      </c>
      <c r="H43" s="166" t="s">
        <v>13436</v>
      </c>
      <c r="I43" s="193" t="s">
        <v>12813</v>
      </c>
      <c r="J43" s="219" t="s">
        <v>146</v>
      </c>
      <c r="K43" s="170"/>
      <c r="L43" s="193" t="s">
        <v>146</v>
      </c>
      <c r="M43" s="165"/>
    </row>
    <row r="44" spans="1:13" ht="15.75">
      <c r="A44" s="67">
        <f t="shared" si="0"/>
        <v>42</v>
      </c>
      <c r="B44" s="164">
        <v>42</v>
      </c>
      <c r="C44" s="193" t="s">
        <v>1337</v>
      </c>
      <c r="D44" s="195" t="s">
        <v>4605</v>
      </c>
      <c r="E44" s="193" t="s">
        <v>7814</v>
      </c>
      <c r="F44" s="193" t="s">
        <v>114</v>
      </c>
      <c r="G44" s="195" t="s">
        <v>9991</v>
      </c>
      <c r="H44" s="166" t="s">
        <v>13436</v>
      </c>
      <c r="I44" s="193" t="s">
        <v>12813</v>
      </c>
      <c r="J44" s="193" t="s">
        <v>146</v>
      </c>
      <c r="K44" s="170"/>
      <c r="L44" s="193" t="s">
        <v>146</v>
      </c>
      <c r="M44" s="165"/>
    </row>
    <row r="45" spans="1:13" ht="15.75">
      <c r="A45" s="67">
        <f t="shared" si="0"/>
        <v>43</v>
      </c>
      <c r="B45" s="164">
        <v>43</v>
      </c>
      <c r="C45" s="193" t="s">
        <v>1338</v>
      </c>
      <c r="D45" s="195" t="s">
        <v>4606</v>
      </c>
      <c r="E45" s="193" t="s">
        <v>7815</v>
      </c>
      <c r="F45" s="193" t="s">
        <v>114</v>
      </c>
      <c r="G45" s="195" t="s">
        <v>9992</v>
      </c>
      <c r="H45" s="166" t="s">
        <v>13436</v>
      </c>
      <c r="I45" s="193" t="s">
        <v>12829</v>
      </c>
      <c r="J45" s="193" t="s">
        <v>146</v>
      </c>
      <c r="K45" s="170"/>
      <c r="L45" s="193" t="s">
        <v>146</v>
      </c>
      <c r="M45" s="165"/>
    </row>
    <row r="46" spans="1:13" ht="45">
      <c r="A46" s="67">
        <f t="shared" si="0"/>
        <v>44</v>
      </c>
      <c r="B46" s="164">
        <v>44</v>
      </c>
      <c r="C46" s="193" t="s">
        <v>1339</v>
      </c>
      <c r="D46" s="195" t="s">
        <v>4607</v>
      </c>
      <c r="E46" s="193" t="s">
        <v>7816</v>
      </c>
      <c r="F46" s="193" t="s">
        <v>114</v>
      </c>
      <c r="G46" s="195" t="s">
        <v>9993</v>
      </c>
      <c r="H46" s="166" t="s">
        <v>13436</v>
      </c>
      <c r="I46" s="193" t="s">
        <v>12815</v>
      </c>
      <c r="J46" s="193" t="s">
        <v>12008</v>
      </c>
      <c r="K46" s="170"/>
      <c r="L46" s="193" t="s">
        <v>12849</v>
      </c>
      <c r="M46" s="165"/>
    </row>
    <row r="47" spans="1:13" ht="15.75">
      <c r="A47" s="67">
        <f t="shared" si="0"/>
        <v>45</v>
      </c>
      <c r="B47" s="164">
        <v>45</v>
      </c>
      <c r="C47" s="193" t="s">
        <v>1340</v>
      </c>
      <c r="D47" s="198" t="s">
        <v>4608</v>
      </c>
      <c r="E47" s="193" t="s">
        <v>7817</v>
      </c>
      <c r="F47" s="193" t="s">
        <v>59</v>
      </c>
      <c r="G47" s="195" t="s">
        <v>9994</v>
      </c>
      <c r="H47" s="166" t="s">
        <v>13436</v>
      </c>
      <c r="I47" s="193" t="s">
        <v>1247</v>
      </c>
      <c r="J47" s="193" t="s">
        <v>146</v>
      </c>
      <c r="K47" s="170"/>
      <c r="L47" s="193"/>
      <c r="M47" s="165"/>
    </row>
    <row r="48" spans="1:13" ht="30">
      <c r="A48" s="67">
        <f t="shared" si="0"/>
        <v>46</v>
      </c>
      <c r="B48" s="164">
        <v>46</v>
      </c>
      <c r="C48" s="193" t="s">
        <v>1341</v>
      </c>
      <c r="D48" s="195" t="s">
        <v>4609</v>
      </c>
      <c r="E48" s="193" t="s">
        <v>7818</v>
      </c>
      <c r="F48" s="193" t="s">
        <v>114</v>
      </c>
      <c r="G48" s="195" t="s">
        <v>9995</v>
      </c>
      <c r="H48" s="166" t="s">
        <v>13436</v>
      </c>
      <c r="I48" s="193" t="s">
        <v>12826</v>
      </c>
      <c r="J48" s="193" t="s">
        <v>12009</v>
      </c>
      <c r="K48" s="170"/>
      <c r="L48" s="193" t="s">
        <v>146</v>
      </c>
      <c r="M48" s="165"/>
    </row>
    <row r="49" spans="1:13" ht="60">
      <c r="A49" s="67">
        <f t="shared" si="0"/>
        <v>47</v>
      </c>
      <c r="B49" s="164">
        <v>47</v>
      </c>
      <c r="C49" s="193" t="s">
        <v>1342</v>
      </c>
      <c r="D49" s="196" t="s">
        <v>4610</v>
      </c>
      <c r="E49" s="193" t="s">
        <v>7819</v>
      </c>
      <c r="F49" s="193" t="s">
        <v>114</v>
      </c>
      <c r="G49" s="195" t="s">
        <v>9996</v>
      </c>
      <c r="H49" s="166" t="s">
        <v>13436</v>
      </c>
      <c r="I49" s="193" t="s">
        <v>12830</v>
      </c>
      <c r="J49" s="193" t="s">
        <v>12010</v>
      </c>
      <c r="K49" s="170"/>
      <c r="L49" s="193" t="s">
        <v>12850</v>
      </c>
      <c r="M49" s="165"/>
    </row>
    <row r="50" spans="1:13" ht="15.75">
      <c r="A50" s="67">
        <f t="shared" si="0"/>
        <v>48</v>
      </c>
      <c r="B50" s="164">
        <v>48</v>
      </c>
      <c r="C50" s="193" t="s">
        <v>1343</v>
      </c>
      <c r="D50" s="196" t="s">
        <v>4611</v>
      </c>
      <c r="E50" s="193" t="s">
        <v>7820</v>
      </c>
      <c r="F50" s="193" t="s">
        <v>59</v>
      </c>
      <c r="G50" s="195" t="s">
        <v>9997</v>
      </c>
      <c r="H50" s="166" t="s">
        <v>13436</v>
      </c>
      <c r="I50" s="193" t="s">
        <v>12819</v>
      </c>
      <c r="J50" s="193" t="s">
        <v>146</v>
      </c>
      <c r="K50" s="170"/>
      <c r="L50" s="193"/>
      <c r="M50" s="165"/>
    </row>
    <row r="51" spans="1:13" ht="15.75">
      <c r="A51" s="67">
        <f t="shared" si="0"/>
        <v>49</v>
      </c>
      <c r="B51" s="164">
        <v>49</v>
      </c>
      <c r="C51" s="193" t="s">
        <v>1344</v>
      </c>
      <c r="D51" s="199" t="s">
        <v>4612</v>
      </c>
      <c r="E51" s="193" t="s">
        <v>532</v>
      </c>
      <c r="F51" s="193" t="s">
        <v>114</v>
      </c>
      <c r="G51" s="195" t="s">
        <v>9998</v>
      </c>
      <c r="H51" s="166" t="s">
        <v>13436</v>
      </c>
      <c r="I51" s="193" t="s">
        <v>12831</v>
      </c>
      <c r="J51" s="193" t="s">
        <v>146</v>
      </c>
      <c r="K51" s="170"/>
      <c r="L51" s="193" t="s">
        <v>146</v>
      </c>
      <c r="M51" s="165"/>
    </row>
    <row r="52" spans="1:13" ht="30">
      <c r="A52" s="67">
        <f t="shared" si="0"/>
        <v>50</v>
      </c>
      <c r="B52" s="164">
        <v>50</v>
      </c>
      <c r="C52" s="193" t="s">
        <v>1345</v>
      </c>
      <c r="D52" s="195" t="s">
        <v>4613</v>
      </c>
      <c r="E52" s="193" t="s">
        <v>7821</v>
      </c>
      <c r="F52" s="193" t="s">
        <v>114</v>
      </c>
      <c r="G52" s="195" t="s">
        <v>9999</v>
      </c>
      <c r="H52" s="166" t="s">
        <v>13436</v>
      </c>
      <c r="I52" s="193" t="s">
        <v>12814</v>
      </c>
      <c r="J52" s="193" t="s">
        <v>12011</v>
      </c>
      <c r="K52" s="170"/>
      <c r="L52" s="193" t="s">
        <v>146</v>
      </c>
      <c r="M52" s="165"/>
    </row>
    <row r="53" spans="1:13" ht="15.75">
      <c r="A53" s="67">
        <f t="shared" si="0"/>
        <v>51</v>
      </c>
      <c r="B53" s="164">
        <v>51</v>
      </c>
      <c r="C53" s="193" t="s">
        <v>1346</v>
      </c>
      <c r="D53" s="195" t="s">
        <v>4614</v>
      </c>
      <c r="E53" s="193" t="s">
        <v>7822</v>
      </c>
      <c r="F53" s="193" t="s">
        <v>59</v>
      </c>
      <c r="G53" s="195" t="s">
        <v>10000</v>
      </c>
      <c r="H53" s="166" t="s">
        <v>13436</v>
      </c>
      <c r="I53" s="193" t="s">
        <v>12821</v>
      </c>
      <c r="J53" s="219" t="s">
        <v>1251</v>
      </c>
      <c r="K53" s="170"/>
      <c r="L53" s="193"/>
      <c r="M53" s="165"/>
    </row>
    <row r="54" spans="1:13" ht="15.75">
      <c r="A54" s="67">
        <f t="shared" si="0"/>
        <v>52</v>
      </c>
      <c r="B54" s="164">
        <v>52</v>
      </c>
      <c r="C54" s="193" t="s">
        <v>1347</v>
      </c>
      <c r="D54" s="195" t="s">
        <v>4615</v>
      </c>
      <c r="E54" s="193" t="s">
        <v>209</v>
      </c>
      <c r="F54" s="193" t="s">
        <v>114</v>
      </c>
      <c r="G54" s="195" t="s">
        <v>10001</v>
      </c>
      <c r="H54" s="166" t="s">
        <v>13436</v>
      </c>
      <c r="I54" s="193" t="s">
        <v>12824</v>
      </c>
      <c r="J54" s="219" t="s">
        <v>146</v>
      </c>
      <c r="K54" s="170"/>
      <c r="L54" s="193" t="s">
        <v>146</v>
      </c>
      <c r="M54" s="165"/>
    </row>
    <row r="55" spans="1:13" ht="15.75">
      <c r="A55" s="67">
        <f t="shared" si="0"/>
        <v>53</v>
      </c>
      <c r="B55" s="164">
        <v>53</v>
      </c>
      <c r="C55" s="193" t="s">
        <v>1348</v>
      </c>
      <c r="D55" s="195" t="s">
        <v>4616</v>
      </c>
      <c r="E55" s="193" t="s">
        <v>7823</v>
      </c>
      <c r="F55" s="193" t="s">
        <v>59</v>
      </c>
      <c r="G55" s="195" t="s">
        <v>10002</v>
      </c>
      <c r="H55" s="166" t="s">
        <v>13436</v>
      </c>
      <c r="I55" s="193" t="s">
        <v>12813</v>
      </c>
      <c r="J55" s="219" t="s">
        <v>146</v>
      </c>
      <c r="K55" s="170"/>
      <c r="L55" s="193"/>
      <c r="M55" s="165"/>
    </row>
    <row r="56" spans="1:13" ht="15.75">
      <c r="A56" s="67">
        <f t="shared" si="0"/>
        <v>54</v>
      </c>
      <c r="B56" s="164">
        <v>54</v>
      </c>
      <c r="C56" s="193" t="s">
        <v>1349</v>
      </c>
      <c r="D56" s="200" t="s">
        <v>4617</v>
      </c>
      <c r="E56" s="193" t="s">
        <v>7824</v>
      </c>
      <c r="F56" s="193" t="s">
        <v>59</v>
      </c>
      <c r="G56" s="195" t="s">
        <v>10003</v>
      </c>
      <c r="H56" s="166" t="s">
        <v>13436</v>
      </c>
      <c r="I56" s="193" t="s">
        <v>12828</v>
      </c>
      <c r="J56" s="193" t="s">
        <v>147</v>
      </c>
      <c r="K56" s="170"/>
      <c r="L56" s="193"/>
      <c r="M56" s="165"/>
    </row>
    <row r="57" spans="1:13" ht="15.75">
      <c r="A57" s="67">
        <f t="shared" si="0"/>
        <v>55</v>
      </c>
      <c r="B57" s="164">
        <v>55</v>
      </c>
      <c r="C57" s="193" t="s">
        <v>1350</v>
      </c>
      <c r="D57" s="195" t="s">
        <v>4618</v>
      </c>
      <c r="E57" s="193" t="s">
        <v>7825</v>
      </c>
      <c r="F57" s="193" t="s">
        <v>59</v>
      </c>
      <c r="G57" s="195" t="s">
        <v>10004</v>
      </c>
      <c r="H57" s="166" t="s">
        <v>13436</v>
      </c>
      <c r="I57" s="193" t="s">
        <v>12832</v>
      </c>
      <c r="J57" s="193" t="s">
        <v>146</v>
      </c>
      <c r="K57" s="170"/>
      <c r="L57" s="193"/>
      <c r="M57" s="165"/>
    </row>
    <row r="58" spans="1:13" ht="15.75">
      <c r="A58" s="67">
        <f t="shared" si="0"/>
        <v>56</v>
      </c>
      <c r="B58" s="164">
        <v>56</v>
      </c>
      <c r="C58" s="193" t="s">
        <v>1351</v>
      </c>
      <c r="D58" s="195" t="s">
        <v>4619</v>
      </c>
      <c r="E58" s="193" t="s">
        <v>7826</v>
      </c>
      <c r="F58" s="193" t="s">
        <v>114</v>
      </c>
      <c r="G58" s="195" t="s">
        <v>10005</v>
      </c>
      <c r="H58" s="166" t="s">
        <v>13436</v>
      </c>
      <c r="I58" s="193" t="s">
        <v>12817</v>
      </c>
      <c r="J58" s="193" t="s">
        <v>146</v>
      </c>
      <c r="K58" s="170"/>
      <c r="L58" s="193" t="s">
        <v>146</v>
      </c>
      <c r="M58" s="165"/>
    </row>
    <row r="59" spans="1:13" ht="15.75">
      <c r="A59" s="67">
        <f t="shared" si="0"/>
        <v>57</v>
      </c>
      <c r="B59" s="164">
        <v>57</v>
      </c>
      <c r="C59" s="193" t="s">
        <v>1352</v>
      </c>
      <c r="D59" s="195" t="s">
        <v>4620</v>
      </c>
      <c r="E59" s="193" t="s">
        <v>167</v>
      </c>
      <c r="F59" s="193" t="s">
        <v>114</v>
      </c>
      <c r="G59" s="195" t="s">
        <v>10006</v>
      </c>
      <c r="H59" s="166" t="s">
        <v>13436</v>
      </c>
      <c r="I59" s="193" t="s">
        <v>12813</v>
      </c>
      <c r="J59" s="193" t="s">
        <v>12012</v>
      </c>
      <c r="K59" s="170"/>
      <c r="L59" s="193" t="s">
        <v>146</v>
      </c>
      <c r="M59" s="165"/>
    </row>
    <row r="60" spans="1:13" ht="15.75">
      <c r="A60" s="67">
        <f t="shared" si="0"/>
        <v>58</v>
      </c>
      <c r="B60" s="164">
        <v>58</v>
      </c>
      <c r="C60" s="193" t="s">
        <v>1353</v>
      </c>
      <c r="D60" s="195" t="s">
        <v>4621</v>
      </c>
      <c r="E60" s="193" t="s">
        <v>7827</v>
      </c>
      <c r="F60" s="193" t="s">
        <v>114</v>
      </c>
      <c r="G60" s="195" t="s">
        <v>10007</v>
      </c>
      <c r="H60" s="166" t="s">
        <v>13436</v>
      </c>
      <c r="I60" s="193" t="s">
        <v>12813</v>
      </c>
      <c r="J60" s="193" t="s">
        <v>12013</v>
      </c>
      <c r="K60" s="170"/>
      <c r="L60" s="193" t="s">
        <v>146</v>
      </c>
      <c r="M60" s="165"/>
    </row>
    <row r="61" spans="1:13" ht="90">
      <c r="A61" s="67">
        <f t="shared" si="0"/>
        <v>59</v>
      </c>
      <c r="B61" s="164">
        <v>59</v>
      </c>
      <c r="C61" s="193" t="s">
        <v>1354</v>
      </c>
      <c r="D61" s="196" t="s">
        <v>4622</v>
      </c>
      <c r="E61" s="193" t="s">
        <v>7828</v>
      </c>
      <c r="F61" s="193" t="s">
        <v>114</v>
      </c>
      <c r="G61" s="195" t="s">
        <v>10008</v>
      </c>
      <c r="H61" s="166" t="s">
        <v>13436</v>
      </c>
      <c r="I61" s="193" t="s">
        <v>12833</v>
      </c>
      <c r="J61" s="193" t="s">
        <v>146</v>
      </c>
      <c r="K61" s="170"/>
      <c r="L61" s="193" t="s">
        <v>12851</v>
      </c>
      <c r="M61" s="165"/>
    </row>
    <row r="62" spans="1:13" ht="15.75">
      <c r="A62" s="67">
        <f t="shared" si="0"/>
        <v>60</v>
      </c>
      <c r="B62" s="164">
        <v>60</v>
      </c>
      <c r="C62" s="193" t="s">
        <v>1355</v>
      </c>
      <c r="D62" s="199" t="s">
        <v>4623</v>
      </c>
      <c r="E62" s="193" t="s">
        <v>7829</v>
      </c>
      <c r="F62" s="193" t="s">
        <v>59</v>
      </c>
      <c r="G62" s="195" t="s">
        <v>10009</v>
      </c>
      <c r="H62" s="166" t="s">
        <v>13436</v>
      </c>
      <c r="I62" s="193" t="s">
        <v>12828</v>
      </c>
      <c r="J62" s="193" t="s">
        <v>164</v>
      </c>
      <c r="K62" s="170"/>
      <c r="L62" s="193"/>
      <c r="M62" s="165"/>
    </row>
    <row r="63" spans="1:13" ht="60">
      <c r="A63" s="67">
        <f t="shared" si="0"/>
        <v>61</v>
      </c>
      <c r="B63" s="164">
        <v>61</v>
      </c>
      <c r="C63" s="193" t="s">
        <v>1356</v>
      </c>
      <c r="D63" s="196" t="s">
        <v>4624</v>
      </c>
      <c r="E63" s="193" t="s">
        <v>7830</v>
      </c>
      <c r="F63" s="193" t="s">
        <v>114</v>
      </c>
      <c r="G63" s="195" t="s">
        <v>10010</v>
      </c>
      <c r="H63" s="166" t="s">
        <v>13436</v>
      </c>
      <c r="I63" s="193" t="s">
        <v>12819</v>
      </c>
      <c r="J63" s="219" t="s">
        <v>146</v>
      </c>
      <c r="K63" s="170"/>
      <c r="L63" s="193" t="s">
        <v>12852</v>
      </c>
      <c r="M63" s="165"/>
    </row>
    <row r="64" spans="1:13" ht="30">
      <c r="A64" s="67">
        <f t="shared" si="0"/>
        <v>62</v>
      </c>
      <c r="B64" s="164">
        <v>62</v>
      </c>
      <c r="C64" s="193" t="s">
        <v>1357</v>
      </c>
      <c r="D64" s="195" t="s">
        <v>4625</v>
      </c>
      <c r="E64" s="193" t="s">
        <v>7831</v>
      </c>
      <c r="F64" s="193" t="s">
        <v>114</v>
      </c>
      <c r="G64" s="195" t="s">
        <v>10011</v>
      </c>
      <c r="H64" s="166" t="s">
        <v>13436</v>
      </c>
      <c r="I64" s="193" t="s">
        <v>12812</v>
      </c>
      <c r="J64" s="193" t="s">
        <v>12014</v>
      </c>
      <c r="K64" s="170"/>
      <c r="L64" s="193" t="s">
        <v>12853</v>
      </c>
      <c r="M64" s="165"/>
    </row>
    <row r="65" spans="1:13" ht="60">
      <c r="A65" s="67">
        <f t="shared" si="0"/>
        <v>63</v>
      </c>
      <c r="B65" s="164">
        <v>63</v>
      </c>
      <c r="C65" s="193" t="s">
        <v>1358</v>
      </c>
      <c r="D65" s="196" t="s">
        <v>4626</v>
      </c>
      <c r="E65" s="193" t="s">
        <v>7832</v>
      </c>
      <c r="F65" s="193" t="s">
        <v>114</v>
      </c>
      <c r="G65" s="195" t="s">
        <v>10012</v>
      </c>
      <c r="H65" s="166" t="s">
        <v>13436</v>
      </c>
      <c r="I65" s="193" t="s">
        <v>1248</v>
      </c>
      <c r="J65" s="193" t="s">
        <v>147</v>
      </c>
      <c r="K65" s="170"/>
      <c r="L65" s="193" t="s">
        <v>12854</v>
      </c>
      <c r="M65" s="165"/>
    </row>
    <row r="66" spans="1:13" ht="15.75">
      <c r="A66" s="67">
        <f t="shared" si="0"/>
        <v>64</v>
      </c>
      <c r="B66" s="164">
        <v>64</v>
      </c>
      <c r="C66" s="193" t="s">
        <v>1359</v>
      </c>
      <c r="D66" s="195" t="s">
        <v>4627</v>
      </c>
      <c r="E66" s="193" t="s">
        <v>369</v>
      </c>
      <c r="F66" s="193" t="s">
        <v>114</v>
      </c>
      <c r="G66" s="195" t="s">
        <v>10013</v>
      </c>
      <c r="H66" s="166" t="s">
        <v>13436</v>
      </c>
      <c r="I66" s="193" t="s">
        <v>12819</v>
      </c>
      <c r="J66" s="193" t="s">
        <v>146</v>
      </c>
      <c r="K66" s="170"/>
      <c r="L66" s="193" t="s">
        <v>146</v>
      </c>
      <c r="M66" s="165"/>
    </row>
    <row r="67" spans="1:13" ht="30">
      <c r="A67" s="67">
        <f t="shared" ref="A67:A130" si="1">IFERROR(VALUE(RIGHT(C67,4)),"")</f>
        <v>65</v>
      </c>
      <c r="B67" s="164">
        <v>65</v>
      </c>
      <c r="C67" s="193" t="s">
        <v>1360</v>
      </c>
      <c r="D67" s="201" t="s">
        <v>4628</v>
      </c>
      <c r="E67" s="193" t="s">
        <v>7833</v>
      </c>
      <c r="F67" s="193" t="s">
        <v>59</v>
      </c>
      <c r="G67" s="195" t="s">
        <v>10014</v>
      </c>
      <c r="H67" s="166" t="s">
        <v>13436</v>
      </c>
      <c r="I67" s="193" t="s">
        <v>12834</v>
      </c>
      <c r="J67" s="219" t="s">
        <v>12015</v>
      </c>
      <c r="K67" s="170"/>
      <c r="L67" s="193"/>
      <c r="M67" s="165"/>
    </row>
    <row r="68" spans="1:13" ht="30">
      <c r="A68" s="67">
        <f t="shared" si="1"/>
        <v>66</v>
      </c>
      <c r="B68" s="164">
        <v>66</v>
      </c>
      <c r="C68" s="193" t="s">
        <v>1361</v>
      </c>
      <c r="D68" s="195" t="s">
        <v>4629</v>
      </c>
      <c r="E68" s="193" t="s">
        <v>7834</v>
      </c>
      <c r="F68" s="193" t="s">
        <v>59</v>
      </c>
      <c r="G68" s="195" t="s">
        <v>10015</v>
      </c>
      <c r="H68" s="166" t="s">
        <v>13436</v>
      </c>
      <c r="I68" s="193" t="s">
        <v>12810</v>
      </c>
      <c r="J68" s="193" t="s">
        <v>12016</v>
      </c>
      <c r="K68" s="170"/>
      <c r="L68" s="193"/>
      <c r="M68" s="165"/>
    </row>
    <row r="69" spans="1:13" ht="75">
      <c r="A69" s="67">
        <f t="shared" si="1"/>
        <v>67</v>
      </c>
      <c r="B69" s="164">
        <v>67</v>
      </c>
      <c r="C69" s="193" t="s">
        <v>1362</v>
      </c>
      <c r="D69" s="196" t="s">
        <v>4630</v>
      </c>
      <c r="E69" s="193" t="s">
        <v>7835</v>
      </c>
      <c r="F69" s="193" t="s">
        <v>114</v>
      </c>
      <c r="G69" s="195" t="s">
        <v>10016</v>
      </c>
      <c r="H69" s="166" t="s">
        <v>13436</v>
      </c>
      <c r="I69" s="193" t="s">
        <v>12833</v>
      </c>
      <c r="J69" s="193" t="s">
        <v>146</v>
      </c>
      <c r="K69" s="170"/>
      <c r="L69" s="193" t="s">
        <v>12855</v>
      </c>
      <c r="M69" s="165"/>
    </row>
    <row r="70" spans="1:13" ht="30">
      <c r="A70" s="67">
        <f t="shared" si="1"/>
        <v>68</v>
      </c>
      <c r="B70" s="164">
        <v>68</v>
      </c>
      <c r="C70" s="193" t="s">
        <v>1363</v>
      </c>
      <c r="D70" s="195" t="s">
        <v>4631</v>
      </c>
      <c r="E70" s="193" t="s">
        <v>7836</v>
      </c>
      <c r="F70" s="193" t="s">
        <v>114</v>
      </c>
      <c r="G70" s="195" t="s">
        <v>10017</v>
      </c>
      <c r="H70" s="166" t="s">
        <v>13436</v>
      </c>
      <c r="I70" s="193" t="s">
        <v>12835</v>
      </c>
      <c r="J70" s="193" t="s">
        <v>12017</v>
      </c>
      <c r="K70" s="170"/>
      <c r="L70" s="193" t="s">
        <v>12856</v>
      </c>
      <c r="M70" s="165"/>
    </row>
    <row r="71" spans="1:13" ht="15.75">
      <c r="A71" s="67">
        <f t="shared" si="1"/>
        <v>69</v>
      </c>
      <c r="B71" s="164">
        <v>69</v>
      </c>
      <c r="C71" s="193" t="s">
        <v>1364</v>
      </c>
      <c r="D71" s="195" t="s">
        <v>4632</v>
      </c>
      <c r="E71" s="193" t="s">
        <v>7837</v>
      </c>
      <c r="F71" s="193" t="s">
        <v>114</v>
      </c>
      <c r="G71" s="195" t="s">
        <v>10018</v>
      </c>
      <c r="H71" s="166" t="s">
        <v>13436</v>
      </c>
      <c r="I71" s="193" t="s">
        <v>12810</v>
      </c>
      <c r="J71" s="193" t="s">
        <v>146</v>
      </c>
      <c r="K71" s="170"/>
      <c r="L71" s="193" t="s">
        <v>146</v>
      </c>
      <c r="M71" s="165"/>
    </row>
    <row r="72" spans="1:13" ht="45">
      <c r="A72" s="67">
        <f t="shared" si="1"/>
        <v>70</v>
      </c>
      <c r="B72" s="164">
        <v>70</v>
      </c>
      <c r="C72" s="193" t="s">
        <v>1365</v>
      </c>
      <c r="D72" s="198" t="s">
        <v>4633</v>
      </c>
      <c r="E72" s="193" t="s">
        <v>314</v>
      </c>
      <c r="F72" s="193" t="s">
        <v>114</v>
      </c>
      <c r="G72" s="195" t="s">
        <v>10019</v>
      </c>
      <c r="H72" s="166" t="s">
        <v>13436</v>
      </c>
      <c r="I72" s="193" t="s">
        <v>1247</v>
      </c>
      <c r="J72" s="219" t="s">
        <v>12018</v>
      </c>
      <c r="K72" s="170"/>
      <c r="L72" s="193" t="s">
        <v>146</v>
      </c>
      <c r="M72" s="165"/>
    </row>
    <row r="73" spans="1:13" ht="15.75">
      <c r="A73" s="67">
        <f t="shared" si="1"/>
        <v>71</v>
      </c>
      <c r="B73" s="164">
        <v>71</v>
      </c>
      <c r="C73" s="193" t="s">
        <v>1366</v>
      </c>
      <c r="D73" s="196" t="s">
        <v>4634</v>
      </c>
      <c r="E73" s="193" t="s">
        <v>7838</v>
      </c>
      <c r="F73" s="193" t="s">
        <v>114</v>
      </c>
      <c r="G73" s="195" t="s">
        <v>10020</v>
      </c>
      <c r="H73" s="166" t="s">
        <v>13436</v>
      </c>
      <c r="I73" s="193" t="s">
        <v>1248</v>
      </c>
      <c r="J73" s="193" t="s">
        <v>146</v>
      </c>
      <c r="K73" s="170"/>
      <c r="L73" s="193" t="s">
        <v>146</v>
      </c>
      <c r="M73" s="165"/>
    </row>
    <row r="74" spans="1:13" ht="45">
      <c r="A74" s="67">
        <f t="shared" si="1"/>
        <v>72</v>
      </c>
      <c r="B74" s="164">
        <v>72</v>
      </c>
      <c r="C74" s="193" t="s">
        <v>1367</v>
      </c>
      <c r="D74" s="195" t="s">
        <v>4635</v>
      </c>
      <c r="E74" s="193" t="s">
        <v>7839</v>
      </c>
      <c r="F74" s="193" t="s">
        <v>114</v>
      </c>
      <c r="G74" s="195" t="s">
        <v>10021</v>
      </c>
      <c r="H74" s="166" t="s">
        <v>13436</v>
      </c>
      <c r="I74" s="193" t="s">
        <v>12824</v>
      </c>
      <c r="J74" s="193" t="s">
        <v>12019</v>
      </c>
      <c r="K74" s="170"/>
      <c r="L74" s="193" t="s">
        <v>146</v>
      </c>
      <c r="M74" s="165"/>
    </row>
    <row r="75" spans="1:13" ht="45">
      <c r="A75" s="67">
        <f t="shared" si="1"/>
        <v>73</v>
      </c>
      <c r="B75" s="164">
        <v>73</v>
      </c>
      <c r="C75" s="193" t="s">
        <v>1368</v>
      </c>
      <c r="D75" s="195" t="s">
        <v>4636</v>
      </c>
      <c r="E75" s="193" t="s">
        <v>354</v>
      </c>
      <c r="F75" s="193" t="s">
        <v>114</v>
      </c>
      <c r="G75" s="195" t="s">
        <v>10022</v>
      </c>
      <c r="H75" s="166" t="s">
        <v>13436</v>
      </c>
      <c r="I75" s="193" t="s">
        <v>12817</v>
      </c>
      <c r="J75" s="219" t="s">
        <v>146</v>
      </c>
      <c r="K75" s="170"/>
      <c r="L75" s="219" t="s">
        <v>12857</v>
      </c>
      <c r="M75" s="165"/>
    </row>
    <row r="76" spans="1:13" ht="60">
      <c r="A76" s="67">
        <f t="shared" si="1"/>
        <v>74</v>
      </c>
      <c r="B76" s="164">
        <v>74</v>
      </c>
      <c r="C76" s="193" t="s">
        <v>1369</v>
      </c>
      <c r="D76" s="195" t="s">
        <v>4637</v>
      </c>
      <c r="E76" s="193" t="s">
        <v>7840</v>
      </c>
      <c r="F76" s="193" t="s">
        <v>114</v>
      </c>
      <c r="G76" s="195" t="s">
        <v>10023</v>
      </c>
      <c r="H76" s="166" t="s">
        <v>13436</v>
      </c>
      <c r="I76" s="193" t="s">
        <v>12836</v>
      </c>
      <c r="J76" s="193" t="s">
        <v>146</v>
      </c>
      <c r="K76" s="170"/>
      <c r="L76" s="193" t="s">
        <v>12858</v>
      </c>
      <c r="M76" s="165"/>
    </row>
    <row r="77" spans="1:13" ht="15.75">
      <c r="A77" s="67">
        <f t="shared" si="1"/>
        <v>75</v>
      </c>
      <c r="B77" s="164">
        <v>75</v>
      </c>
      <c r="C77" s="193" t="s">
        <v>1370</v>
      </c>
      <c r="D77" s="195" t="s">
        <v>4638</v>
      </c>
      <c r="E77" s="193" t="s">
        <v>7841</v>
      </c>
      <c r="F77" s="193" t="s">
        <v>114</v>
      </c>
      <c r="G77" s="195" t="s">
        <v>10024</v>
      </c>
      <c r="H77" s="166" t="s">
        <v>13436</v>
      </c>
      <c r="I77" s="193" t="s">
        <v>12836</v>
      </c>
      <c r="J77" s="193" t="s">
        <v>146</v>
      </c>
      <c r="K77" s="170"/>
      <c r="L77" s="193" t="s">
        <v>146</v>
      </c>
      <c r="M77" s="165"/>
    </row>
    <row r="78" spans="1:13" ht="45">
      <c r="A78" s="67">
        <f t="shared" si="1"/>
        <v>76</v>
      </c>
      <c r="B78" s="164">
        <v>76</v>
      </c>
      <c r="C78" s="193" t="s">
        <v>1371</v>
      </c>
      <c r="D78" s="195" t="s">
        <v>4639</v>
      </c>
      <c r="E78" s="193" t="s">
        <v>7842</v>
      </c>
      <c r="F78" s="193" t="s">
        <v>114</v>
      </c>
      <c r="G78" s="195" t="s">
        <v>10025</v>
      </c>
      <c r="H78" s="166" t="s">
        <v>13436</v>
      </c>
      <c r="I78" s="193" t="s">
        <v>12827</v>
      </c>
      <c r="J78" s="193" t="s">
        <v>12020</v>
      </c>
      <c r="K78" s="170"/>
      <c r="L78" s="193" t="s">
        <v>1270</v>
      </c>
      <c r="M78" s="165"/>
    </row>
    <row r="79" spans="1:13" ht="15.75">
      <c r="A79" s="67">
        <f t="shared" si="1"/>
        <v>77</v>
      </c>
      <c r="B79" s="164">
        <v>77</v>
      </c>
      <c r="C79" s="193" t="s">
        <v>1372</v>
      </c>
      <c r="D79" s="195" t="s">
        <v>4640</v>
      </c>
      <c r="E79" s="193" t="s">
        <v>7843</v>
      </c>
      <c r="F79" s="193" t="s">
        <v>114</v>
      </c>
      <c r="G79" s="195" t="s">
        <v>10026</v>
      </c>
      <c r="H79" s="166" t="s">
        <v>13436</v>
      </c>
      <c r="I79" s="193" t="s">
        <v>12836</v>
      </c>
      <c r="J79" s="193" t="s">
        <v>146</v>
      </c>
      <c r="K79" s="170"/>
      <c r="L79" s="193" t="s">
        <v>146</v>
      </c>
      <c r="M79" s="165"/>
    </row>
    <row r="80" spans="1:13" ht="15.75">
      <c r="A80" s="67">
        <f t="shared" si="1"/>
        <v>78</v>
      </c>
      <c r="B80" s="164">
        <v>78</v>
      </c>
      <c r="C80" s="193" t="s">
        <v>1373</v>
      </c>
      <c r="D80" s="202" t="s">
        <v>4641</v>
      </c>
      <c r="E80" s="193" t="s">
        <v>7844</v>
      </c>
      <c r="F80" s="193" t="s">
        <v>59</v>
      </c>
      <c r="G80" s="195" t="s">
        <v>10027</v>
      </c>
      <c r="H80" s="166" t="s">
        <v>13436</v>
      </c>
      <c r="I80" s="193" t="s">
        <v>12809</v>
      </c>
      <c r="J80" s="193" t="s">
        <v>12021</v>
      </c>
      <c r="K80" s="170"/>
      <c r="L80" s="193"/>
      <c r="M80" s="165"/>
    </row>
    <row r="81" spans="1:13" ht="15.75">
      <c r="A81" s="67">
        <f t="shared" si="1"/>
        <v>79</v>
      </c>
      <c r="B81" s="164">
        <v>79</v>
      </c>
      <c r="C81" s="193" t="s">
        <v>1374</v>
      </c>
      <c r="D81" s="197" t="s">
        <v>4642</v>
      </c>
      <c r="E81" s="193" t="s">
        <v>7845</v>
      </c>
      <c r="F81" s="193" t="s">
        <v>114</v>
      </c>
      <c r="G81" s="195" t="s">
        <v>10028</v>
      </c>
      <c r="H81" s="166" t="s">
        <v>13436</v>
      </c>
      <c r="I81" s="193" t="s">
        <v>12816</v>
      </c>
      <c r="J81" s="193" t="s">
        <v>146</v>
      </c>
      <c r="K81" s="170"/>
      <c r="L81" s="193" t="s">
        <v>146</v>
      </c>
      <c r="M81" s="165"/>
    </row>
    <row r="82" spans="1:13" ht="30">
      <c r="A82" s="67">
        <f t="shared" si="1"/>
        <v>80</v>
      </c>
      <c r="B82" s="164">
        <v>80</v>
      </c>
      <c r="C82" s="193" t="s">
        <v>1375</v>
      </c>
      <c r="D82" s="195" t="s">
        <v>4643</v>
      </c>
      <c r="E82" s="193" t="s">
        <v>374</v>
      </c>
      <c r="F82" s="193" t="s">
        <v>114</v>
      </c>
      <c r="G82" s="195" t="s">
        <v>10029</v>
      </c>
      <c r="H82" s="166" t="s">
        <v>13436</v>
      </c>
      <c r="I82" s="193" t="s">
        <v>12814</v>
      </c>
      <c r="J82" s="193" t="s">
        <v>12022</v>
      </c>
      <c r="K82" s="170"/>
      <c r="L82" s="193" t="s">
        <v>146</v>
      </c>
      <c r="M82" s="165"/>
    </row>
    <row r="83" spans="1:13" ht="15.75">
      <c r="A83" s="67">
        <f t="shared" si="1"/>
        <v>81</v>
      </c>
      <c r="B83" s="164">
        <v>81</v>
      </c>
      <c r="C83" s="193" t="s">
        <v>1376</v>
      </c>
      <c r="D83" s="195" t="s">
        <v>4644</v>
      </c>
      <c r="E83" s="193" t="s">
        <v>401</v>
      </c>
      <c r="F83" s="193" t="s">
        <v>59</v>
      </c>
      <c r="G83" s="195" t="s">
        <v>10030</v>
      </c>
      <c r="H83" s="166" t="s">
        <v>13436</v>
      </c>
      <c r="I83" s="193" t="s">
        <v>12808</v>
      </c>
      <c r="J83" s="193" t="s">
        <v>146</v>
      </c>
      <c r="K83" s="170"/>
      <c r="L83" s="193"/>
      <c r="M83" s="165"/>
    </row>
    <row r="84" spans="1:13" ht="15.75">
      <c r="A84" s="67">
        <f t="shared" si="1"/>
        <v>82</v>
      </c>
      <c r="B84" s="164">
        <v>82</v>
      </c>
      <c r="C84" s="193" t="s">
        <v>1377</v>
      </c>
      <c r="D84" s="195" t="s">
        <v>4645</v>
      </c>
      <c r="E84" s="193" t="s">
        <v>7846</v>
      </c>
      <c r="F84" s="193" t="s">
        <v>59</v>
      </c>
      <c r="G84" s="195" t="s">
        <v>10031</v>
      </c>
      <c r="H84" s="166" t="s">
        <v>13436</v>
      </c>
      <c r="I84" s="193" t="s">
        <v>12821</v>
      </c>
      <c r="J84" s="193" t="s">
        <v>146</v>
      </c>
      <c r="K84" s="170"/>
      <c r="L84" s="193"/>
      <c r="M84" s="165"/>
    </row>
    <row r="85" spans="1:13" ht="150">
      <c r="A85" s="67">
        <f t="shared" si="1"/>
        <v>83</v>
      </c>
      <c r="B85" s="164">
        <v>83</v>
      </c>
      <c r="C85" s="193" t="s">
        <v>1378</v>
      </c>
      <c r="D85" s="195" t="s">
        <v>4646</v>
      </c>
      <c r="E85" s="193" t="s">
        <v>7847</v>
      </c>
      <c r="F85" s="193" t="s">
        <v>114</v>
      </c>
      <c r="G85" s="195" t="s">
        <v>10032</v>
      </c>
      <c r="H85" s="166" t="s">
        <v>13436</v>
      </c>
      <c r="I85" s="193" t="s">
        <v>12821</v>
      </c>
      <c r="J85" s="193" t="s">
        <v>146</v>
      </c>
      <c r="K85" s="170"/>
      <c r="L85" s="193" t="s">
        <v>12859</v>
      </c>
      <c r="M85" s="165"/>
    </row>
    <row r="86" spans="1:13" ht="15.75">
      <c r="A86" s="67">
        <f t="shared" si="1"/>
        <v>84</v>
      </c>
      <c r="B86" s="164">
        <v>84</v>
      </c>
      <c r="C86" s="193" t="s">
        <v>1379</v>
      </c>
      <c r="D86" s="195" t="s">
        <v>4647</v>
      </c>
      <c r="E86" s="193" t="s">
        <v>7848</v>
      </c>
      <c r="F86" s="193" t="s">
        <v>59</v>
      </c>
      <c r="G86" s="195" t="s">
        <v>10033</v>
      </c>
      <c r="H86" s="166" t="s">
        <v>13436</v>
      </c>
      <c r="I86" s="193" t="s">
        <v>12822</v>
      </c>
      <c r="J86" s="193" t="s">
        <v>1276</v>
      </c>
      <c r="K86" s="170"/>
      <c r="L86" s="193"/>
      <c r="M86" s="165"/>
    </row>
    <row r="87" spans="1:13" ht="15.75">
      <c r="A87" s="67">
        <f t="shared" si="1"/>
        <v>85</v>
      </c>
      <c r="B87" s="164">
        <v>85</v>
      </c>
      <c r="C87" s="193" t="s">
        <v>1380</v>
      </c>
      <c r="D87" s="195" t="s">
        <v>4648</v>
      </c>
      <c r="E87" s="193" t="s">
        <v>7849</v>
      </c>
      <c r="F87" s="193" t="s">
        <v>114</v>
      </c>
      <c r="G87" s="195" t="s">
        <v>10034</v>
      </c>
      <c r="H87" s="166" t="s">
        <v>13436</v>
      </c>
      <c r="I87" s="193" t="s">
        <v>12826</v>
      </c>
      <c r="J87" s="193" t="s">
        <v>146</v>
      </c>
      <c r="K87" s="170"/>
      <c r="L87" s="193" t="s">
        <v>146</v>
      </c>
      <c r="M87" s="165"/>
    </row>
    <row r="88" spans="1:13" ht="15.75">
      <c r="A88" s="67">
        <f t="shared" si="1"/>
        <v>86</v>
      </c>
      <c r="B88" s="164">
        <v>86</v>
      </c>
      <c r="C88" s="193" t="s">
        <v>1381</v>
      </c>
      <c r="D88" s="197" t="s">
        <v>4649</v>
      </c>
      <c r="E88" s="193" t="s">
        <v>7850</v>
      </c>
      <c r="F88" s="193" t="s">
        <v>59</v>
      </c>
      <c r="G88" s="195" t="s">
        <v>10035</v>
      </c>
      <c r="H88" s="166" t="s">
        <v>13436</v>
      </c>
      <c r="I88" s="193" t="s">
        <v>12816</v>
      </c>
      <c r="J88" s="219" t="s">
        <v>164</v>
      </c>
      <c r="K88" s="170"/>
      <c r="L88" s="193"/>
      <c r="M88" s="165"/>
    </row>
    <row r="89" spans="1:13" ht="135">
      <c r="A89" s="67">
        <f t="shared" si="1"/>
        <v>87</v>
      </c>
      <c r="B89" s="164">
        <v>87</v>
      </c>
      <c r="C89" s="193" t="s">
        <v>1382</v>
      </c>
      <c r="D89" s="195" t="s">
        <v>4650</v>
      </c>
      <c r="E89" s="193" t="s">
        <v>7851</v>
      </c>
      <c r="F89" s="193" t="s">
        <v>114</v>
      </c>
      <c r="G89" s="195" t="s">
        <v>10036</v>
      </c>
      <c r="H89" s="166" t="s">
        <v>13436</v>
      </c>
      <c r="I89" s="193" t="s">
        <v>12827</v>
      </c>
      <c r="J89" s="193" t="s">
        <v>12023</v>
      </c>
      <c r="K89" s="170"/>
      <c r="L89" s="193" t="s">
        <v>12860</v>
      </c>
      <c r="M89" s="165"/>
    </row>
    <row r="90" spans="1:13" ht="60">
      <c r="A90" s="67">
        <f t="shared" si="1"/>
        <v>88</v>
      </c>
      <c r="B90" s="164">
        <v>88</v>
      </c>
      <c r="C90" s="193" t="s">
        <v>1383</v>
      </c>
      <c r="D90" s="196" t="s">
        <v>4651</v>
      </c>
      <c r="E90" s="193" t="s">
        <v>7852</v>
      </c>
      <c r="F90" s="193" t="s">
        <v>59</v>
      </c>
      <c r="G90" s="195" t="s">
        <v>10037</v>
      </c>
      <c r="H90" s="166" t="s">
        <v>13436</v>
      </c>
      <c r="I90" s="193" t="s">
        <v>12819</v>
      </c>
      <c r="J90" s="219" t="s">
        <v>12024</v>
      </c>
      <c r="K90" s="170"/>
      <c r="L90" s="193"/>
      <c r="M90" s="165"/>
    </row>
    <row r="91" spans="1:13" ht="30">
      <c r="A91" s="67">
        <f t="shared" si="1"/>
        <v>89</v>
      </c>
      <c r="B91" s="164">
        <v>89</v>
      </c>
      <c r="C91" s="193" t="s">
        <v>1384</v>
      </c>
      <c r="D91" s="195" t="s">
        <v>4652</v>
      </c>
      <c r="E91" s="193" t="s">
        <v>7853</v>
      </c>
      <c r="F91" s="193" t="s">
        <v>59</v>
      </c>
      <c r="G91" s="195" t="s">
        <v>10038</v>
      </c>
      <c r="H91" s="166" t="s">
        <v>13436</v>
      </c>
      <c r="I91" s="193" t="s">
        <v>12817</v>
      </c>
      <c r="J91" s="193" t="s">
        <v>12025</v>
      </c>
      <c r="K91" s="170"/>
      <c r="L91" s="193"/>
      <c r="M91" s="165"/>
    </row>
    <row r="92" spans="1:13" ht="60">
      <c r="A92" s="67">
        <f t="shared" si="1"/>
        <v>90</v>
      </c>
      <c r="B92" s="164">
        <v>90</v>
      </c>
      <c r="C92" s="193" t="s">
        <v>1385</v>
      </c>
      <c r="D92" s="201" t="s">
        <v>4653</v>
      </c>
      <c r="E92" s="193" t="s">
        <v>7854</v>
      </c>
      <c r="F92" s="193" t="s">
        <v>59</v>
      </c>
      <c r="G92" s="195" t="s">
        <v>10039</v>
      </c>
      <c r="H92" s="166" t="s">
        <v>13436</v>
      </c>
      <c r="I92" s="193" t="s">
        <v>12834</v>
      </c>
      <c r="J92" s="193" t="s">
        <v>12026</v>
      </c>
      <c r="K92" s="170"/>
      <c r="L92" s="193"/>
      <c r="M92" s="165"/>
    </row>
    <row r="93" spans="1:13" ht="15.75">
      <c r="A93" s="67">
        <f t="shared" si="1"/>
        <v>91</v>
      </c>
      <c r="B93" s="164">
        <v>91</v>
      </c>
      <c r="C93" s="193" t="s">
        <v>1386</v>
      </c>
      <c r="D93" s="197" t="s">
        <v>4654</v>
      </c>
      <c r="E93" s="193" t="s">
        <v>7855</v>
      </c>
      <c r="F93" s="193" t="s">
        <v>114</v>
      </c>
      <c r="G93" s="195" t="s">
        <v>10040</v>
      </c>
      <c r="H93" s="166" t="s">
        <v>13436</v>
      </c>
      <c r="I93" s="193" t="s">
        <v>12816</v>
      </c>
      <c r="J93" s="193" t="s">
        <v>146</v>
      </c>
      <c r="K93" s="170"/>
      <c r="L93" s="193" t="s">
        <v>146</v>
      </c>
      <c r="M93" s="165"/>
    </row>
    <row r="94" spans="1:13" ht="15.75">
      <c r="A94" s="67">
        <f t="shared" si="1"/>
        <v>92</v>
      </c>
      <c r="B94" s="164">
        <v>92</v>
      </c>
      <c r="C94" s="193" t="s">
        <v>1387</v>
      </c>
      <c r="D94" s="195" t="s">
        <v>4655</v>
      </c>
      <c r="E94" s="193" t="s">
        <v>7849</v>
      </c>
      <c r="F94" s="193" t="s">
        <v>114</v>
      </c>
      <c r="G94" s="195" t="s">
        <v>10041</v>
      </c>
      <c r="H94" s="166" t="s">
        <v>13436</v>
      </c>
      <c r="I94" s="193" t="s">
        <v>12813</v>
      </c>
      <c r="J94" s="219" t="s">
        <v>146</v>
      </c>
      <c r="K94" s="170"/>
      <c r="L94" s="193" t="s">
        <v>146</v>
      </c>
      <c r="M94" s="165"/>
    </row>
    <row r="95" spans="1:13" ht="15.75">
      <c r="A95" s="67">
        <f t="shared" si="1"/>
        <v>93</v>
      </c>
      <c r="B95" s="164">
        <v>93</v>
      </c>
      <c r="C95" s="193" t="s">
        <v>1388</v>
      </c>
      <c r="D95" s="195" t="s">
        <v>4656</v>
      </c>
      <c r="E95" s="193" t="s">
        <v>7856</v>
      </c>
      <c r="F95" s="193" t="s">
        <v>114</v>
      </c>
      <c r="G95" s="195" t="s">
        <v>10042</v>
      </c>
      <c r="H95" s="166" t="s">
        <v>13436</v>
      </c>
      <c r="I95" s="193" t="s">
        <v>12813</v>
      </c>
      <c r="J95" s="193" t="s">
        <v>146</v>
      </c>
      <c r="K95" s="170"/>
      <c r="L95" s="193" t="s">
        <v>146</v>
      </c>
      <c r="M95" s="165"/>
    </row>
    <row r="96" spans="1:13" ht="15.75">
      <c r="A96" s="67">
        <f t="shared" si="1"/>
        <v>94</v>
      </c>
      <c r="B96" s="164">
        <v>94</v>
      </c>
      <c r="C96" s="193" t="s">
        <v>1389</v>
      </c>
      <c r="D96" s="195" t="s">
        <v>4657</v>
      </c>
      <c r="E96" s="193" t="s">
        <v>7857</v>
      </c>
      <c r="F96" s="193" t="s">
        <v>59</v>
      </c>
      <c r="G96" s="195" t="s">
        <v>1238</v>
      </c>
      <c r="H96" s="166" t="s">
        <v>13436</v>
      </c>
      <c r="I96" s="193" t="s">
        <v>12813</v>
      </c>
      <c r="J96" s="219" t="s">
        <v>146</v>
      </c>
      <c r="K96" s="170"/>
      <c r="L96" s="193"/>
      <c r="M96" s="165"/>
    </row>
    <row r="97" spans="1:13" ht="15.75">
      <c r="A97" s="67">
        <f t="shared" si="1"/>
        <v>95</v>
      </c>
      <c r="B97" s="164">
        <v>95</v>
      </c>
      <c r="C97" s="193" t="s">
        <v>1390</v>
      </c>
      <c r="D97" s="195" t="s">
        <v>4658</v>
      </c>
      <c r="E97" s="193" t="s">
        <v>7858</v>
      </c>
      <c r="F97" s="193" t="s">
        <v>59</v>
      </c>
      <c r="G97" s="195" t="s">
        <v>10043</v>
      </c>
      <c r="H97" s="166" t="s">
        <v>13436</v>
      </c>
      <c r="I97" s="193" t="s">
        <v>12813</v>
      </c>
      <c r="J97" s="193" t="s">
        <v>146</v>
      </c>
      <c r="K97" s="170"/>
      <c r="L97" s="193"/>
      <c r="M97" s="165"/>
    </row>
    <row r="98" spans="1:13" ht="45">
      <c r="A98" s="67">
        <f t="shared" si="1"/>
        <v>96</v>
      </c>
      <c r="B98" s="164">
        <v>96</v>
      </c>
      <c r="C98" s="193" t="s">
        <v>1391</v>
      </c>
      <c r="D98" s="196" t="s">
        <v>4659</v>
      </c>
      <c r="E98" s="193" t="s">
        <v>7859</v>
      </c>
      <c r="F98" s="193" t="s">
        <v>114</v>
      </c>
      <c r="G98" s="195" t="s">
        <v>10044</v>
      </c>
      <c r="H98" s="166" t="s">
        <v>13436</v>
      </c>
      <c r="I98" s="193" t="s">
        <v>12814</v>
      </c>
      <c r="J98" s="193" t="s">
        <v>146</v>
      </c>
      <c r="K98" s="170"/>
      <c r="L98" s="193" t="s">
        <v>12861</v>
      </c>
      <c r="M98" s="165"/>
    </row>
    <row r="99" spans="1:13" ht="75">
      <c r="A99" s="67">
        <f t="shared" si="1"/>
        <v>97</v>
      </c>
      <c r="B99" s="164">
        <v>97</v>
      </c>
      <c r="C99" s="193" t="s">
        <v>1392</v>
      </c>
      <c r="D99" s="195" t="s">
        <v>4660</v>
      </c>
      <c r="E99" s="193" t="s">
        <v>7860</v>
      </c>
      <c r="F99" s="193" t="s">
        <v>114</v>
      </c>
      <c r="G99" s="195" t="s">
        <v>10045</v>
      </c>
      <c r="H99" s="166" t="s">
        <v>13436</v>
      </c>
      <c r="I99" s="193" t="s">
        <v>12836</v>
      </c>
      <c r="J99" s="193" t="s">
        <v>146</v>
      </c>
      <c r="K99" s="170"/>
      <c r="L99" s="193" t="s">
        <v>12862</v>
      </c>
      <c r="M99" s="165"/>
    </row>
    <row r="100" spans="1:13" ht="60">
      <c r="A100" s="67">
        <f t="shared" si="1"/>
        <v>98</v>
      </c>
      <c r="B100" s="164">
        <v>98</v>
      </c>
      <c r="C100" s="193" t="s">
        <v>1393</v>
      </c>
      <c r="D100" s="196" t="s">
        <v>4661</v>
      </c>
      <c r="E100" s="193" t="s">
        <v>7861</v>
      </c>
      <c r="F100" s="193" t="s">
        <v>114</v>
      </c>
      <c r="G100" s="195" t="s">
        <v>10046</v>
      </c>
      <c r="H100" s="166" t="s">
        <v>13436</v>
      </c>
      <c r="I100" s="193" t="s">
        <v>12837</v>
      </c>
      <c r="J100" s="193" t="s">
        <v>146</v>
      </c>
      <c r="K100" s="170"/>
      <c r="L100" s="193" t="s">
        <v>12863</v>
      </c>
      <c r="M100" s="165"/>
    </row>
    <row r="101" spans="1:13" ht="15.75">
      <c r="A101" s="67">
        <f t="shared" si="1"/>
        <v>99</v>
      </c>
      <c r="B101" s="164">
        <v>99</v>
      </c>
      <c r="C101" s="193" t="s">
        <v>1394</v>
      </c>
      <c r="D101" s="195" t="s">
        <v>4662</v>
      </c>
      <c r="E101" s="193" t="s">
        <v>7862</v>
      </c>
      <c r="F101" s="193" t="s">
        <v>114</v>
      </c>
      <c r="G101" s="195" t="s">
        <v>10047</v>
      </c>
      <c r="H101" s="166" t="s">
        <v>13436</v>
      </c>
      <c r="I101" s="193" t="s">
        <v>12836</v>
      </c>
      <c r="J101" s="193" t="s">
        <v>1270</v>
      </c>
      <c r="K101" s="170"/>
      <c r="L101" s="193" t="s">
        <v>146</v>
      </c>
      <c r="M101" s="165"/>
    </row>
    <row r="102" spans="1:13" ht="15.75">
      <c r="A102" s="67">
        <f t="shared" si="1"/>
        <v>100</v>
      </c>
      <c r="B102" s="164">
        <v>100</v>
      </c>
      <c r="C102" s="193" t="s">
        <v>1395</v>
      </c>
      <c r="D102" s="195" t="s">
        <v>4663</v>
      </c>
      <c r="E102" s="193" t="s">
        <v>188</v>
      </c>
      <c r="F102" s="193" t="s">
        <v>114</v>
      </c>
      <c r="G102" s="195" t="s">
        <v>10048</v>
      </c>
      <c r="H102" s="166" t="s">
        <v>13436</v>
      </c>
      <c r="I102" s="193" t="s">
        <v>12836</v>
      </c>
      <c r="J102" s="193" t="s">
        <v>147</v>
      </c>
      <c r="K102" s="170"/>
      <c r="L102" s="193" t="s">
        <v>146</v>
      </c>
      <c r="M102" s="165"/>
    </row>
    <row r="103" spans="1:13" ht="105">
      <c r="A103" s="67">
        <f t="shared" si="1"/>
        <v>101</v>
      </c>
      <c r="B103" s="164">
        <v>101</v>
      </c>
      <c r="C103" s="193" t="s">
        <v>1396</v>
      </c>
      <c r="D103" s="195" t="s">
        <v>4664</v>
      </c>
      <c r="E103" s="193" t="s">
        <v>313</v>
      </c>
      <c r="F103" s="193" t="s">
        <v>114</v>
      </c>
      <c r="G103" s="195" t="s">
        <v>10049</v>
      </c>
      <c r="H103" s="166" t="s">
        <v>13436</v>
      </c>
      <c r="I103" s="193" t="s">
        <v>12821</v>
      </c>
      <c r="J103" s="193" t="s">
        <v>12027</v>
      </c>
      <c r="K103" s="170"/>
      <c r="L103" s="193" t="s">
        <v>12864</v>
      </c>
      <c r="M103" s="165"/>
    </row>
    <row r="104" spans="1:13" ht="15.75">
      <c r="A104" s="67">
        <f t="shared" si="1"/>
        <v>102</v>
      </c>
      <c r="B104" s="164">
        <v>102</v>
      </c>
      <c r="C104" s="193" t="s">
        <v>1397</v>
      </c>
      <c r="D104" s="195" t="s">
        <v>4665</v>
      </c>
      <c r="E104" s="193" t="s">
        <v>7863</v>
      </c>
      <c r="F104" s="193" t="s">
        <v>114</v>
      </c>
      <c r="G104" s="195" t="s">
        <v>10050</v>
      </c>
      <c r="H104" s="166" t="s">
        <v>13436</v>
      </c>
      <c r="I104" s="193" t="s">
        <v>12826</v>
      </c>
      <c r="J104" s="193" t="s">
        <v>146</v>
      </c>
      <c r="K104" s="170"/>
      <c r="L104" s="193" t="s">
        <v>146</v>
      </c>
      <c r="M104" s="165"/>
    </row>
    <row r="105" spans="1:13" ht="15.75">
      <c r="A105" s="67">
        <f t="shared" si="1"/>
        <v>103</v>
      </c>
      <c r="B105" s="164">
        <v>103</v>
      </c>
      <c r="C105" s="193" t="s">
        <v>1398</v>
      </c>
      <c r="D105" s="195" t="s">
        <v>4666</v>
      </c>
      <c r="E105" s="193" t="s">
        <v>7864</v>
      </c>
      <c r="F105" s="193" t="s">
        <v>114</v>
      </c>
      <c r="G105" s="195" t="s">
        <v>10051</v>
      </c>
      <c r="H105" s="166" t="s">
        <v>13436</v>
      </c>
      <c r="I105" s="193" t="s">
        <v>12835</v>
      </c>
      <c r="J105" s="193" t="s">
        <v>146</v>
      </c>
      <c r="K105" s="170"/>
      <c r="L105" s="193" t="s">
        <v>146</v>
      </c>
      <c r="M105" s="165"/>
    </row>
    <row r="106" spans="1:13" ht="15.75">
      <c r="A106" s="67">
        <f t="shared" si="1"/>
        <v>104</v>
      </c>
      <c r="B106" s="164">
        <v>104</v>
      </c>
      <c r="C106" s="193" t="s">
        <v>1399</v>
      </c>
      <c r="D106" s="195" t="s">
        <v>4667</v>
      </c>
      <c r="E106" s="193" t="s">
        <v>7865</v>
      </c>
      <c r="F106" s="193" t="s">
        <v>114</v>
      </c>
      <c r="G106" s="195" t="s">
        <v>10000</v>
      </c>
      <c r="H106" s="166" t="s">
        <v>13436</v>
      </c>
      <c r="I106" s="193" t="s">
        <v>12835</v>
      </c>
      <c r="J106" s="219" t="s">
        <v>146</v>
      </c>
      <c r="K106" s="170"/>
      <c r="L106" s="193" t="s">
        <v>146</v>
      </c>
      <c r="M106" s="165"/>
    </row>
    <row r="107" spans="1:13" ht="75">
      <c r="A107" s="67">
        <f t="shared" si="1"/>
        <v>105</v>
      </c>
      <c r="B107" s="164">
        <v>105</v>
      </c>
      <c r="C107" s="193" t="s">
        <v>1400</v>
      </c>
      <c r="D107" s="195" t="s">
        <v>4668</v>
      </c>
      <c r="E107" s="193" t="s">
        <v>7866</v>
      </c>
      <c r="F107" s="193" t="s">
        <v>114</v>
      </c>
      <c r="G107" s="195" t="s">
        <v>10052</v>
      </c>
      <c r="H107" s="166" t="s">
        <v>13436</v>
      </c>
      <c r="I107" s="193" t="s">
        <v>12836</v>
      </c>
      <c r="J107" s="193" t="s">
        <v>12028</v>
      </c>
      <c r="K107" s="170"/>
      <c r="L107" s="193" t="s">
        <v>12865</v>
      </c>
      <c r="M107" s="165"/>
    </row>
    <row r="108" spans="1:13" ht="30">
      <c r="A108" s="67">
        <f t="shared" si="1"/>
        <v>106</v>
      </c>
      <c r="B108" s="164">
        <v>106</v>
      </c>
      <c r="C108" s="193" t="s">
        <v>1401</v>
      </c>
      <c r="D108" s="195" t="s">
        <v>4669</v>
      </c>
      <c r="E108" s="193" t="s">
        <v>7867</v>
      </c>
      <c r="F108" s="193" t="s">
        <v>114</v>
      </c>
      <c r="G108" s="195" t="s">
        <v>10053</v>
      </c>
      <c r="H108" s="166" t="s">
        <v>13436</v>
      </c>
      <c r="I108" s="193" t="s">
        <v>12836</v>
      </c>
      <c r="J108" s="219" t="s">
        <v>12029</v>
      </c>
      <c r="K108" s="170"/>
      <c r="L108" s="193" t="s">
        <v>12866</v>
      </c>
      <c r="M108" s="165"/>
    </row>
    <row r="109" spans="1:13" ht="15.75">
      <c r="A109" s="67">
        <f t="shared" si="1"/>
        <v>107</v>
      </c>
      <c r="B109" s="164">
        <v>107</v>
      </c>
      <c r="C109" s="193" t="s">
        <v>1402</v>
      </c>
      <c r="D109" s="195" t="s">
        <v>4670</v>
      </c>
      <c r="E109" s="193" t="s">
        <v>7868</v>
      </c>
      <c r="F109" s="193" t="s">
        <v>114</v>
      </c>
      <c r="G109" s="195" t="s">
        <v>10054</v>
      </c>
      <c r="H109" s="166" t="s">
        <v>13436</v>
      </c>
      <c r="I109" s="193" t="s">
        <v>12836</v>
      </c>
      <c r="J109" s="193" t="s">
        <v>146</v>
      </c>
      <c r="K109" s="170"/>
      <c r="L109" s="193" t="s">
        <v>146</v>
      </c>
      <c r="M109" s="165"/>
    </row>
    <row r="110" spans="1:13" ht="30">
      <c r="A110" s="67">
        <f t="shared" si="1"/>
        <v>108</v>
      </c>
      <c r="B110" s="164">
        <v>108</v>
      </c>
      <c r="C110" s="193" t="s">
        <v>1403</v>
      </c>
      <c r="D110" s="195" t="s">
        <v>4671</v>
      </c>
      <c r="E110" s="193" t="s">
        <v>7869</v>
      </c>
      <c r="F110" s="193" t="s">
        <v>114</v>
      </c>
      <c r="G110" s="195" t="s">
        <v>10055</v>
      </c>
      <c r="H110" s="166" t="s">
        <v>13436</v>
      </c>
      <c r="I110" s="193" t="s">
        <v>12836</v>
      </c>
      <c r="J110" s="193" t="s">
        <v>12030</v>
      </c>
      <c r="K110" s="170"/>
      <c r="L110" s="193" t="s">
        <v>12867</v>
      </c>
      <c r="M110" s="165"/>
    </row>
    <row r="111" spans="1:13" ht="30">
      <c r="A111" s="67">
        <f t="shared" si="1"/>
        <v>109</v>
      </c>
      <c r="B111" s="164">
        <v>109</v>
      </c>
      <c r="C111" s="193" t="s">
        <v>1404</v>
      </c>
      <c r="D111" s="195" t="s">
        <v>4672</v>
      </c>
      <c r="E111" s="193" t="s">
        <v>639</v>
      </c>
      <c r="F111" s="193" t="s">
        <v>114</v>
      </c>
      <c r="G111" s="195" t="s">
        <v>10056</v>
      </c>
      <c r="H111" s="166" t="s">
        <v>13436</v>
      </c>
      <c r="I111" s="193" t="s">
        <v>12832</v>
      </c>
      <c r="J111" s="219" t="s">
        <v>146</v>
      </c>
      <c r="K111" s="170"/>
      <c r="L111" s="193" t="s">
        <v>12868</v>
      </c>
      <c r="M111" s="165"/>
    </row>
    <row r="112" spans="1:13" ht="45">
      <c r="A112" s="67">
        <f t="shared" si="1"/>
        <v>110</v>
      </c>
      <c r="B112" s="164">
        <v>110</v>
      </c>
      <c r="C112" s="193" t="s">
        <v>1405</v>
      </c>
      <c r="D112" s="195" t="s">
        <v>4673</v>
      </c>
      <c r="E112" s="193" t="s">
        <v>7870</v>
      </c>
      <c r="F112" s="193" t="s">
        <v>114</v>
      </c>
      <c r="G112" s="195" t="s">
        <v>10057</v>
      </c>
      <c r="H112" s="166" t="s">
        <v>13436</v>
      </c>
      <c r="I112" s="193" t="s">
        <v>12835</v>
      </c>
      <c r="J112" s="219" t="s">
        <v>12031</v>
      </c>
      <c r="K112" s="170"/>
      <c r="L112" s="193" t="s">
        <v>146</v>
      </c>
      <c r="M112" s="165"/>
    </row>
    <row r="113" spans="1:13" ht="45">
      <c r="A113" s="67">
        <f t="shared" si="1"/>
        <v>111</v>
      </c>
      <c r="B113" s="164">
        <v>111</v>
      </c>
      <c r="C113" s="193" t="s">
        <v>1406</v>
      </c>
      <c r="D113" s="195" t="s">
        <v>4674</v>
      </c>
      <c r="E113" s="193" t="s">
        <v>7871</v>
      </c>
      <c r="F113" s="193" t="s">
        <v>114</v>
      </c>
      <c r="G113" s="195" t="s">
        <v>10058</v>
      </c>
      <c r="H113" s="166" t="s">
        <v>13436</v>
      </c>
      <c r="I113" s="193" t="s">
        <v>12836</v>
      </c>
      <c r="J113" s="193" t="s">
        <v>12032</v>
      </c>
      <c r="K113" s="170"/>
      <c r="L113" s="193" t="s">
        <v>12869</v>
      </c>
      <c r="M113" s="165"/>
    </row>
    <row r="114" spans="1:13" ht="15.75">
      <c r="A114" s="67">
        <f t="shared" si="1"/>
        <v>112</v>
      </c>
      <c r="B114" s="164">
        <v>112</v>
      </c>
      <c r="C114" s="193" t="s">
        <v>1407</v>
      </c>
      <c r="D114" s="195" t="s">
        <v>4675</v>
      </c>
      <c r="E114" s="193" t="s">
        <v>7872</v>
      </c>
      <c r="F114" s="193" t="s">
        <v>114</v>
      </c>
      <c r="G114" s="195" t="s">
        <v>10059</v>
      </c>
      <c r="H114" s="166" t="s">
        <v>13436</v>
      </c>
      <c r="I114" s="193" t="s">
        <v>12836</v>
      </c>
      <c r="J114" s="219" t="s">
        <v>146</v>
      </c>
      <c r="K114" s="170"/>
      <c r="L114" s="193" t="s">
        <v>146</v>
      </c>
      <c r="M114" s="165"/>
    </row>
    <row r="115" spans="1:13" ht="75">
      <c r="A115" s="67">
        <f t="shared" si="1"/>
        <v>113</v>
      </c>
      <c r="B115" s="164">
        <v>113</v>
      </c>
      <c r="C115" s="193" t="s">
        <v>1408</v>
      </c>
      <c r="D115" s="195" t="s">
        <v>4676</v>
      </c>
      <c r="E115" s="193" t="s">
        <v>7873</v>
      </c>
      <c r="F115" s="193" t="s">
        <v>114</v>
      </c>
      <c r="G115" s="195" t="s">
        <v>10060</v>
      </c>
      <c r="H115" s="166" t="s">
        <v>13436</v>
      </c>
      <c r="I115" s="193" t="s">
        <v>12836</v>
      </c>
      <c r="J115" s="193" t="s">
        <v>12033</v>
      </c>
      <c r="K115" s="170"/>
      <c r="L115" s="193" t="s">
        <v>12870</v>
      </c>
      <c r="M115" s="165"/>
    </row>
    <row r="116" spans="1:13" ht="60">
      <c r="A116" s="67">
        <f t="shared" si="1"/>
        <v>114</v>
      </c>
      <c r="B116" s="164">
        <v>114</v>
      </c>
      <c r="C116" s="193" t="s">
        <v>1409</v>
      </c>
      <c r="D116" s="195" t="s">
        <v>4677</v>
      </c>
      <c r="E116" s="193" t="s">
        <v>7874</v>
      </c>
      <c r="F116" s="193" t="s">
        <v>114</v>
      </c>
      <c r="G116" s="195" t="s">
        <v>10061</v>
      </c>
      <c r="H116" s="166" t="s">
        <v>13436</v>
      </c>
      <c r="I116" s="193" t="s">
        <v>12836</v>
      </c>
      <c r="J116" s="193" t="s">
        <v>12034</v>
      </c>
      <c r="K116" s="170"/>
      <c r="L116" s="193" t="s">
        <v>12871</v>
      </c>
      <c r="M116" s="165"/>
    </row>
    <row r="117" spans="1:13" ht="75">
      <c r="A117" s="67">
        <f t="shared" si="1"/>
        <v>115</v>
      </c>
      <c r="B117" s="164">
        <v>115</v>
      </c>
      <c r="C117" s="193" t="s">
        <v>1410</v>
      </c>
      <c r="D117" s="195" t="s">
        <v>4678</v>
      </c>
      <c r="E117" s="193" t="s">
        <v>7875</v>
      </c>
      <c r="F117" s="193" t="s">
        <v>114</v>
      </c>
      <c r="G117" s="195" t="s">
        <v>10062</v>
      </c>
      <c r="H117" s="166" t="s">
        <v>13436</v>
      </c>
      <c r="I117" s="193" t="s">
        <v>12819</v>
      </c>
      <c r="J117" s="193" t="s">
        <v>146</v>
      </c>
      <c r="K117" s="170"/>
      <c r="L117" s="193" t="s">
        <v>12872</v>
      </c>
      <c r="M117" s="165"/>
    </row>
    <row r="118" spans="1:13" ht="30">
      <c r="A118" s="67">
        <f t="shared" si="1"/>
        <v>116</v>
      </c>
      <c r="B118" s="164">
        <v>116</v>
      </c>
      <c r="C118" s="193" t="s">
        <v>1411</v>
      </c>
      <c r="D118" s="195" t="s">
        <v>4679</v>
      </c>
      <c r="E118" s="193" t="s">
        <v>7876</v>
      </c>
      <c r="F118" s="193" t="s">
        <v>114</v>
      </c>
      <c r="G118" s="195" t="s">
        <v>10063</v>
      </c>
      <c r="H118" s="166" t="s">
        <v>13436</v>
      </c>
      <c r="I118" s="193" t="s">
        <v>12827</v>
      </c>
      <c r="J118" s="193" t="s">
        <v>12035</v>
      </c>
      <c r="K118" s="170"/>
      <c r="L118" s="193" t="s">
        <v>146</v>
      </c>
      <c r="M118" s="165"/>
    </row>
    <row r="119" spans="1:13" ht="45">
      <c r="A119" s="67">
        <f t="shared" si="1"/>
        <v>117</v>
      </c>
      <c r="B119" s="164">
        <v>117</v>
      </c>
      <c r="C119" s="193" t="s">
        <v>1412</v>
      </c>
      <c r="D119" s="195" t="s">
        <v>4680</v>
      </c>
      <c r="E119" s="193" t="s">
        <v>7877</v>
      </c>
      <c r="F119" s="193" t="s">
        <v>114</v>
      </c>
      <c r="G119" s="195" t="s">
        <v>10064</v>
      </c>
      <c r="H119" s="166" t="s">
        <v>13436</v>
      </c>
      <c r="I119" s="193" t="s">
        <v>12824</v>
      </c>
      <c r="J119" s="193" t="s">
        <v>12036</v>
      </c>
      <c r="K119" s="170"/>
      <c r="L119" s="193" t="s">
        <v>146</v>
      </c>
      <c r="M119" s="165"/>
    </row>
    <row r="120" spans="1:13" ht="30">
      <c r="A120" s="67">
        <f t="shared" si="1"/>
        <v>118</v>
      </c>
      <c r="B120" s="164">
        <v>118</v>
      </c>
      <c r="C120" s="193" t="s">
        <v>1413</v>
      </c>
      <c r="D120" s="195" t="s">
        <v>4681</v>
      </c>
      <c r="E120" s="193" t="s">
        <v>7878</v>
      </c>
      <c r="F120" s="193" t="s">
        <v>59</v>
      </c>
      <c r="G120" s="195" t="s">
        <v>10065</v>
      </c>
      <c r="H120" s="166" t="s">
        <v>13436</v>
      </c>
      <c r="I120" s="193" t="s">
        <v>12825</v>
      </c>
      <c r="J120" s="219" t="s">
        <v>12037</v>
      </c>
      <c r="K120" s="170"/>
      <c r="L120" s="193"/>
      <c r="M120" s="165"/>
    </row>
    <row r="121" spans="1:13" ht="15.75">
      <c r="A121" s="67">
        <f t="shared" si="1"/>
        <v>119</v>
      </c>
      <c r="B121" s="164">
        <v>119</v>
      </c>
      <c r="C121" s="193" t="s">
        <v>1414</v>
      </c>
      <c r="D121" s="195" t="s">
        <v>4682</v>
      </c>
      <c r="E121" s="193" t="s">
        <v>582</v>
      </c>
      <c r="F121" s="193" t="s">
        <v>59</v>
      </c>
      <c r="G121" s="195" t="s">
        <v>10066</v>
      </c>
      <c r="H121" s="166" t="s">
        <v>13436</v>
      </c>
      <c r="I121" s="193" t="s">
        <v>12817</v>
      </c>
      <c r="J121" s="193" t="s">
        <v>146</v>
      </c>
      <c r="K121" s="170"/>
      <c r="L121" s="193"/>
      <c r="M121" s="165"/>
    </row>
    <row r="122" spans="1:13" ht="15.75">
      <c r="A122" s="67">
        <f t="shared" si="1"/>
        <v>120</v>
      </c>
      <c r="B122" s="164">
        <v>120</v>
      </c>
      <c r="C122" s="193" t="s">
        <v>1415</v>
      </c>
      <c r="D122" s="199" t="s">
        <v>4683</v>
      </c>
      <c r="E122" s="193" t="s">
        <v>7879</v>
      </c>
      <c r="F122" s="193" t="s">
        <v>59</v>
      </c>
      <c r="G122" s="195" t="s">
        <v>10067</v>
      </c>
      <c r="H122" s="166" t="s">
        <v>13436</v>
      </c>
      <c r="I122" s="193" t="s">
        <v>12831</v>
      </c>
      <c r="J122" s="193" t="s">
        <v>1257</v>
      </c>
      <c r="K122" s="170"/>
      <c r="L122" s="193"/>
      <c r="M122" s="165"/>
    </row>
    <row r="123" spans="1:13" ht="15.75">
      <c r="A123" s="67">
        <f t="shared" si="1"/>
        <v>121</v>
      </c>
      <c r="B123" s="164">
        <v>121</v>
      </c>
      <c r="C123" s="193" t="s">
        <v>1416</v>
      </c>
      <c r="D123" s="195" t="s">
        <v>4684</v>
      </c>
      <c r="E123" s="193" t="s">
        <v>7880</v>
      </c>
      <c r="F123" s="193" t="s">
        <v>59</v>
      </c>
      <c r="G123" s="195" t="s">
        <v>10068</v>
      </c>
      <c r="H123" s="166" t="s">
        <v>13436</v>
      </c>
      <c r="I123" s="193" t="s">
        <v>12821</v>
      </c>
      <c r="J123" s="193" t="s">
        <v>164</v>
      </c>
      <c r="K123" s="170"/>
      <c r="L123" s="193"/>
      <c r="M123" s="165"/>
    </row>
    <row r="124" spans="1:13" ht="30">
      <c r="A124" s="67">
        <f t="shared" si="1"/>
        <v>122</v>
      </c>
      <c r="B124" s="164">
        <v>122</v>
      </c>
      <c r="C124" s="193" t="s">
        <v>1417</v>
      </c>
      <c r="D124" s="195" t="s">
        <v>4685</v>
      </c>
      <c r="E124" s="193" t="s">
        <v>299</v>
      </c>
      <c r="F124" s="193" t="s">
        <v>114</v>
      </c>
      <c r="G124" s="195" t="s">
        <v>10069</v>
      </c>
      <c r="H124" s="166" t="s">
        <v>13436</v>
      </c>
      <c r="I124" s="193" t="s">
        <v>12827</v>
      </c>
      <c r="J124" s="193" t="s">
        <v>12038</v>
      </c>
      <c r="K124" s="170"/>
      <c r="L124" s="193" t="s">
        <v>146</v>
      </c>
      <c r="M124" s="165"/>
    </row>
    <row r="125" spans="1:13" ht="15.75">
      <c r="A125" s="67">
        <f t="shared" si="1"/>
        <v>123</v>
      </c>
      <c r="B125" s="164">
        <v>123</v>
      </c>
      <c r="C125" s="193" t="s">
        <v>1418</v>
      </c>
      <c r="D125" s="195" t="s">
        <v>4686</v>
      </c>
      <c r="E125" s="193" t="s">
        <v>7881</v>
      </c>
      <c r="F125" s="193" t="s">
        <v>114</v>
      </c>
      <c r="G125" s="195" t="s">
        <v>10070</v>
      </c>
      <c r="H125" s="166" t="s">
        <v>13436</v>
      </c>
      <c r="I125" s="193" t="s">
        <v>12813</v>
      </c>
      <c r="J125" s="193" t="s">
        <v>146</v>
      </c>
      <c r="K125" s="170"/>
      <c r="L125" s="193" t="s">
        <v>146</v>
      </c>
      <c r="M125" s="165"/>
    </row>
    <row r="126" spans="1:13" ht="30">
      <c r="A126" s="67">
        <f t="shared" si="1"/>
        <v>124</v>
      </c>
      <c r="B126" s="164">
        <v>124</v>
      </c>
      <c r="C126" s="193" t="s">
        <v>1419</v>
      </c>
      <c r="D126" s="195" t="s">
        <v>4687</v>
      </c>
      <c r="E126" s="193" t="s">
        <v>7882</v>
      </c>
      <c r="F126" s="193" t="s">
        <v>114</v>
      </c>
      <c r="G126" s="195" t="s">
        <v>10071</v>
      </c>
      <c r="H126" s="166" t="s">
        <v>13436</v>
      </c>
      <c r="I126" s="193" t="s">
        <v>12813</v>
      </c>
      <c r="J126" s="193" t="s">
        <v>12039</v>
      </c>
      <c r="K126" s="170"/>
      <c r="L126" s="193" t="s">
        <v>12873</v>
      </c>
      <c r="M126" s="165"/>
    </row>
    <row r="127" spans="1:13" ht="15.75">
      <c r="A127" s="67">
        <f t="shared" si="1"/>
        <v>125</v>
      </c>
      <c r="B127" s="164">
        <v>125</v>
      </c>
      <c r="C127" s="193" t="s">
        <v>1420</v>
      </c>
      <c r="D127" s="195" t="s">
        <v>4688</v>
      </c>
      <c r="E127" s="193" t="s">
        <v>7883</v>
      </c>
      <c r="F127" s="193" t="s">
        <v>59</v>
      </c>
      <c r="G127" s="195" t="s">
        <v>10072</v>
      </c>
      <c r="H127" s="166" t="s">
        <v>13436</v>
      </c>
      <c r="I127" s="193" t="s">
        <v>12813</v>
      </c>
      <c r="J127" s="193" t="s">
        <v>146</v>
      </c>
      <c r="K127" s="170"/>
      <c r="L127" s="193"/>
      <c r="M127" s="165"/>
    </row>
    <row r="128" spans="1:13" ht="15.75">
      <c r="A128" s="67">
        <f t="shared" si="1"/>
        <v>126</v>
      </c>
      <c r="B128" s="164">
        <v>126</v>
      </c>
      <c r="C128" s="193" t="s">
        <v>1421</v>
      </c>
      <c r="D128" s="195" t="s">
        <v>4689</v>
      </c>
      <c r="E128" s="193" t="s">
        <v>7884</v>
      </c>
      <c r="F128" s="193" t="s">
        <v>114</v>
      </c>
      <c r="G128" s="195" t="s">
        <v>10073</v>
      </c>
      <c r="H128" s="166" t="s">
        <v>13436</v>
      </c>
      <c r="I128" s="193" t="s">
        <v>12824</v>
      </c>
      <c r="J128" s="193" t="s">
        <v>147</v>
      </c>
      <c r="K128" s="170"/>
      <c r="L128" s="193" t="s">
        <v>146</v>
      </c>
      <c r="M128" s="165"/>
    </row>
    <row r="129" spans="1:13" ht="30">
      <c r="A129" s="67">
        <f t="shared" si="1"/>
        <v>127</v>
      </c>
      <c r="B129" s="164">
        <v>127</v>
      </c>
      <c r="C129" s="193" t="s">
        <v>1422</v>
      </c>
      <c r="D129" s="195" t="s">
        <v>4690</v>
      </c>
      <c r="E129" s="193" t="s">
        <v>177</v>
      </c>
      <c r="F129" s="193" t="s">
        <v>114</v>
      </c>
      <c r="G129" s="195" t="s">
        <v>10074</v>
      </c>
      <c r="H129" s="166" t="s">
        <v>13436</v>
      </c>
      <c r="I129" s="193" t="s">
        <v>12817</v>
      </c>
      <c r="J129" s="193" t="s">
        <v>12040</v>
      </c>
      <c r="K129" s="170"/>
      <c r="L129" s="193" t="s">
        <v>146</v>
      </c>
      <c r="M129" s="165"/>
    </row>
    <row r="130" spans="1:13" ht="30">
      <c r="A130" s="67">
        <f t="shared" si="1"/>
        <v>128</v>
      </c>
      <c r="B130" s="164">
        <v>128</v>
      </c>
      <c r="C130" s="193" t="s">
        <v>1423</v>
      </c>
      <c r="D130" s="195" t="s">
        <v>4691</v>
      </c>
      <c r="E130" s="193" t="s">
        <v>7885</v>
      </c>
      <c r="F130" s="193" t="s">
        <v>114</v>
      </c>
      <c r="G130" s="195" t="s">
        <v>10075</v>
      </c>
      <c r="H130" s="166" t="s">
        <v>13436</v>
      </c>
      <c r="I130" s="193" t="s">
        <v>12827</v>
      </c>
      <c r="J130" s="193" t="s">
        <v>146</v>
      </c>
      <c r="K130" s="170"/>
      <c r="L130" s="193" t="s">
        <v>12874</v>
      </c>
      <c r="M130" s="165"/>
    </row>
    <row r="131" spans="1:13" ht="75">
      <c r="A131" s="67">
        <f t="shared" ref="A131:A194" si="2">IFERROR(VALUE(RIGHT(C131,4)),"")</f>
        <v>129</v>
      </c>
      <c r="B131" s="164">
        <v>129</v>
      </c>
      <c r="C131" s="193" t="s">
        <v>1424</v>
      </c>
      <c r="D131" s="199" t="s">
        <v>4692</v>
      </c>
      <c r="E131" s="193" t="s">
        <v>380</v>
      </c>
      <c r="F131" s="193" t="s">
        <v>114</v>
      </c>
      <c r="G131" s="195" t="s">
        <v>10076</v>
      </c>
      <c r="H131" s="166" t="s">
        <v>13436</v>
      </c>
      <c r="I131" s="193" t="s">
        <v>12831</v>
      </c>
      <c r="J131" s="193" t="s">
        <v>12041</v>
      </c>
      <c r="K131" s="170"/>
      <c r="L131" s="193" t="s">
        <v>12875</v>
      </c>
      <c r="M131" s="165"/>
    </row>
    <row r="132" spans="1:13" ht="75">
      <c r="A132" s="67">
        <f t="shared" si="2"/>
        <v>130</v>
      </c>
      <c r="B132" s="164">
        <v>130</v>
      </c>
      <c r="C132" s="193" t="s">
        <v>1425</v>
      </c>
      <c r="D132" s="195" t="s">
        <v>4693</v>
      </c>
      <c r="E132" s="193" t="s">
        <v>7886</v>
      </c>
      <c r="F132" s="193" t="s">
        <v>114</v>
      </c>
      <c r="G132" s="195" t="s">
        <v>727</v>
      </c>
      <c r="H132" s="166" t="s">
        <v>13436</v>
      </c>
      <c r="I132" s="193" t="s">
        <v>12814</v>
      </c>
      <c r="J132" s="219" t="s">
        <v>12042</v>
      </c>
      <c r="K132" s="170"/>
      <c r="L132" s="193" t="s">
        <v>12876</v>
      </c>
      <c r="M132" s="165"/>
    </row>
    <row r="133" spans="1:13" ht="30">
      <c r="A133" s="67">
        <f t="shared" si="2"/>
        <v>131</v>
      </c>
      <c r="B133" s="164">
        <v>131</v>
      </c>
      <c r="C133" s="193" t="s">
        <v>1426</v>
      </c>
      <c r="D133" s="195" t="s">
        <v>4694</v>
      </c>
      <c r="E133" s="193" t="s">
        <v>7887</v>
      </c>
      <c r="F133" s="193" t="s">
        <v>114</v>
      </c>
      <c r="G133" s="195" t="s">
        <v>10077</v>
      </c>
      <c r="H133" s="166" t="s">
        <v>13436</v>
      </c>
      <c r="I133" s="193" t="s">
        <v>12813</v>
      </c>
      <c r="J133" s="193" t="s">
        <v>146</v>
      </c>
      <c r="K133" s="170"/>
      <c r="L133" s="193" t="s">
        <v>12877</v>
      </c>
      <c r="M133" s="165"/>
    </row>
    <row r="134" spans="1:13" ht="15.75">
      <c r="A134" s="67">
        <f t="shared" si="2"/>
        <v>132</v>
      </c>
      <c r="B134" s="164">
        <v>132</v>
      </c>
      <c r="C134" s="193" t="s">
        <v>1427</v>
      </c>
      <c r="D134" s="195" t="s">
        <v>4695</v>
      </c>
      <c r="E134" s="193" t="s">
        <v>7888</v>
      </c>
      <c r="F134" s="193" t="s">
        <v>59</v>
      </c>
      <c r="G134" s="195" t="s">
        <v>10040</v>
      </c>
      <c r="H134" s="166" t="s">
        <v>13436</v>
      </c>
      <c r="I134" s="193" t="s">
        <v>12819</v>
      </c>
      <c r="J134" s="193" t="s">
        <v>147</v>
      </c>
      <c r="K134" s="170"/>
      <c r="L134" s="193"/>
      <c r="M134" s="165"/>
    </row>
    <row r="135" spans="1:13" ht="75">
      <c r="A135" s="67">
        <f t="shared" si="2"/>
        <v>133</v>
      </c>
      <c r="B135" s="164">
        <v>133</v>
      </c>
      <c r="C135" s="193" t="s">
        <v>1428</v>
      </c>
      <c r="D135" s="195" t="s">
        <v>4696</v>
      </c>
      <c r="E135" s="193" t="s">
        <v>7889</v>
      </c>
      <c r="F135" s="193" t="s">
        <v>59</v>
      </c>
      <c r="G135" s="195" t="s">
        <v>10078</v>
      </c>
      <c r="H135" s="166" t="s">
        <v>13436</v>
      </c>
      <c r="I135" s="193" t="s">
        <v>12821</v>
      </c>
      <c r="J135" s="219" t="s">
        <v>12043</v>
      </c>
      <c r="K135" s="170"/>
      <c r="L135" s="193"/>
      <c r="M135" s="165"/>
    </row>
    <row r="136" spans="1:13" ht="30">
      <c r="A136" s="67">
        <f t="shared" si="2"/>
        <v>134</v>
      </c>
      <c r="B136" s="164">
        <v>134</v>
      </c>
      <c r="C136" s="193" t="s">
        <v>1429</v>
      </c>
      <c r="D136" s="195" t="s">
        <v>4697</v>
      </c>
      <c r="E136" s="193" t="s">
        <v>7890</v>
      </c>
      <c r="F136" s="193" t="s">
        <v>59</v>
      </c>
      <c r="G136" s="195" t="s">
        <v>10079</v>
      </c>
      <c r="H136" s="166" t="s">
        <v>13436</v>
      </c>
      <c r="I136" s="193" t="s">
        <v>12821</v>
      </c>
      <c r="J136" s="193" t="s">
        <v>12044</v>
      </c>
      <c r="K136" s="170"/>
      <c r="L136" s="193"/>
      <c r="M136" s="165"/>
    </row>
    <row r="137" spans="1:13" ht="15.75">
      <c r="A137" s="67">
        <f t="shared" si="2"/>
        <v>135</v>
      </c>
      <c r="B137" s="164">
        <v>135</v>
      </c>
      <c r="C137" s="193" t="s">
        <v>1430</v>
      </c>
      <c r="D137" s="195" t="s">
        <v>4698</v>
      </c>
      <c r="E137" s="193" t="s">
        <v>7891</v>
      </c>
      <c r="F137" s="193" t="s">
        <v>59</v>
      </c>
      <c r="G137" s="195" t="s">
        <v>10080</v>
      </c>
      <c r="H137" s="166" t="s">
        <v>13436</v>
      </c>
      <c r="I137" s="193" t="s">
        <v>12821</v>
      </c>
      <c r="J137" s="193" t="s">
        <v>12045</v>
      </c>
      <c r="K137" s="170"/>
      <c r="L137" s="193"/>
      <c r="M137" s="165"/>
    </row>
    <row r="138" spans="1:13" ht="15.75">
      <c r="A138" s="67">
        <f t="shared" si="2"/>
        <v>136</v>
      </c>
      <c r="B138" s="164">
        <v>136</v>
      </c>
      <c r="C138" s="193" t="s">
        <v>1431</v>
      </c>
      <c r="D138" s="195" t="s">
        <v>4699</v>
      </c>
      <c r="E138" s="193" t="s">
        <v>7892</v>
      </c>
      <c r="F138" s="193" t="s">
        <v>59</v>
      </c>
      <c r="G138" s="195" t="s">
        <v>10081</v>
      </c>
      <c r="H138" s="166" t="s">
        <v>13436</v>
      </c>
      <c r="I138" s="193" t="s">
        <v>12813</v>
      </c>
      <c r="J138" s="193" t="s">
        <v>164</v>
      </c>
      <c r="K138" s="170"/>
      <c r="L138" s="193"/>
      <c r="M138" s="165"/>
    </row>
    <row r="139" spans="1:13" ht="30">
      <c r="A139" s="67">
        <f t="shared" si="2"/>
        <v>137</v>
      </c>
      <c r="B139" s="164">
        <v>137</v>
      </c>
      <c r="C139" s="193" t="s">
        <v>1432</v>
      </c>
      <c r="D139" s="195" t="s">
        <v>4700</v>
      </c>
      <c r="E139" s="193" t="s">
        <v>7893</v>
      </c>
      <c r="F139" s="193" t="s">
        <v>114</v>
      </c>
      <c r="G139" s="195" t="s">
        <v>10082</v>
      </c>
      <c r="H139" s="166" t="s">
        <v>13436</v>
      </c>
      <c r="I139" s="193" t="s">
        <v>12826</v>
      </c>
      <c r="J139" s="193" t="s">
        <v>12046</v>
      </c>
      <c r="K139" s="170"/>
      <c r="L139" s="193" t="s">
        <v>12878</v>
      </c>
      <c r="M139" s="165"/>
    </row>
    <row r="140" spans="1:13" ht="15.75">
      <c r="A140" s="67">
        <f t="shared" si="2"/>
        <v>138</v>
      </c>
      <c r="B140" s="164">
        <v>138</v>
      </c>
      <c r="C140" s="193" t="s">
        <v>1433</v>
      </c>
      <c r="D140" s="195" t="s">
        <v>4701</v>
      </c>
      <c r="E140" s="193" t="s">
        <v>7894</v>
      </c>
      <c r="F140" s="193" t="s">
        <v>114</v>
      </c>
      <c r="G140" s="195" t="s">
        <v>10083</v>
      </c>
      <c r="H140" s="166" t="s">
        <v>13436</v>
      </c>
      <c r="I140" s="193" t="s">
        <v>12821</v>
      </c>
      <c r="J140" s="193" t="s">
        <v>146</v>
      </c>
      <c r="K140" s="170"/>
      <c r="L140" s="193" t="s">
        <v>146</v>
      </c>
      <c r="M140" s="165"/>
    </row>
    <row r="141" spans="1:13" ht="60">
      <c r="A141" s="67">
        <f t="shared" si="2"/>
        <v>139</v>
      </c>
      <c r="B141" s="164">
        <v>139</v>
      </c>
      <c r="C141" s="193" t="s">
        <v>1434</v>
      </c>
      <c r="D141" s="195" t="s">
        <v>4702</v>
      </c>
      <c r="E141" s="193" t="s">
        <v>7895</v>
      </c>
      <c r="F141" s="193" t="s">
        <v>114</v>
      </c>
      <c r="G141" s="195" t="s">
        <v>679</v>
      </c>
      <c r="H141" s="166" t="s">
        <v>13436</v>
      </c>
      <c r="I141" s="193" t="s">
        <v>12836</v>
      </c>
      <c r="J141" s="193" t="s">
        <v>146</v>
      </c>
      <c r="K141" s="170"/>
      <c r="L141" s="193" t="s">
        <v>12879</v>
      </c>
      <c r="M141" s="165"/>
    </row>
    <row r="142" spans="1:13" ht="15.75">
      <c r="A142" s="67">
        <f t="shared" si="2"/>
        <v>140</v>
      </c>
      <c r="B142" s="164">
        <v>140</v>
      </c>
      <c r="C142" s="193" t="s">
        <v>1435</v>
      </c>
      <c r="D142" s="195" t="s">
        <v>4703</v>
      </c>
      <c r="E142" s="193" t="s">
        <v>613</v>
      </c>
      <c r="F142" s="193" t="s">
        <v>114</v>
      </c>
      <c r="G142" s="195" t="s">
        <v>10084</v>
      </c>
      <c r="H142" s="166" t="s">
        <v>13436</v>
      </c>
      <c r="I142" s="193" t="s">
        <v>12836</v>
      </c>
      <c r="J142" s="193" t="s">
        <v>146</v>
      </c>
      <c r="K142" s="170"/>
      <c r="L142" s="193" t="s">
        <v>146</v>
      </c>
      <c r="M142" s="165"/>
    </row>
    <row r="143" spans="1:13" ht="15.75">
      <c r="A143" s="67">
        <f t="shared" si="2"/>
        <v>141</v>
      </c>
      <c r="B143" s="164">
        <v>141</v>
      </c>
      <c r="C143" s="193" t="s">
        <v>1436</v>
      </c>
      <c r="D143" s="195" t="s">
        <v>4704</v>
      </c>
      <c r="E143" s="193" t="s">
        <v>7896</v>
      </c>
      <c r="F143" s="193" t="s">
        <v>114</v>
      </c>
      <c r="G143" s="195" t="s">
        <v>10085</v>
      </c>
      <c r="H143" s="166" t="s">
        <v>13436</v>
      </c>
      <c r="I143" s="193" t="s">
        <v>12824</v>
      </c>
      <c r="J143" s="193" t="s">
        <v>147</v>
      </c>
      <c r="K143" s="170"/>
      <c r="L143" s="193" t="s">
        <v>146</v>
      </c>
      <c r="M143" s="165"/>
    </row>
    <row r="144" spans="1:13" ht="15.75">
      <c r="A144" s="67">
        <f t="shared" si="2"/>
        <v>142</v>
      </c>
      <c r="B144" s="164">
        <v>142</v>
      </c>
      <c r="C144" s="193" t="s">
        <v>1437</v>
      </c>
      <c r="D144" s="195" t="s">
        <v>4705</v>
      </c>
      <c r="E144" s="193" t="s">
        <v>7897</v>
      </c>
      <c r="F144" s="193" t="s">
        <v>114</v>
      </c>
      <c r="G144" s="195" t="s">
        <v>10086</v>
      </c>
      <c r="H144" s="166" t="s">
        <v>13436</v>
      </c>
      <c r="I144" s="193" t="s">
        <v>12826</v>
      </c>
      <c r="J144" s="193" t="s">
        <v>146</v>
      </c>
      <c r="K144" s="170"/>
      <c r="L144" s="193" t="s">
        <v>146</v>
      </c>
      <c r="M144" s="165"/>
    </row>
    <row r="145" spans="1:13" ht="75">
      <c r="A145" s="67">
        <f t="shared" si="2"/>
        <v>143</v>
      </c>
      <c r="B145" s="164">
        <v>143</v>
      </c>
      <c r="C145" s="193" t="s">
        <v>1438</v>
      </c>
      <c r="D145" s="196" t="s">
        <v>4706</v>
      </c>
      <c r="E145" s="193" t="s">
        <v>7898</v>
      </c>
      <c r="F145" s="193" t="s">
        <v>114</v>
      </c>
      <c r="G145" s="195" t="s">
        <v>10087</v>
      </c>
      <c r="H145" s="166" t="s">
        <v>13436</v>
      </c>
      <c r="I145" s="193" t="s">
        <v>12833</v>
      </c>
      <c r="J145" s="193" t="s">
        <v>146</v>
      </c>
      <c r="K145" s="170"/>
      <c r="L145" s="193" t="s">
        <v>12880</v>
      </c>
      <c r="M145" s="165"/>
    </row>
    <row r="146" spans="1:13" ht="15.75">
      <c r="A146" s="67">
        <f t="shared" si="2"/>
        <v>144</v>
      </c>
      <c r="B146" s="164">
        <v>144</v>
      </c>
      <c r="C146" s="193" t="s">
        <v>1439</v>
      </c>
      <c r="D146" s="195" t="s">
        <v>4707</v>
      </c>
      <c r="E146" s="193" t="s">
        <v>7899</v>
      </c>
      <c r="F146" s="193" t="s">
        <v>114</v>
      </c>
      <c r="G146" s="195" t="s">
        <v>10088</v>
      </c>
      <c r="H146" s="166" t="s">
        <v>13436</v>
      </c>
      <c r="I146" s="193" t="s">
        <v>12835</v>
      </c>
      <c r="J146" s="193" t="s">
        <v>146</v>
      </c>
      <c r="K146" s="170"/>
      <c r="L146" s="193" t="s">
        <v>146</v>
      </c>
      <c r="M146" s="165"/>
    </row>
    <row r="147" spans="1:13" ht="30">
      <c r="A147" s="67">
        <f t="shared" si="2"/>
        <v>145</v>
      </c>
      <c r="B147" s="164">
        <v>145</v>
      </c>
      <c r="C147" s="193" t="s">
        <v>1440</v>
      </c>
      <c r="D147" s="195" t="s">
        <v>4708</v>
      </c>
      <c r="E147" s="193" t="s">
        <v>330</v>
      </c>
      <c r="F147" s="193" t="s">
        <v>114</v>
      </c>
      <c r="G147" s="195" t="s">
        <v>10089</v>
      </c>
      <c r="H147" s="166" t="s">
        <v>13436</v>
      </c>
      <c r="I147" s="193" t="s">
        <v>12836</v>
      </c>
      <c r="J147" s="193" t="s">
        <v>12047</v>
      </c>
      <c r="K147" s="170"/>
      <c r="L147" s="193" t="s">
        <v>146</v>
      </c>
      <c r="M147" s="165"/>
    </row>
    <row r="148" spans="1:13" ht="30">
      <c r="A148" s="67">
        <f t="shared" si="2"/>
        <v>146</v>
      </c>
      <c r="B148" s="164">
        <v>146</v>
      </c>
      <c r="C148" s="193" t="s">
        <v>1441</v>
      </c>
      <c r="D148" s="195" t="s">
        <v>4709</v>
      </c>
      <c r="E148" s="193" t="s">
        <v>7900</v>
      </c>
      <c r="F148" s="193" t="s">
        <v>114</v>
      </c>
      <c r="G148" s="195" t="s">
        <v>10090</v>
      </c>
      <c r="H148" s="166" t="s">
        <v>13436</v>
      </c>
      <c r="I148" s="193" t="s">
        <v>12836</v>
      </c>
      <c r="J148" s="193" t="s">
        <v>12048</v>
      </c>
      <c r="K148" s="170"/>
      <c r="L148" s="193" t="s">
        <v>146</v>
      </c>
      <c r="M148" s="165"/>
    </row>
    <row r="149" spans="1:13" ht="15.75">
      <c r="A149" s="67">
        <f t="shared" si="2"/>
        <v>147</v>
      </c>
      <c r="B149" s="164">
        <v>147</v>
      </c>
      <c r="C149" s="193" t="s">
        <v>1442</v>
      </c>
      <c r="D149" s="195" t="s">
        <v>4710</v>
      </c>
      <c r="E149" s="193" t="s">
        <v>7901</v>
      </c>
      <c r="F149" s="193" t="s">
        <v>114</v>
      </c>
      <c r="G149" s="195" t="s">
        <v>10091</v>
      </c>
      <c r="H149" s="166" t="s">
        <v>13436</v>
      </c>
      <c r="I149" s="193" t="s">
        <v>12827</v>
      </c>
      <c r="J149" s="193" t="s">
        <v>146</v>
      </c>
      <c r="K149" s="170"/>
      <c r="L149" s="193" t="s">
        <v>146</v>
      </c>
      <c r="M149" s="165"/>
    </row>
    <row r="150" spans="1:13" ht="15.75">
      <c r="A150" s="67">
        <f t="shared" si="2"/>
        <v>148</v>
      </c>
      <c r="B150" s="164">
        <v>148</v>
      </c>
      <c r="C150" s="193" t="s">
        <v>1443</v>
      </c>
      <c r="D150" s="195" t="s">
        <v>4711</v>
      </c>
      <c r="E150" s="193" t="s">
        <v>7902</v>
      </c>
      <c r="F150" s="193" t="s">
        <v>59</v>
      </c>
      <c r="G150" s="195" t="s">
        <v>10092</v>
      </c>
      <c r="H150" s="166" t="s">
        <v>13436</v>
      </c>
      <c r="I150" s="193" t="s">
        <v>12817</v>
      </c>
      <c r="J150" s="193" t="s">
        <v>164</v>
      </c>
      <c r="K150" s="170"/>
      <c r="L150" s="193"/>
      <c r="M150" s="165"/>
    </row>
    <row r="151" spans="1:13" ht="15.75">
      <c r="A151" s="67">
        <f t="shared" si="2"/>
        <v>149</v>
      </c>
      <c r="B151" s="164">
        <v>149</v>
      </c>
      <c r="C151" s="193" t="s">
        <v>1444</v>
      </c>
      <c r="D151" s="195" t="s">
        <v>4712</v>
      </c>
      <c r="E151" s="193" t="s">
        <v>7903</v>
      </c>
      <c r="F151" s="193" t="s">
        <v>59</v>
      </c>
      <c r="G151" s="195" t="s">
        <v>10093</v>
      </c>
      <c r="H151" s="166" t="s">
        <v>13436</v>
      </c>
      <c r="I151" s="193" t="s">
        <v>12813</v>
      </c>
      <c r="J151" s="193" t="s">
        <v>146</v>
      </c>
      <c r="K151" s="170"/>
      <c r="L151" s="193"/>
      <c r="M151" s="165"/>
    </row>
    <row r="152" spans="1:13" ht="15.75">
      <c r="A152" s="67">
        <f t="shared" si="2"/>
        <v>150</v>
      </c>
      <c r="B152" s="164">
        <v>150</v>
      </c>
      <c r="C152" s="193" t="s">
        <v>1445</v>
      </c>
      <c r="D152" s="195" t="s">
        <v>4713</v>
      </c>
      <c r="E152" s="193" t="s">
        <v>169</v>
      </c>
      <c r="F152" s="193" t="s">
        <v>114</v>
      </c>
      <c r="G152" s="195" t="s">
        <v>10094</v>
      </c>
      <c r="H152" s="166" t="s">
        <v>13436</v>
      </c>
      <c r="I152" s="193" t="s">
        <v>12812</v>
      </c>
      <c r="J152" s="219" t="s">
        <v>146</v>
      </c>
      <c r="K152" s="170"/>
      <c r="L152" s="193" t="s">
        <v>146</v>
      </c>
      <c r="M152" s="165"/>
    </row>
    <row r="153" spans="1:13" ht="75">
      <c r="A153" s="67">
        <f t="shared" si="2"/>
        <v>151</v>
      </c>
      <c r="B153" s="164">
        <v>151</v>
      </c>
      <c r="C153" s="193" t="s">
        <v>1446</v>
      </c>
      <c r="D153" s="195" t="s">
        <v>4714</v>
      </c>
      <c r="E153" s="193" t="s">
        <v>642</v>
      </c>
      <c r="F153" s="193" t="s">
        <v>114</v>
      </c>
      <c r="G153" s="195" t="s">
        <v>10095</v>
      </c>
      <c r="H153" s="166" t="s">
        <v>13436</v>
      </c>
      <c r="I153" s="193" t="s">
        <v>12835</v>
      </c>
      <c r="J153" s="193" t="s">
        <v>12049</v>
      </c>
      <c r="K153" s="170"/>
      <c r="L153" s="193" t="s">
        <v>12881</v>
      </c>
      <c r="M153" s="165"/>
    </row>
    <row r="154" spans="1:13" ht="15.75">
      <c r="A154" s="67">
        <f t="shared" si="2"/>
        <v>152</v>
      </c>
      <c r="B154" s="164">
        <v>152</v>
      </c>
      <c r="C154" s="193" t="s">
        <v>1447</v>
      </c>
      <c r="D154" s="195" t="s">
        <v>4715</v>
      </c>
      <c r="E154" s="193" t="s">
        <v>476</v>
      </c>
      <c r="F154" s="193" t="s">
        <v>114</v>
      </c>
      <c r="G154" s="195" t="s">
        <v>10096</v>
      </c>
      <c r="H154" s="166" t="s">
        <v>13436</v>
      </c>
      <c r="I154" s="193" t="s">
        <v>12826</v>
      </c>
      <c r="J154" s="193" t="s">
        <v>1251</v>
      </c>
      <c r="K154" s="170"/>
      <c r="L154" s="193" t="s">
        <v>146</v>
      </c>
      <c r="M154" s="165"/>
    </row>
    <row r="155" spans="1:13" ht="15.75">
      <c r="A155" s="67">
        <f t="shared" si="2"/>
        <v>153</v>
      </c>
      <c r="B155" s="164">
        <v>153</v>
      </c>
      <c r="C155" s="193" t="s">
        <v>1448</v>
      </c>
      <c r="D155" s="198" t="s">
        <v>4716</v>
      </c>
      <c r="E155" s="193" t="s">
        <v>551</v>
      </c>
      <c r="F155" s="193" t="s">
        <v>114</v>
      </c>
      <c r="G155" s="195" t="s">
        <v>10019</v>
      </c>
      <c r="H155" s="166" t="s">
        <v>13436</v>
      </c>
      <c r="I155" s="193" t="s">
        <v>1247</v>
      </c>
      <c r="J155" s="193" t="s">
        <v>146</v>
      </c>
      <c r="K155" s="170"/>
      <c r="L155" s="193" t="s">
        <v>146</v>
      </c>
      <c r="M155" s="165"/>
    </row>
    <row r="156" spans="1:13" ht="15.75">
      <c r="A156" s="67">
        <f t="shared" si="2"/>
        <v>154</v>
      </c>
      <c r="B156" s="164">
        <v>154</v>
      </c>
      <c r="C156" s="193" t="s">
        <v>1449</v>
      </c>
      <c r="D156" s="195" t="s">
        <v>4717</v>
      </c>
      <c r="E156" s="193" t="s">
        <v>7904</v>
      </c>
      <c r="F156" s="193" t="s">
        <v>114</v>
      </c>
      <c r="G156" s="195" t="s">
        <v>10097</v>
      </c>
      <c r="H156" s="166" t="s">
        <v>13436</v>
      </c>
      <c r="I156" s="193" t="s">
        <v>12808</v>
      </c>
      <c r="J156" s="193" t="s">
        <v>146</v>
      </c>
      <c r="K156" s="170"/>
      <c r="L156" s="193" t="s">
        <v>146</v>
      </c>
      <c r="M156" s="165"/>
    </row>
    <row r="157" spans="1:13" ht="30">
      <c r="A157" s="67">
        <f t="shared" si="2"/>
        <v>155</v>
      </c>
      <c r="B157" s="164">
        <v>155</v>
      </c>
      <c r="C157" s="193" t="s">
        <v>1450</v>
      </c>
      <c r="D157" s="195" t="s">
        <v>4718</v>
      </c>
      <c r="E157" s="193" t="s">
        <v>656</v>
      </c>
      <c r="F157" s="193" t="s">
        <v>59</v>
      </c>
      <c r="G157" s="195" t="s">
        <v>10098</v>
      </c>
      <c r="H157" s="166" t="s">
        <v>13436</v>
      </c>
      <c r="I157" s="193" t="s">
        <v>12819</v>
      </c>
      <c r="J157" s="193" t="s">
        <v>12050</v>
      </c>
      <c r="K157" s="170"/>
      <c r="L157" s="193"/>
      <c r="M157" s="165"/>
    </row>
    <row r="158" spans="1:13" ht="30">
      <c r="A158" s="67">
        <f t="shared" si="2"/>
        <v>156</v>
      </c>
      <c r="B158" s="164">
        <v>156</v>
      </c>
      <c r="C158" s="193" t="s">
        <v>1451</v>
      </c>
      <c r="D158" s="195" t="s">
        <v>4719</v>
      </c>
      <c r="E158" s="193" t="s">
        <v>7905</v>
      </c>
      <c r="F158" s="193" t="s">
        <v>114</v>
      </c>
      <c r="G158" s="195" t="s">
        <v>10099</v>
      </c>
      <c r="H158" s="166" t="s">
        <v>13436</v>
      </c>
      <c r="I158" s="193" t="s">
        <v>12832</v>
      </c>
      <c r="J158" s="193" t="s">
        <v>146</v>
      </c>
      <c r="K158" s="170"/>
      <c r="L158" s="193" t="s">
        <v>12882</v>
      </c>
      <c r="M158" s="165"/>
    </row>
    <row r="159" spans="1:13" ht="15.75">
      <c r="A159" s="67">
        <f t="shared" si="2"/>
        <v>157</v>
      </c>
      <c r="B159" s="164">
        <v>157</v>
      </c>
      <c r="C159" s="193" t="s">
        <v>1452</v>
      </c>
      <c r="D159" s="196" t="s">
        <v>4720</v>
      </c>
      <c r="E159" s="193" t="s">
        <v>524</v>
      </c>
      <c r="F159" s="193" t="s">
        <v>59</v>
      </c>
      <c r="G159" s="195" t="s">
        <v>10100</v>
      </c>
      <c r="H159" s="166" t="s">
        <v>13436</v>
      </c>
      <c r="I159" s="193" t="s">
        <v>12819</v>
      </c>
      <c r="J159" s="193" t="s">
        <v>146</v>
      </c>
      <c r="K159" s="170"/>
      <c r="L159" s="193"/>
      <c r="M159" s="165"/>
    </row>
    <row r="160" spans="1:13" ht="75">
      <c r="A160" s="67">
        <f t="shared" si="2"/>
        <v>158</v>
      </c>
      <c r="B160" s="164">
        <v>158</v>
      </c>
      <c r="C160" s="193" t="s">
        <v>1453</v>
      </c>
      <c r="D160" s="195" t="s">
        <v>4721</v>
      </c>
      <c r="E160" s="193" t="s">
        <v>561</v>
      </c>
      <c r="F160" s="193" t="s">
        <v>114</v>
      </c>
      <c r="G160" s="195" t="s">
        <v>10101</v>
      </c>
      <c r="H160" s="166" t="s">
        <v>13436</v>
      </c>
      <c r="I160" s="193" t="s">
        <v>12814</v>
      </c>
      <c r="J160" s="193" t="s">
        <v>146</v>
      </c>
      <c r="K160" s="170"/>
      <c r="L160" s="193" t="s">
        <v>12883</v>
      </c>
      <c r="M160" s="165"/>
    </row>
    <row r="161" spans="1:13" ht="60">
      <c r="A161" s="67">
        <f t="shared" si="2"/>
        <v>159</v>
      </c>
      <c r="B161" s="164">
        <v>159</v>
      </c>
      <c r="C161" s="193" t="s">
        <v>1454</v>
      </c>
      <c r="D161" s="196" t="s">
        <v>4722</v>
      </c>
      <c r="E161" s="193" t="s">
        <v>7906</v>
      </c>
      <c r="F161" s="193" t="s">
        <v>114</v>
      </c>
      <c r="G161" s="195" t="s">
        <v>10102</v>
      </c>
      <c r="H161" s="166" t="s">
        <v>13436</v>
      </c>
      <c r="I161" s="193" t="s">
        <v>12833</v>
      </c>
      <c r="J161" s="193" t="s">
        <v>12051</v>
      </c>
      <c r="K161" s="170"/>
      <c r="L161" s="193" t="s">
        <v>12884</v>
      </c>
      <c r="M161" s="165"/>
    </row>
    <row r="162" spans="1:13" ht="60">
      <c r="A162" s="67">
        <f t="shared" si="2"/>
        <v>160</v>
      </c>
      <c r="B162" s="164">
        <v>160</v>
      </c>
      <c r="C162" s="193" t="s">
        <v>1455</v>
      </c>
      <c r="D162" s="196" t="s">
        <v>4723</v>
      </c>
      <c r="E162" s="193" t="s">
        <v>7907</v>
      </c>
      <c r="F162" s="193" t="s">
        <v>114</v>
      </c>
      <c r="G162" s="195" t="s">
        <v>10103</v>
      </c>
      <c r="H162" s="166" t="s">
        <v>13436</v>
      </c>
      <c r="I162" s="193" t="s">
        <v>12833</v>
      </c>
      <c r="J162" s="193" t="s">
        <v>147</v>
      </c>
      <c r="K162" s="170"/>
      <c r="L162" s="193" t="s">
        <v>12885</v>
      </c>
      <c r="M162" s="165"/>
    </row>
    <row r="163" spans="1:13" ht="15.75">
      <c r="A163" s="67">
        <f t="shared" si="2"/>
        <v>161</v>
      </c>
      <c r="B163" s="164">
        <v>161</v>
      </c>
      <c r="C163" s="193" t="s">
        <v>1456</v>
      </c>
      <c r="D163" s="196" t="s">
        <v>4724</v>
      </c>
      <c r="E163" s="193" t="s">
        <v>7908</v>
      </c>
      <c r="F163" s="193" t="s">
        <v>59</v>
      </c>
      <c r="G163" s="195" t="s">
        <v>10104</v>
      </c>
      <c r="H163" s="166" t="s">
        <v>13436</v>
      </c>
      <c r="I163" s="193" t="s">
        <v>12830</v>
      </c>
      <c r="J163" s="193" t="s">
        <v>146</v>
      </c>
      <c r="K163" s="170"/>
      <c r="L163" s="193"/>
      <c r="M163" s="165"/>
    </row>
    <row r="164" spans="1:13" ht="30">
      <c r="A164" s="67">
        <f t="shared" si="2"/>
        <v>162</v>
      </c>
      <c r="B164" s="164">
        <v>162</v>
      </c>
      <c r="C164" s="193" t="s">
        <v>1457</v>
      </c>
      <c r="D164" s="195" t="s">
        <v>4725</v>
      </c>
      <c r="E164" s="193" t="s">
        <v>7909</v>
      </c>
      <c r="F164" s="193" t="s">
        <v>59</v>
      </c>
      <c r="G164" s="195" t="s">
        <v>10105</v>
      </c>
      <c r="H164" s="166" t="s">
        <v>13436</v>
      </c>
      <c r="I164" s="193" t="s">
        <v>12837</v>
      </c>
      <c r="J164" s="193" t="s">
        <v>12052</v>
      </c>
      <c r="K164" s="170"/>
      <c r="L164" s="193"/>
      <c r="M164" s="165"/>
    </row>
    <row r="165" spans="1:13" ht="105">
      <c r="A165" s="67">
        <f t="shared" si="2"/>
        <v>163</v>
      </c>
      <c r="B165" s="164">
        <v>163</v>
      </c>
      <c r="C165" s="193" t="s">
        <v>1458</v>
      </c>
      <c r="D165" s="195" t="s">
        <v>4726</v>
      </c>
      <c r="E165" s="193" t="s">
        <v>7910</v>
      </c>
      <c r="F165" s="193" t="s">
        <v>114</v>
      </c>
      <c r="G165" s="195" t="s">
        <v>10106</v>
      </c>
      <c r="H165" s="166" t="s">
        <v>13436</v>
      </c>
      <c r="I165" s="193" t="s">
        <v>12827</v>
      </c>
      <c r="J165" s="193" t="s">
        <v>12053</v>
      </c>
      <c r="K165" s="170"/>
      <c r="L165" s="193" t="s">
        <v>12886</v>
      </c>
      <c r="M165" s="165"/>
    </row>
    <row r="166" spans="1:13" ht="15.75">
      <c r="A166" s="67">
        <f t="shared" si="2"/>
        <v>164</v>
      </c>
      <c r="B166" s="164">
        <v>164</v>
      </c>
      <c r="C166" s="193" t="s">
        <v>1459</v>
      </c>
      <c r="D166" s="195" t="s">
        <v>4727</v>
      </c>
      <c r="E166" s="193" t="s">
        <v>7911</v>
      </c>
      <c r="F166" s="193" t="s">
        <v>114</v>
      </c>
      <c r="G166" s="195" t="s">
        <v>10107</v>
      </c>
      <c r="H166" s="166" t="s">
        <v>13436</v>
      </c>
      <c r="I166" s="193" t="s">
        <v>12813</v>
      </c>
      <c r="J166" s="193" t="s">
        <v>146</v>
      </c>
      <c r="K166" s="170"/>
      <c r="L166" s="193" t="s">
        <v>146</v>
      </c>
      <c r="M166" s="165"/>
    </row>
    <row r="167" spans="1:13" ht="15.75">
      <c r="A167" s="67">
        <f t="shared" si="2"/>
        <v>165</v>
      </c>
      <c r="B167" s="164">
        <v>165</v>
      </c>
      <c r="C167" s="193" t="s">
        <v>1460</v>
      </c>
      <c r="D167" s="195" t="s">
        <v>4728</v>
      </c>
      <c r="E167" s="193" t="s">
        <v>7912</v>
      </c>
      <c r="F167" s="193" t="s">
        <v>114</v>
      </c>
      <c r="G167" s="195" t="s">
        <v>10108</v>
      </c>
      <c r="H167" s="166" t="s">
        <v>13436</v>
      </c>
      <c r="I167" s="193" t="s">
        <v>12836</v>
      </c>
      <c r="J167" s="193" t="s">
        <v>146</v>
      </c>
      <c r="K167" s="170"/>
      <c r="L167" s="193" t="s">
        <v>146</v>
      </c>
      <c r="M167" s="165"/>
    </row>
    <row r="168" spans="1:13" ht="45">
      <c r="A168" s="67">
        <f t="shared" si="2"/>
        <v>166</v>
      </c>
      <c r="B168" s="164">
        <v>166</v>
      </c>
      <c r="C168" s="193" t="s">
        <v>1461</v>
      </c>
      <c r="D168" s="195" t="s">
        <v>4729</v>
      </c>
      <c r="E168" s="193" t="s">
        <v>7913</v>
      </c>
      <c r="F168" s="193" t="s">
        <v>114</v>
      </c>
      <c r="G168" s="195" t="s">
        <v>10109</v>
      </c>
      <c r="H168" s="166" t="s">
        <v>13436</v>
      </c>
      <c r="I168" s="193" t="s">
        <v>12836</v>
      </c>
      <c r="J168" s="193" t="s">
        <v>12054</v>
      </c>
      <c r="K168" s="170"/>
      <c r="L168" s="193" t="s">
        <v>146</v>
      </c>
      <c r="M168" s="165"/>
    </row>
    <row r="169" spans="1:13" ht="15.75">
      <c r="A169" s="67">
        <f t="shared" si="2"/>
        <v>167</v>
      </c>
      <c r="B169" s="164">
        <v>167</v>
      </c>
      <c r="C169" s="193" t="s">
        <v>1462</v>
      </c>
      <c r="D169" s="195" t="s">
        <v>4730</v>
      </c>
      <c r="E169" s="193" t="s">
        <v>7914</v>
      </c>
      <c r="F169" s="193" t="s">
        <v>114</v>
      </c>
      <c r="G169" s="195" t="s">
        <v>10110</v>
      </c>
      <c r="H169" s="166" t="s">
        <v>13436</v>
      </c>
      <c r="I169" s="193" t="s">
        <v>12836</v>
      </c>
      <c r="J169" s="219" t="s">
        <v>146</v>
      </c>
      <c r="K169" s="170"/>
      <c r="L169" s="193" t="s">
        <v>146</v>
      </c>
      <c r="M169" s="165"/>
    </row>
    <row r="170" spans="1:13" ht="15.75">
      <c r="A170" s="67">
        <f t="shared" si="2"/>
        <v>168</v>
      </c>
      <c r="B170" s="164">
        <v>168</v>
      </c>
      <c r="C170" s="193" t="s">
        <v>1463</v>
      </c>
      <c r="D170" s="195" t="s">
        <v>4731</v>
      </c>
      <c r="E170" s="193" t="s">
        <v>7915</v>
      </c>
      <c r="F170" s="193" t="s">
        <v>114</v>
      </c>
      <c r="G170" s="195" t="s">
        <v>10111</v>
      </c>
      <c r="H170" s="166" t="s">
        <v>13436</v>
      </c>
      <c r="I170" s="193" t="s">
        <v>12814</v>
      </c>
      <c r="J170" s="193" t="s">
        <v>146</v>
      </c>
      <c r="K170" s="170"/>
      <c r="L170" s="193" t="s">
        <v>146</v>
      </c>
      <c r="M170" s="165"/>
    </row>
    <row r="171" spans="1:13" ht="30">
      <c r="A171" s="67">
        <f t="shared" si="2"/>
        <v>169</v>
      </c>
      <c r="B171" s="164">
        <v>169</v>
      </c>
      <c r="C171" s="193" t="s">
        <v>1464</v>
      </c>
      <c r="D171" s="195" t="s">
        <v>4732</v>
      </c>
      <c r="E171" s="193" t="s">
        <v>569</v>
      </c>
      <c r="F171" s="193" t="s">
        <v>59</v>
      </c>
      <c r="G171" s="195" t="s">
        <v>10112</v>
      </c>
      <c r="H171" s="166" t="s">
        <v>13436</v>
      </c>
      <c r="I171" s="193" t="s">
        <v>12838</v>
      </c>
      <c r="J171" s="193" t="s">
        <v>12055</v>
      </c>
      <c r="K171" s="170"/>
      <c r="L171" s="193"/>
      <c r="M171" s="165"/>
    </row>
    <row r="172" spans="1:13" ht="15.75">
      <c r="A172" s="67">
        <f t="shared" si="2"/>
        <v>170</v>
      </c>
      <c r="B172" s="164">
        <v>170</v>
      </c>
      <c r="C172" s="193" t="s">
        <v>1465</v>
      </c>
      <c r="D172" s="195" t="s">
        <v>4733</v>
      </c>
      <c r="E172" s="193" t="s">
        <v>7916</v>
      </c>
      <c r="F172" s="193" t="s">
        <v>59</v>
      </c>
      <c r="G172" s="195" t="s">
        <v>10113</v>
      </c>
      <c r="H172" s="166" t="s">
        <v>13436</v>
      </c>
      <c r="I172" s="193" t="s">
        <v>12821</v>
      </c>
      <c r="J172" s="193" t="s">
        <v>146</v>
      </c>
      <c r="K172" s="170"/>
      <c r="L172" s="193"/>
      <c r="M172" s="165"/>
    </row>
    <row r="173" spans="1:13" ht="15.75">
      <c r="A173" s="67">
        <f t="shared" si="2"/>
        <v>171</v>
      </c>
      <c r="B173" s="164">
        <v>171</v>
      </c>
      <c r="C173" s="193" t="s">
        <v>1466</v>
      </c>
      <c r="D173" s="195" t="s">
        <v>4734</v>
      </c>
      <c r="E173" s="193" t="s">
        <v>7917</v>
      </c>
      <c r="F173" s="193" t="s">
        <v>59</v>
      </c>
      <c r="G173" s="195" t="s">
        <v>10054</v>
      </c>
      <c r="H173" s="166" t="s">
        <v>13436</v>
      </c>
      <c r="I173" s="193" t="s">
        <v>12825</v>
      </c>
      <c r="J173" s="219" t="s">
        <v>146</v>
      </c>
      <c r="K173" s="170"/>
      <c r="L173" s="193"/>
      <c r="M173" s="165"/>
    </row>
    <row r="174" spans="1:13" ht="30">
      <c r="A174" s="67">
        <f t="shared" si="2"/>
        <v>172</v>
      </c>
      <c r="B174" s="164">
        <v>172</v>
      </c>
      <c r="C174" s="193" t="s">
        <v>1467</v>
      </c>
      <c r="D174" s="195" t="s">
        <v>4735</v>
      </c>
      <c r="E174" s="193" t="s">
        <v>7918</v>
      </c>
      <c r="F174" s="193" t="s">
        <v>114</v>
      </c>
      <c r="G174" s="195" t="s">
        <v>10114</v>
      </c>
      <c r="H174" s="166" t="s">
        <v>13436</v>
      </c>
      <c r="I174" s="193" t="s">
        <v>12826</v>
      </c>
      <c r="J174" s="193" t="s">
        <v>12056</v>
      </c>
      <c r="K174" s="170"/>
      <c r="L174" s="193" t="s">
        <v>146</v>
      </c>
      <c r="M174" s="165"/>
    </row>
    <row r="175" spans="1:13" ht="15.75">
      <c r="A175" s="67">
        <f t="shared" si="2"/>
        <v>173</v>
      </c>
      <c r="B175" s="164">
        <v>173</v>
      </c>
      <c r="C175" s="193" t="s">
        <v>1468</v>
      </c>
      <c r="D175" s="195" t="s">
        <v>4736</v>
      </c>
      <c r="E175" s="193" t="s">
        <v>7919</v>
      </c>
      <c r="F175" s="193" t="s">
        <v>114</v>
      </c>
      <c r="G175" s="195" t="s">
        <v>10115</v>
      </c>
      <c r="H175" s="166" t="s">
        <v>13436</v>
      </c>
      <c r="I175" s="193" t="s">
        <v>12814</v>
      </c>
      <c r="J175" s="219" t="s">
        <v>146</v>
      </c>
      <c r="K175" s="170"/>
      <c r="L175" s="193" t="s">
        <v>146</v>
      </c>
      <c r="M175" s="165"/>
    </row>
    <row r="176" spans="1:13" ht="15.75">
      <c r="A176" s="67">
        <f t="shared" si="2"/>
        <v>174</v>
      </c>
      <c r="B176" s="164">
        <v>174</v>
      </c>
      <c r="C176" s="193" t="s">
        <v>1469</v>
      </c>
      <c r="D176" s="195" t="s">
        <v>4737</v>
      </c>
      <c r="E176" s="193" t="s">
        <v>7920</v>
      </c>
      <c r="F176" s="193" t="s">
        <v>59</v>
      </c>
      <c r="G176" s="195" t="s">
        <v>10116</v>
      </c>
      <c r="H176" s="166" t="s">
        <v>13436</v>
      </c>
      <c r="I176" s="193" t="s">
        <v>12821</v>
      </c>
      <c r="J176" s="193" t="s">
        <v>146</v>
      </c>
      <c r="K176" s="170"/>
      <c r="L176" s="193"/>
      <c r="M176" s="165"/>
    </row>
    <row r="177" spans="1:13" ht="15.75">
      <c r="A177" s="67">
        <f t="shared" si="2"/>
        <v>175</v>
      </c>
      <c r="B177" s="164">
        <v>175</v>
      </c>
      <c r="C177" s="193" t="s">
        <v>1470</v>
      </c>
      <c r="D177" s="195" t="s">
        <v>4738</v>
      </c>
      <c r="E177" s="193" t="s">
        <v>7921</v>
      </c>
      <c r="F177" s="193" t="s">
        <v>114</v>
      </c>
      <c r="G177" s="195" t="s">
        <v>10117</v>
      </c>
      <c r="H177" s="166" t="s">
        <v>13436</v>
      </c>
      <c r="I177" s="193" t="s">
        <v>12813</v>
      </c>
      <c r="J177" s="193" t="s">
        <v>146</v>
      </c>
      <c r="K177" s="170"/>
      <c r="L177" s="193" t="s">
        <v>146</v>
      </c>
      <c r="M177" s="165"/>
    </row>
    <row r="178" spans="1:13" ht="15.75">
      <c r="A178" s="67">
        <f t="shared" si="2"/>
        <v>176</v>
      </c>
      <c r="B178" s="164">
        <v>176</v>
      </c>
      <c r="C178" s="193" t="s">
        <v>1471</v>
      </c>
      <c r="D178" s="195" t="s">
        <v>4739</v>
      </c>
      <c r="E178" s="193" t="s">
        <v>7922</v>
      </c>
      <c r="F178" s="193" t="s">
        <v>114</v>
      </c>
      <c r="G178" s="195" t="s">
        <v>10118</v>
      </c>
      <c r="H178" s="166" t="s">
        <v>13436</v>
      </c>
      <c r="I178" s="193" t="s">
        <v>12813</v>
      </c>
      <c r="J178" s="193" t="s">
        <v>146</v>
      </c>
      <c r="K178" s="170"/>
      <c r="L178" s="193" t="s">
        <v>146</v>
      </c>
      <c r="M178" s="165"/>
    </row>
    <row r="179" spans="1:13" ht="75">
      <c r="A179" s="67">
        <f t="shared" si="2"/>
        <v>177</v>
      </c>
      <c r="B179" s="164">
        <v>177</v>
      </c>
      <c r="C179" s="193" t="s">
        <v>1472</v>
      </c>
      <c r="D179" s="195" t="s">
        <v>4740</v>
      </c>
      <c r="E179" s="193" t="s">
        <v>7923</v>
      </c>
      <c r="F179" s="193" t="s">
        <v>114</v>
      </c>
      <c r="G179" s="195" t="s">
        <v>10119</v>
      </c>
      <c r="H179" s="166" t="s">
        <v>13436</v>
      </c>
      <c r="I179" s="193" t="s">
        <v>12836</v>
      </c>
      <c r="J179" s="193" t="s">
        <v>147</v>
      </c>
      <c r="K179" s="170"/>
      <c r="L179" s="193" t="s">
        <v>12887</v>
      </c>
      <c r="M179" s="165"/>
    </row>
    <row r="180" spans="1:13" ht="15.75">
      <c r="A180" s="67">
        <f t="shared" si="2"/>
        <v>178</v>
      </c>
      <c r="B180" s="164">
        <v>178</v>
      </c>
      <c r="C180" s="193" t="s">
        <v>1473</v>
      </c>
      <c r="D180" s="195" t="s">
        <v>4741</v>
      </c>
      <c r="E180" s="193" t="s">
        <v>307</v>
      </c>
      <c r="F180" s="193" t="s">
        <v>114</v>
      </c>
      <c r="G180" s="195" t="s">
        <v>10120</v>
      </c>
      <c r="H180" s="166" t="s">
        <v>13436</v>
      </c>
      <c r="I180" s="193" t="s">
        <v>12836</v>
      </c>
      <c r="J180" s="193" t="s">
        <v>146</v>
      </c>
      <c r="K180" s="170"/>
      <c r="L180" s="193" t="s">
        <v>146</v>
      </c>
      <c r="M180" s="165"/>
    </row>
    <row r="181" spans="1:13" ht="30">
      <c r="A181" s="67">
        <f t="shared" si="2"/>
        <v>179</v>
      </c>
      <c r="B181" s="164">
        <v>179</v>
      </c>
      <c r="C181" s="193" t="s">
        <v>1474</v>
      </c>
      <c r="D181" s="201" t="s">
        <v>4742</v>
      </c>
      <c r="E181" s="193" t="s">
        <v>7924</v>
      </c>
      <c r="F181" s="193" t="s">
        <v>59</v>
      </c>
      <c r="G181" s="195" t="s">
        <v>10121</v>
      </c>
      <c r="H181" s="166" t="s">
        <v>13436</v>
      </c>
      <c r="I181" s="193" t="s">
        <v>12834</v>
      </c>
      <c r="J181" s="219" t="s">
        <v>12057</v>
      </c>
      <c r="K181" s="170"/>
      <c r="L181" s="193"/>
      <c r="M181" s="165"/>
    </row>
    <row r="182" spans="1:13" ht="15.75">
      <c r="A182" s="67">
        <f t="shared" si="2"/>
        <v>180</v>
      </c>
      <c r="B182" s="164">
        <v>180</v>
      </c>
      <c r="C182" s="193" t="s">
        <v>1475</v>
      </c>
      <c r="D182" s="195" t="s">
        <v>4743</v>
      </c>
      <c r="E182" s="193" t="s">
        <v>7925</v>
      </c>
      <c r="F182" s="193" t="s">
        <v>59</v>
      </c>
      <c r="G182" s="195" t="s">
        <v>10122</v>
      </c>
      <c r="H182" s="166" t="s">
        <v>13436</v>
      </c>
      <c r="I182" s="193" t="s">
        <v>12827</v>
      </c>
      <c r="J182" s="193" t="s">
        <v>146</v>
      </c>
      <c r="K182" s="170"/>
      <c r="L182" s="193"/>
      <c r="M182" s="165"/>
    </row>
    <row r="183" spans="1:13" ht="15.75">
      <c r="A183" s="67">
        <f t="shared" si="2"/>
        <v>181</v>
      </c>
      <c r="B183" s="164">
        <v>181</v>
      </c>
      <c r="C183" s="193" t="s">
        <v>1476</v>
      </c>
      <c r="D183" s="195" t="s">
        <v>4744</v>
      </c>
      <c r="E183" s="193" t="s">
        <v>7926</v>
      </c>
      <c r="F183" s="193" t="s">
        <v>59</v>
      </c>
      <c r="G183" s="195" t="s">
        <v>10123</v>
      </c>
      <c r="H183" s="166" t="s">
        <v>13436</v>
      </c>
      <c r="I183" s="193" t="s">
        <v>12825</v>
      </c>
      <c r="J183" s="193" t="s">
        <v>148</v>
      </c>
      <c r="K183" s="170"/>
      <c r="L183" s="193"/>
      <c r="M183" s="165"/>
    </row>
    <row r="184" spans="1:13" ht="30">
      <c r="A184" s="67">
        <f t="shared" si="2"/>
        <v>182</v>
      </c>
      <c r="B184" s="164">
        <v>182</v>
      </c>
      <c r="C184" s="193" t="s">
        <v>1477</v>
      </c>
      <c r="D184" s="195" t="s">
        <v>4745</v>
      </c>
      <c r="E184" s="193" t="s">
        <v>7927</v>
      </c>
      <c r="F184" s="193" t="s">
        <v>59</v>
      </c>
      <c r="G184" s="195" t="s">
        <v>10124</v>
      </c>
      <c r="H184" s="166" t="s">
        <v>13436</v>
      </c>
      <c r="I184" s="193" t="s">
        <v>12819</v>
      </c>
      <c r="J184" s="193" t="s">
        <v>12058</v>
      </c>
      <c r="K184" s="170"/>
      <c r="L184" s="193"/>
      <c r="M184" s="165"/>
    </row>
    <row r="185" spans="1:13" ht="15.75">
      <c r="A185" s="67">
        <f t="shared" si="2"/>
        <v>183</v>
      </c>
      <c r="B185" s="164">
        <v>183</v>
      </c>
      <c r="C185" s="193" t="s">
        <v>1478</v>
      </c>
      <c r="D185" s="195" t="s">
        <v>4746</v>
      </c>
      <c r="E185" s="193" t="s">
        <v>484</v>
      </c>
      <c r="F185" s="193" t="s">
        <v>114</v>
      </c>
      <c r="G185" s="195" t="s">
        <v>9972</v>
      </c>
      <c r="H185" s="166" t="s">
        <v>13436</v>
      </c>
      <c r="I185" s="193" t="s">
        <v>12812</v>
      </c>
      <c r="J185" s="193" t="s">
        <v>146</v>
      </c>
      <c r="K185" s="170"/>
      <c r="L185" s="193" t="s">
        <v>146</v>
      </c>
      <c r="M185" s="165"/>
    </row>
    <row r="186" spans="1:13" ht="60">
      <c r="A186" s="67">
        <f t="shared" si="2"/>
        <v>184</v>
      </c>
      <c r="B186" s="164">
        <v>184</v>
      </c>
      <c r="C186" s="193" t="s">
        <v>1479</v>
      </c>
      <c r="D186" s="195" t="s">
        <v>4747</v>
      </c>
      <c r="E186" s="193" t="s">
        <v>7928</v>
      </c>
      <c r="F186" s="193" t="s">
        <v>114</v>
      </c>
      <c r="G186" s="195" t="s">
        <v>10125</v>
      </c>
      <c r="H186" s="166" t="s">
        <v>13436</v>
      </c>
      <c r="I186" s="193" t="s">
        <v>12835</v>
      </c>
      <c r="J186" s="193" t="s">
        <v>146</v>
      </c>
      <c r="K186" s="170"/>
      <c r="L186" s="193" t="s">
        <v>12888</v>
      </c>
      <c r="M186" s="165"/>
    </row>
    <row r="187" spans="1:13" ht="15.75">
      <c r="A187" s="67">
        <f t="shared" si="2"/>
        <v>185</v>
      </c>
      <c r="B187" s="164">
        <v>185</v>
      </c>
      <c r="C187" s="193" t="s">
        <v>1480</v>
      </c>
      <c r="D187" s="195" t="s">
        <v>4748</v>
      </c>
      <c r="E187" s="193" t="s">
        <v>7929</v>
      </c>
      <c r="F187" s="193" t="s">
        <v>59</v>
      </c>
      <c r="G187" s="195" t="s">
        <v>10126</v>
      </c>
      <c r="H187" s="166" t="s">
        <v>13436</v>
      </c>
      <c r="I187" s="193" t="s">
        <v>12813</v>
      </c>
      <c r="J187" s="193" t="s">
        <v>12059</v>
      </c>
      <c r="K187" s="170"/>
      <c r="L187" s="193"/>
      <c r="M187" s="165"/>
    </row>
    <row r="188" spans="1:13" ht="15.75">
      <c r="A188" s="67">
        <f t="shared" si="2"/>
        <v>186</v>
      </c>
      <c r="B188" s="164">
        <v>186</v>
      </c>
      <c r="C188" s="193" t="s">
        <v>1481</v>
      </c>
      <c r="D188" s="195" t="s">
        <v>4749</v>
      </c>
      <c r="E188" s="193" t="s">
        <v>7930</v>
      </c>
      <c r="F188" s="193" t="s">
        <v>59</v>
      </c>
      <c r="G188" s="195" t="s">
        <v>10127</v>
      </c>
      <c r="H188" s="166" t="s">
        <v>13436</v>
      </c>
      <c r="I188" s="193" t="s">
        <v>12813</v>
      </c>
      <c r="J188" s="193" t="s">
        <v>146</v>
      </c>
      <c r="K188" s="170"/>
      <c r="L188" s="193"/>
      <c r="M188" s="165"/>
    </row>
    <row r="189" spans="1:13" ht="15.75">
      <c r="A189" s="67">
        <f t="shared" si="2"/>
        <v>187</v>
      </c>
      <c r="B189" s="164">
        <v>187</v>
      </c>
      <c r="C189" s="193" t="s">
        <v>1482</v>
      </c>
      <c r="D189" s="195" t="s">
        <v>4750</v>
      </c>
      <c r="E189" s="193" t="s">
        <v>7931</v>
      </c>
      <c r="F189" s="193" t="s">
        <v>59</v>
      </c>
      <c r="G189" s="195" t="s">
        <v>10128</v>
      </c>
      <c r="H189" s="166" t="s">
        <v>13436</v>
      </c>
      <c r="I189" s="193" t="s">
        <v>12813</v>
      </c>
      <c r="J189" s="193" t="s">
        <v>147</v>
      </c>
      <c r="K189" s="170"/>
      <c r="L189" s="193"/>
      <c r="M189" s="165"/>
    </row>
    <row r="190" spans="1:13" ht="15.75">
      <c r="A190" s="67">
        <f t="shared" si="2"/>
        <v>188</v>
      </c>
      <c r="B190" s="164">
        <v>188</v>
      </c>
      <c r="C190" s="193" t="s">
        <v>1483</v>
      </c>
      <c r="D190" s="203" t="s">
        <v>4751</v>
      </c>
      <c r="E190" s="193" t="s">
        <v>7932</v>
      </c>
      <c r="F190" s="193" t="s">
        <v>114</v>
      </c>
      <c r="G190" s="195" t="s">
        <v>10129</v>
      </c>
      <c r="H190" s="166" t="s">
        <v>13436</v>
      </c>
      <c r="I190" s="193" t="s">
        <v>12827</v>
      </c>
      <c r="J190" s="193" t="s">
        <v>146</v>
      </c>
      <c r="K190" s="170"/>
      <c r="L190" s="193" t="s">
        <v>146</v>
      </c>
      <c r="M190" s="165"/>
    </row>
    <row r="191" spans="1:13" ht="30">
      <c r="A191" s="67">
        <f t="shared" si="2"/>
        <v>189</v>
      </c>
      <c r="B191" s="164">
        <v>189</v>
      </c>
      <c r="C191" s="193" t="s">
        <v>1484</v>
      </c>
      <c r="D191" s="195" t="s">
        <v>4752</v>
      </c>
      <c r="E191" s="193" t="s">
        <v>7933</v>
      </c>
      <c r="F191" s="193" t="s">
        <v>59</v>
      </c>
      <c r="G191" s="195" t="s">
        <v>10130</v>
      </c>
      <c r="H191" s="166" t="s">
        <v>13436</v>
      </c>
      <c r="I191" s="193" t="s">
        <v>12821</v>
      </c>
      <c r="J191" s="193" t="s">
        <v>12060</v>
      </c>
      <c r="K191" s="170"/>
      <c r="L191" s="193"/>
      <c r="M191" s="165"/>
    </row>
    <row r="192" spans="1:13" ht="75">
      <c r="A192" s="67">
        <f t="shared" si="2"/>
        <v>190</v>
      </c>
      <c r="B192" s="164">
        <v>190</v>
      </c>
      <c r="C192" s="193" t="s">
        <v>1485</v>
      </c>
      <c r="D192" s="195" t="s">
        <v>4753</v>
      </c>
      <c r="E192" s="193" t="s">
        <v>7934</v>
      </c>
      <c r="F192" s="193" t="s">
        <v>114</v>
      </c>
      <c r="G192" s="195" t="s">
        <v>10131</v>
      </c>
      <c r="H192" s="166" t="s">
        <v>13436</v>
      </c>
      <c r="I192" s="193" t="s">
        <v>12835</v>
      </c>
      <c r="J192" s="193" t="s">
        <v>12061</v>
      </c>
      <c r="K192" s="170"/>
      <c r="L192" s="193" t="s">
        <v>12889</v>
      </c>
      <c r="M192" s="165"/>
    </row>
    <row r="193" spans="1:13" ht="30">
      <c r="A193" s="67">
        <f t="shared" si="2"/>
        <v>191</v>
      </c>
      <c r="B193" s="164">
        <v>191</v>
      </c>
      <c r="C193" s="193" t="s">
        <v>1486</v>
      </c>
      <c r="D193" s="195" t="s">
        <v>4754</v>
      </c>
      <c r="E193" s="193" t="s">
        <v>7935</v>
      </c>
      <c r="F193" s="193" t="s">
        <v>114</v>
      </c>
      <c r="G193" s="195" t="s">
        <v>10132</v>
      </c>
      <c r="H193" s="166" t="s">
        <v>13436</v>
      </c>
      <c r="I193" s="193" t="s">
        <v>12819</v>
      </c>
      <c r="J193" s="193" t="s">
        <v>12062</v>
      </c>
      <c r="K193" s="170"/>
      <c r="L193" s="193" t="s">
        <v>12890</v>
      </c>
      <c r="M193" s="165"/>
    </row>
    <row r="194" spans="1:13" ht="15.75">
      <c r="A194" s="67">
        <f t="shared" si="2"/>
        <v>192</v>
      </c>
      <c r="B194" s="164">
        <v>192</v>
      </c>
      <c r="C194" s="193" t="s">
        <v>1487</v>
      </c>
      <c r="D194" s="195" t="s">
        <v>4755</v>
      </c>
      <c r="E194" s="193" t="s">
        <v>7936</v>
      </c>
      <c r="F194" s="193" t="s">
        <v>114</v>
      </c>
      <c r="G194" s="195" t="s">
        <v>10133</v>
      </c>
      <c r="H194" s="166" t="s">
        <v>13436</v>
      </c>
      <c r="I194" s="193" t="s">
        <v>12836</v>
      </c>
      <c r="J194" s="219" t="s">
        <v>147</v>
      </c>
      <c r="K194" s="170"/>
      <c r="L194" s="193" t="s">
        <v>146</v>
      </c>
      <c r="M194" s="165"/>
    </row>
    <row r="195" spans="1:13" ht="15.75">
      <c r="A195" s="67">
        <f t="shared" ref="A195:A258" si="3">IFERROR(VALUE(RIGHT(C195,4)),"")</f>
        <v>193</v>
      </c>
      <c r="B195" s="164">
        <v>193</v>
      </c>
      <c r="C195" s="193" t="s">
        <v>1488</v>
      </c>
      <c r="D195" s="195" t="s">
        <v>4756</v>
      </c>
      <c r="E195" s="193" t="s">
        <v>447</v>
      </c>
      <c r="F195" s="193" t="s">
        <v>114</v>
      </c>
      <c r="G195" s="195" t="s">
        <v>708</v>
      </c>
      <c r="H195" s="166" t="s">
        <v>13436</v>
      </c>
      <c r="I195" s="193" t="s">
        <v>12819</v>
      </c>
      <c r="J195" s="193" t="s">
        <v>146</v>
      </c>
      <c r="K195" s="170"/>
      <c r="L195" s="193" t="s">
        <v>146</v>
      </c>
      <c r="M195" s="165"/>
    </row>
    <row r="196" spans="1:13" ht="15.75">
      <c r="A196" s="67">
        <f t="shared" si="3"/>
        <v>194</v>
      </c>
      <c r="B196" s="164">
        <v>194</v>
      </c>
      <c r="C196" s="193" t="s">
        <v>1489</v>
      </c>
      <c r="D196" s="197" t="s">
        <v>4757</v>
      </c>
      <c r="E196" s="193" t="s">
        <v>660</v>
      </c>
      <c r="F196" s="193" t="s">
        <v>114</v>
      </c>
      <c r="G196" s="195" t="s">
        <v>10031</v>
      </c>
      <c r="H196" s="166" t="s">
        <v>13436</v>
      </c>
      <c r="I196" s="193" t="s">
        <v>12816</v>
      </c>
      <c r="J196" s="193" t="s">
        <v>146</v>
      </c>
      <c r="K196" s="170"/>
      <c r="L196" s="193" t="s">
        <v>146</v>
      </c>
      <c r="M196" s="165"/>
    </row>
    <row r="197" spans="1:13" ht="15.75">
      <c r="A197" s="67">
        <f t="shared" si="3"/>
        <v>195</v>
      </c>
      <c r="B197" s="164">
        <v>195</v>
      </c>
      <c r="C197" s="193" t="s">
        <v>1490</v>
      </c>
      <c r="D197" s="195" t="s">
        <v>4758</v>
      </c>
      <c r="E197" s="193" t="s">
        <v>7937</v>
      </c>
      <c r="F197" s="193" t="s">
        <v>59</v>
      </c>
      <c r="G197" s="195" t="s">
        <v>10134</v>
      </c>
      <c r="H197" s="166" t="s">
        <v>13436</v>
      </c>
      <c r="I197" s="193" t="s">
        <v>12821</v>
      </c>
      <c r="J197" s="193" t="s">
        <v>164</v>
      </c>
      <c r="K197" s="170"/>
      <c r="L197" s="193"/>
      <c r="M197" s="165"/>
    </row>
    <row r="198" spans="1:13" ht="15.75">
      <c r="A198" s="67">
        <f t="shared" si="3"/>
        <v>196</v>
      </c>
      <c r="B198" s="164">
        <v>196</v>
      </c>
      <c r="C198" s="193" t="s">
        <v>1491</v>
      </c>
      <c r="D198" s="195" t="s">
        <v>4759</v>
      </c>
      <c r="E198" s="193" t="s">
        <v>7938</v>
      </c>
      <c r="F198" s="193" t="s">
        <v>114</v>
      </c>
      <c r="G198" s="195" t="s">
        <v>10117</v>
      </c>
      <c r="H198" s="166" t="s">
        <v>13436</v>
      </c>
      <c r="I198" s="193" t="s">
        <v>12821</v>
      </c>
      <c r="J198" s="193" t="s">
        <v>146</v>
      </c>
      <c r="K198" s="170"/>
      <c r="L198" s="193" t="s">
        <v>146</v>
      </c>
      <c r="M198" s="165"/>
    </row>
    <row r="199" spans="1:13" ht="45">
      <c r="A199" s="67">
        <f t="shared" si="3"/>
        <v>197</v>
      </c>
      <c r="B199" s="164">
        <v>197</v>
      </c>
      <c r="C199" s="193" t="s">
        <v>1492</v>
      </c>
      <c r="D199" s="195" t="s">
        <v>4760</v>
      </c>
      <c r="E199" s="193" t="s">
        <v>7939</v>
      </c>
      <c r="F199" s="193" t="s">
        <v>114</v>
      </c>
      <c r="G199" s="195" t="s">
        <v>10135</v>
      </c>
      <c r="H199" s="166" t="s">
        <v>13436</v>
      </c>
      <c r="I199" s="193" t="s">
        <v>12814</v>
      </c>
      <c r="J199" s="193" t="s">
        <v>12063</v>
      </c>
      <c r="K199" s="170"/>
      <c r="L199" s="193" t="s">
        <v>146</v>
      </c>
      <c r="M199" s="165"/>
    </row>
    <row r="200" spans="1:13" ht="45">
      <c r="A200" s="67">
        <f t="shared" si="3"/>
        <v>198</v>
      </c>
      <c r="B200" s="164">
        <v>198</v>
      </c>
      <c r="C200" s="193" t="s">
        <v>1493</v>
      </c>
      <c r="D200" s="195" t="s">
        <v>4761</v>
      </c>
      <c r="E200" s="193" t="s">
        <v>7940</v>
      </c>
      <c r="F200" s="193" t="s">
        <v>114</v>
      </c>
      <c r="G200" s="195" t="s">
        <v>10136</v>
      </c>
      <c r="H200" s="166" t="s">
        <v>13436</v>
      </c>
      <c r="I200" s="193" t="s">
        <v>12808</v>
      </c>
      <c r="J200" s="193" t="s">
        <v>12064</v>
      </c>
      <c r="K200" s="170"/>
      <c r="L200" s="193" t="s">
        <v>146</v>
      </c>
      <c r="M200" s="165"/>
    </row>
    <row r="201" spans="1:13" ht="30">
      <c r="A201" s="67">
        <f t="shared" si="3"/>
        <v>199</v>
      </c>
      <c r="B201" s="164">
        <v>199</v>
      </c>
      <c r="C201" s="193" t="s">
        <v>1494</v>
      </c>
      <c r="D201" s="195" t="s">
        <v>4762</v>
      </c>
      <c r="E201" s="193" t="s">
        <v>352</v>
      </c>
      <c r="F201" s="193" t="s">
        <v>114</v>
      </c>
      <c r="G201" s="195" t="s">
        <v>10137</v>
      </c>
      <c r="H201" s="166" t="s">
        <v>13436</v>
      </c>
      <c r="I201" s="193" t="s">
        <v>12824</v>
      </c>
      <c r="J201" s="193" t="s">
        <v>12065</v>
      </c>
      <c r="K201" s="170"/>
      <c r="L201" s="193" t="s">
        <v>146</v>
      </c>
      <c r="M201" s="165"/>
    </row>
    <row r="202" spans="1:13" ht="30">
      <c r="A202" s="67">
        <f t="shared" si="3"/>
        <v>200</v>
      </c>
      <c r="B202" s="164">
        <v>200</v>
      </c>
      <c r="C202" s="193" t="s">
        <v>1495</v>
      </c>
      <c r="D202" s="197" t="s">
        <v>4763</v>
      </c>
      <c r="E202" s="193" t="s">
        <v>7941</v>
      </c>
      <c r="F202" s="193" t="s">
        <v>114</v>
      </c>
      <c r="G202" s="195" t="s">
        <v>10138</v>
      </c>
      <c r="H202" s="166" t="s">
        <v>13436</v>
      </c>
      <c r="I202" s="193" t="s">
        <v>12816</v>
      </c>
      <c r="J202" s="193" t="s">
        <v>12066</v>
      </c>
      <c r="K202" s="170"/>
      <c r="L202" s="193" t="s">
        <v>12891</v>
      </c>
      <c r="M202" s="165"/>
    </row>
    <row r="203" spans="1:13" ht="60">
      <c r="A203" s="67">
        <f t="shared" si="3"/>
        <v>201</v>
      </c>
      <c r="B203" s="164">
        <v>201</v>
      </c>
      <c r="C203" s="193" t="s">
        <v>1496</v>
      </c>
      <c r="D203" s="195" t="s">
        <v>4764</v>
      </c>
      <c r="E203" s="193" t="s">
        <v>7942</v>
      </c>
      <c r="F203" s="193" t="s">
        <v>114</v>
      </c>
      <c r="G203" s="195" t="s">
        <v>10111</v>
      </c>
      <c r="H203" s="166" t="s">
        <v>13436</v>
      </c>
      <c r="I203" s="193" t="s">
        <v>12814</v>
      </c>
      <c r="J203" s="193" t="s">
        <v>12067</v>
      </c>
      <c r="K203" s="170"/>
      <c r="L203" s="193" t="s">
        <v>146</v>
      </c>
      <c r="M203" s="165"/>
    </row>
    <row r="204" spans="1:13" ht="30">
      <c r="A204" s="67">
        <f t="shared" si="3"/>
        <v>202</v>
      </c>
      <c r="B204" s="164">
        <v>202</v>
      </c>
      <c r="C204" s="193" t="s">
        <v>1497</v>
      </c>
      <c r="D204" s="196" t="s">
        <v>4765</v>
      </c>
      <c r="E204" s="193" t="s">
        <v>7943</v>
      </c>
      <c r="F204" s="193" t="s">
        <v>114</v>
      </c>
      <c r="G204" s="195" t="s">
        <v>10139</v>
      </c>
      <c r="H204" s="166" t="s">
        <v>13436</v>
      </c>
      <c r="I204" s="193" t="s">
        <v>12814</v>
      </c>
      <c r="J204" s="193" t="s">
        <v>12068</v>
      </c>
      <c r="K204" s="170"/>
      <c r="L204" s="193" t="s">
        <v>146</v>
      </c>
      <c r="M204" s="165"/>
    </row>
    <row r="205" spans="1:13" ht="30">
      <c r="A205" s="67">
        <f t="shared" si="3"/>
        <v>203</v>
      </c>
      <c r="B205" s="164">
        <v>203</v>
      </c>
      <c r="C205" s="193" t="s">
        <v>1498</v>
      </c>
      <c r="D205" s="195" t="s">
        <v>4766</v>
      </c>
      <c r="E205" s="193" t="s">
        <v>7944</v>
      </c>
      <c r="F205" s="193" t="s">
        <v>114</v>
      </c>
      <c r="G205" s="195" t="s">
        <v>10140</v>
      </c>
      <c r="H205" s="166" t="s">
        <v>13436</v>
      </c>
      <c r="I205" s="193" t="s">
        <v>12814</v>
      </c>
      <c r="J205" s="193" t="s">
        <v>12069</v>
      </c>
      <c r="K205" s="170"/>
      <c r="L205" s="193" t="s">
        <v>12892</v>
      </c>
      <c r="M205" s="165"/>
    </row>
    <row r="206" spans="1:13" ht="30">
      <c r="A206" s="67">
        <f t="shared" si="3"/>
        <v>204</v>
      </c>
      <c r="B206" s="164">
        <v>204</v>
      </c>
      <c r="C206" s="193" t="s">
        <v>1499</v>
      </c>
      <c r="D206" s="195" t="s">
        <v>4767</v>
      </c>
      <c r="E206" s="193" t="s">
        <v>7945</v>
      </c>
      <c r="F206" s="193" t="s">
        <v>114</v>
      </c>
      <c r="G206" s="195" t="s">
        <v>10141</v>
      </c>
      <c r="H206" s="166" t="s">
        <v>13436</v>
      </c>
      <c r="I206" s="193" t="s">
        <v>12817</v>
      </c>
      <c r="J206" s="193" t="s">
        <v>12070</v>
      </c>
      <c r="K206" s="170"/>
      <c r="L206" s="193" t="s">
        <v>146</v>
      </c>
      <c r="M206" s="165"/>
    </row>
    <row r="207" spans="1:13" ht="15.75">
      <c r="A207" s="67">
        <f t="shared" si="3"/>
        <v>205</v>
      </c>
      <c r="B207" s="164">
        <v>205</v>
      </c>
      <c r="C207" s="193" t="s">
        <v>1500</v>
      </c>
      <c r="D207" s="195" t="s">
        <v>4768</v>
      </c>
      <c r="E207" s="193" t="s">
        <v>626</v>
      </c>
      <c r="F207" s="193" t="s">
        <v>114</v>
      </c>
      <c r="G207" s="195" t="s">
        <v>10142</v>
      </c>
      <c r="H207" s="166" t="s">
        <v>13436</v>
      </c>
      <c r="I207" s="193" t="s">
        <v>12824</v>
      </c>
      <c r="J207" s="193" t="s">
        <v>146</v>
      </c>
      <c r="K207" s="170"/>
      <c r="L207" s="193" t="s">
        <v>146</v>
      </c>
      <c r="M207" s="165"/>
    </row>
    <row r="208" spans="1:13" ht="15.75">
      <c r="A208" s="67">
        <f t="shared" si="3"/>
        <v>206</v>
      </c>
      <c r="B208" s="164">
        <v>206</v>
      </c>
      <c r="C208" s="193" t="s">
        <v>1501</v>
      </c>
      <c r="D208" s="195" t="s">
        <v>4769</v>
      </c>
      <c r="E208" s="193" t="s">
        <v>610</v>
      </c>
      <c r="F208" s="193" t="s">
        <v>114</v>
      </c>
      <c r="G208" s="195" t="s">
        <v>10143</v>
      </c>
      <c r="H208" s="166" t="s">
        <v>13436</v>
      </c>
      <c r="I208" s="193" t="s">
        <v>12835</v>
      </c>
      <c r="J208" s="193" t="s">
        <v>12071</v>
      </c>
      <c r="K208" s="170"/>
      <c r="L208" s="193" t="s">
        <v>146</v>
      </c>
      <c r="M208" s="165"/>
    </row>
    <row r="209" spans="1:13" ht="30">
      <c r="A209" s="67">
        <f t="shared" si="3"/>
        <v>207</v>
      </c>
      <c r="B209" s="164">
        <v>207</v>
      </c>
      <c r="C209" s="193" t="s">
        <v>1502</v>
      </c>
      <c r="D209" s="195" t="s">
        <v>4770</v>
      </c>
      <c r="E209" s="193" t="s">
        <v>7946</v>
      </c>
      <c r="F209" s="193" t="s">
        <v>59</v>
      </c>
      <c r="G209" s="195" t="s">
        <v>10144</v>
      </c>
      <c r="H209" s="166" t="s">
        <v>13436</v>
      </c>
      <c r="I209" s="193" t="s">
        <v>12821</v>
      </c>
      <c r="J209" s="193" t="s">
        <v>12072</v>
      </c>
      <c r="K209" s="170"/>
      <c r="L209" s="193"/>
      <c r="M209" s="165"/>
    </row>
    <row r="210" spans="1:13" ht="15.75">
      <c r="A210" s="67">
        <f t="shared" si="3"/>
        <v>208</v>
      </c>
      <c r="B210" s="164">
        <v>208</v>
      </c>
      <c r="C210" s="193" t="s">
        <v>1503</v>
      </c>
      <c r="D210" s="195" t="s">
        <v>4771</v>
      </c>
      <c r="E210" s="193" t="s">
        <v>7947</v>
      </c>
      <c r="F210" s="193" t="s">
        <v>114</v>
      </c>
      <c r="G210" s="195" t="s">
        <v>10145</v>
      </c>
      <c r="H210" s="166" t="s">
        <v>13436</v>
      </c>
      <c r="I210" s="193" t="s">
        <v>12826</v>
      </c>
      <c r="J210" s="193" t="s">
        <v>12073</v>
      </c>
      <c r="K210" s="170"/>
      <c r="L210" s="193" t="s">
        <v>146</v>
      </c>
      <c r="M210" s="165"/>
    </row>
    <row r="211" spans="1:13" ht="15.75">
      <c r="A211" s="67">
        <f t="shared" si="3"/>
        <v>209</v>
      </c>
      <c r="B211" s="164">
        <v>209</v>
      </c>
      <c r="C211" s="193" t="s">
        <v>1504</v>
      </c>
      <c r="D211" s="195" t="s">
        <v>4772</v>
      </c>
      <c r="E211" s="193" t="s">
        <v>7948</v>
      </c>
      <c r="F211" s="193" t="s">
        <v>59</v>
      </c>
      <c r="G211" s="195" t="s">
        <v>10146</v>
      </c>
      <c r="H211" s="166" t="s">
        <v>13436</v>
      </c>
      <c r="I211" s="193" t="s">
        <v>12813</v>
      </c>
      <c r="J211" s="193" t="s">
        <v>146</v>
      </c>
      <c r="K211" s="170"/>
      <c r="L211" s="193"/>
      <c r="M211" s="165"/>
    </row>
    <row r="212" spans="1:13" ht="15.75">
      <c r="A212" s="67">
        <f t="shared" si="3"/>
        <v>210</v>
      </c>
      <c r="B212" s="164">
        <v>210</v>
      </c>
      <c r="C212" s="193" t="s">
        <v>1505</v>
      </c>
      <c r="D212" s="195" t="s">
        <v>4773</v>
      </c>
      <c r="E212" s="193" t="s">
        <v>7864</v>
      </c>
      <c r="F212" s="193" t="s">
        <v>114</v>
      </c>
      <c r="G212" s="195" t="s">
        <v>10147</v>
      </c>
      <c r="H212" s="166" t="s">
        <v>13436</v>
      </c>
      <c r="I212" s="193" t="s">
        <v>12826</v>
      </c>
      <c r="J212" s="193" t="s">
        <v>146</v>
      </c>
      <c r="K212" s="170"/>
      <c r="L212" s="193" t="s">
        <v>146</v>
      </c>
      <c r="M212" s="165"/>
    </row>
    <row r="213" spans="1:13" ht="30">
      <c r="A213" s="67">
        <f t="shared" si="3"/>
        <v>211</v>
      </c>
      <c r="B213" s="164">
        <v>211</v>
      </c>
      <c r="C213" s="193" t="s">
        <v>1506</v>
      </c>
      <c r="D213" s="195" t="s">
        <v>4774</v>
      </c>
      <c r="E213" s="193" t="s">
        <v>7949</v>
      </c>
      <c r="F213" s="193" t="s">
        <v>114</v>
      </c>
      <c r="G213" s="195" t="s">
        <v>10148</v>
      </c>
      <c r="H213" s="166" t="s">
        <v>13436</v>
      </c>
      <c r="I213" s="193" t="s">
        <v>12813</v>
      </c>
      <c r="J213" s="193" t="s">
        <v>146</v>
      </c>
      <c r="K213" s="170"/>
      <c r="L213" s="193" t="s">
        <v>12893</v>
      </c>
      <c r="M213" s="165"/>
    </row>
    <row r="214" spans="1:13" ht="15.75">
      <c r="A214" s="67">
        <f t="shared" si="3"/>
        <v>212</v>
      </c>
      <c r="B214" s="164">
        <v>212</v>
      </c>
      <c r="C214" s="193" t="s">
        <v>1507</v>
      </c>
      <c r="D214" s="195" t="s">
        <v>4775</v>
      </c>
      <c r="E214" s="193" t="s">
        <v>157</v>
      </c>
      <c r="F214" s="193" t="s">
        <v>114</v>
      </c>
      <c r="G214" s="195" t="s">
        <v>10149</v>
      </c>
      <c r="H214" s="166" t="s">
        <v>13436</v>
      </c>
      <c r="I214" s="193" t="s">
        <v>12817</v>
      </c>
      <c r="J214" s="193" t="s">
        <v>146</v>
      </c>
      <c r="K214" s="170"/>
      <c r="L214" s="193" t="s">
        <v>146</v>
      </c>
      <c r="M214" s="165"/>
    </row>
    <row r="215" spans="1:13" ht="30">
      <c r="A215" s="67">
        <f t="shared" si="3"/>
        <v>213</v>
      </c>
      <c r="B215" s="164">
        <v>213</v>
      </c>
      <c r="C215" s="193" t="s">
        <v>1508</v>
      </c>
      <c r="D215" s="195" t="s">
        <v>4776</v>
      </c>
      <c r="E215" s="193" t="s">
        <v>542</v>
      </c>
      <c r="F215" s="193" t="s">
        <v>114</v>
      </c>
      <c r="G215" s="195" t="s">
        <v>10068</v>
      </c>
      <c r="H215" s="166" t="s">
        <v>13436</v>
      </c>
      <c r="I215" s="193" t="s">
        <v>12836</v>
      </c>
      <c r="J215" s="193" t="s">
        <v>12074</v>
      </c>
      <c r="K215" s="170"/>
      <c r="L215" s="193" t="s">
        <v>146</v>
      </c>
      <c r="M215" s="165"/>
    </row>
    <row r="216" spans="1:13" ht="15.75">
      <c r="A216" s="67">
        <f t="shared" si="3"/>
        <v>214</v>
      </c>
      <c r="B216" s="164">
        <v>214</v>
      </c>
      <c r="C216" s="193" t="s">
        <v>1509</v>
      </c>
      <c r="D216" s="195" t="s">
        <v>4777</v>
      </c>
      <c r="E216" s="193" t="s">
        <v>7950</v>
      </c>
      <c r="F216" s="193" t="s">
        <v>114</v>
      </c>
      <c r="G216" s="195" t="s">
        <v>705</v>
      </c>
      <c r="H216" s="166" t="s">
        <v>13436</v>
      </c>
      <c r="I216" s="193" t="s">
        <v>12836</v>
      </c>
      <c r="J216" s="193" t="s">
        <v>146</v>
      </c>
      <c r="K216" s="170"/>
      <c r="L216" s="193" t="s">
        <v>146</v>
      </c>
      <c r="M216" s="165"/>
    </row>
    <row r="217" spans="1:13" ht="15.75">
      <c r="A217" s="67">
        <f t="shared" si="3"/>
        <v>215</v>
      </c>
      <c r="B217" s="164">
        <v>215</v>
      </c>
      <c r="C217" s="193" t="s">
        <v>1510</v>
      </c>
      <c r="D217" s="195" t="s">
        <v>4778</v>
      </c>
      <c r="E217" s="193" t="s">
        <v>7951</v>
      </c>
      <c r="F217" s="193" t="s">
        <v>114</v>
      </c>
      <c r="G217" s="195" t="s">
        <v>10150</v>
      </c>
      <c r="H217" s="166" t="s">
        <v>13436</v>
      </c>
      <c r="I217" s="193" t="s">
        <v>12836</v>
      </c>
      <c r="J217" s="219" t="s">
        <v>146</v>
      </c>
      <c r="K217" s="170"/>
      <c r="L217" s="219" t="s">
        <v>146</v>
      </c>
      <c r="M217" s="165"/>
    </row>
    <row r="218" spans="1:13" ht="15.75">
      <c r="A218" s="67">
        <f t="shared" si="3"/>
        <v>216</v>
      </c>
      <c r="B218" s="164">
        <v>216</v>
      </c>
      <c r="C218" s="193" t="s">
        <v>1511</v>
      </c>
      <c r="D218" s="195" t="s">
        <v>4779</v>
      </c>
      <c r="E218" s="193" t="s">
        <v>7952</v>
      </c>
      <c r="F218" s="193" t="s">
        <v>114</v>
      </c>
      <c r="G218" s="195" t="s">
        <v>10151</v>
      </c>
      <c r="H218" s="166" t="s">
        <v>13436</v>
      </c>
      <c r="I218" s="193" t="s">
        <v>12836</v>
      </c>
      <c r="J218" s="193" t="s">
        <v>146</v>
      </c>
      <c r="K218" s="170"/>
      <c r="L218" s="193" t="s">
        <v>146</v>
      </c>
      <c r="M218" s="165"/>
    </row>
    <row r="219" spans="1:13" ht="30">
      <c r="A219" s="67">
        <f t="shared" si="3"/>
        <v>217</v>
      </c>
      <c r="B219" s="164">
        <v>217</v>
      </c>
      <c r="C219" s="193" t="s">
        <v>1512</v>
      </c>
      <c r="D219" s="195" t="s">
        <v>4780</v>
      </c>
      <c r="E219" s="193" t="s">
        <v>552</v>
      </c>
      <c r="F219" s="193" t="s">
        <v>114</v>
      </c>
      <c r="G219" s="195" t="s">
        <v>10152</v>
      </c>
      <c r="H219" s="166" t="s">
        <v>13436</v>
      </c>
      <c r="I219" s="193" t="s">
        <v>12835</v>
      </c>
      <c r="J219" s="219" t="s">
        <v>12075</v>
      </c>
      <c r="K219" s="170"/>
      <c r="L219" s="193" t="s">
        <v>146</v>
      </c>
      <c r="M219" s="165"/>
    </row>
    <row r="220" spans="1:13" ht="15.75">
      <c r="A220" s="67">
        <f t="shared" si="3"/>
        <v>218</v>
      </c>
      <c r="B220" s="164">
        <v>218</v>
      </c>
      <c r="C220" s="193" t="s">
        <v>1513</v>
      </c>
      <c r="D220" s="195" t="s">
        <v>4781</v>
      </c>
      <c r="E220" s="193" t="s">
        <v>7953</v>
      </c>
      <c r="F220" s="193" t="s">
        <v>114</v>
      </c>
      <c r="G220" s="195" t="s">
        <v>735</v>
      </c>
      <c r="H220" s="166" t="s">
        <v>13436</v>
      </c>
      <c r="I220" s="193" t="s">
        <v>12836</v>
      </c>
      <c r="J220" s="193" t="s">
        <v>146</v>
      </c>
      <c r="K220" s="170"/>
      <c r="L220" s="193" t="s">
        <v>146</v>
      </c>
      <c r="M220" s="165"/>
    </row>
    <row r="221" spans="1:13" ht="30">
      <c r="A221" s="67">
        <f t="shared" si="3"/>
        <v>219</v>
      </c>
      <c r="B221" s="164">
        <v>219</v>
      </c>
      <c r="C221" s="193" t="s">
        <v>1514</v>
      </c>
      <c r="D221" s="195" t="s">
        <v>4782</v>
      </c>
      <c r="E221" s="193" t="s">
        <v>7954</v>
      </c>
      <c r="F221" s="193" t="s">
        <v>114</v>
      </c>
      <c r="G221" s="195" t="s">
        <v>10153</v>
      </c>
      <c r="H221" s="166" t="s">
        <v>13436</v>
      </c>
      <c r="I221" s="193" t="s">
        <v>12836</v>
      </c>
      <c r="J221" s="193" t="s">
        <v>12076</v>
      </c>
      <c r="K221" s="170"/>
      <c r="L221" s="193" t="s">
        <v>1293</v>
      </c>
      <c r="M221" s="165"/>
    </row>
    <row r="222" spans="1:13" ht="15.75">
      <c r="A222" s="67">
        <f t="shared" si="3"/>
        <v>220</v>
      </c>
      <c r="B222" s="164">
        <v>220</v>
      </c>
      <c r="C222" s="193" t="s">
        <v>1515</v>
      </c>
      <c r="D222" s="195" t="s">
        <v>4783</v>
      </c>
      <c r="E222" s="193" t="s">
        <v>7955</v>
      </c>
      <c r="F222" s="193" t="s">
        <v>59</v>
      </c>
      <c r="G222" s="195" t="s">
        <v>10154</v>
      </c>
      <c r="H222" s="166" t="s">
        <v>13436</v>
      </c>
      <c r="I222" s="193" t="s">
        <v>12832</v>
      </c>
      <c r="J222" s="193"/>
      <c r="K222" s="170"/>
      <c r="L222" s="193"/>
      <c r="M222" s="165"/>
    </row>
    <row r="223" spans="1:13" ht="15.75">
      <c r="A223" s="67">
        <f t="shared" si="3"/>
        <v>221</v>
      </c>
      <c r="B223" s="164">
        <v>221</v>
      </c>
      <c r="C223" s="193" t="s">
        <v>1516</v>
      </c>
      <c r="D223" s="195" t="s">
        <v>4784</v>
      </c>
      <c r="E223" s="193" t="s">
        <v>7956</v>
      </c>
      <c r="F223" s="193" t="s">
        <v>59</v>
      </c>
      <c r="G223" s="195" t="s">
        <v>10155</v>
      </c>
      <c r="H223" s="166" t="s">
        <v>13436</v>
      </c>
      <c r="I223" s="193" t="s">
        <v>12818</v>
      </c>
      <c r="J223" s="193" t="s">
        <v>146</v>
      </c>
      <c r="K223" s="170"/>
      <c r="L223" s="193"/>
      <c r="M223" s="165"/>
    </row>
    <row r="224" spans="1:13" ht="15.75">
      <c r="A224" s="67">
        <f t="shared" si="3"/>
        <v>222</v>
      </c>
      <c r="B224" s="164">
        <v>222</v>
      </c>
      <c r="C224" s="193" t="s">
        <v>1517</v>
      </c>
      <c r="D224" s="195" t="s">
        <v>4785</v>
      </c>
      <c r="E224" s="193" t="s">
        <v>7957</v>
      </c>
      <c r="F224" s="193" t="s">
        <v>114</v>
      </c>
      <c r="G224" s="195" t="s">
        <v>10156</v>
      </c>
      <c r="H224" s="166" t="s">
        <v>13436</v>
      </c>
      <c r="I224" s="193" t="s">
        <v>12814</v>
      </c>
      <c r="J224" s="193" t="s">
        <v>146</v>
      </c>
      <c r="K224" s="170"/>
      <c r="L224" s="193" t="s">
        <v>146</v>
      </c>
      <c r="M224" s="165"/>
    </row>
    <row r="225" spans="1:13" ht="15.75">
      <c r="A225" s="67">
        <f t="shared" si="3"/>
        <v>223</v>
      </c>
      <c r="B225" s="164">
        <v>223</v>
      </c>
      <c r="C225" s="193" t="s">
        <v>1518</v>
      </c>
      <c r="D225" s="195" t="s">
        <v>4786</v>
      </c>
      <c r="E225" s="193" t="s">
        <v>7958</v>
      </c>
      <c r="F225" s="193" t="s">
        <v>114</v>
      </c>
      <c r="G225" s="195" t="s">
        <v>10157</v>
      </c>
      <c r="H225" s="166" t="s">
        <v>13436</v>
      </c>
      <c r="I225" s="193" t="s">
        <v>12814</v>
      </c>
      <c r="J225" s="193" t="s">
        <v>146</v>
      </c>
      <c r="K225" s="170"/>
      <c r="L225" s="193" t="s">
        <v>146</v>
      </c>
      <c r="M225" s="165"/>
    </row>
    <row r="226" spans="1:13" ht="15.75">
      <c r="A226" s="67">
        <f t="shared" si="3"/>
        <v>224</v>
      </c>
      <c r="B226" s="164">
        <v>224</v>
      </c>
      <c r="C226" s="193" t="s">
        <v>1519</v>
      </c>
      <c r="D226" s="195" t="s">
        <v>4787</v>
      </c>
      <c r="E226" s="193" t="s">
        <v>463</v>
      </c>
      <c r="F226" s="193" t="s">
        <v>114</v>
      </c>
      <c r="G226" s="195" t="s">
        <v>10158</v>
      </c>
      <c r="H226" s="166" t="s">
        <v>13436</v>
      </c>
      <c r="I226" s="193" t="s">
        <v>12813</v>
      </c>
      <c r="J226" s="193" t="s">
        <v>146</v>
      </c>
      <c r="K226" s="170"/>
      <c r="L226" s="193" t="s">
        <v>146</v>
      </c>
      <c r="M226" s="165"/>
    </row>
    <row r="227" spans="1:13" ht="15.75">
      <c r="A227" s="67">
        <f t="shared" si="3"/>
        <v>225</v>
      </c>
      <c r="B227" s="164">
        <v>225</v>
      </c>
      <c r="C227" s="193" t="s">
        <v>1520</v>
      </c>
      <c r="D227" s="199" t="s">
        <v>4788</v>
      </c>
      <c r="E227" s="193" t="s">
        <v>7959</v>
      </c>
      <c r="F227" s="193" t="s">
        <v>114</v>
      </c>
      <c r="G227" s="195" t="s">
        <v>10159</v>
      </c>
      <c r="H227" s="166" t="s">
        <v>13436</v>
      </c>
      <c r="I227" s="193" t="s">
        <v>12831</v>
      </c>
      <c r="J227" s="193" t="s">
        <v>146</v>
      </c>
      <c r="K227" s="170"/>
      <c r="L227" s="193" t="s">
        <v>146</v>
      </c>
      <c r="M227" s="165"/>
    </row>
    <row r="228" spans="1:13" ht="30">
      <c r="A228" s="67">
        <f t="shared" si="3"/>
        <v>226</v>
      </c>
      <c r="B228" s="164">
        <v>226</v>
      </c>
      <c r="C228" s="193" t="s">
        <v>1521</v>
      </c>
      <c r="D228" s="196" t="s">
        <v>4789</v>
      </c>
      <c r="E228" s="193" t="s">
        <v>7960</v>
      </c>
      <c r="F228" s="193" t="s">
        <v>114</v>
      </c>
      <c r="G228" s="195" t="s">
        <v>10160</v>
      </c>
      <c r="H228" s="166" t="s">
        <v>13436</v>
      </c>
      <c r="I228" s="193" t="s">
        <v>12814</v>
      </c>
      <c r="J228" s="219" t="s">
        <v>12077</v>
      </c>
      <c r="K228" s="170"/>
      <c r="L228" s="193" t="s">
        <v>146</v>
      </c>
      <c r="M228" s="165"/>
    </row>
    <row r="229" spans="1:13" ht="30">
      <c r="A229" s="67">
        <f t="shared" si="3"/>
        <v>227</v>
      </c>
      <c r="B229" s="164">
        <v>227</v>
      </c>
      <c r="C229" s="193" t="s">
        <v>1522</v>
      </c>
      <c r="D229" s="195" t="s">
        <v>4790</v>
      </c>
      <c r="E229" s="193" t="s">
        <v>7961</v>
      </c>
      <c r="F229" s="193" t="s">
        <v>114</v>
      </c>
      <c r="G229" s="195" t="s">
        <v>205</v>
      </c>
      <c r="H229" s="166" t="s">
        <v>13436</v>
      </c>
      <c r="I229" s="193" t="s">
        <v>12812</v>
      </c>
      <c r="J229" s="193" t="s">
        <v>1252</v>
      </c>
      <c r="K229" s="170"/>
      <c r="L229" s="193" t="s">
        <v>12894</v>
      </c>
      <c r="M229" s="165"/>
    </row>
    <row r="230" spans="1:13" ht="30">
      <c r="A230" s="67">
        <f t="shared" si="3"/>
        <v>228</v>
      </c>
      <c r="B230" s="164">
        <v>228</v>
      </c>
      <c r="C230" s="193" t="s">
        <v>1523</v>
      </c>
      <c r="D230" s="195" t="s">
        <v>4791</v>
      </c>
      <c r="E230" s="193" t="s">
        <v>7962</v>
      </c>
      <c r="F230" s="193" t="s">
        <v>114</v>
      </c>
      <c r="G230" s="195" t="s">
        <v>10161</v>
      </c>
      <c r="H230" s="166" t="s">
        <v>13436</v>
      </c>
      <c r="I230" s="193" t="s">
        <v>12820</v>
      </c>
      <c r="J230" s="193" t="s">
        <v>12078</v>
      </c>
      <c r="K230" s="170"/>
      <c r="L230" s="193" t="s">
        <v>146</v>
      </c>
      <c r="M230" s="165"/>
    </row>
    <row r="231" spans="1:13" ht="15.75">
      <c r="A231" s="67">
        <f t="shared" si="3"/>
        <v>229</v>
      </c>
      <c r="B231" s="164">
        <v>229</v>
      </c>
      <c r="C231" s="193" t="s">
        <v>1524</v>
      </c>
      <c r="D231" s="195" t="s">
        <v>4792</v>
      </c>
      <c r="E231" s="193" t="s">
        <v>7963</v>
      </c>
      <c r="F231" s="193" t="s">
        <v>114</v>
      </c>
      <c r="G231" s="195" t="s">
        <v>10162</v>
      </c>
      <c r="H231" s="166" t="s">
        <v>13436</v>
      </c>
      <c r="I231" s="193" t="s">
        <v>12836</v>
      </c>
      <c r="J231" s="193" t="s">
        <v>146</v>
      </c>
      <c r="K231" s="170"/>
      <c r="L231" s="193" t="s">
        <v>146</v>
      </c>
      <c r="M231" s="165"/>
    </row>
    <row r="232" spans="1:13" ht="15.75">
      <c r="A232" s="67">
        <f t="shared" si="3"/>
        <v>230</v>
      </c>
      <c r="B232" s="164">
        <v>230</v>
      </c>
      <c r="C232" s="193" t="s">
        <v>1525</v>
      </c>
      <c r="D232" s="195" t="s">
        <v>4793</v>
      </c>
      <c r="E232" s="193" t="s">
        <v>7964</v>
      </c>
      <c r="F232" s="193" t="s">
        <v>114</v>
      </c>
      <c r="G232" s="195" t="s">
        <v>10163</v>
      </c>
      <c r="H232" s="166" t="s">
        <v>13436</v>
      </c>
      <c r="I232" s="193" t="s">
        <v>12836</v>
      </c>
      <c r="J232" s="193" t="s">
        <v>146</v>
      </c>
      <c r="K232" s="170"/>
      <c r="L232" s="193" t="s">
        <v>146</v>
      </c>
      <c r="M232" s="165"/>
    </row>
    <row r="233" spans="1:13" ht="15.75">
      <c r="A233" s="67">
        <f t="shared" si="3"/>
        <v>231</v>
      </c>
      <c r="B233" s="164">
        <v>231</v>
      </c>
      <c r="C233" s="193" t="s">
        <v>1526</v>
      </c>
      <c r="D233" s="195" t="s">
        <v>4794</v>
      </c>
      <c r="E233" s="193" t="s">
        <v>7965</v>
      </c>
      <c r="F233" s="193" t="s">
        <v>114</v>
      </c>
      <c r="G233" s="195" t="s">
        <v>1209</v>
      </c>
      <c r="H233" s="166" t="s">
        <v>13436</v>
      </c>
      <c r="I233" s="193" t="s">
        <v>12836</v>
      </c>
      <c r="J233" s="193" t="s">
        <v>146</v>
      </c>
      <c r="K233" s="170"/>
      <c r="L233" s="193" t="s">
        <v>146</v>
      </c>
      <c r="M233" s="165"/>
    </row>
    <row r="234" spans="1:13" ht="15.75">
      <c r="A234" s="67">
        <f t="shared" si="3"/>
        <v>232</v>
      </c>
      <c r="B234" s="164">
        <v>232</v>
      </c>
      <c r="C234" s="193" t="s">
        <v>1527</v>
      </c>
      <c r="D234" s="196" t="s">
        <v>4795</v>
      </c>
      <c r="E234" s="193" t="s">
        <v>7966</v>
      </c>
      <c r="F234" s="193" t="s">
        <v>59</v>
      </c>
      <c r="G234" s="195" t="s">
        <v>10164</v>
      </c>
      <c r="H234" s="166" t="s">
        <v>13436</v>
      </c>
      <c r="I234" s="193" t="s">
        <v>12837</v>
      </c>
      <c r="J234" s="193" t="s">
        <v>146</v>
      </c>
      <c r="K234" s="170"/>
      <c r="L234" s="193"/>
      <c r="M234" s="165"/>
    </row>
    <row r="235" spans="1:13" ht="15.75">
      <c r="A235" s="67">
        <f t="shared" si="3"/>
        <v>233</v>
      </c>
      <c r="B235" s="164">
        <v>233</v>
      </c>
      <c r="C235" s="193" t="s">
        <v>1528</v>
      </c>
      <c r="D235" s="195" t="s">
        <v>4796</v>
      </c>
      <c r="E235" s="193" t="s">
        <v>387</v>
      </c>
      <c r="F235" s="193" t="s">
        <v>59</v>
      </c>
      <c r="G235" s="195" t="s">
        <v>10165</v>
      </c>
      <c r="H235" s="166" t="s">
        <v>13436</v>
      </c>
      <c r="I235" s="193" t="s">
        <v>12808</v>
      </c>
      <c r="J235" s="193" t="s">
        <v>12079</v>
      </c>
      <c r="K235" s="170"/>
      <c r="L235" s="193"/>
      <c r="M235" s="165"/>
    </row>
    <row r="236" spans="1:13" ht="15.75">
      <c r="A236" s="67">
        <f t="shared" si="3"/>
        <v>234</v>
      </c>
      <c r="B236" s="164">
        <v>234</v>
      </c>
      <c r="C236" s="193" t="s">
        <v>1529</v>
      </c>
      <c r="D236" s="195" t="s">
        <v>4797</v>
      </c>
      <c r="E236" s="193" t="s">
        <v>7967</v>
      </c>
      <c r="F236" s="193" t="s">
        <v>114</v>
      </c>
      <c r="G236" s="195" t="s">
        <v>10166</v>
      </c>
      <c r="H236" s="166" t="s">
        <v>13436</v>
      </c>
      <c r="I236" s="193" t="s">
        <v>12814</v>
      </c>
      <c r="J236" s="219" t="s">
        <v>146</v>
      </c>
      <c r="K236" s="170"/>
      <c r="L236" s="219" t="s">
        <v>146</v>
      </c>
      <c r="M236" s="165"/>
    </row>
    <row r="237" spans="1:13" ht="15.75">
      <c r="A237" s="67">
        <f t="shared" si="3"/>
        <v>235</v>
      </c>
      <c r="B237" s="164">
        <v>235</v>
      </c>
      <c r="C237" s="193" t="s">
        <v>1530</v>
      </c>
      <c r="D237" s="195" t="s">
        <v>4798</v>
      </c>
      <c r="E237" s="193" t="s">
        <v>7968</v>
      </c>
      <c r="F237" s="193" t="s">
        <v>114</v>
      </c>
      <c r="G237" s="195" t="s">
        <v>10167</v>
      </c>
      <c r="H237" s="166" t="s">
        <v>13436</v>
      </c>
      <c r="I237" s="193" t="s">
        <v>12821</v>
      </c>
      <c r="J237" s="193" t="s">
        <v>146</v>
      </c>
      <c r="K237" s="170"/>
      <c r="L237" s="193" t="s">
        <v>146</v>
      </c>
      <c r="M237" s="165"/>
    </row>
    <row r="238" spans="1:13" ht="30">
      <c r="A238" s="67">
        <f t="shared" si="3"/>
        <v>236</v>
      </c>
      <c r="B238" s="164">
        <v>236</v>
      </c>
      <c r="C238" s="193" t="s">
        <v>1531</v>
      </c>
      <c r="D238" s="195" t="s">
        <v>4799</v>
      </c>
      <c r="E238" s="193" t="s">
        <v>7969</v>
      </c>
      <c r="F238" s="193" t="s">
        <v>114</v>
      </c>
      <c r="G238" s="195" t="s">
        <v>10168</v>
      </c>
      <c r="H238" s="166" t="s">
        <v>13436</v>
      </c>
      <c r="I238" s="193" t="s">
        <v>12836</v>
      </c>
      <c r="J238" s="193" t="s">
        <v>146</v>
      </c>
      <c r="K238" s="170"/>
      <c r="L238" s="193" t="s">
        <v>12895</v>
      </c>
      <c r="M238" s="165"/>
    </row>
    <row r="239" spans="1:13" ht="75">
      <c r="A239" s="67">
        <f t="shared" si="3"/>
        <v>237</v>
      </c>
      <c r="B239" s="164">
        <v>237</v>
      </c>
      <c r="C239" s="193" t="s">
        <v>1532</v>
      </c>
      <c r="D239" s="195" t="s">
        <v>4800</v>
      </c>
      <c r="E239" s="193" t="s">
        <v>472</v>
      </c>
      <c r="F239" s="193" t="s">
        <v>114</v>
      </c>
      <c r="G239" s="195" t="s">
        <v>10169</v>
      </c>
      <c r="H239" s="166" t="s">
        <v>13436</v>
      </c>
      <c r="I239" s="193" t="s">
        <v>12824</v>
      </c>
      <c r="J239" s="193" t="s">
        <v>146</v>
      </c>
      <c r="K239" s="170"/>
      <c r="L239" s="193" t="s">
        <v>12896</v>
      </c>
      <c r="M239" s="165"/>
    </row>
    <row r="240" spans="1:13" ht="30">
      <c r="A240" s="67">
        <f t="shared" si="3"/>
        <v>238</v>
      </c>
      <c r="B240" s="164">
        <v>238</v>
      </c>
      <c r="C240" s="193" t="s">
        <v>1533</v>
      </c>
      <c r="D240" s="195" t="s">
        <v>4801</v>
      </c>
      <c r="E240" s="193" t="s">
        <v>7970</v>
      </c>
      <c r="F240" s="193" t="s">
        <v>114</v>
      </c>
      <c r="G240" s="195" t="s">
        <v>10170</v>
      </c>
      <c r="H240" s="166" t="s">
        <v>13436</v>
      </c>
      <c r="I240" s="193" t="s">
        <v>12836</v>
      </c>
      <c r="J240" s="193" t="s">
        <v>1252</v>
      </c>
      <c r="K240" s="170"/>
      <c r="L240" s="193" t="s">
        <v>12897</v>
      </c>
      <c r="M240" s="165"/>
    </row>
    <row r="241" spans="1:13" ht="30">
      <c r="A241" s="67">
        <f t="shared" si="3"/>
        <v>239</v>
      </c>
      <c r="B241" s="164">
        <v>239</v>
      </c>
      <c r="C241" s="193" t="s">
        <v>1534</v>
      </c>
      <c r="D241" s="195" t="s">
        <v>4802</v>
      </c>
      <c r="E241" s="193" t="s">
        <v>7971</v>
      </c>
      <c r="F241" s="193" t="s">
        <v>114</v>
      </c>
      <c r="G241" s="195" t="s">
        <v>10171</v>
      </c>
      <c r="H241" s="166" t="s">
        <v>13436</v>
      </c>
      <c r="I241" s="193" t="s">
        <v>12825</v>
      </c>
      <c r="J241" s="193" t="s">
        <v>12080</v>
      </c>
      <c r="K241" s="170"/>
      <c r="L241" s="193" t="s">
        <v>146</v>
      </c>
      <c r="M241" s="165"/>
    </row>
    <row r="242" spans="1:13" ht="30">
      <c r="A242" s="67">
        <f t="shared" si="3"/>
        <v>240</v>
      </c>
      <c r="B242" s="164">
        <v>240</v>
      </c>
      <c r="C242" s="193" t="s">
        <v>1535</v>
      </c>
      <c r="D242" s="195" t="s">
        <v>4803</v>
      </c>
      <c r="E242" s="193" t="s">
        <v>7972</v>
      </c>
      <c r="F242" s="193" t="s">
        <v>114</v>
      </c>
      <c r="G242" s="195" t="s">
        <v>10172</v>
      </c>
      <c r="H242" s="166" t="s">
        <v>13436</v>
      </c>
      <c r="I242" s="193" t="s">
        <v>12814</v>
      </c>
      <c r="J242" s="193" t="s">
        <v>146</v>
      </c>
      <c r="K242" s="170"/>
      <c r="L242" s="193" t="s">
        <v>12898</v>
      </c>
      <c r="M242" s="165"/>
    </row>
    <row r="243" spans="1:13" ht="15.75">
      <c r="A243" s="67">
        <f t="shared" si="3"/>
        <v>241</v>
      </c>
      <c r="B243" s="164">
        <v>241</v>
      </c>
      <c r="C243" s="193" t="s">
        <v>1536</v>
      </c>
      <c r="D243" s="195" t="s">
        <v>4804</v>
      </c>
      <c r="E243" s="193" t="s">
        <v>7973</v>
      </c>
      <c r="F243" s="193" t="s">
        <v>114</v>
      </c>
      <c r="G243" s="195" t="s">
        <v>10108</v>
      </c>
      <c r="H243" s="166" t="s">
        <v>13436</v>
      </c>
      <c r="I243" s="193" t="s">
        <v>12814</v>
      </c>
      <c r="J243" s="219" t="s">
        <v>146</v>
      </c>
      <c r="K243" s="170"/>
      <c r="L243" s="193" t="s">
        <v>146</v>
      </c>
      <c r="M243" s="165"/>
    </row>
    <row r="244" spans="1:13" ht="15.75">
      <c r="A244" s="67">
        <f t="shared" si="3"/>
        <v>242</v>
      </c>
      <c r="B244" s="164">
        <v>242</v>
      </c>
      <c r="C244" s="193" t="s">
        <v>1537</v>
      </c>
      <c r="D244" s="197" t="s">
        <v>4805</v>
      </c>
      <c r="E244" s="193" t="s">
        <v>7974</v>
      </c>
      <c r="F244" s="193" t="s">
        <v>114</v>
      </c>
      <c r="G244" s="195" t="s">
        <v>10173</v>
      </c>
      <c r="H244" s="166" t="s">
        <v>13436</v>
      </c>
      <c r="I244" s="193" t="s">
        <v>12816</v>
      </c>
      <c r="J244" s="193" t="s">
        <v>1252</v>
      </c>
      <c r="K244" s="170"/>
      <c r="L244" s="193" t="s">
        <v>146</v>
      </c>
      <c r="M244" s="165"/>
    </row>
    <row r="245" spans="1:13" ht="30">
      <c r="A245" s="67">
        <f t="shared" si="3"/>
        <v>243</v>
      </c>
      <c r="B245" s="164">
        <v>243</v>
      </c>
      <c r="C245" s="193" t="s">
        <v>1538</v>
      </c>
      <c r="D245" s="195" t="s">
        <v>4806</v>
      </c>
      <c r="E245" s="193" t="s">
        <v>7975</v>
      </c>
      <c r="F245" s="193" t="s">
        <v>114</v>
      </c>
      <c r="G245" s="195" t="s">
        <v>10021</v>
      </c>
      <c r="H245" s="166" t="s">
        <v>13436</v>
      </c>
      <c r="I245" s="193" t="s">
        <v>12824</v>
      </c>
      <c r="J245" s="193" t="s">
        <v>12081</v>
      </c>
      <c r="K245" s="170"/>
      <c r="L245" s="193" t="s">
        <v>146</v>
      </c>
      <c r="M245" s="165"/>
    </row>
    <row r="246" spans="1:13" ht="15.75">
      <c r="A246" s="67">
        <f t="shared" si="3"/>
        <v>244</v>
      </c>
      <c r="B246" s="164">
        <v>244</v>
      </c>
      <c r="C246" s="193" t="s">
        <v>1539</v>
      </c>
      <c r="D246" s="195" t="s">
        <v>4807</v>
      </c>
      <c r="E246" s="193" t="s">
        <v>7976</v>
      </c>
      <c r="F246" s="193" t="s">
        <v>59</v>
      </c>
      <c r="G246" s="195" t="s">
        <v>10174</v>
      </c>
      <c r="H246" s="166" t="s">
        <v>13436</v>
      </c>
      <c r="I246" s="193" t="s">
        <v>12813</v>
      </c>
      <c r="J246" s="193" t="s">
        <v>164</v>
      </c>
      <c r="K246" s="170"/>
      <c r="L246" s="193"/>
      <c r="M246" s="165"/>
    </row>
    <row r="247" spans="1:13" ht="15.75">
      <c r="A247" s="67">
        <f t="shared" si="3"/>
        <v>245</v>
      </c>
      <c r="B247" s="164">
        <v>245</v>
      </c>
      <c r="C247" s="193" t="s">
        <v>1540</v>
      </c>
      <c r="D247" s="199" t="s">
        <v>4808</v>
      </c>
      <c r="E247" s="193" t="s">
        <v>7977</v>
      </c>
      <c r="F247" s="193" t="s">
        <v>59</v>
      </c>
      <c r="G247" s="195" t="s">
        <v>10175</v>
      </c>
      <c r="H247" s="166" t="s">
        <v>13436</v>
      </c>
      <c r="I247" s="193" t="s">
        <v>12839</v>
      </c>
      <c r="J247" s="193" t="s">
        <v>12082</v>
      </c>
      <c r="K247" s="170"/>
      <c r="L247" s="193"/>
      <c r="M247" s="165"/>
    </row>
    <row r="248" spans="1:13" ht="15.75">
      <c r="A248" s="67">
        <f t="shared" si="3"/>
        <v>246</v>
      </c>
      <c r="B248" s="164">
        <v>246</v>
      </c>
      <c r="C248" s="193" t="s">
        <v>1541</v>
      </c>
      <c r="D248" s="198" t="s">
        <v>4809</v>
      </c>
      <c r="E248" s="193" t="s">
        <v>7978</v>
      </c>
      <c r="F248" s="193" t="s">
        <v>59</v>
      </c>
      <c r="G248" s="195" t="s">
        <v>10176</v>
      </c>
      <c r="H248" s="166" t="s">
        <v>13436</v>
      </c>
      <c r="I248" s="193" t="s">
        <v>1247</v>
      </c>
      <c r="J248" s="193" t="s">
        <v>147</v>
      </c>
      <c r="K248" s="170"/>
      <c r="L248" s="193"/>
      <c r="M248" s="165"/>
    </row>
    <row r="249" spans="1:13" ht="15.75">
      <c r="A249" s="67">
        <f t="shared" si="3"/>
        <v>247</v>
      </c>
      <c r="B249" s="164">
        <v>247</v>
      </c>
      <c r="C249" s="193" t="s">
        <v>1542</v>
      </c>
      <c r="D249" s="195" t="s">
        <v>4810</v>
      </c>
      <c r="E249" s="193" t="s">
        <v>545</v>
      </c>
      <c r="F249" s="193" t="s">
        <v>59</v>
      </c>
      <c r="G249" s="195" t="s">
        <v>10122</v>
      </c>
      <c r="H249" s="166" t="s">
        <v>13436</v>
      </c>
      <c r="I249" s="193" t="s">
        <v>12832</v>
      </c>
      <c r="J249" s="193" t="s">
        <v>146</v>
      </c>
      <c r="K249" s="170"/>
      <c r="L249" s="193"/>
      <c r="M249" s="165"/>
    </row>
    <row r="250" spans="1:13" ht="15.75">
      <c r="A250" s="67">
        <f t="shared" si="3"/>
        <v>248</v>
      </c>
      <c r="B250" s="164">
        <v>248</v>
      </c>
      <c r="C250" s="193" t="s">
        <v>1543</v>
      </c>
      <c r="D250" s="195" t="s">
        <v>4811</v>
      </c>
      <c r="E250" s="193" t="s">
        <v>526</v>
      </c>
      <c r="F250" s="193" t="s">
        <v>114</v>
      </c>
      <c r="G250" s="195" t="s">
        <v>10177</v>
      </c>
      <c r="H250" s="166" t="s">
        <v>13436</v>
      </c>
      <c r="I250" s="193" t="s">
        <v>12824</v>
      </c>
      <c r="J250" s="193" t="s">
        <v>146</v>
      </c>
      <c r="K250" s="170"/>
      <c r="L250" s="193" t="s">
        <v>146</v>
      </c>
      <c r="M250" s="165"/>
    </row>
    <row r="251" spans="1:13" ht="30">
      <c r="A251" s="67">
        <f t="shared" si="3"/>
        <v>249</v>
      </c>
      <c r="B251" s="164">
        <v>249</v>
      </c>
      <c r="C251" s="193" t="s">
        <v>1544</v>
      </c>
      <c r="D251" s="195" t="s">
        <v>4812</v>
      </c>
      <c r="E251" s="193" t="s">
        <v>7979</v>
      </c>
      <c r="F251" s="193" t="s">
        <v>59</v>
      </c>
      <c r="G251" s="195" t="s">
        <v>10178</v>
      </c>
      <c r="H251" s="166" t="s">
        <v>13436</v>
      </c>
      <c r="I251" s="193" t="s">
        <v>12825</v>
      </c>
      <c r="J251" s="193" t="s">
        <v>12083</v>
      </c>
      <c r="K251" s="170"/>
      <c r="L251" s="193"/>
      <c r="M251" s="165"/>
    </row>
    <row r="252" spans="1:13" ht="30">
      <c r="A252" s="67">
        <f t="shared" si="3"/>
        <v>250</v>
      </c>
      <c r="B252" s="164">
        <v>250</v>
      </c>
      <c r="C252" s="193" t="s">
        <v>1545</v>
      </c>
      <c r="D252" s="204" t="s">
        <v>4813</v>
      </c>
      <c r="E252" s="193" t="s">
        <v>7980</v>
      </c>
      <c r="F252" s="193" t="s">
        <v>59</v>
      </c>
      <c r="G252" s="195" t="s">
        <v>10179</v>
      </c>
      <c r="H252" s="166" t="s">
        <v>13436</v>
      </c>
      <c r="I252" s="193" t="s">
        <v>12816</v>
      </c>
      <c r="J252" s="193" t="s">
        <v>12084</v>
      </c>
      <c r="K252" s="170"/>
      <c r="L252" s="193"/>
      <c r="M252" s="165"/>
    </row>
    <row r="253" spans="1:13" ht="15.75">
      <c r="A253" s="67">
        <f t="shared" si="3"/>
        <v>251</v>
      </c>
      <c r="B253" s="164">
        <v>251</v>
      </c>
      <c r="C253" s="193" t="s">
        <v>1546</v>
      </c>
      <c r="D253" s="195" t="s">
        <v>4814</v>
      </c>
      <c r="E253" s="193" t="s">
        <v>7981</v>
      </c>
      <c r="F253" s="193" t="s">
        <v>114</v>
      </c>
      <c r="G253" s="195" t="s">
        <v>10180</v>
      </c>
      <c r="H253" s="166" t="s">
        <v>13436</v>
      </c>
      <c r="I253" s="193" t="s">
        <v>12821</v>
      </c>
      <c r="J253" s="193" t="s">
        <v>1252</v>
      </c>
      <c r="K253" s="170"/>
      <c r="L253" s="193" t="s">
        <v>146</v>
      </c>
      <c r="M253" s="165"/>
    </row>
    <row r="254" spans="1:13" ht="15.75">
      <c r="A254" s="67">
        <f t="shared" si="3"/>
        <v>252</v>
      </c>
      <c r="B254" s="164">
        <v>252</v>
      </c>
      <c r="C254" s="193" t="s">
        <v>1547</v>
      </c>
      <c r="D254" s="195" t="s">
        <v>4815</v>
      </c>
      <c r="E254" s="193" t="s">
        <v>7982</v>
      </c>
      <c r="F254" s="193" t="s">
        <v>114</v>
      </c>
      <c r="G254" s="195" t="s">
        <v>719</v>
      </c>
      <c r="H254" s="166" t="s">
        <v>13436</v>
      </c>
      <c r="I254" s="193" t="s">
        <v>12814</v>
      </c>
      <c r="J254" s="193" t="s">
        <v>146</v>
      </c>
      <c r="K254" s="170"/>
      <c r="L254" s="193" t="s">
        <v>146</v>
      </c>
      <c r="M254" s="165"/>
    </row>
    <row r="255" spans="1:13" ht="30">
      <c r="A255" s="67">
        <f t="shared" si="3"/>
        <v>253</v>
      </c>
      <c r="B255" s="164">
        <v>253</v>
      </c>
      <c r="C255" s="193" t="s">
        <v>1548</v>
      </c>
      <c r="D255" s="195" t="s">
        <v>4816</v>
      </c>
      <c r="E255" s="193" t="s">
        <v>7983</v>
      </c>
      <c r="F255" s="193" t="s">
        <v>114</v>
      </c>
      <c r="G255" s="195" t="s">
        <v>10181</v>
      </c>
      <c r="H255" s="166" t="s">
        <v>13436</v>
      </c>
      <c r="I255" s="193" t="s">
        <v>12814</v>
      </c>
      <c r="J255" s="193" t="s">
        <v>146</v>
      </c>
      <c r="K255" s="170"/>
      <c r="L255" s="193" t="s">
        <v>12899</v>
      </c>
      <c r="M255" s="165"/>
    </row>
    <row r="256" spans="1:13" ht="30">
      <c r="A256" s="67">
        <f t="shared" si="3"/>
        <v>254</v>
      </c>
      <c r="B256" s="164">
        <v>254</v>
      </c>
      <c r="C256" s="193" t="s">
        <v>1549</v>
      </c>
      <c r="D256" s="195" t="s">
        <v>4817</v>
      </c>
      <c r="E256" s="193" t="s">
        <v>7984</v>
      </c>
      <c r="F256" s="193" t="s">
        <v>114</v>
      </c>
      <c r="G256" s="195" t="s">
        <v>10182</v>
      </c>
      <c r="H256" s="166" t="s">
        <v>13436</v>
      </c>
      <c r="I256" s="193" t="s">
        <v>12814</v>
      </c>
      <c r="J256" s="193" t="s">
        <v>12085</v>
      </c>
      <c r="K256" s="170"/>
      <c r="L256" s="193" t="s">
        <v>146</v>
      </c>
      <c r="M256" s="165"/>
    </row>
    <row r="257" spans="1:13" ht="30">
      <c r="A257" s="67">
        <f t="shared" si="3"/>
        <v>255</v>
      </c>
      <c r="B257" s="164">
        <v>255</v>
      </c>
      <c r="C257" s="193" t="s">
        <v>1550</v>
      </c>
      <c r="D257" s="195" t="s">
        <v>4818</v>
      </c>
      <c r="E257" s="193" t="s">
        <v>7985</v>
      </c>
      <c r="F257" s="193" t="s">
        <v>114</v>
      </c>
      <c r="G257" s="195" t="s">
        <v>10084</v>
      </c>
      <c r="H257" s="166" t="s">
        <v>13436</v>
      </c>
      <c r="I257" s="193" t="s">
        <v>12814</v>
      </c>
      <c r="J257" s="193" t="s">
        <v>146</v>
      </c>
      <c r="K257" s="170"/>
      <c r="L257" s="193" t="s">
        <v>12900</v>
      </c>
      <c r="M257" s="165"/>
    </row>
    <row r="258" spans="1:13" ht="15.75">
      <c r="A258" s="67">
        <f t="shared" si="3"/>
        <v>256</v>
      </c>
      <c r="B258" s="164">
        <v>256</v>
      </c>
      <c r="C258" s="193" t="s">
        <v>1551</v>
      </c>
      <c r="D258" s="195" t="s">
        <v>4819</v>
      </c>
      <c r="E258" s="193" t="s">
        <v>7986</v>
      </c>
      <c r="F258" s="193" t="s">
        <v>114</v>
      </c>
      <c r="G258" s="195" t="s">
        <v>10183</v>
      </c>
      <c r="H258" s="166" t="s">
        <v>13436</v>
      </c>
      <c r="I258" s="193" t="s">
        <v>12814</v>
      </c>
      <c r="J258" s="193" t="s">
        <v>1252</v>
      </c>
      <c r="K258" s="170"/>
      <c r="L258" s="193" t="s">
        <v>146</v>
      </c>
      <c r="M258" s="165"/>
    </row>
    <row r="259" spans="1:13" ht="75">
      <c r="A259" s="67">
        <f t="shared" ref="A259:A322" si="4">IFERROR(VALUE(RIGHT(C259,4)),"")</f>
        <v>257</v>
      </c>
      <c r="B259" s="164">
        <v>257</v>
      </c>
      <c r="C259" s="193" t="s">
        <v>1552</v>
      </c>
      <c r="D259" s="195" t="s">
        <v>4820</v>
      </c>
      <c r="E259" s="193" t="s">
        <v>7987</v>
      </c>
      <c r="F259" s="193" t="s">
        <v>114</v>
      </c>
      <c r="G259" s="195" t="s">
        <v>10184</v>
      </c>
      <c r="H259" s="166" t="s">
        <v>13436</v>
      </c>
      <c r="I259" s="193" t="s">
        <v>12814</v>
      </c>
      <c r="J259" s="193" t="s">
        <v>146</v>
      </c>
      <c r="K259" s="170"/>
      <c r="L259" s="193" t="s">
        <v>12901</v>
      </c>
      <c r="M259" s="165"/>
    </row>
    <row r="260" spans="1:13" ht="15.75">
      <c r="A260" s="67">
        <f t="shared" si="4"/>
        <v>258</v>
      </c>
      <c r="B260" s="164">
        <v>258</v>
      </c>
      <c r="C260" s="193" t="s">
        <v>1553</v>
      </c>
      <c r="D260" s="195" t="s">
        <v>4821</v>
      </c>
      <c r="E260" s="193" t="s">
        <v>7988</v>
      </c>
      <c r="F260" s="193" t="s">
        <v>114</v>
      </c>
      <c r="G260" s="195" t="s">
        <v>10185</v>
      </c>
      <c r="H260" s="166" t="s">
        <v>13436</v>
      </c>
      <c r="I260" s="193" t="s">
        <v>12814</v>
      </c>
      <c r="J260" s="193" t="s">
        <v>12086</v>
      </c>
      <c r="K260" s="170"/>
      <c r="L260" s="193" t="s">
        <v>146</v>
      </c>
      <c r="M260" s="165"/>
    </row>
    <row r="261" spans="1:13" ht="15.75">
      <c r="A261" s="67">
        <f t="shared" si="4"/>
        <v>259</v>
      </c>
      <c r="B261" s="164">
        <v>259</v>
      </c>
      <c r="C261" s="193" t="s">
        <v>1554</v>
      </c>
      <c r="D261" s="195" t="s">
        <v>4822</v>
      </c>
      <c r="E261" s="193" t="s">
        <v>192</v>
      </c>
      <c r="F261" s="193" t="s">
        <v>59</v>
      </c>
      <c r="G261" s="195" t="s">
        <v>10186</v>
      </c>
      <c r="H261" s="166" t="s">
        <v>13436</v>
      </c>
      <c r="I261" s="193" t="s">
        <v>12819</v>
      </c>
      <c r="J261" s="193" t="s">
        <v>12087</v>
      </c>
      <c r="K261" s="170"/>
      <c r="L261" s="193"/>
      <c r="M261" s="165"/>
    </row>
    <row r="262" spans="1:13" ht="30">
      <c r="A262" s="67">
        <f t="shared" si="4"/>
        <v>260</v>
      </c>
      <c r="B262" s="164">
        <v>260</v>
      </c>
      <c r="C262" s="193" t="s">
        <v>1555</v>
      </c>
      <c r="D262" s="195" t="s">
        <v>4823</v>
      </c>
      <c r="E262" s="193" t="s">
        <v>7989</v>
      </c>
      <c r="F262" s="193" t="s">
        <v>59</v>
      </c>
      <c r="G262" s="195" t="s">
        <v>10187</v>
      </c>
      <c r="H262" s="166" t="s">
        <v>13436</v>
      </c>
      <c r="I262" s="193" t="s">
        <v>12819</v>
      </c>
      <c r="J262" s="193" t="s">
        <v>12088</v>
      </c>
      <c r="K262" s="170"/>
      <c r="L262" s="193"/>
      <c r="M262" s="165"/>
    </row>
    <row r="263" spans="1:13" ht="75">
      <c r="A263" s="67">
        <f t="shared" si="4"/>
        <v>261</v>
      </c>
      <c r="B263" s="164">
        <v>261</v>
      </c>
      <c r="C263" s="193" t="s">
        <v>1556</v>
      </c>
      <c r="D263" s="195" t="s">
        <v>4824</v>
      </c>
      <c r="E263" s="193" t="s">
        <v>397</v>
      </c>
      <c r="F263" s="193" t="s">
        <v>114</v>
      </c>
      <c r="G263" s="195" t="s">
        <v>739</v>
      </c>
      <c r="H263" s="166" t="s">
        <v>13436</v>
      </c>
      <c r="I263" s="193" t="s">
        <v>1250</v>
      </c>
      <c r="J263" s="193" t="s">
        <v>12089</v>
      </c>
      <c r="K263" s="170"/>
      <c r="L263" s="193" t="s">
        <v>12902</v>
      </c>
      <c r="M263" s="165"/>
    </row>
    <row r="264" spans="1:13" ht="90">
      <c r="A264" s="67">
        <f t="shared" si="4"/>
        <v>262</v>
      </c>
      <c r="B264" s="164">
        <v>262</v>
      </c>
      <c r="C264" s="193" t="s">
        <v>1557</v>
      </c>
      <c r="D264" s="195" t="s">
        <v>4825</v>
      </c>
      <c r="E264" s="193" t="s">
        <v>623</v>
      </c>
      <c r="F264" s="193" t="s">
        <v>114</v>
      </c>
      <c r="G264" s="195" t="s">
        <v>10188</v>
      </c>
      <c r="H264" s="166" t="s">
        <v>13436</v>
      </c>
      <c r="I264" s="193" t="s">
        <v>12826</v>
      </c>
      <c r="J264" s="193" t="s">
        <v>1270</v>
      </c>
      <c r="K264" s="170"/>
      <c r="L264" s="193" t="s">
        <v>12903</v>
      </c>
      <c r="M264" s="165"/>
    </row>
    <row r="265" spans="1:13" ht="15.75">
      <c r="A265" s="67">
        <f t="shared" si="4"/>
        <v>263</v>
      </c>
      <c r="B265" s="164">
        <v>263</v>
      </c>
      <c r="C265" s="193" t="s">
        <v>1558</v>
      </c>
      <c r="D265" s="195" t="s">
        <v>4826</v>
      </c>
      <c r="E265" s="193" t="s">
        <v>7990</v>
      </c>
      <c r="F265" s="193" t="s">
        <v>114</v>
      </c>
      <c r="G265" s="195" t="s">
        <v>10182</v>
      </c>
      <c r="H265" s="166" t="s">
        <v>13436</v>
      </c>
      <c r="I265" s="193" t="s">
        <v>12826</v>
      </c>
      <c r="J265" s="193" t="s">
        <v>146</v>
      </c>
      <c r="K265" s="170"/>
      <c r="L265" s="193" t="s">
        <v>146</v>
      </c>
      <c r="M265" s="165"/>
    </row>
    <row r="266" spans="1:13" ht="15.75">
      <c r="A266" s="67">
        <f t="shared" si="4"/>
        <v>264</v>
      </c>
      <c r="B266" s="164">
        <v>264</v>
      </c>
      <c r="C266" s="193" t="s">
        <v>1559</v>
      </c>
      <c r="D266" s="195" t="s">
        <v>4827</v>
      </c>
      <c r="E266" s="193" t="s">
        <v>7991</v>
      </c>
      <c r="F266" s="193" t="s">
        <v>114</v>
      </c>
      <c r="G266" s="195" t="s">
        <v>10110</v>
      </c>
      <c r="H266" s="166" t="s">
        <v>13436</v>
      </c>
      <c r="I266" s="193" t="s">
        <v>12826</v>
      </c>
      <c r="J266" s="193" t="s">
        <v>146</v>
      </c>
      <c r="K266" s="170"/>
      <c r="L266" s="193" t="s">
        <v>146</v>
      </c>
      <c r="M266" s="165"/>
    </row>
    <row r="267" spans="1:13" ht="30">
      <c r="A267" s="67">
        <f t="shared" si="4"/>
        <v>265</v>
      </c>
      <c r="B267" s="164">
        <v>265</v>
      </c>
      <c r="C267" s="193" t="s">
        <v>1560</v>
      </c>
      <c r="D267" s="195" t="s">
        <v>4828</v>
      </c>
      <c r="E267" s="193" t="s">
        <v>7992</v>
      </c>
      <c r="F267" s="193" t="s">
        <v>114</v>
      </c>
      <c r="G267" s="195" t="s">
        <v>10074</v>
      </c>
      <c r="H267" s="166" t="s">
        <v>13436</v>
      </c>
      <c r="I267" s="193" t="s">
        <v>12826</v>
      </c>
      <c r="J267" s="193" t="s">
        <v>12090</v>
      </c>
      <c r="K267" s="170"/>
      <c r="L267" s="193" t="s">
        <v>146</v>
      </c>
      <c r="M267" s="165"/>
    </row>
    <row r="268" spans="1:13" ht="15.75">
      <c r="A268" s="67">
        <f t="shared" si="4"/>
        <v>266</v>
      </c>
      <c r="B268" s="164">
        <v>266</v>
      </c>
      <c r="C268" s="193" t="s">
        <v>1561</v>
      </c>
      <c r="D268" s="195" t="s">
        <v>4829</v>
      </c>
      <c r="E268" s="193" t="s">
        <v>7993</v>
      </c>
      <c r="F268" s="193" t="s">
        <v>59</v>
      </c>
      <c r="G268" s="195" t="s">
        <v>232</v>
      </c>
      <c r="H268" s="166" t="s">
        <v>13436</v>
      </c>
      <c r="I268" s="193" t="s">
        <v>12818</v>
      </c>
      <c r="J268" s="193"/>
      <c r="K268" s="170"/>
      <c r="L268" s="193"/>
      <c r="M268" s="165"/>
    </row>
    <row r="269" spans="1:13" ht="15.75">
      <c r="A269" s="67">
        <f t="shared" si="4"/>
        <v>267</v>
      </c>
      <c r="B269" s="164">
        <v>267</v>
      </c>
      <c r="C269" s="193" t="s">
        <v>1562</v>
      </c>
      <c r="D269" s="195" t="s">
        <v>4830</v>
      </c>
      <c r="E269" s="193" t="s">
        <v>7994</v>
      </c>
      <c r="F269" s="193" t="s">
        <v>59</v>
      </c>
      <c r="G269" s="195" t="s">
        <v>10189</v>
      </c>
      <c r="H269" s="166" t="s">
        <v>13436</v>
      </c>
      <c r="I269" s="193" t="s">
        <v>12819</v>
      </c>
      <c r="J269" s="193" t="s">
        <v>146</v>
      </c>
      <c r="K269" s="170"/>
      <c r="L269" s="193"/>
      <c r="M269" s="165"/>
    </row>
    <row r="270" spans="1:13" ht="30">
      <c r="A270" s="67">
        <f t="shared" si="4"/>
        <v>268</v>
      </c>
      <c r="B270" s="164">
        <v>268</v>
      </c>
      <c r="C270" s="193" t="s">
        <v>1563</v>
      </c>
      <c r="D270" s="195" t="s">
        <v>4831</v>
      </c>
      <c r="E270" s="193" t="s">
        <v>7995</v>
      </c>
      <c r="F270" s="193" t="s">
        <v>59</v>
      </c>
      <c r="G270" s="195" t="s">
        <v>10190</v>
      </c>
      <c r="H270" s="166" t="s">
        <v>13436</v>
      </c>
      <c r="I270" s="193" t="s">
        <v>12838</v>
      </c>
      <c r="J270" s="193" t="s">
        <v>12091</v>
      </c>
      <c r="K270" s="170"/>
      <c r="L270" s="193"/>
      <c r="M270" s="165"/>
    </row>
    <row r="271" spans="1:13" ht="15.75">
      <c r="A271" s="67">
        <f t="shared" si="4"/>
        <v>269</v>
      </c>
      <c r="B271" s="164">
        <v>269</v>
      </c>
      <c r="C271" s="193" t="s">
        <v>1564</v>
      </c>
      <c r="D271" s="197" t="s">
        <v>4832</v>
      </c>
      <c r="E271" s="193" t="s">
        <v>7996</v>
      </c>
      <c r="F271" s="193" t="s">
        <v>114</v>
      </c>
      <c r="G271" s="195" t="s">
        <v>10191</v>
      </c>
      <c r="H271" s="166" t="s">
        <v>13436</v>
      </c>
      <c r="I271" s="193" t="s">
        <v>12816</v>
      </c>
      <c r="J271" s="193" t="s">
        <v>146</v>
      </c>
      <c r="K271" s="170"/>
      <c r="L271" s="193" t="s">
        <v>146</v>
      </c>
      <c r="M271" s="165"/>
    </row>
    <row r="272" spans="1:13" ht="45">
      <c r="A272" s="67">
        <f t="shared" si="4"/>
        <v>270</v>
      </c>
      <c r="B272" s="164">
        <v>270</v>
      </c>
      <c r="C272" s="193" t="s">
        <v>1565</v>
      </c>
      <c r="D272" s="195" t="s">
        <v>4833</v>
      </c>
      <c r="E272" s="193" t="s">
        <v>7997</v>
      </c>
      <c r="F272" s="193" t="s">
        <v>114</v>
      </c>
      <c r="G272" s="195" t="s">
        <v>10192</v>
      </c>
      <c r="H272" s="166" t="s">
        <v>13436</v>
      </c>
      <c r="I272" s="193" t="s">
        <v>12814</v>
      </c>
      <c r="J272" s="193" t="s">
        <v>12092</v>
      </c>
      <c r="K272" s="170"/>
      <c r="L272" s="193" t="s">
        <v>146</v>
      </c>
      <c r="M272" s="165"/>
    </row>
    <row r="273" spans="1:13" ht="15.75">
      <c r="A273" s="67">
        <f t="shared" si="4"/>
        <v>271</v>
      </c>
      <c r="B273" s="164">
        <v>271</v>
      </c>
      <c r="C273" s="193" t="s">
        <v>1566</v>
      </c>
      <c r="D273" s="195" t="s">
        <v>4834</v>
      </c>
      <c r="E273" s="193" t="s">
        <v>7998</v>
      </c>
      <c r="F273" s="193" t="s">
        <v>114</v>
      </c>
      <c r="G273" s="195" t="s">
        <v>687</v>
      </c>
      <c r="H273" s="166" t="s">
        <v>13436</v>
      </c>
      <c r="I273" s="193" t="s">
        <v>12817</v>
      </c>
      <c r="J273" s="193" t="s">
        <v>146</v>
      </c>
      <c r="K273" s="170"/>
      <c r="L273" s="193" t="s">
        <v>146</v>
      </c>
      <c r="M273" s="165"/>
    </row>
    <row r="274" spans="1:13" ht="15.75">
      <c r="A274" s="67">
        <f t="shared" si="4"/>
        <v>272</v>
      </c>
      <c r="B274" s="164">
        <v>272</v>
      </c>
      <c r="C274" s="193" t="s">
        <v>1567</v>
      </c>
      <c r="D274" s="195" t="s">
        <v>4835</v>
      </c>
      <c r="E274" s="193" t="s">
        <v>7999</v>
      </c>
      <c r="F274" s="193" t="s">
        <v>114</v>
      </c>
      <c r="G274" s="195" t="s">
        <v>10193</v>
      </c>
      <c r="H274" s="166" t="s">
        <v>13436</v>
      </c>
      <c r="I274" s="193" t="s">
        <v>12814</v>
      </c>
      <c r="J274" s="193" t="s">
        <v>146</v>
      </c>
      <c r="K274" s="170"/>
      <c r="L274" s="193" t="s">
        <v>146</v>
      </c>
      <c r="M274" s="165"/>
    </row>
    <row r="275" spans="1:13" ht="15.75">
      <c r="A275" s="67">
        <f t="shared" si="4"/>
        <v>273</v>
      </c>
      <c r="B275" s="164">
        <v>273</v>
      </c>
      <c r="C275" s="193" t="s">
        <v>1568</v>
      </c>
      <c r="D275" s="195" t="s">
        <v>4836</v>
      </c>
      <c r="E275" s="193" t="s">
        <v>8000</v>
      </c>
      <c r="F275" s="193" t="s">
        <v>59</v>
      </c>
      <c r="G275" s="195" t="s">
        <v>10194</v>
      </c>
      <c r="H275" s="166" t="s">
        <v>13436</v>
      </c>
      <c r="I275" s="193" t="s">
        <v>12825</v>
      </c>
      <c r="J275" s="219" t="s">
        <v>146</v>
      </c>
      <c r="K275" s="170"/>
      <c r="L275" s="193"/>
      <c r="M275" s="165"/>
    </row>
    <row r="276" spans="1:13" ht="15.75">
      <c r="A276" s="67">
        <f t="shared" si="4"/>
        <v>274</v>
      </c>
      <c r="B276" s="164">
        <v>274</v>
      </c>
      <c r="C276" s="193" t="s">
        <v>1569</v>
      </c>
      <c r="D276" s="195" t="s">
        <v>4837</v>
      </c>
      <c r="E276" s="193" t="s">
        <v>562</v>
      </c>
      <c r="F276" s="193" t="s">
        <v>114</v>
      </c>
      <c r="G276" s="195" t="s">
        <v>10195</v>
      </c>
      <c r="H276" s="166" t="s">
        <v>13436</v>
      </c>
      <c r="I276" s="193" t="s">
        <v>12821</v>
      </c>
      <c r="J276" s="193" t="s">
        <v>1252</v>
      </c>
      <c r="K276" s="170"/>
      <c r="L276" s="193" t="s">
        <v>146</v>
      </c>
      <c r="M276" s="165"/>
    </row>
    <row r="277" spans="1:13" ht="15.75">
      <c r="A277" s="67">
        <f t="shared" si="4"/>
        <v>275</v>
      </c>
      <c r="B277" s="164">
        <v>275</v>
      </c>
      <c r="C277" s="193" t="s">
        <v>1570</v>
      </c>
      <c r="D277" s="199" t="s">
        <v>4838</v>
      </c>
      <c r="E277" s="193" t="s">
        <v>8001</v>
      </c>
      <c r="F277" s="193" t="s">
        <v>59</v>
      </c>
      <c r="G277" s="195" t="s">
        <v>10196</v>
      </c>
      <c r="H277" s="166" t="s">
        <v>13436</v>
      </c>
      <c r="I277" s="193" t="s">
        <v>12828</v>
      </c>
      <c r="J277" s="219" t="s">
        <v>147</v>
      </c>
      <c r="K277" s="170"/>
      <c r="L277" s="193"/>
      <c r="M277" s="165"/>
    </row>
    <row r="278" spans="1:13" ht="30">
      <c r="A278" s="67">
        <f t="shared" si="4"/>
        <v>276</v>
      </c>
      <c r="B278" s="164">
        <v>276</v>
      </c>
      <c r="C278" s="193" t="s">
        <v>1571</v>
      </c>
      <c r="D278" s="195" t="s">
        <v>4839</v>
      </c>
      <c r="E278" s="193" t="s">
        <v>8002</v>
      </c>
      <c r="F278" s="193" t="s">
        <v>114</v>
      </c>
      <c r="G278" s="195" t="s">
        <v>1207</v>
      </c>
      <c r="H278" s="166" t="s">
        <v>13436</v>
      </c>
      <c r="I278" s="193" t="s">
        <v>12813</v>
      </c>
      <c r="J278" s="193" t="s">
        <v>146</v>
      </c>
      <c r="K278" s="170"/>
      <c r="L278" s="193" t="s">
        <v>12904</v>
      </c>
      <c r="M278" s="165"/>
    </row>
    <row r="279" spans="1:13" ht="75">
      <c r="A279" s="67">
        <f t="shared" si="4"/>
        <v>277</v>
      </c>
      <c r="B279" s="164">
        <v>277</v>
      </c>
      <c r="C279" s="193" t="s">
        <v>1572</v>
      </c>
      <c r="D279" s="195" t="s">
        <v>4840</v>
      </c>
      <c r="E279" s="193" t="s">
        <v>8003</v>
      </c>
      <c r="F279" s="193" t="s">
        <v>114</v>
      </c>
      <c r="G279" s="195" t="s">
        <v>10197</v>
      </c>
      <c r="H279" s="166" t="s">
        <v>13436</v>
      </c>
      <c r="I279" s="193" t="s">
        <v>12813</v>
      </c>
      <c r="J279" s="193" t="s">
        <v>146</v>
      </c>
      <c r="K279" s="170"/>
      <c r="L279" s="193" t="s">
        <v>12905</v>
      </c>
      <c r="M279" s="165"/>
    </row>
    <row r="280" spans="1:13" ht="15.75">
      <c r="A280" s="67">
        <f t="shared" si="4"/>
        <v>278</v>
      </c>
      <c r="B280" s="164">
        <v>278</v>
      </c>
      <c r="C280" s="193" t="s">
        <v>1573</v>
      </c>
      <c r="D280" s="195" t="s">
        <v>4841</v>
      </c>
      <c r="E280" s="193" t="s">
        <v>170</v>
      </c>
      <c r="F280" s="193" t="s">
        <v>114</v>
      </c>
      <c r="G280" s="195" t="s">
        <v>10198</v>
      </c>
      <c r="H280" s="166" t="s">
        <v>13436</v>
      </c>
      <c r="I280" s="193" t="s">
        <v>12837</v>
      </c>
      <c r="J280" s="193" t="s">
        <v>1252</v>
      </c>
      <c r="K280" s="170"/>
      <c r="L280" s="193" t="s">
        <v>146</v>
      </c>
      <c r="M280" s="165"/>
    </row>
    <row r="281" spans="1:13" ht="60">
      <c r="A281" s="67">
        <f t="shared" si="4"/>
        <v>279</v>
      </c>
      <c r="B281" s="164">
        <v>279</v>
      </c>
      <c r="C281" s="193" t="s">
        <v>1574</v>
      </c>
      <c r="D281" s="195" t="s">
        <v>4842</v>
      </c>
      <c r="E281" s="193" t="s">
        <v>8004</v>
      </c>
      <c r="F281" s="193" t="s">
        <v>114</v>
      </c>
      <c r="G281" s="195" t="s">
        <v>10199</v>
      </c>
      <c r="H281" s="166" t="s">
        <v>13436</v>
      </c>
      <c r="I281" s="193" t="s">
        <v>12836</v>
      </c>
      <c r="J281" s="193" t="s">
        <v>146</v>
      </c>
      <c r="K281" s="170"/>
      <c r="L281" s="193" t="s">
        <v>12906</v>
      </c>
      <c r="M281" s="165"/>
    </row>
    <row r="282" spans="1:13" ht="75">
      <c r="A282" s="67">
        <f t="shared" si="4"/>
        <v>280</v>
      </c>
      <c r="B282" s="164">
        <v>280</v>
      </c>
      <c r="C282" s="193" t="s">
        <v>1575</v>
      </c>
      <c r="D282" s="195" t="s">
        <v>4843</v>
      </c>
      <c r="E282" s="193" t="s">
        <v>8005</v>
      </c>
      <c r="F282" s="193" t="s">
        <v>114</v>
      </c>
      <c r="G282" s="195" t="s">
        <v>10200</v>
      </c>
      <c r="H282" s="166" t="s">
        <v>13436</v>
      </c>
      <c r="I282" s="193" t="s">
        <v>12836</v>
      </c>
      <c r="J282" s="193" t="s">
        <v>146</v>
      </c>
      <c r="K282" s="170"/>
      <c r="L282" s="193" t="s">
        <v>12907</v>
      </c>
      <c r="M282" s="165"/>
    </row>
    <row r="283" spans="1:13" ht="15.75">
      <c r="A283" s="67">
        <f t="shared" si="4"/>
        <v>281</v>
      </c>
      <c r="B283" s="164">
        <v>281</v>
      </c>
      <c r="C283" s="193" t="s">
        <v>1576</v>
      </c>
      <c r="D283" s="195" t="s">
        <v>4844</v>
      </c>
      <c r="E283" s="193" t="s">
        <v>486</v>
      </c>
      <c r="F283" s="193" t="s">
        <v>114</v>
      </c>
      <c r="G283" s="195" t="s">
        <v>10201</v>
      </c>
      <c r="H283" s="166" t="s">
        <v>13436</v>
      </c>
      <c r="I283" s="193" t="s">
        <v>12836</v>
      </c>
      <c r="J283" s="193" t="s">
        <v>146</v>
      </c>
      <c r="K283" s="170"/>
      <c r="L283" s="193" t="s">
        <v>146</v>
      </c>
      <c r="M283" s="165"/>
    </row>
    <row r="284" spans="1:13" ht="15.75">
      <c r="A284" s="67">
        <f t="shared" si="4"/>
        <v>282</v>
      </c>
      <c r="B284" s="164">
        <v>282</v>
      </c>
      <c r="C284" s="193" t="s">
        <v>1577</v>
      </c>
      <c r="D284" s="195" t="s">
        <v>4845</v>
      </c>
      <c r="E284" s="193" t="s">
        <v>637</v>
      </c>
      <c r="F284" s="193" t="s">
        <v>114</v>
      </c>
      <c r="G284" s="195" t="s">
        <v>10202</v>
      </c>
      <c r="H284" s="166" t="s">
        <v>13436</v>
      </c>
      <c r="I284" s="193" t="s">
        <v>12832</v>
      </c>
      <c r="J284" s="193" t="s">
        <v>146</v>
      </c>
      <c r="K284" s="170"/>
      <c r="L284" s="193" t="s">
        <v>146</v>
      </c>
      <c r="M284" s="165"/>
    </row>
    <row r="285" spans="1:13" ht="45">
      <c r="A285" s="67">
        <f t="shared" si="4"/>
        <v>283</v>
      </c>
      <c r="B285" s="164">
        <v>283</v>
      </c>
      <c r="C285" s="193" t="s">
        <v>1578</v>
      </c>
      <c r="D285" s="199" t="s">
        <v>4846</v>
      </c>
      <c r="E285" s="193" t="s">
        <v>8006</v>
      </c>
      <c r="F285" s="193" t="s">
        <v>114</v>
      </c>
      <c r="G285" s="195" t="s">
        <v>10203</v>
      </c>
      <c r="H285" s="166" t="s">
        <v>13436</v>
      </c>
      <c r="I285" s="193" t="s">
        <v>12831</v>
      </c>
      <c r="J285" s="193" t="s">
        <v>12093</v>
      </c>
      <c r="K285" s="170"/>
      <c r="L285" s="193" t="s">
        <v>146</v>
      </c>
      <c r="M285" s="165"/>
    </row>
    <row r="286" spans="1:13" ht="30">
      <c r="A286" s="67">
        <f t="shared" si="4"/>
        <v>284</v>
      </c>
      <c r="B286" s="164">
        <v>284</v>
      </c>
      <c r="C286" s="193" t="s">
        <v>1579</v>
      </c>
      <c r="D286" s="195" t="s">
        <v>4847</v>
      </c>
      <c r="E286" s="193" t="s">
        <v>8007</v>
      </c>
      <c r="F286" s="193" t="s">
        <v>59</v>
      </c>
      <c r="G286" s="195" t="s">
        <v>10204</v>
      </c>
      <c r="H286" s="166" t="s">
        <v>13436</v>
      </c>
      <c r="I286" s="193" t="s">
        <v>12809</v>
      </c>
      <c r="J286" s="193" t="s">
        <v>12094</v>
      </c>
      <c r="K286" s="170"/>
      <c r="L286" s="193"/>
      <c r="M286" s="165"/>
    </row>
    <row r="287" spans="1:13" ht="30">
      <c r="A287" s="67">
        <f t="shared" si="4"/>
        <v>285</v>
      </c>
      <c r="B287" s="164">
        <v>285</v>
      </c>
      <c r="C287" s="193" t="s">
        <v>1580</v>
      </c>
      <c r="D287" s="195" t="s">
        <v>4848</v>
      </c>
      <c r="E287" s="193" t="s">
        <v>627</v>
      </c>
      <c r="F287" s="193" t="s">
        <v>114</v>
      </c>
      <c r="G287" s="195" t="s">
        <v>10205</v>
      </c>
      <c r="H287" s="166" t="s">
        <v>13436</v>
      </c>
      <c r="I287" s="193" t="s">
        <v>12826</v>
      </c>
      <c r="J287" s="193" t="s">
        <v>12095</v>
      </c>
      <c r="K287" s="170"/>
      <c r="L287" s="193" t="s">
        <v>146</v>
      </c>
      <c r="M287" s="165"/>
    </row>
    <row r="288" spans="1:13" ht="30">
      <c r="A288" s="67">
        <f t="shared" si="4"/>
        <v>286</v>
      </c>
      <c r="B288" s="164">
        <v>286</v>
      </c>
      <c r="C288" s="193" t="s">
        <v>1581</v>
      </c>
      <c r="D288" s="195" t="s">
        <v>4849</v>
      </c>
      <c r="E288" s="193" t="s">
        <v>8008</v>
      </c>
      <c r="F288" s="193" t="s">
        <v>114</v>
      </c>
      <c r="G288" s="195" t="s">
        <v>10034</v>
      </c>
      <c r="H288" s="166" t="s">
        <v>13436</v>
      </c>
      <c r="I288" s="193" t="s">
        <v>12826</v>
      </c>
      <c r="J288" s="219" t="s">
        <v>12096</v>
      </c>
      <c r="K288" s="170"/>
      <c r="L288" s="219" t="s">
        <v>146</v>
      </c>
      <c r="M288" s="165"/>
    </row>
    <row r="289" spans="1:13" ht="30">
      <c r="A289" s="67">
        <f t="shared" si="4"/>
        <v>287</v>
      </c>
      <c r="B289" s="164">
        <v>287</v>
      </c>
      <c r="C289" s="193" t="s">
        <v>1582</v>
      </c>
      <c r="D289" s="197" t="s">
        <v>4850</v>
      </c>
      <c r="E289" s="193" t="s">
        <v>8009</v>
      </c>
      <c r="F289" s="193" t="s">
        <v>114</v>
      </c>
      <c r="G289" s="195" t="s">
        <v>10206</v>
      </c>
      <c r="H289" s="166" t="s">
        <v>13436</v>
      </c>
      <c r="I289" s="193" t="s">
        <v>12816</v>
      </c>
      <c r="J289" s="193" t="s">
        <v>12097</v>
      </c>
      <c r="K289" s="170"/>
      <c r="L289" s="193" t="s">
        <v>146</v>
      </c>
      <c r="M289" s="165"/>
    </row>
    <row r="290" spans="1:13" ht="45">
      <c r="A290" s="67">
        <f t="shared" si="4"/>
        <v>288</v>
      </c>
      <c r="B290" s="164">
        <v>288</v>
      </c>
      <c r="C290" s="193" t="s">
        <v>1583</v>
      </c>
      <c r="D290" s="195" t="s">
        <v>4851</v>
      </c>
      <c r="E290" s="193" t="s">
        <v>8010</v>
      </c>
      <c r="F290" s="193" t="s">
        <v>114</v>
      </c>
      <c r="G290" s="195" t="s">
        <v>10207</v>
      </c>
      <c r="H290" s="166" t="s">
        <v>13436</v>
      </c>
      <c r="I290" s="193" t="s">
        <v>12827</v>
      </c>
      <c r="J290" s="193" t="s">
        <v>12098</v>
      </c>
      <c r="K290" s="170"/>
      <c r="L290" s="193" t="s">
        <v>12908</v>
      </c>
      <c r="M290" s="165"/>
    </row>
    <row r="291" spans="1:13" ht="15.75">
      <c r="A291" s="67">
        <f t="shared" si="4"/>
        <v>289</v>
      </c>
      <c r="B291" s="164">
        <v>289</v>
      </c>
      <c r="C291" s="193" t="s">
        <v>1584</v>
      </c>
      <c r="D291" s="195" t="s">
        <v>4852</v>
      </c>
      <c r="E291" s="193" t="s">
        <v>473</v>
      </c>
      <c r="F291" s="193" t="s">
        <v>114</v>
      </c>
      <c r="G291" s="195" t="s">
        <v>10208</v>
      </c>
      <c r="H291" s="166" t="s">
        <v>13436</v>
      </c>
      <c r="I291" s="193" t="s">
        <v>12814</v>
      </c>
      <c r="J291" s="193" t="s">
        <v>1252</v>
      </c>
      <c r="K291" s="170"/>
      <c r="L291" s="193" t="s">
        <v>146</v>
      </c>
      <c r="M291" s="165"/>
    </row>
    <row r="292" spans="1:13" ht="30">
      <c r="A292" s="67">
        <f t="shared" si="4"/>
        <v>290</v>
      </c>
      <c r="B292" s="164">
        <v>290</v>
      </c>
      <c r="C292" s="193" t="s">
        <v>1585</v>
      </c>
      <c r="D292" s="195" t="s">
        <v>4853</v>
      </c>
      <c r="E292" s="193" t="s">
        <v>8011</v>
      </c>
      <c r="F292" s="193" t="s">
        <v>114</v>
      </c>
      <c r="G292" s="195" t="s">
        <v>10209</v>
      </c>
      <c r="H292" s="166" t="s">
        <v>13436</v>
      </c>
      <c r="I292" s="193" t="s">
        <v>12814</v>
      </c>
      <c r="J292" s="193" t="s">
        <v>12099</v>
      </c>
      <c r="K292" s="170"/>
      <c r="L292" s="193" t="s">
        <v>12909</v>
      </c>
      <c r="M292" s="165"/>
    </row>
    <row r="293" spans="1:13" ht="15.75">
      <c r="A293" s="67">
        <f t="shared" si="4"/>
        <v>291</v>
      </c>
      <c r="B293" s="164">
        <v>291</v>
      </c>
      <c r="C293" s="193" t="s">
        <v>1586</v>
      </c>
      <c r="D293" s="195" t="s">
        <v>4854</v>
      </c>
      <c r="E293" s="193" t="s">
        <v>8012</v>
      </c>
      <c r="F293" s="193" t="s">
        <v>114</v>
      </c>
      <c r="G293" s="195" t="s">
        <v>10210</v>
      </c>
      <c r="H293" s="166" t="s">
        <v>13436</v>
      </c>
      <c r="I293" s="193" t="s">
        <v>12817</v>
      </c>
      <c r="J293" s="193" t="s">
        <v>146</v>
      </c>
      <c r="K293" s="170"/>
      <c r="L293" s="193" t="s">
        <v>146</v>
      </c>
      <c r="M293" s="165"/>
    </row>
    <row r="294" spans="1:13" ht="30">
      <c r="A294" s="67">
        <f t="shared" si="4"/>
        <v>292</v>
      </c>
      <c r="B294" s="164">
        <v>292</v>
      </c>
      <c r="C294" s="193" t="s">
        <v>1587</v>
      </c>
      <c r="D294" s="195" t="s">
        <v>4855</v>
      </c>
      <c r="E294" s="193" t="s">
        <v>8013</v>
      </c>
      <c r="F294" s="193" t="s">
        <v>114</v>
      </c>
      <c r="G294" s="195" t="s">
        <v>10211</v>
      </c>
      <c r="H294" s="166" t="s">
        <v>13436</v>
      </c>
      <c r="I294" s="193" t="s">
        <v>12826</v>
      </c>
      <c r="J294" s="193" t="s">
        <v>164</v>
      </c>
      <c r="K294" s="170"/>
      <c r="L294" s="193" t="s">
        <v>12910</v>
      </c>
      <c r="M294" s="165"/>
    </row>
    <row r="295" spans="1:13" ht="15.75">
      <c r="A295" s="67">
        <f t="shared" si="4"/>
        <v>293</v>
      </c>
      <c r="B295" s="164">
        <v>293</v>
      </c>
      <c r="C295" s="193" t="s">
        <v>1588</v>
      </c>
      <c r="D295" s="195" t="s">
        <v>4856</v>
      </c>
      <c r="E295" s="193" t="s">
        <v>8014</v>
      </c>
      <c r="F295" s="193" t="s">
        <v>114</v>
      </c>
      <c r="G295" s="195" t="s">
        <v>10212</v>
      </c>
      <c r="H295" s="166" t="s">
        <v>13436</v>
      </c>
      <c r="I295" s="193" t="s">
        <v>12837</v>
      </c>
      <c r="J295" s="219" t="s">
        <v>146</v>
      </c>
      <c r="K295" s="170"/>
      <c r="L295" s="193" t="s">
        <v>146</v>
      </c>
      <c r="M295" s="165"/>
    </row>
    <row r="296" spans="1:13" ht="105">
      <c r="A296" s="67">
        <f t="shared" si="4"/>
        <v>294</v>
      </c>
      <c r="B296" s="164">
        <v>294</v>
      </c>
      <c r="C296" s="193" t="s">
        <v>1589</v>
      </c>
      <c r="D296" s="195" t="s">
        <v>4857</v>
      </c>
      <c r="E296" s="193" t="s">
        <v>8015</v>
      </c>
      <c r="F296" s="193" t="s">
        <v>114</v>
      </c>
      <c r="G296" s="195" t="s">
        <v>728</v>
      </c>
      <c r="H296" s="166" t="s">
        <v>13436</v>
      </c>
      <c r="I296" s="193" t="s">
        <v>12826</v>
      </c>
      <c r="J296" s="193" t="s">
        <v>146</v>
      </c>
      <c r="K296" s="170"/>
      <c r="L296" s="193" t="s">
        <v>12911</v>
      </c>
      <c r="M296" s="165"/>
    </row>
    <row r="297" spans="1:13" ht="15.75">
      <c r="A297" s="67">
        <f t="shared" si="4"/>
        <v>295</v>
      </c>
      <c r="B297" s="164">
        <v>295</v>
      </c>
      <c r="C297" s="193" t="s">
        <v>1590</v>
      </c>
      <c r="D297" s="195" t="s">
        <v>4858</v>
      </c>
      <c r="E297" s="193" t="s">
        <v>8016</v>
      </c>
      <c r="F297" s="193" t="s">
        <v>114</v>
      </c>
      <c r="G297" s="195" t="s">
        <v>781</v>
      </c>
      <c r="H297" s="166" t="s">
        <v>13436</v>
      </c>
      <c r="I297" s="193" t="s">
        <v>12826</v>
      </c>
      <c r="J297" s="193" t="s">
        <v>12100</v>
      </c>
      <c r="K297" s="170"/>
      <c r="L297" s="193" t="s">
        <v>146</v>
      </c>
      <c r="M297" s="165"/>
    </row>
    <row r="298" spans="1:13" ht="15.75">
      <c r="A298" s="67">
        <f t="shared" si="4"/>
        <v>296</v>
      </c>
      <c r="B298" s="164">
        <v>296</v>
      </c>
      <c r="C298" s="193" t="s">
        <v>1591</v>
      </c>
      <c r="D298" s="204" t="s">
        <v>4859</v>
      </c>
      <c r="E298" s="193" t="s">
        <v>8017</v>
      </c>
      <c r="F298" s="193" t="s">
        <v>114</v>
      </c>
      <c r="G298" s="195" t="s">
        <v>10213</v>
      </c>
      <c r="H298" s="166" t="s">
        <v>13436</v>
      </c>
      <c r="I298" s="193" t="s">
        <v>12816</v>
      </c>
      <c r="J298" s="193" t="s">
        <v>146</v>
      </c>
      <c r="K298" s="170"/>
      <c r="L298" s="193" t="s">
        <v>146</v>
      </c>
      <c r="M298" s="165"/>
    </row>
    <row r="299" spans="1:13" ht="15.75">
      <c r="A299" s="67">
        <f t="shared" si="4"/>
        <v>297</v>
      </c>
      <c r="B299" s="164">
        <v>297</v>
      </c>
      <c r="C299" s="193" t="s">
        <v>1592</v>
      </c>
      <c r="D299" s="197" t="s">
        <v>4860</v>
      </c>
      <c r="E299" s="193" t="s">
        <v>607</v>
      </c>
      <c r="F299" s="193" t="s">
        <v>114</v>
      </c>
      <c r="G299" s="195" t="s">
        <v>10214</v>
      </c>
      <c r="H299" s="166" t="s">
        <v>13436</v>
      </c>
      <c r="I299" s="193" t="s">
        <v>12816</v>
      </c>
      <c r="J299" s="219" t="s">
        <v>146</v>
      </c>
      <c r="K299" s="170"/>
      <c r="L299" s="193" t="s">
        <v>146</v>
      </c>
      <c r="M299" s="165"/>
    </row>
    <row r="300" spans="1:13" ht="15.75">
      <c r="A300" s="67">
        <f t="shared" si="4"/>
        <v>298</v>
      </c>
      <c r="B300" s="164">
        <v>298</v>
      </c>
      <c r="C300" s="193" t="s">
        <v>1593</v>
      </c>
      <c r="D300" s="197" t="s">
        <v>4861</v>
      </c>
      <c r="E300" s="193" t="s">
        <v>409</v>
      </c>
      <c r="F300" s="193" t="s">
        <v>114</v>
      </c>
      <c r="G300" s="195" t="s">
        <v>10215</v>
      </c>
      <c r="H300" s="166" t="s">
        <v>13436</v>
      </c>
      <c r="I300" s="193" t="s">
        <v>12816</v>
      </c>
      <c r="J300" s="193" t="s">
        <v>146</v>
      </c>
      <c r="K300" s="170"/>
      <c r="L300" s="193" t="s">
        <v>146</v>
      </c>
      <c r="M300" s="165"/>
    </row>
    <row r="301" spans="1:13" ht="15.75">
      <c r="A301" s="67">
        <f t="shared" si="4"/>
        <v>299</v>
      </c>
      <c r="B301" s="164">
        <v>299</v>
      </c>
      <c r="C301" s="193" t="s">
        <v>1594</v>
      </c>
      <c r="D301" s="195" t="s">
        <v>4862</v>
      </c>
      <c r="E301" s="193" t="s">
        <v>8018</v>
      </c>
      <c r="F301" s="193" t="s">
        <v>114</v>
      </c>
      <c r="G301" s="195" t="s">
        <v>10216</v>
      </c>
      <c r="H301" s="166" t="s">
        <v>13436</v>
      </c>
      <c r="I301" s="193" t="s">
        <v>12821</v>
      </c>
      <c r="J301" s="193" t="s">
        <v>146</v>
      </c>
      <c r="K301" s="170"/>
      <c r="L301" s="193" t="s">
        <v>146</v>
      </c>
      <c r="M301" s="165"/>
    </row>
    <row r="302" spans="1:13" ht="15.75">
      <c r="A302" s="67">
        <f t="shared" si="4"/>
        <v>300</v>
      </c>
      <c r="B302" s="164">
        <v>300</v>
      </c>
      <c r="C302" s="193" t="s">
        <v>1595</v>
      </c>
      <c r="D302" s="195" t="s">
        <v>4863</v>
      </c>
      <c r="E302" s="193" t="s">
        <v>8019</v>
      </c>
      <c r="F302" s="193" t="s">
        <v>114</v>
      </c>
      <c r="G302" s="195" t="s">
        <v>10217</v>
      </c>
      <c r="H302" s="166" t="s">
        <v>13436</v>
      </c>
      <c r="I302" s="193" t="s">
        <v>12821</v>
      </c>
      <c r="J302" s="219" t="s">
        <v>146</v>
      </c>
      <c r="K302" s="170"/>
      <c r="L302" s="193" t="s">
        <v>146</v>
      </c>
      <c r="M302" s="165"/>
    </row>
    <row r="303" spans="1:13" ht="15.75">
      <c r="A303" s="67">
        <f t="shared" si="4"/>
        <v>301</v>
      </c>
      <c r="B303" s="164">
        <v>301</v>
      </c>
      <c r="C303" s="193" t="s">
        <v>1596</v>
      </c>
      <c r="D303" s="195" t="s">
        <v>4864</v>
      </c>
      <c r="E303" s="193" t="s">
        <v>541</v>
      </c>
      <c r="F303" s="193" t="s">
        <v>114</v>
      </c>
      <c r="G303" s="195" t="s">
        <v>910</v>
      </c>
      <c r="H303" s="166" t="s">
        <v>13436</v>
      </c>
      <c r="I303" s="193" t="s">
        <v>12821</v>
      </c>
      <c r="J303" s="193" t="s">
        <v>146</v>
      </c>
      <c r="K303" s="170"/>
      <c r="L303" s="193" t="s">
        <v>146</v>
      </c>
      <c r="M303" s="165"/>
    </row>
    <row r="304" spans="1:13" ht="60">
      <c r="A304" s="67">
        <f t="shared" si="4"/>
        <v>302</v>
      </c>
      <c r="B304" s="164">
        <v>302</v>
      </c>
      <c r="C304" s="193" t="s">
        <v>1597</v>
      </c>
      <c r="D304" s="195" t="s">
        <v>4865</v>
      </c>
      <c r="E304" s="193" t="s">
        <v>8020</v>
      </c>
      <c r="F304" s="193" t="s">
        <v>114</v>
      </c>
      <c r="G304" s="195" t="s">
        <v>10218</v>
      </c>
      <c r="H304" s="166" t="s">
        <v>13436</v>
      </c>
      <c r="I304" s="193" t="s">
        <v>12827</v>
      </c>
      <c r="J304" s="193" t="s">
        <v>146</v>
      </c>
      <c r="K304" s="170"/>
      <c r="L304" s="193" t="s">
        <v>12912</v>
      </c>
      <c r="M304" s="165"/>
    </row>
    <row r="305" spans="1:13" ht="30">
      <c r="A305" s="67">
        <f t="shared" si="4"/>
        <v>303</v>
      </c>
      <c r="B305" s="164">
        <v>303</v>
      </c>
      <c r="C305" s="193" t="s">
        <v>1598</v>
      </c>
      <c r="D305" s="195" t="s">
        <v>4866</v>
      </c>
      <c r="E305" s="193" t="s">
        <v>8021</v>
      </c>
      <c r="F305" s="193" t="s">
        <v>114</v>
      </c>
      <c r="G305" s="195" t="s">
        <v>10219</v>
      </c>
      <c r="H305" s="166" t="s">
        <v>13436</v>
      </c>
      <c r="I305" s="193" t="s">
        <v>12813</v>
      </c>
      <c r="J305" s="193" t="s">
        <v>146</v>
      </c>
      <c r="K305" s="170"/>
      <c r="L305" s="193" t="s">
        <v>12913</v>
      </c>
      <c r="M305" s="165"/>
    </row>
    <row r="306" spans="1:13" ht="90">
      <c r="A306" s="67">
        <f t="shared" si="4"/>
        <v>304</v>
      </c>
      <c r="B306" s="164">
        <v>304</v>
      </c>
      <c r="C306" s="193" t="s">
        <v>1599</v>
      </c>
      <c r="D306" s="195" t="s">
        <v>4867</v>
      </c>
      <c r="E306" s="193" t="s">
        <v>8022</v>
      </c>
      <c r="F306" s="193" t="s">
        <v>114</v>
      </c>
      <c r="G306" s="195" t="s">
        <v>10220</v>
      </c>
      <c r="H306" s="166" t="s">
        <v>13436</v>
      </c>
      <c r="I306" s="193" t="s">
        <v>12826</v>
      </c>
      <c r="J306" s="193" t="s">
        <v>1251</v>
      </c>
      <c r="K306" s="170"/>
      <c r="L306" s="193" t="s">
        <v>12914</v>
      </c>
      <c r="M306" s="165"/>
    </row>
    <row r="307" spans="1:13" ht="30">
      <c r="A307" s="67">
        <f t="shared" si="4"/>
        <v>305</v>
      </c>
      <c r="B307" s="164">
        <v>305</v>
      </c>
      <c r="C307" s="193" t="s">
        <v>1600</v>
      </c>
      <c r="D307" s="195" t="s">
        <v>4868</v>
      </c>
      <c r="E307" s="193" t="s">
        <v>8023</v>
      </c>
      <c r="F307" s="193" t="s">
        <v>114</v>
      </c>
      <c r="G307" s="195" t="s">
        <v>10151</v>
      </c>
      <c r="H307" s="166" t="s">
        <v>13436</v>
      </c>
      <c r="I307" s="193" t="s">
        <v>12826</v>
      </c>
      <c r="J307" s="193" t="s">
        <v>12101</v>
      </c>
      <c r="K307" s="170"/>
      <c r="L307" s="193" t="s">
        <v>146</v>
      </c>
      <c r="M307" s="165"/>
    </row>
    <row r="308" spans="1:13" ht="75">
      <c r="A308" s="67">
        <f t="shared" si="4"/>
        <v>306</v>
      </c>
      <c r="B308" s="164">
        <v>306</v>
      </c>
      <c r="C308" s="193" t="s">
        <v>1601</v>
      </c>
      <c r="D308" s="195" t="s">
        <v>4869</v>
      </c>
      <c r="E308" s="193" t="s">
        <v>8024</v>
      </c>
      <c r="F308" s="193" t="s">
        <v>114</v>
      </c>
      <c r="G308" s="195" t="s">
        <v>10221</v>
      </c>
      <c r="H308" s="166" t="s">
        <v>13436</v>
      </c>
      <c r="I308" s="193" t="s">
        <v>12824</v>
      </c>
      <c r="J308" s="193" t="s">
        <v>146</v>
      </c>
      <c r="K308" s="170"/>
      <c r="L308" s="193" t="s">
        <v>12915</v>
      </c>
      <c r="M308" s="165"/>
    </row>
    <row r="309" spans="1:13" ht="60">
      <c r="A309" s="67">
        <f t="shared" si="4"/>
        <v>307</v>
      </c>
      <c r="B309" s="164">
        <v>307</v>
      </c>
      <c r="C309" s="193" t="s">
        <v>1602</v>
      </c>
      <c r="D309" s="195" t="s">
        <v>4870</v>
      </c>
      <c r="E309" s="193" t="s">
        <v>551</v>
      </c>
      <c r="F309" s="193" t="s">
        <v>114</v>
      </c>
      <c r="G309" s="195" t="s">
        <v>10222</v>
      </c>
      <c r="H309" s="166" t="s">
        <v>13436</v>
      </c>
      <c r="I309" s="193" t="s">
        <v>12826</v>
      </c>
      <c r="J309" s="193" t="s">
        <v>12102</v>
      </c>
      <c r="K309" s="170"/>
      <c r="L309" s="193" t="s">
        <v>12916</v>
      </c>
      <c r="M309" s="165"/>
    </row>
    <row r="310" spans="1:13" ht="75">
      <c r="A310" s="67">
        <f t="shared" si="4"/>
        <v>308</v>
      </c>
      <c r="B310" s="164">
        <v>308</v>
      </c>
      <c r="C310" s="193" t="s">
        <v>1603</v>
      </c>
      <c r="D310" s="195" t="s">
        <v>4871</v>
      </c>
      <c r="E310" s="193" t="s">
        <v>8025</v>
      </c>
      <c r="F310" s="193" t="s">
        <v>114</v>
      </c>
      <c r="G310" s="195" t="s">
        <v>10223</v>
      </c>
      <c r="H310" s="166" t="s">
        <v>13436</v>
      </c>
      <c r="I310" s="193" t="s">
        <v>12814</v>
      </c>
      <c r="J310" s="219" t="s">
        <v>12103</v>
      </c>
      <c r="K310" s="170"/>
      <c r="L310" s="193" t="s">
        <v>12917</v>
      </c>
      <c r="M310" s="165"/>
    </row>
    <row r="311" spans="1:13" ht="45">
      <c r="A311" s="67">
        <f t="shared" si="4"/>
        <v>309</v>
      </c>
      <c r="B311" s="164">
        <v>309</v>
      </c>
      <c r="C311" s="193" t="s">
        <v>1604</v>
      </c>
      <c r="D311" s="197" t="s">
        <v>4872</v>
      </c>
      <c r="E311" s="193" t="s">
        <v>8026</v>
      </c>
      <c r="F311" s="193" t="s">
        <v>114</v>
      </c>
      <c r="G311" s="195" t="s">
        <v>10224</v>
      </c>
      <c r="H311" s="166" t="s">
        <v>13436</v>
      </c>
      <c r="I311" s="193" t="s">
        <v>12816</v>
      </c>
      <c r="J311" s="193" t="s">
        <v>146</v>
      </c>
      <c r="K311" s="170"/>
      <c r="L311" s="193" t="s">
        <v>12918</v>
      </c>
      <c r="M311" s="165"/>
    </row>
    <row r="312" spans="1:13" ht="15.75">
      <c r="A312" s="67">
        <f t="shared" si="4"/>
        <v>310</v>
      </c>
      <c r="B312" s="164">
        <v>310</v>
      </c>
      <c r="C312" s="193" t="s">
        <v>1605</v>
      </c>
      <c r="D312" s="195" t="s">
        <v>4873</v>
      </c>
      <c r="E312" s="193" t="s">
        <v>8027</v>
      </c>
      <c r="F312" s="193" t="s">
        <v>114</v>
      </c>
      <c r="G312" s="195" t="s">
        <v>10225</v>
      </c>
      <c r="H312" s="166" t="s">
        <v>13436</v>
      </c>
      <c r="I312" s="193" t="s">
        <v>12819</v>
      </c>
      <c r="J312" s="193" t="s">
        <v>146</v>
      </c>
      <c r="K312" s="170"/>
      <c r="L312" s="193" t="s">
        <v>146</v>
      </c>
      <c r="M312" s="165"/>
    </row>
    <row r="313" spans="1:13" ht="15.75">
      <c r="A313" s="67">
        <f t="shared" si="4"/>
        <v>311</v>
      </c>
      <c r="B313" s="164">
        <v>311</v>
      </c>
      <c r="C313" s="193" t="s">
        <v>1606</v>
      </c>
      <c r="D313" s="195" t="s">
        <v>4874</v>
      </c>
      <c r="E313" s="193" t="s">
        <v>8028</v>
      </c>
      <c r="F313" s="193" t="s">
        <v>114</v>
      </c>
      <c r="G313" s="195" t="s">
        <v>10202</v>
      </c>
      <c r="H313" s="166" t="s">
        <v>13436</v>
      </c>
      <c r="I313" s="193" t="s">
        <v>12819</v>
      </c>
      <c r="J313" s="193" t="s">
        <v>146</v>
      </c>
      <c r="K313" s="170"/>
      <c r="L313" s="193" t="s">
        <v>146</v>
      </c>
      <c r="M313" s="165"/>
    </row>
    <row r="314" spans="1:13" ht="30">
      <c r="A314" s="67">
        <f t="shared" si="4"/>
        <v>312</v>
      </c>
      <c r="B314" s="164">
        <v>312</v>
      </c>
      <c r="C314" s="193" t="s">
        <v>1607</v>
      </c>
      <c r="D314" s="199" t="s">
        <v>4875</v>
      </c>
      <c r="E314" s="193" t="s">
        <v>8029</v>
      </c>
      <c r="F314" s="193" t="s">
        <v>114</v>
      </c>
      <c r="G314" s="195" t="s">
        <v>10226</v>
      </c>
      <c r="H314" s="166" t="s">
        <v>13436</v>
      </c>
      <c r="I314" s="193" t="s">
        <v>12831</v>
      </c>
      <c r="J314" s="193" t="s">
        <v>146</v>
      </c>
      <c r="K314" s="170"/>
      <c r="L314" s="193" t="s">
        <v>12919</v>
      </c>
      <c r="M314" s="165"/>
    </row>
    <row r="315" spans="1:13" ht="15.75">
      <c r="A315" s="67">
        <f t="shared" si="4"/>
        <v>313</v>
      </c>
      <c r="B315" s="164">
        <v>313</v>
      </c>
      <c r="C315" s="193" t="s">
        <v>1608</v>
      </c>
      <c r="D315" s="195" t="s">
        <v>4876</v>
      </c>
      <c r="E315" s="193" t="s">
        <v>8030</v>
      </c>
      <c r="F315" s="193" t="s">
        <v>114</v>
      </c>
      <c r="G315" s="195" t="s">
        <v>10227</v>
      </c>
      <c r="H315" s="166" t="s">
        <v>13436</v>
      </c>
      <c r="I315" s="193" t="s">
        <v>12821</v>
      </c>
      <c r="J315" s="193" t="s">
        <v>146</v>
      </c>
      <c r="K315" s="170"/>
      <c r="L315" s="193" t="s">
        <v>146</v>
      </c>
      <c r="M315" s="165"/>
    </row>
    <row r="316" spans="1:13" ht="15.75">
      <c r="A316" s="67">
        <f t="shared" si="4"/>
        <v>314</v>
      </c>
      <c r="B316" s="164">
        <v>314</v>
      </c>
      <c r="C316" s="193" t="s">
        <v>1609</v>
      </c>
      <c r="D316" s="195" t="s">
        <v>4877</v>
      </c>
      <c r="E316" s="193" t="s">
        <v>8031</v>
      </c>
      <c r="F316" s="193" t="s">
        <v>114</v>
      </c>
      <c r="G316" s="195" t="s">
        <v>10228</v>
      </c>
      <c r="H316" s="166" t="s">
        <v>13436</v>
      </c>
      <c r="I316" s="193" t="s">
        <v>12821</v>
      </c>
      <c r="J316" s="193" t="s">
        <v>146</v>
      </c>
      <c r="K316" s="170"/>
      <c r="L316" s="193" t="s">
        <v>146</v>
      </c>
      <c r="M316" s="165"/>
    </row>
    <row r="317" spans="1:13" ht="30">
      <c r="A317" s="67">
        <f t="shared" si="4"/>
        <v>315</v>
      </c>
      <c r="B317" s="164">
        <v>315</v>
      </c>
      <c r="C317" s="193" t="s">
        <v>1610</v>
      </c>
      <c r="D317" s="195" t="s">
        <v>4878</v>
      </c>
      <c r="E317" s="193" t="s">
        <v>8032</v>
      </c>
      <c r="F317" s="193" t="s">
        <v>114</v>
      </c>
      <c r="G317" s="195" t="s">
        <v>10229</v>
      </c>
      <c r="H317" s="166" t="s">
        <v>13436</v>
      </c>
      <c r="I317" s="193" t="s">
        <v>12827</v>
      </c>
      <c r="J317" s="219" t="s">
        <v>146</v>
      </c>
      <c r="K317" s="170"/>
      <c r="L317" s="193" t="s">
        <v>12920</v>
      </c>
      <c r="M317" s="165"/>
    </row>
    <row r="318" spans="1:13" ht="15.75">
      <c r="A318" s="67">
        <f t="shared" si="4"/>
        <v>316</v>
      </c>
      <c r="B318" s="164">
        <v>316</v>
      </c>
      <c r="C318" s="193" t="s">
        <v>1611</v>
      </c>
      <c r="D318" s="195" t="s">
        <v>4879</v>
      </c>
      <c r="E318" s="193" t="s">
        <v>8033</v>
      </c>
      <c r="F318" s="193" t="s">
        <v>114</v>
      </c>
      <c r="G318" s="195" t="s">
        <v>10230</v>
      </c>
      <c r="H318" s="166" t="s">
        <v>13436</v>
      </c>
      <c r="I318" s="193" t="s">
        <v>12836</v>
      </c>
      <c r="J318" s="219" t="s">
        <v>146</v>
      </c>
      <c r="K318" s="170"/>
      <c r="L318" s="193" t="s">
        <v>146</v>
      </c>
      <c r="M318" s="165"/>
    </row>
    <row r="319" spans="1:13" ht="15.75">
      <c r="A319" s="67">
        <f t="shared" si="4"/>
        <v>317</v>
      </c>
      <c r="B319" s="164">
        <v>317</v>
      </c>
      <c r="C319" s="193" t="s">
        <v>1612</v>
      </c>
      <c r="D319" s="195" t="s">
        <v>4880</v>
      </c>
      <c r="E319" s="193" t="s">
        <v>8034</v>
      </c>
      <c r="F319" s="193" t="s">
        <v>114</v>
      </c>
      <c r="G319" s="195" t="s">
        <v>10231</v>
      </c>
      <c r="H319" s="166" t="s">
        <v>13436</v>
      </c>
      <c r="I319" s="193" t="s">
        <v>12820</v>
      </c>
      <c r="J319" s="193" t="s">
        <v>148</v>
      </c>
      <c r="K319" s="170"/>
      <c r="L319" s="193" t="s">
        <v>146</v>
      </c>
      <c r="M319" s="165"/>
    </row>
    <row r="320" spans="1:13" ht="15.75">
      <c r="A320" s="67">
        <f t="shared" si="4"/>
        <v>318</v>
      </c>
      <c r="B320" s="164">
        <v>318</v>
      </c>
      <c r="C320" s="193" t="s">
        <v>1613</v>
      </c>
      <c r="D320" s="195" t="s">
        <v>4881</v>
      </c>
      <c r="E320" s="193" t="s">
        <v>394</v>
      </c>
      <c r="F320" s="193" t="s">
        <v>114</v>
      </c>
      <c r="G320" s="195" t="s">
        <v>10086</v>
      </c>
      <c r="H320" s="166" t="s">
        <v>13436</v>
      </c>
      <c r="I320" s="193" t="s">
        <v>12836</v>
      </c>
      <c r="J320" s="193" t="s">
        <v>146</v>
      </c>
      <c r="K320" s="170"/>
      <c r="L320" s="193" t="s">
        <v>146</v>
      </c>
      <c r="M320" s="165"/>
    </row>
    <row r="321" spans="1:13" ht="30">
      <c r="A321" s="67">
        <f t="shared" si="4"/>
        <v>319</v>
      </c>
      <c r="B321" s="164">
        <v>319</v>
      </c>
      <c r="C321" s="193" t="s">
        <v>1614</v>
      </c>
      <c r="D321" s="195" t="s">
        <v>4882</v>
      </c>
      <c r="E321" s="193" t="s">
        <v>8035</v>
      </c>
      <c r="F321" s="193" t="s">
        <v>114</v>
      </c>
      <c r="G321" s="195" t="s">
        <v>1158</v>
      </c>
      <c r="H321" s="166" t="s">
        <v>13436</v>
      </c>
      <c r="I321" s="193" t="s">
        <v>12836</v>
      </c>
      <c r="J321" s="193" t="s">
        <v>146</v>
      </c>
      <c r="K321" s="170"/>
      <c r="L321" s="193" t="s">
        <v>12921</v>
      </c>
      <c r="M321" s="165"/>
    </row>
    <row r="322" spans="1:13" ht="60">
      <c r="A322" s="67">
        <f t="shared" si="4"/>
        <v>320</v>
      </c>
      <c r="B322" s="164">
        <v>320</v>
      </c>
      <c r="C322" s="193" t="s">
        <v>1615</v>
      </c>
      <c r="D322" s="195" t="s">
        <v>4883</v>
      </c>
      <c r="E322" s="193" t="s">
        <v>8036</v>
      </c>
      <c r="F322" s="193" t="s">
        <v>114</v>
      </c>
      <c r="G322" s="195" t="s">
        <v>10232</v>
      </c>
      <c r="H322" s="166" t="s">
        <v>13436</v>
      </c>
      <c r="I322" s="193" t="s">
        <v>12827</v>
      </c>
      <c r="J322" s="193" t="s">
        <v>12104</v>
      </c>
      <c r="K322" s="170"/>
      <c r="L322" s="193" t="s">
        <v>12922</v>
      </c>
      <c r="M322" s="165"/>
    </row>
    <row r="323" spans="1:13" ht="30">
      <c r="A323" s="67">
        <f t="shared" ref="A323:A386" si="5">IFERROR(VALUE(RIGHT(C323,4)),"")</f>
        <v>321</v>
      </c>
      <c r="B323" s="164">
        <v>321</v>
      </c>
      <c r="C323" s="193" t="s">
        <v>1616</v>
      </c>
      <c r="D323" s="195" t="s">
        <v>4884</v>
      </c>
      <c r="E323" s="193" t="s">
        <v>8037</v>
      </c>
      <c r="F323" s="193" t="s">
        <v>114</v>
      </c>
      <c r="G323" s="195" t="s">
        <v>10233</v>
      </c>
      <c r="H323" s="166" t="s">
        <v>13436</v>
      </c>
      <c r="I323" s="193" t="s">
        <v>12836</v>
      </c>
      <c r="J323" s="193" t="s">
        <v>146</v>
      </c>
      <c r="K323" s="170"/>
      <c r="L323" s="193" t="s">
        <v>12923</v>
      </c>
      <c r="M323" s="165"/>
    </row>
    <row r="324" spans="1:13" ht="30">
      <c r="A324" s="67">
        <f t="shared" si="5"/>
        <v>322</v>
      </c>
      <c r="B324" s="164">
        <v>322</v>
      </c>
      <c r="C324" s="193" t="s">
        <v>1617</v>
      </c>
      <c r="D324" s="195" t="s">
        <v>4885</v>
      </c>
      <c r="E324" s="193" t="s">
        <v>8038</v>
      </c>
      <c r="F324" s="193" t="s">
        <v>114</v>
      </c>
      <c r="G324" s="195" t="s">
        <v>10234</v>
      </c>
      <c r="H324" s="166" t="s">
        <v>13436</v>
      </c>
      <c r="I324" s="193" t="s">
        <v>12836</v>
      </c>
      <c r="J324" s="193" t="s">
        <v>12105</v>
      </c>
      <c r="K324" s="170"/>
      <c r="L324" s="193" t="s">
        <v>146</v>
      </c>
      <c r="M324" s="165"/>
    </row>
    <row r="325" spans="1:13" ht="90">
      <c r="A325" s="67">
        <f t="shared" si="5"/>
        <v>323</v>
      </c>
      <c r="B325" s="164">
        <v>323</v>
      </c>
      <c r="C325" s="193" t="s">
        <v>1618</v>
      </c>
      <c r="D325" s="195" t="s">
        <v>4886</v>
      </c>
      <c r="E325" s="193" t="s">
        <v>599</v>
      </c>
      <c r="F325" s="193" t="s">
        <v>114</v>
      </c>
      <c r="G325" s="195" t="s">
        <v>10235</v>
      </c>
      <c r="H325" s="166" t="s">
        <v>13436</v>
      </c>
      <c r="I325" s="193" t="s">
        <v>12826</v>
      </c>
      <c r="J325" s="193" t="s">
        <v>146</v>
      </c>
      <c r="K325" s="170"/>
      <c r="L325" s="193" t="s">
        <v>12924</v>
      </c>
      <c r="M325" s="165"/>
    </row>
    <row r="326" spans="1:13" ht="15.75">
      <c r="A326" s="67">
        <f t="shared" si="5"/>
        <v>324</v>
      </c>
      <c r="B326" s="164">
        <v>324</v>
      </c>
      <c r="C326" s="193" t="s">
        <v>1619</v>
      </c>
      <c r="D326" s="195" t="s">
        <v>4887</v>
      </c>
      <c r="E326" s="193" t="s">
        <v>8039</v>
      </c>
      <c r="F326" s="193" t="s">
        <v>59</v>
      </c>
      <c r="G326" s="195" t="s">
        <v>10236</v>
      </c>
      <c r="H326" s="166" t="s">
        <v>13436</v>
      </c>
      <c r="I326" s="193" t="s">
        <v>12821</v>
      </c>
      <c r="J326" s="193" t="s">
        <v>146</v>
      </c>
      <c r="K326" s="170"/>
      <c r="L326" s="193"/>
      <c r="M326" s="165"/>
    </row>
    <row r="327" spans="1:13" ht="15.75">
      <c r="A327" s="67">
        <f t="shared" si="5"/>
        <v>325</v>
      </c>
      <c r="B327" s="164">
        <v>325</v>
      </c>
      <c r="C327" s="193" t="s">
        <v>1620</v>
      </c>
      <c r="D327" s="195" t="s">
        <v>4888</v>
      </c>
      <c r="E327" s="193" t="s">
        <v>8040</v>
      </c>
      <c r="F327" s="193" t="s">
        <v>114</v>
      </c>
      <c r="G327" s="195" t="s">
        <v>221</v>
      </c>
      <c r="H327" s="166" t="s">
        <v>13436</v>
      </c>
      <c r="I327" s="193" t="s">
        <v>12827</v>
      </c>
      <c r="J327" s="219" t="s">
        <v>286</v>
      </c>
      <c r="K327" s="170"/>
      <c r="L327" s="193" t="s">
        <v>146</v>
      </c>
      <c r="M327" s="165"/>
    </row>
    <row r="328" spans="1:13" ht="75">
      <c r="A328" s="67">
        <f t="shared" si="5"/>
        <v>326</v>
      </c>
      <c r="B328" s="164">
        <v>326</v>
      </c>
      <c r="C328" s="193" t="s">
        <v>1621</v>
      </c>
      <c r="D328" s="195" t="s">
        <v>4889</v>
      </c>
      <c r="E328" s="193" t="s">
        <v>8041</v>
      </c>
      <c r="F328" s="193" t="s">
        <v>114</v>
      </c>
      <c r="G328" s="195" t="s">
        <v>10237</v>
      </c>
      <c r="H328" s="166" t="s">
        <v>13436</v>
      </c>
      <c r="I328" s="193" t="s">
        <v>12821</v>
      </c>
      <c r="J328" s="193" t="s">
        <v>146</v>
      </c>
      <c r="K328" s="170"/>
      <c r="L328" s="193" t="s">
        <v>12925</v>
      </c>
      <c r="M328" s="165"/>
    </row>
    <row r="329" spans="1:13" ht="15.75">
      <c r="A329" s="67">
        <f t="shared" si="5"/>
        <v>327</v>
      </c>
      <c r="B329" s="164">
        <v>327</v>
      </c>
      <c r="C329" s="193" t="s">
        <v>1622</v>
      </c>
      <c r="D329" s="195" t="s">
        <v>4890</v>
      </c>
      <c r="E329" s="193" t="s">
        <v>8042</v>
      </c>
      <c r="F329" s="193" t="s">
        <v>114</v>
      </c>
      <c r="G329" s="195" t="s">
        <v>10238</v>
      </c>
      <c r="H329" s="166" t="s">
        <v>13436</v>
      </c>
      <c r="I329" s="193" t="s">
        <v>12827</v>
      </c>
      <c r="J329" s="193" t="s">
        <v>146</v>
      </c>
      <c r="K329" s="170"/>
      <c r="L329" s="193" t="s">
        <v>146</v>
      </c>
      <c r="M329" s="165"/>
    </row>
    <row r="330" spans="1:13" ht="15.75">
      <c r="A330" s="67">
        <f t="shared" si="5"/>
        <v>328</v>
      </c>
      <c r="B330" s="164">
        <v>328</v>
      </c>
      <c r="C330" s="193" t="s">
        <v>1623</v>
      </c>
      <c r="D330" s="195" t="s">
        <v>4891</v>
      </c>
      <c r="E330" s="193" t="s">
        <v>639</v>
      </c>
      <c r="F330" s="193" t="s">
        <v>114</v>
      </c>
      <c r="G330" s="195" t="s">
        <v>10239</v>
      </c>
      <c r="H330" s="166" t="s">
        <v>13436</v>
      </c>
      <c r="I330" s="193" t="s">
        <v>12827</v>
      </c>
      <c r="J330" s="193" t="s">
        <v>146</v>
      </c>
      <c r="K330" s="170"/>
      <c r="L330" s="193" t="s">
        <v>146</v>
      </c>
      <c r="M330" s="165"/>
    </row>
    <row r="331" spans="1:13" ht="30">
      <c r="A331" s="67">
        <f t="shared" si="5"/>
        <v>329</v>
      </c>
      <c r="B331" s="164">
        <v>329</v>
      </c>
      <c r="C331" s="193" t="s">
        <v>1624</v>
      </c>
      <c r="D331" s="195" t="s">
        <v>4892</v>
      </c>
      <c r="E331" s="193" t="s">
        <v>159</v>
      </c>
      <c r="F331" s="193" t="s">
        <v>114</v>
      </c>
      <c r="G331" s="195" t="s">
        <v>10240</v>
      </c>
      <c r="H331" s="166" t="s">
        <v>13436</v>
      </c>
      <c r="I331" s="193" t="s">
        <v>12827</v>
      </c>
      <c r="J331" s="193" t="s">
        <v>146</v>
      </c>
      <c r="K331" s="170"/>
      <c r="L331" s="193" t="s">
        <v>12926</v>
      </c>
      <c r="M331" s="165"/>
    </row>
    <row r="332" spans="1:13" ht="15.75">
      <c r="A332" s="67">
        <f t="shared" si="5"/>
        <v>330</v>
      </c>
      <c r="B332" s="164">
        <v>330</v>
      </c>
      <c r="C332" s="193" t="s">
        <v>1625</v>
      </c>
      <c r="D332" s="195" t="s">
        <v>4893</v>
      </c>
      <c r="E332" s="193" t="s">
        <v>8043</v>
      </c>
      <c r="F332" s="193" t="s">
        <v>114</v>
      </c>
      <c r="G332" s="195" t="s">
        <v>10241</v>
      </c>
      <c r="H332" s="166" t="s">
        <v>13436</v>
      </c>
      <c r="I332" s="193" t="s">
        <v>12821</v>
      </c>
      <c r="J332" s="193" t="s">
        <v>146</v>
      </c>
      <c r="K332" s="170"/>
      <c r="L332" s="193" t="s">
        <v>146</v>
      </c>
      <c r="M332" s="165"/>
    </row>
    <row r="333" spans="1:13" ht="15.75">
      <c r="A333" s="67">
        <f t="shared" si="5"/>
        <v>331</v>
      </c>
      <c r="B333" s="164">
        <v>331</v>
      </c>
      <c r="C333" s="193" t="s">
        <v>1626</v>
      </c>
      <c r="D333" s="195" t="s">
        <v>4894</v>
      </c>
      <c r="E333" s="193" t="s">
        <v>8044</v>
      </c>
      <c r="F333" s="193" t="s">
        <v>114</v>
      </c>
      <c r="G333" s="195" t="s">
        <v>10242</v>
      </c>
      <c r="H333" s="166" t="s">
        <v>13436</v>
      </c>
      <c r="I333" s="193" t="s">
        <v>12826</v>
      </c>
      <c r="J333" s="193" t="s">
        <v>146</v>
      </c>
      <c r="K333" s="170"/>
      <c r="L333" s="193" t="s">
        <v>146</v>
      </c>
      <c r="M333" s="165"/>
    </row>
    <row r="334" spans="1:13" ht="15.75">
      <c r="A334" s="67">
        <f t="shared" si="5"/>
        <v>332</v>
      </c>
      <c r="B334" s="164">
        <v>332</v>
      </c>
      <c r="C334" s="193" t="s">
        <v>1627</v>
      </c>
      <c r="D334" s="195" t="s">
        <v>4895</v>
      </c>
      <c r="E334" s="193" t="s">
        <v>8045</v>
      </c>
      <c r="F334" s="193" t="s">
        <v>114</v>
      </c>
      <c r="G334" s="195" t="s">
        <v>10243</v>
      </c>
      <c r="H334" s="166" t="s">
        <v>13436</v>
      </c>
      <c r="I334" s="193" t="s">
        <v>12826</v>
      </c>
      <c r="J334" s="193" t="s">
        <v>146</v>
      </c>
      <c r="K334" s="170"/>
      <c r="L334" s="193" t="s">
        <v>146</v>
      </c>
      <c r="M334" s="165"/>
    </row>
    <row r="335" spans="1:13" ht="30">
      <c r="A335" s="67">
        <f t="shared" si="5"/>
        <v>333</v>
      </c>
      <c r="B335" s="164">
        <v>333</v>
      </c>
      <c r="C335" s="193" t="s">
        <v>1628</v>
      </c>
      <c r="D335" s="195" t="s">
        <v>4896</v>
      </c>
      <c r="E335" s="193" t="s">
        <v>427</v>
      </c>
      <c r="F335" s="193" t="s">
        <v>114</v>
      </c>
      <c r="G335" s="195" t="s">
        <v>10244</v>
      </c>
      <c r="H335" s="166" t="s">
        <v>13436</v>
      </c>
      <c r="I335" s="193" t="s">
        <v>12836</v>
      </c>
      <c r="J335" s="219" t="s">
        <v>12106</v>
      </c>
      <c r="K335" s="170"/>
      <c r="L335" s="193" t="s">
        <v>146</v>
      </c>
      <c r="M335" s="165"/>
    </row>
    <row r="336" spans="1:13" ht="30">
      <c r="A336" s="67">
        <f t="shared" si="5"/>
        <v>334</v>
      </c>
      <c r="B336" s="164">
        <v>334</v>
      </c>
      <c r="C336" s="193" t="s">
        <v>1629</v>
      </c>
      <c r="D336" s="195" t="s">
        <v>4897</v>
      </c>
      <c r="E336" s="193" t="s">
        <v>156</v>
      </c>
      <c r="F336" s="193" t="s">
        <v>114</v>
      </c>
      <c r="G336" s="195" t="s">
        <v>697</v>
      </c>
      <c r="H336" s="166" t="s">
        <v>13436</v>
      </c>
      <c r="I336" s="193" t="s">
        <v>12832</v>
      </c>
      <c r="J336" s="193"/>
      <c r="K336" s="170"/>
      <c r="L336" s="193" t="s">
        <v>12927</v>
      </c>
      <c r="M336" s="165"/>
    </row>
    <row r="337" spans="1:13" ht="30">
      <c r="A337" s="67">
        <f t="shared" si="5"/>
        <v>335</v>
      </c>
      <c r="B337" s="164">
        <v>335</v>
      </c>
      <c r="C337" s="193" t="s">
        <v>1630</v>
      </c>
      <c r="D337" s="195" t="s">
        <v>4898</v>
      </c>
      <c r="E337" s="193" t="s">
        <v>8046</v>
      </c>
      <c r="F337" s="193" t="s">
        <v>114</v>
      </c>
      <c r="G337" s="195" t="s">
        <v>10245</v>
      </c>
      <c r="H337" s="166" t="s">
        <v>13436</v>
      </c>
      <c r="I337" s="193" t="s">
        <v>12826</v>
      </c>
      <c r="J337" s="219" t="s">
        <v>12107</v>
      </c>
      <c r="K337" s="170"/>
      <c r="L337" s="193" t="s">
        <v>146</v>
      </c>
      <c r="M337" s="165"/>
    </row>
    <row r="338" spans="1:13" ht="75">
      <c r="A338" s="67">
        <f t="shared" si="5"/>
        <v>336</v>
      </c>
      <c r="B338" s="164">
        <v>336</v>
      </c>
      <c r="C338" s="193" t="s">
        <v>1631</v>
      </c>
      <c r="D338" s="205" t="s">
        <v>4899</v>
      </c>
      <c r="E338" s="193" t="s">
        <v>8008</v>
      </c>
      <c r="F338" s="193" t="s">
        <v>114</v>
      </c>
      <c r="G338" s="195" t="s">
        <v>10246</v>
      </c>
      <c r="H338" s="166" t="s">
        <v>13436</v>
      </c>
      <c r="I338" s="193" t="s">
        <v>12816</v>
      </c>
      <c r="J338" s="193" t="s">
        <v>146</v>
      </c>
      <c r="K338" s="170"/>
      <c r="L338" s="193" t="s">
        <v>12928</v>
      </c>
      <c r="M338" s="165"/>
    </row>
    <row r="339" spans="1:13" ht="75">
      <c r="A339" s="67">
        <f t="shared" si="5"/>
        <v>337</v>
      </c>
      <c r="B339" s="164">
        <v>337</v>
      </c>
      <c r="C339" s="193" t="s">
        <v>1632</v>
      </c>
      <c r="D339" s="205" t="s">
        <v>4900</v>
      </c>
      <c r="E339" s="193" t="s">
        <v>357</v>
      </c>
      <c r="F339" s="193" t="s">
        <v>114</v>
      </c>
      <c r="G339" s="195" t="s">
        <v>10247</v>
      </c>
      <c r="H339" s="166" t="s">
        <v>13436</v>
      </c>
      <c r="I339" s="193" t="s">
        <v>12816</v>
      </c>
      <c r="J339" s="193" t="s">
        <v>146</v>
      </c>
      <c r="K339" s="170"/>
      <c r="L339" s="193" t="s">
        <v>12929</v>
      </c>
      <c r="M339" s="165"/>
    </row>
    <row r="340" spans="1:13" ht="15.75">
      <c r="A340" s="67">
        <f t="shared" si="5"/>
        <v>338</v>
      </c>
      <c r="B340" s="164">
        <v>338</v>
      </c>
      <c r="C340" s="193" t="s">
        <v>1633</v>
      </c>
      <c r="D340" s="195" t="s">
        <v>4901</v>
      </c>
      <c r="E340" s="193" t="s">
        <v>605</v>
      </c>
      <c r="F340" s="193" t="s">
        <v>114</v>
      </c>
      <c r="G340" s="195" t="s">
        <v>10248</v>
      </c>
      <c r="H340" s="166" t="s">
        <v>13436</v>
      </c>
      <c r="I340" s="193" t="s">
        <v>12814</v>
      </c>
      <c r="J340" s="193" t="s">
        <v>146</v>
      </c>
      <c r="K340" s="170"/>
      <c r="L340" s="193" t="s">
        <v>146</v>
      </c>
      <c r="M340" s="165"/>
    </row>
    <row r="341" spans="1:13" ht="15.75">
      <c r="A341" s="67">
        <f t="shared" si="5"/>
        <v>339</v>
      </c>
      <c r="B341" s="164">
        <v>339</v>
      </c>
      <c r="C341" s="193" t="s">
        <v>1634</v>
      </c>
      <c r="D341" s="195" t="s">
        <v>4902</v>
      </c>
      <c r="E341" s="193" t="s">
        <v>8047</v>
      </c>
      <c r="F341" s="193" t="s">
        <v>114</v>
      </c>
      <c r="G341" s="195" t="s">
        <v>10249</v>
      </c>
      <c r="H341" s="166" t="s">
        <v>13436</v>
      </c>
      <c r="I341" s="193" t="s">
        <v>12814</v>
      </c>
      <c r="J341" s="193" t="s">
        <v>146</v>
      </c>
      <c r="K341" s="170"/>
      <c r="L341" s="193" t="s">
        <v>146</v>
      </c>
      <c r="M341" s="165"/>
    </row>
    <row r="342" spans="1:13" ht="60">
      <c r="A342" s="67">
        <f t="shared" si="5"/>
        <v>340</v>
      </c>
      <c r="B342" s="164">
        <v>340</v>
      </c>
      <c r="C342" s="193" t="s">
        <v>1635</v>
      </c>
      <c r="D342" s="195" t="s">
        <v>4903</v>
      </c>
      <c r="E342" s="193" t="s">
        <v>8048</v>
      </c>
      <c r="F342" s="193" t="s">
        <v>114</v>
      </c>
      <c r="G342" s="195" t="s">
        <v>10250</v>
      </c>
      <c r="H342" s="166" t="s">
        <v>13436</v>
      </c>
      <c r="I342" s="193" t="s">
        <v>12814</v>
      </c>
      <c r="J342" s="193" t="s">
        <v>146</v>
      </c>
      <c r="K342" s="170"/>
      <c r="L342" s="193" t="s">
        <v>12930</v>
      </c>
      <c r="M342" s="165"/>
    </row>
    <row r="343" spans="1:13" ht="75">
      <c r="A343" s="67">
        <f t="shared" si="5"/>
        <v>341</v>
      </c>
      <c r="B343" s="164">
        <v>341</v>
      </c>
      <c r="C343" s="193" t="s">
        <v>1636</v>
      </c>
      <c r="D343" s="195" t="s">
        <v>4904</v>
      </c>
      <c r="E343" s="193" t="s">
        <v>8049</v>
      </c>
      <c r="F343" s="193" t="s">
        <v>114</v>
      </c>
      <c r="G343" s="195" t="s">
        <v>10251</v>
      </c>
      <c r="H343" s="166" t="s">
        <v>13436</v>
      </c>
      <c r="I343" s="193" t="s">
        <v>12814</v>
      </c>
      <c r="J343" s="219" t="s">
        <v>146</v>
      </c>
      <c r="K343" s="170"/>
      <c r="L343" s="193" t="s">
        <v>12931</v>
      </c>
      <c r="M343" s="165"/>
    </row>
    <row r="344" spans="1:13" ht="30">
      <c r="A344" s="67">
        <f t="shared" si="5"/>
        <v>342</v>
      </c>
      <c r="B344" s="164">
        <v>342</v>
      </c>
      <c r="C344" s="193" t="s">
        <v>1637</v>
      </c>
      <c r="D344" s="195" t="s">
        <v>4905</v>
      </c>
      <c r="E344" s="193" t="s">
        <v>8050</v>
      </c>
      <c r="F344" s="193" t="s">
        <v>114</v>
      </c>
      <c r="G344" s="195" t="s">
        <v>10252</v>
      </c>
      <c r="H344" s="166" t="s">
        <v>13436</v>
      </c>
      <c r="I344" s="193" t="s">
        <v>12814</v>
      </c>
      <c r="J344" s="193" t="s">
        <v>12108</v>
      </c>
      <c r="K344" s="170"/>
      <c r="L344" s="193" t="s">
        <v>146</v>
      </c>
      <c r="M344" s="165"/>
    </row>
    <row r="345" spans="1:13" ht="30">
      <c r="A345" s="67">
        <f t="shared" si="5"/>
        <v>343</v>
      </c>
      <c r="B345" s="164">
        <v>343</v>
      </c>
      <c r="C345" s="193" t="s">
        <v>1638</v>
      </c>
      <c r="D345" s="195" t="s">
        <v>4906</v>
      </c>
      <c r="E345" s="193" t="s">
        <v>381</v>
      </c>
      <c r="F345" s="193" t="s">
        <v>114</v>
      </c>
      <c r="G345" s="195" t="s">
        <v>10253</v>
      </c>
      <c r="H345" s="166" t="s">
        <v>13436</v>
      </c>
      <c r="I345" s="193" t="s">
        <v>12819</v>
      </c>
      <c r="J345" s="193" t="s">
        <v>12109</v>
      </c>
      <c r="K345" s="170"/>
      <c r="L345" s="193" t="s">
        <v>146</v>
      </c>
      <c r="M345" s="165"/>
    </row>
    <row r="346" spans="1:13" ht="15.75">
      <c r="A346" s="67">
        <f t="shared" si="5"/>
        <v>344</v>
      </c>
      <c r="B346" s="164">
        <v>344</v>
      </c>
      <c r="C346" s="193" t="s">
        <v>1639</v>
      </c>
      <c r="D346" s="195" t="s">
        <v>4907</v>
      </c>
      <c r="E346" s="193" t="s">
        <v>8051</v>
      </c>
      <c r="F346" s="193" t="s">
        <v>114</v>
      </c>
      <c r="G346" s="195" t="s">
        <v>10254</v>
      </c>
      <c r="H346" s="166" t="s">
        <v>13436</v>
      </c>
      <c r="I346" s="193" t="s">
        <v>12820</v>
      </c>
      <c r="J346" s="219" t="s">
        <v>146</v>
      </c>
      <c r="K346" s="170"/>
      <c r="L346" s="193" t="s">
        <v>146</v>
      </c>
      <c r="M346" s="165"/>
    </row>
    <row r="347" spans="1:13" ht="15.75">
      <c r="A347" s="67">
        <f t="shared" si="5"/>
        <v>345</v>
      </c>
      <c r="B347" s="164">
        <v>345</v>
      </c>
      <c r="C347" s="193" t="s">
        <v>1640</v>
      </c>
      <c r="D347" s="195" t="s">
        <v>4908</v>
      </c>
      <c r="E347" s="193" t="s">
        <v>8052</v>
      </c>
      <c r="F347" s="193" t="s">
        <v>59</v>
      </c>
      <c r="G347" s="195" t="s">
        <v>10255</v>
      </c>
      <c r="H347" s="166" t="s">
        <v>13436</v>
      </c>
      <c r="I347" s="193" t="s">
        <v>12825</v>
      </c>
      <c r="J347" s="193" t="s">
        <v>12110</v>
      </c>
      <c r="K347" s="170"/>
      <c r="L347" s="193"/>
      <c r="M347" s="165"/>
    </row>
    <row r="348" spans="1:13" ht="105">
      <c r="A348" s="67">
        <f t="shared" si="5"/>
        <v>346</v>
      </c>
      <c r="B348" s="164">
        <v>346</v>
      </c>
      <c r="C348" s="193" t="s">
        <v>1641</v>
      </c>
      <c r="D348" s="195" t="s">
        <v>4909</v>
      </c>
      <c r="E348" s="193" t="s">
        <v>170</v>
      </c>
      <c r="F348" s="193" t="s">
        <v>114</v>
      </c>
      <c r="G348" s="195" t="s">
        <v>755</v>
      </c>
      <c r="H348" s="166" t="s">
        <v>13436</v>
      </c>
      <c r="I348" s="193" t="s">
        <v>12825</v>
      </c>
      <c r="J348" s="193" t="s">
        <v>146</v>
      </c>
      <c r="K348" s="170"/>
      <c r="L348" s="193" t="s">
        <v>12932</v>
      </c>
      <c r="M348" s="165"/>
    </row>
    <row r="349" spans="1:13" ht="15.75">
      <c r="A349" s="67">
        <f t="shared" si="5"/>
        <v>347</v>
      </c>
      <c r="B349" s="164">
        <v>347</v>
      </c>
      <c r="C349" s="193" t="s">
        <v>1642</v>
      </c>
      <c r="D349" s="195" t="s">
        <v>4910</v>
      </c>
      <c r="E349" s="193" t="s">
        <v>8053</v>
      </c>
      <c r="F349" s="193" t="s">
        <v>114</v>
      </c>
      <c r="G349" s="195" t="s">
        <v>782</v>
      </c>
      <c r="H349" s="166" t="s">
        <v>13436</v>
      </c>
      <c r="I349" s="193" t="s">
        <v>12826</v>
      </c>
      <c r="J349" s="193" t="s">
        <v>146</v>
      </c>
      <c r="K349" s="170"/>
      <c r="L349" s="193" t="s">
        <v>146</v>
      </c>
      <c r="M349" s="165"/>
    </row>
    <row r="350" spans="1:13" ht="15.75">
      <c r="A350" s="67">
        <f t="shared" si="5"/>
        <v>348</v>
      </c>
      <c r="B350" s="164">
        <v>348</v>
      </c>
      <c r="C350" s="193" t="s">
        <v>1643</v>
      </c>
      <c r="D350" s="195" t="s">
        <v>4911</v>
      </c>
      <c r="E350" s="193" t="s">
        <v>8054</v>
      </c>
      <c r="F350" s="193" t="s">
        <v>59</v>
      </c>
      <c r="G350" s="195" t="s">
        <v>10256</v>
      </c>
      <c r="H350" s="166" t="s">
        <v>13436</v>
      </c>
      <c r="I350" s="193" t="s">
        <v>12809</v>
      </c>
      <c r="J350" s="193" t="s">
        <v>146</v>
      </c>
      <c r="K350" s="170"/>
      <c r="L350" s="193"/>
      <c r="M350" s="165"/>
    </row>
    <row r="351" spans="1:13" ht="30">
      <c r="A351" s="67">
        <f t="shared" si="5"/>
        <v>349</v>
      </c>
      <c r="B351" s="164">
        <v>349</v>
      </c>
      <c r="C351" s="193" t="s">
        <v>1644</v>
      </c>
      <c r="D351" s="204" t="s">
        <v>4912</v>
      </c>
      <c r="E351" s="193" t="s">
        <v>8055</v>
      </c>
      <c r="F351" s="193" t="s">
        <v>59</v>
      </c>
      <c r="G351" s="195" t="s">
        <v>10257</v>
      </c>
      <c r="H351" s="166" t="s">
        <v>13436</v>
      </c>
      <c r="I351" s="193" t="s">
        <v>1247</v>
      </c>
      <c r="J351" s="193" t="s">
        <v>12111</v>
      </c>
      <c r="K351" s="170"/>
      <c r="L351" s="193"/>
      <c r="M351" s="165"/>
    </row>
    <row r="352" spans="1:13" ht="15.75">
      <c r="A352" s="67">
        <f t="shared" si="5"/>
        <v>350</v>
      </c>
      <c r="B352" s="164">
        <v>350</v>
      </c>
      <c r="C352" s="193" t="s">
        <v>1645</v>
      </c>
      <c r="D352" s="195" t="s">
        <v>4913</v>
      </c>
      <c r="E352" s="193" t="s">
        <v>8056</v>
      </c>
      <c r="F352" s="193" t="s">
        <v>59</v>
      </c>
      <c r="G352" s="195" t="s">
        <v>10258</v>
      </c>
      <c r="H352" s="166" t="s">
        <v>13436</v>
      </c>
      <c r="I352" s="193" t="s">
        <v>12808</v>
      </c>
      <c r="J352" s="193" t="s">
        <v>146</v>
      </c>
      <c r="K352" s="170"/>
      <c r="L352" s="193"/>
      <c r="M352" s="165"/>
    </row>
    <row r="353" spans="1:13" ht="45">
      <c r="A353" s="67">
        <f t="shared" si="5"/>
        <v>351</v>
      </c>
      <c r="B353" s="164">
        <v>351</v>
      </c>
      <c r="C353" s="193" t="s">
        <v>1646</v>
      </c>
      <c r="D353" s="195" t="s">
        <v>4914</v>
      </c>
      <c r="E353" s="193" t="s">
        <v>8057</v>
      </c>
      <c r="F353" s="193" t="s">
        <v>114</v>
      </c>
      <c r="G353" s="195" t="s">
        <v>675</v>
      </c>
      <c r="H353" s="166" t="s">
        <v>13436</v>
      </c>
      <c r="I353" s="193" t="s">
        <v>12808</v>
      </c>
      <c r="J353" s="193" t="s">
        <v>146</v>
      </c>
      <c r="K353" s="170"/>
      <c r="L353" s="193" t="s">
        <v>12933</v>
      </c>
      <c r="M353" s="165"/>
    </row>
    <row r="354" spans="1:13" ht="75">
      <c r="A354" s="67">
        <f t="shared" si="5"/>
        <v>352</v>
      </c>
      <c r="B354" s="164">
        <v>352</v>
      </c>
      <c r="C354" s="193" t="s">
        <v>1647</v>
      </c>
      <c r="D354" s="195" t="s">
        <v>4915</v>
      </c>
      <c r="E354" s="193" t="s">
        <v>8058</v>
      </c>
      <c r="F354" s="193" t="s">
        <v>114</v>
      </c>
      <c r="G354" s="195" t="s">
        <v>10259</v>
      </c>
      <c r="H354" s="166" t="s">
        <v>13436</v>
      </c>
      <c r="I354" s="193" t="s">
        <v>12808</v>
      </c>
      <c r="J354" s="219" t="s">
        <v>12112</v>
      </c>
      <c r="K354" s="170"/>
      <c r="L354" s="193" t="s">
        <v>12934</v>
      </c>
      <c r="M354" s="165"/>
    </row>
    <row r="355" spans="1:13" ht="15.75">
      <c r="A355" s="67">
        <f t="shared" si="5"/>
        <v>353</v>
      </c>
      <c r="B355" s="164">
        <v>353</v>
      </c>
      <c r="C355" s="193" t="s">
        <v>1648</v>
      </c>
      <c r="D355" s="195" t="s">
        <v>4916</v>
      </c>
      <c r="E355" s="193" t="s">
        <v>650</v>
      </c>
      <c r="F355" s="193" t="s">
        <v>114</v>
      </c>
      <c r="G355" s="195" t="s">
        <v>10133</v>
      </c>
      <c r="H355" s="166" t="s">
        <v>13436</v>
      </c>
      <c r="I355" s="193" t="s">
        <v>12836</v>
      </c>
      <c r="J355" s="193" t="s">
        <v>146</v>
      </c>
      <c r="K355" s="170"/>
      <c r="L355" s="193" t="s">
        <v>146</v>
      </c>
      <c r="M355" s="165"/>
    </row>
    <row r="356" spans="1:13" ht="30">
      <c r="A356" s="67">
        <f t="shared" si="5"/>
        <v>354</v>
      </c>
      <c r="B356" s="164">
        <v>354</v>
      </c>
      <c r="C356" s="193" t="s">
        <v>1649</v>
      </c>
      <c r="D356" s="195" t="s">
        <v>4917</v>
      </c>
      <c r="E356" s="193" t="s">
        <v>587</v>
      </c>
      <c r="F356" s="193" t="s">
        <v>114</v>
      </c>
      <c r="G356" s="195" t="s">
        <v>10260</v>
      </c>
      <c r="H356" s="166" t="s">
        <v>13436</v>
      </c>
      <c r="I356" s="193" t="s">
        <v>12825</v>
      </c>
      <c r="J356" s="193" t="s">
        <v>146</v>
      </c>
      <c r="K356" s="170"/>
      <c r="L356" s="193" t="s">
        <v>12935</v>
      </c>
      <c r="M356" s="165"/>
    </row>
    <row r="357" spans="1:13" ht="15.75">
      <c r="A357" s="67">
        <f t="shared" si="5"/>
        <v>355</v>
      </c>
      <c r="B357" s="164">
        <v>355</v>
      </c>
      <c r="C357" s="193" t="s">
        <v>1650</v>
      </c>
      <c r="D357" s="195" t="s">
        <v>4918</v>
      </c>
      <c r="E357" s="193" t="s">
        <v>631</v>
      </c>
      <c r="F357" s="193" t="s">
        <v>114</v>
      </c>
      <c r="G357" s="195" t="s">
        <v>10261</v>
      </c>
      <c r="H357" s="166" t="s">
        <v>13436</v>
      </c>
      <c r="I357" s="193" t="s">
        <v>12825</v>
      </c>
      <c r="J357" s="193" t="s">
        <v>146</v>
      </c>
      <c r="K357" s="170"/>
      <c r="L357" s="193" t="s">
        <v>146</v>
      </c>
      <c r="M357" s="165"/>
    </row>
    <row r="358" spans="1:13" ht="30">
      <c r="A358" s="67">
        <f t="shared" si="5"/>
        <v>356</v>
      </c>
      <c r="B358" s="164">
        <v>356</v>
      </c>
      <c r="C358" s="193" t="s">
        <v>1651</v>
      </c>
      <c r="D358" s="195" t="s">
        <v>4919</v>
      </c>
      <c r="E358" s="193" t="s">
        <v>8059</v>
      </c>
      <c r="F358" s="193" t="s">
        <v>114</v>
      </c>
      <c r="G358" s="195" t="s">
        <v>10262</v>
      </c>
      <c r="H358" s="166" t="s">
        <v>13436</v>
      </c>
      <c r="I358" s="193" t="s">
        <v>12826</v>
      </c>
      <c r="J358" s="193" t="s">
        <v>1257</v>
      </c>
      <c r="K358" s="170"/>
      <c r="L358" s="193" t="s">
        <v>12936</v>
      </c>
      <c r="M358" s="165"/>
    </row>
    <row r="359" spans="1:13" ht="90">
      <c r="A359" s="67">
        <f t="shared" si="5"/>
        <v>357</v>
      </c>
      <c r="B359" s="164">
        <v>357</v>
      </c>
      <c r="C359" s="193" t="s">
        <v>1652</v>
      </c>
      <c r="D359" s="204" t="s">
        <v>4920</v>
      </c>
      <c r="E359" s="193" t="s">
        <v>8060</v>
      </c>
      <c r="F359" s="193" t="s">
        <v>114</v>
      </c>
      <c r="G359" s="195" t="s">
        <v>10263</v>
      </c>
      <c r="H359" s="166" t="s">
        <v>13436</v>
      </c>
      <c r="I359" s="193" t="s">
        <v>12816</v>
      </c>
      <c r="J359" s="193" t="s">
        <v>146</v>
      </c>
      <c r="K359" s="170"/>
      <c r="L359" s="193" t="s">
        <v>12937</v>
      </c>
      <c r="M359" s="165"/>
    </row>
    <row r="360" spans="1:13" ht="45">
      <c r="A360" s="67">
        <f t="shared" si="5"/>
        <v>358</v>
      </c>
      <c r="B360" s="164">
        <v>358</v>
      </c>
      <c r="C360" s="193" t="s">
        <v>1653</v>
      </c>
      <c r="D360" s="197" t="s">
        <v>4921</v>
      </c>
      <c r="E360" s="193" t="s">
        <v>8061</v>
      </c>
      <c r="F360" s="193" t="s">
        <v>114</v>
      </c>
      <c r="G360" s="195" t="s">
        <v>10264</v>
      </c>
      <c r="H360" s="166" t="s">
        <v>13436</v>
      </c>
      <c r="I360" s="193" t="s">
        <v>12816</v>
      </c>
      <c r="J360" s="193" t="s">
        <v>146</v>
      </c>
      <c r="K360" s="170"/>
      <c r="L360" s="193" t="s">
        <v>12938</v>
      </c>
      <c r="M360" s="165"/>
    </row>
    <row r="361" spans="1:13" ht="15.75">
      <c r="A361" s="67">
        <f t="shared" si="5"/>
        <v>359</v>
      </c>
      <c r="B361" s="164">
        <v>359</v>
      </c>
      <c r="C361" s="193" t="s">
        <v>1654</v>
      </c>
      <c r="D361" s="195" t="s">
        <v>4922</v>
      </c>
      <c r="E361" s="193" t="s">
        <v>648</v>
      </c>
      <c r="F361" s="193" t="s">
        <v>114</v>
      </c>
      <c r="G361" s="195" t="s">
        <v>10265</v>
      </c>
      <c r="H361" s="166" t="s">
        <v>13436</v>
      </c>
      <c r="I361" s="193" t="s">
        <v>12814</v>
      </c>
      <c r="J361" s="193" t="s">
        <v>146</v>
      </c>
      <c r="K361" s="170"/>
      <c r="L361" s="193" t="s">
        <v>146</v>
      </c>
      <c r="M361" s="165"/>
    </row>
    <row r="362" spans="1:13" ht="15.75">
      <c r="A362" s="67">
        <f t="shared" si="5"/>
        <v>360</v>
      </c>
      <c r="B362" s="164">
        <v>360</v>
      </c>
      <c r="C362" s="193" t="s">
        <v>1655</v>
      </c>
      <c r="D362" s="195" t="s">
        <v>4923</v>
      </c>
      <c r="E362" s="193" t="s">
        <v>8062</v>
      </c>
      <c r="F362" s="193" t="s">
        <v>114</v>
      </c>
      <c r="G362" s="195" t="s">
        <v>10266</v>
      </c>
      <c r="H362" s="166" t="s">
        <v>13436</v>
      </c>
      <c r="I362" s="193" t="s">
        <v>12814</v>
      </c>
      <c r="J362" s="193"/>
      <c r="K362" s="170"/>
      <c r="L362" s="193" t="s">
        <v>146</v>
      </c>
      <c r="M362" s="165"/>
    </row>
    <row r="363" spans="1:13" ht="15.75">
      <c r="A363" s="67">
        <f t="shared" si="5"/>
        <v>361</v>
      </c>
      <c r="B363" s="164">
        <v>361</v>
      </c>
      <c r="C363" s="193" t="s">
        <v>1656</v>
      </c>
      <c r="D363" s="195" t="s">
        <v>4924</v>
      </c>
      <c r="E363" s="193" t="s">
        <v>8063</v>
      </c>
      <c r="F363" s="193" t="s">
        <v>114</v>
      </c>
      <c r="G363" s="195" t="s">
        <v>736</v>
      </c>
      <c r="H363" s="166" t="s">
        <v>13436</v>
      </c>
      <c r="I363" s="193" t="s">
        <v>12814</v>
      </c>
      <c r="J363" s="193" t="s">
        <v>146</v>
      </c>
      <c r="K363" s="170"/>
      <c r="L363" s="193" t="s">
        <v>146</v>
      </c>
      <c r="M363" s="165"/>
    </row>
    <row r="364" spans="1:13" ht="15.75">
      <c r="A364" s="67">
        <f t="shared" si="5"/>
        <v>362</v>
      </c>
      <c r="B364" s="164">
        <v>362</v>
      </c>
      <c r="C364" s="193" t="s">
        <v>1657</v>
      </c>
      <c r="D364" s="195" t="s">
        <v>4925</v>
      </c>
      <c r="E364" s="193" t="s">
        <v>8064</v>
      </c>
      <c r="F364" s="193" t="s">
        <v>114</v>
      </c>
      <c r="G364" s="195" t="s">
        <v>10192</v>
      </c>
      <c r="H364" s="166" t="s">
        <v>13436</v>
      </c>
      <c r="I364" s="193" t="s">
        <v>12814</v>
      </c>
      <c r="J364" s="219" t="s">
        <v>146</v>
      </c>
      <c r="K364" s="170"/>
      <c r="L364" s="219" t="s">
        <v>146</v>
      </c>
      <c r="M364" s="165"/>
    </row>
    <row r="365" spans="1:13" ht="15.75">
      <c r="A365" s="67">
        <f t="shared" si="5"/>
        <v>363</v>
      </c>
      <c r="B365" s="164">
        <v>363</v>
      </c>
      <c r="C365" s="193" t="s">
        <v>1658</v>
      </c>
      <c r="D365" s="195" t="s">
        <v>4926</v>
      </c>
      <c r="E365" s="193" t="s">
        <v>8065</v>
      </c>
      <c r="F365" s="193" t="s">
        <v>114</v>
      </c>
      <c r="G365" s="195" t="s">
        <v>10254</v>
      </c>
      <c r="H365" s="166" t="s">
        <v>13436</v>
      </c>
      <c r="I365" s="193" t="s">
        <v>12832</v>
      </c>
      <c r="J365" s="193" t="s">
        <v>12113</v>
      </c>
      <c r="K365" s="170"/>
      <c r="L365" s="193" t="s">
        <v>146</v>
      </c>
      <c r="M365" s="165"/>
    </row>
    <row r="366" spans="1:13" ht="30">
      <c r="A366" s="67">
        <f t="shared" si="5"/>
        <v>364</v>
      </c>
      <c r="B366" s="164">
        <v>364</v>
      </c>
      <c r="C366" s="193" t="s">
        <v>1659</v>
      </c>
      <c r="D366" s="195" t="s">
        <v>4927</v>
      </c>
      <c r="E366" s="193" t="s">
        <v>8066</v>
      </c>
      <c r="F366" s="193" t="s">
        <v>114</v>
      </c>
      <c r="G366" s="195" t="s">
        <v>10267</v>
      </c>
      <c r="H366" s="166" t="s">
        <v>13436</v>
      </c>
      <c r="I366" s="193" t="s">
        <v>12808</v>
      </c>
      <c r="J366" s="219" t="s">
        <v>147</v>
      </c>
      <c r="K366" s="170"/>
      <c r="L366" s="193" t="s">
        <v>12939</v>
      </c>
      <c r="M366" s="165"/>
    </row>
    <row r="367" spans="1:13" ht="30">
      <c r="A367" s="67">
        <f t="shared" si="5"/>
        <v>365</v>
      </c>
      <c r="B367" s="164">
        <v>365</v>
      </c>
      <c r="C367" s="193" t="s">
        <v>1660</v>
      </c>
      <c r="D367" s="195" t="s">
        <v>4928</v>
      </c>
      <c r="E367" s="193" t="s">
        <v>598</v>
      </c>
      <c r="F367" s="193" t="s">
        <v>114</v>
      </c>
      <c r="G367" s="195" t="s">
        <v>10268</v>
      </c>
      <c r="H367" s="166" t="s">
        <v>13436</v>
      </c>
      <c r="I367" s="193" t="s">
        <v>12813</v>
      </c>
      <c r="J367" s="193" t="s">
        <v>146</v>
      </c>
      <c r="K367" s="170"/>
      <c r="L367" s="193" t="s">
        <v>12940</v>
      </c>
      <c r="M367" s="165"/>
    </row>
    <row r="368" spans="1:13" ht="30">
      <c r="A368" s="67">
        <f t="shared" si="5"/>
        <v>366</v>
      </c>
      <c r="B368" s="164">
        <v>366</v>
      </c>
      <c r="C368" s="193" t="s">
        <v>1661</v>
      </c>
      <c r="D368" s="195" t="s">
        <v>4929</v>
      </c>
      <c r="E368" s="193" t="s">
        <v>8067</v>
      </c>
      <c r="F368" s="193" t="s">
        <v>114</v>
      </c>
      <c r="G368" s="195" t="s">
        <v>10131</v>
      </c>
      <c r="H368" s="166" t="s">
        <v>13436</v>
      </c>
      <c r="I368" s="193" t="s">
        <v>12814</v>
      </c>
      <c r="J368" s="193" t="s">
        <v>12114</v>
      </c>
      <c r="K368" s="170"/>
      <c r="L368" s="193" t="s">
        <v>12941</v>
      </c>
      <c r="M368" s="165"/>
    </row>
    <row r="369" spans="1:13" ht="60">
      <c r="A369" s="67">
        <f t="shared" si="5"/>
        <v>367</v>
      </c>
      <c r="B369" s="164">
        <v>367</v>
      </c>
      <c r="C369" s="193" t="s">
        <v>1662</v>
      </c>
      <c r="D369" s="195" t="s">
        <v>4930</v>
      </c>
      <c r="E369" s="193" t="s">
        <v>8068</v>
      </c>
      <c r="F369" s="193" t="s">
        <v>114</v>
      </c>
      <c r="G369" s="195" t="s">
        <v>10269</v>
      </c>
      <c r="H369" s="166" t="s">
        <v>13436</v>
      </c>
      <c r="I369" s="193" t="s">
        <v>12836</v>
      </c>
      <c r="J369" s="193" t="s">
        <v>12115</v>
      </c>
      <c r="K369" s="170"/>
      <c r="L369" s="193" t="s">
        <v>12942</v>
      </c>
      <c r="M369" s="165"/>
    </row>
    <row r="370" spans="1:13" ht="15.75">
      <c r="A370" s="67">
        <f t="shared" si="5"/>
        <v>368</v>
      </c>
      <c r="B370" s="164">
        <v>368</v>
      </c>
      <c r="C370" s="193" t="s">
        <v>1663</v>
      </c>
      <c r="D370" s="195" t="s">
        <v>4931</v>
      </c>
      <c r="E370" s="193" t="s">
        <v>8069</v>
      </c>
      <c r="F370" s="193" t="s">
        <v>114</v>
      </c>
      <c r="G370" s="195" t="s">
        <v>10270</v>
      </c>
      <c r="H370" s="166" t="s">
        <v>13436</v>
      </c>
      <c r="I370" s="193" t="s">
        <v>12827</v>
      </c>
      <c r="J370" s="193" t="s">
        <v>146</v>
      </c>
      <c r="K370" s="170"/>
      <c r="L370" s="193" t="s">
        <v>146</v>
      </c>
      <c r="M370" s="165"/>
    </row>
    <row r="371" spans="1:13" ht="15.75">
      <c r="A371" s="67">
        <f t="shared" si="5"/>
        <v>369</v>
      </c>
      <c r="B371" s="164">
        <v>369</v>
      </c>
      <c r="C371" s="193" t="s">
        <v>1664</v>
      </c>
      <c r="D371" s="197" t="s">
        <v>4932</v>
      </c>
      <c r="E371" s="193" t="s">
        <v>8070</v>
      </c>
      <c r="F371" s="193" t="s">
        <v>114</v>
      </c>
      <c r="G371" s="195" t="s">
        <v>10044</v>
      </c>
      <c r="H371" s="166" t="s">
        <v>13436</v>
      </c>
      <c r="I371" s="193" t="s">
        <v>12816</v>
      </c>
      <c r="J371" s="193" t="s">
        <v>146</v>
      </c>
      <c r="K371" s="170"/>
      <c r="L371" s="193" t="s">
        <v>146</v>
      </c>
      <c r="M371" s="165"/>
    </row>
    <row r="372" spans="1:13" ht="30">
      <c r="A372" s="67">
        <f t="shared" si="5"/>
        <v>370</v>
      </c>
      <c r="B372" s="164">
        <v>370</v>
      </c>
      <c r="C372" s="193" t="s">
        <v>1665</v>
      </c>
      <c r="D372" s="197" t="s">
        <v>4933</v>
      </c>
      <c r="E372" s="193" t="s">
        <v>8071</v>
      </c>
      <c r="F372" s="193" t="s">
        <v>59</v>
      </c>
      <c r="G372" s="195" t="s">
        <v>10271</v>
      </c>
      <c r="H372" s="166" t="s">
        <v>13436</v>
      </c>
      <c r="I372" s="193" t="s">
        <v>12816</v>
      </c>
      <c r="J372" s="193" t="s">
        <v>12116</v>
      </c>
      <c r="K372" s="170"/>
      <c r="L372" s="193"/>
      <c r="M372" s="165"/>
    </row>
    <row r="373" spans="1:13" ht="15.75">
      <c r="A373" s="67">
        <f t="shared" si="5"/>
        <v>371</v>
      </c>
      <c r="B373" s="164">
        <v>371</v>
      </c>
      <c r="C373" s="193" t="s">
        <v>1666</v>
      </c>
      <c r="D373" s="197" t="s">
        <v>4934</v>
      </c>
      <c r="E373" s="193" t="s">
        <v>8072</v>
      </c>
      <c r="F373" s="193" t="s">
        <v>59</v>
      </c>
      <c r="G373" s="195" t="s">
        <v>10234</v>
      </c>
      <c r="H373" s="166" t="s">
        <v>13436</v>
      </c>
      <c r="I373" s="193" t="s">
        <v>12816</v>
      </c>
      <c r="J373" s="193" t="s">
        <v>146</v>
      </c>
      <c r="K373" s="170"/>
      <c r="L373" s="193"/>
      <c r="M373" s="165"/>
    </row>
    <row r="374" spans="1:13" ht="15.75">
      <c r="A374" s="67">
        <f t="shared" si="5"/>
        <v>372</v>
      </c>
      <c r="B374" s="164">
        <v>372</v>
      </c>
      <c r="C374" s="193" t="s">
        <v>1667</v>
      </c>
      <c r="D374" s="199" t="s">
        <v>4935</v>
      </c>
      <c r="E374" s="193" t="s">
        <v>196</v>
      </c>
      <c r="F374" s="193" t="s">
        <v>114</v>
      </c>
      <c r="G374" s="195" t="s">
        <v>10272</v>
      </c>
      <c r="H374" s="166" t="s">
        <v>13436</v>
      </c>
      <c r="I374" s="193" t="s">
        <v>12831</v>
      </c>
      <c r="J374" s="193" t="s">
        <v>146</v>
      </c>
      <c r="K374" s="170"/>
      <c r="L374" s="193" t="s">
        <v>146</v>
      </c>
      <c r="M374" s="165"/>
    </row>
    <row r="375" spans="1:13" ht="15.75">
      <c r="A375" s="67">
        <f t="shared" si="5"/>
        <v>373</v>
      </c>
      <c r="B375" s="164">
        <v>373</v>
      </c>
      <c r="C375" s="193" t="s">
        <v>1668</v>
      </c>
      <c r="D375" s="197" t="s">
        <v>4936</v>
      </c>
      <c r="E375" s="193" t="s">
        <v>8073</v>
      </c>
      <c r="F375" s="193" t="s">
        <v>114</v>
      </c>
      <c r="G375" s="195" t="s">
        <v>10273</v>
      </c>
      <c r="H375" s="166" t="s">
        <v>13436</v>
      </c>
      <c r="I375" s="193" t="s">
        <v>12816</v>
      </c>
      <c r="J375" s="193" t="s">
        <v>146</v>
      </c>
      <c r="K375" s="170"/>
      <c r="L375" s="193" t="s">
        <v>146</v>
      </c>
      <c r="M375" s="165"/>
    </row>
    <row r="376" spans="1:13" ht="15.75">
      <c r="A376" s="67">
        <f t="shared" si="5"/>
        <v>374</v>
      </c>
      <c r="B376" s="164">
        <v>374</v>
      </c>
      <c r="C376" s="193" t="s">
        <v>1669</v>
      </c>
      <c r="D376" s="197" t="s">
        <v>4937</v>
      </c>
      <c r="E376" s="193" t="s">
        <v>8074</v>
      </c>
      <c r="F376" s="193" t="s">
        <v>59</v>
      </c>
      <c r="G376" s="195" t="s">
        <v>10274</v>
      </c>
      <c r="H376" s="166" t="s">
        <v>13436</v>
      </c>
      <c r="I376" s="193" t="s">
        <v>12816</v>
      </c>
      <c r="J376" s="193" t="s">
        <v>146</v>
      </c>
      <c r="K376" s="170"/>
      <c r="L376" s="193"/>
      <c r="M376" s="165"/>
    </row>
    <row r="377" spans="1:13" ht="15.75">
      <c r="A377" s="67">
        <f t="shared" si="5"/>
        <v>375</v>
      </c>
      <c r="B377" s="164">
        <v>375</v>
      </c>
      <c r="C377" s="193" t="s">
        <v>1670</v>
      </c>
      <c r="D377" s="195" t="s">
        <v>4938</v>
      </c>
      <c r="E377" s="193" t="s">
        <v>8075</v>
      </c>
      <c r="F377" s="193" t="s">
        <v>59</v>
      </c>
      <c r="G377" s="195" t="s">
        <v>10275</v>
      </c>
      <c r="H377" s="166" t="s">
        <v>13436</v>
      </c>
      <c r="I377" s="193" t="s">
        <v>1250</v>
      </c>
      <c r="J377" s="193" t="s">
        <v>164</v>
      </c>
      <c r="K377" s="170"/>
      <c r="L377" s="193"/>
      <c r="M377" s="165"/>
    </row>
    <row r="378" spans="1:13" ht="15.75">
      <c r="A378" s="67">
        <f t="shared" si="5"/>
        <v>376</v>
      </c>
      <c r="B378" s="164">
        <v>376</v>
      </c>
      <c r="C378" s="193" t="s">
        <v>1671</v>
      </c>
      <c r="D378" s="195" t="s">
        <v>4939</v>
      </c>
      <c r="E378" s="193" t="s">
        <v>313</v>
      </c>
      <c r="F378" s="193" t="s">
        <v>114</v>
      </c>
      <c r="G378" s="195" t="s">
        <v>10276</v>
      </c>
      <c r="H378" s="166" t="s">
        <v>13436</v>
      </c>
      <c r="I378" s="193" t="s">
        <v>12817</v>
      </c>
      <c r="J378" s="193" t="s">
        <v>146</v>
      </c>
      <c r="K378" s="170"/>
      <c r="L378" s="193" t="s">
        <v>146</v>
      </c>
      <c r="M378" s="165"/>
    </row>
    <row r="379" spans="1:13" ht="30">
      <c r="A379" s="67">
        <f t="shared" si="5"/>
        <v>377</v>
      </c>
      <c r="B379" s="164">
        <v>377</v>
      </c>
      <c r="C379" s="193" t="s">
        <v>1672</v>
      </c>
      <c r="D379" s="195" t="s">
        <v>4940</v>
      </c>
      <c r="E379" s="193" t="s">
        <v>8076</v>
      </c>
      <c r="F379" s="193" t="s">
        <v>114</v>
      </c>
      <c r="G379" s="195" t="s">
        <v>10277</v>
      </c>
      <c r="H379" s="166" t="s">
        <v>13436</v>
      </c>
      <c r="I379" s="193" t="s">
        <v>12821</v>
      </c>
      <c r="J379" s="193" t="s">
        <v>146</v>
      </c>
      <c r="K379" s="170"/>
      <c r="L379" s="193" t="s">
        <v>12943</v>
      </c>
      <c r="M379" s="165"/>
    </row>
    <row r="380" spans="1:13" ht="15.75">
      <c r="A380" s="67">
        <f t="shared" si="5"/>
        <v>378</v>
      </c>
      <c r="B380" s="164">
        <v>378</v>
      </c>
      <c r="C380" s="193" t="s">
        <v>1673</v>
      </c>
      <c r="D380" s="195" t="s">
        <v>4941</v>
      </c>
      <c r="E380" s="193" t="s">
        <v>8077</v>
      </c>
      <c r="F380" s="193" t="s">
        <v>114</v>
      </c>
      <c r="G380" s="195" t="s">
        <v>10278</v>
      </c>
      <c r="H380" s="166" t="s">
        <v>13436</v>
      </c>
      <c r="I380" s="193" t="s">
        <v>12821</v>
      </c>
      <c r="J380" s="219" t="s">
        <v>146</v>
      </c>
      <c r="K380" s="170"/>
      <c r="L380" s="193" t="s">
        <v>146</v>
      </c>
      <c r="M380" s="165"/>
    </row>
    <row r="381" spans="1:13" ht="30">
      <c r="A381" s="67">
        <f t="shared" si="5"/>
        <v>379</v>
      </c>
      <c r="B381" s="164">
        <v>379</v>
      </c>
      <c r="C381" s="193" t="s">
        <v>1674</v>
      </c>
      <c r="D381" s="195" t="s">
        <v>4942</v>
      </c>
      <c r="E381" s="193" t="s">
        <v>8078</v>
      </c>
      <c r="F381" s="193" t="s">
        <v>59</v>
      </c>
      <c r="G381" s="195" t="s">
        <v>10279</v>
      </c>
      <c r="H381" s="166" t="s">
        <v>13436</v>
      </c>
      <c r="I381" s="193" t="s">
        <v>12821</v>
      </c>
      <c r="J381" s="193" t="s">
        <v>12117</v>
      </c>
      <c r="K381" s="170"/>
      <c r="L381" s="193"/>
      <c r="M381" s="165"/>
    </row>
    <row r="382" spans="1:13" ht="30">
      <c r="A382" s="67">
        <f t="shared" si="5"/>
        <v>380</v>
      </c>
      <c r="B382" s="164">
        <v>380</v>
      </c>
      <c r="C382" s="193" t="s">
        <v>1675</v>
      </c>
      <c r="D382" s="195" t="s">
        <v>4943</v>
      </c>
      <c r="E382" s="193" t="s">
        <v>157</v>
      </c>
      <c r="F382" s="193" t="s">
        <v>114</v>
      </c>
      <c r="G382" s="195" t="s">
        <v>10280</v>
      </c>
      <c r="H382" s="166" t="s">
        <v>13436</v>
      </c>
      <c r="I382" s="193" t="s">
        <v>12817</v>
      </c>
      <c r="J382" s="193" t="s">
        <v>146</v>
      </c>
      <c r="K382" s="170"/>
      <c r="L382" s="193" t="s">
        <v>12944</v>
      </c>
      <c r="M382" s="165"/>
    </row>
    <row r="383" spans="1:13" ht="15.75">
      <c r="A383" s="67">
        <f t="shared" si="5"/>
        <v>381</v>
      </c>
      <c r="B383" s="164">
        <v>381</v>
      </c>
      <c r="C383" s="193" t="s">
        <v>1676</v>
      </c>
      <c r="D383" s="195" t="s">
        <v>4944</v>
      </c>
      <c r="E383" s="193" t="s">
        <v>8079</v>
      </c>
      <c r="F383" s="193" t="s">
        <v>59</v>
      </c>
      <c r="G383" s="195" t="s">
        <v>10281</v>
      </c>
      <c r="H383" s="166" t="s">
        <v>13436</v>
      </c>
      <c r="I383" s="193" t="s">
        <v>12813</v>
      </c>
      <c r="J383" s="193" t="s">
        <v>146</v>
      </c>
      <c r="K383" s="170"/>
      <c r="L383" s="193"/>
      <c r="M383" s="165"/>
    </row>
    <row r="384" spans="1:13" ht="15.75">
      <c r="A384" s="67">
        <f t="shared" si="5"/>
        <v>382</v>
      </c>
      <c r="B384" s="164">
        <v>382</v>
      </c>
      <c r="C384" s="193" t="s">
        <v>1677</v>
      </c>
      <c r="D384" s="195" t="s">
        <v>4945</v>
      </c>
      <c r="E384" s="193" t="s">
        <v>8080</v>
      </c>
      <c r="F384" s="193" t="s">
        <v>59</v>
      </c>
      <c r="G384" s="195" t="s">
        <v>10282</v>
      </c>
      <c r="H384" s="166" t="s">
        <v>13436</v>
      </c>
      <c r="I384" s="193" t="s">
        <v>12813</v>
      </c>
      <c r="J384" s="193" t="s">
        <v>146</v>
      </c>
      <c r="K384" s="170"/>
      <c r="L384" s="193"/>
      <c r="M384" s="165"/>
    </row>
    <row r="385" spans="1:13" ht="15.75">
      <c r="A385" s="67">
        <f t="shared" si="5"/>
        <v>383</v>
      </c>
      <c r="B385" s="164">
        <v>383</v>
      </c>
      <c r="C385" s="193" t="s">
        <v>1678</v>
      </c>
      <c r="D385" s="195" t="s">
        <v>4946</v>
      </c>
      <c r="E385" s="193" t="s">
        <v>8081</v>
      </c>
      <c r="F385" s="193" t="s">
        <v>59</v>
      </c>
      <c r="G385" s="195" t="s">
        <v>10283</v>
      </c>
      <c r="H385" s="166" t="s">
        <v>13436</v>
      </c>
      <c r="I385" s="193" t="s">
        <v>12825</v>
      </c>
      <c r="J385" s="193" t="s">
        <v>164</v>
      </c>
      <c r="K385" s="170"/>
      <c r="L385" s="193"/>
      <c r="M385" s="165"/>
    </row>
    <row r="386" spans="1:13" ht="15.75">
      <c r="A386" s="67">
        <f t="shared" si="5"/>
        <v>384</v>
      </c>
      <c r="B386" s="164">
        <v>384</v>
      </c>
      <c r="C386" s="193" t="s">
        <v>1679</v>
      </c>
      <c r="D386" s="195" t="s">
        <v>4947</v>
      </c>
      <c r="E386" s="193" t="s">
        <v>7891</v>
      </c>
      <c r="F386" s="193" t="s">
        <v>59</v>
      </c>
      <c r="G386" s="195" t="s">
        <v>10284</v>
      </c>
      <c r="H386" s="166" t="s">
        <v>13436</v>
      </c>
      <c r="I386" s="193" t="s">
        <v>12817</v>
      </c>
      <c r="J386" s="193" t="s">
        <v>146</v>
      </c>
      <c r="K386" s="170"/>
      <c r="L386" s="193"/>
      <c r="M386" s="165"/>
    </row>
    <row r="387" spans="1:13" ht="15.75">
      <c r="A387" s="67">
        <f t="shared" ref="A387:A450" si="6">IFERROR(VALUE(RIGHT(C387,4)),"")</f>
        <v>385</v>
      </c>
      <c r="B387" s="164">
        <v>385</v>
      </c>
      <c r="C387" s="193" t="s">
        <v>1680</v>
      </c>
      <c r="D387" s="195" t="s">
        <v>4948</v>
      </c>
      <c r="E387" s="193" t="s">
        <v>8082</v>
      </c>
      <c r="F387" s="193" t="s">
        <v>114</v>
      </c>
      <c r="G387" s="195" t="s">
        <v>677</v>
      </c>
      <c r="H387" s="166" t="s">
        <v>13436</v>
      </c>
      <c r="I387" s="193" t="s">
        <v>12817</v>
      </c>
      <c r="J387" s="193" t="s">
        <v>146</v>
      </c>
      <c r="K387" s="170"/>
      <c r="L387" s="193" t="s">
        <v>146</v>
      </c>
      <c r="M387" s="165"/>
    </row>
    <row r="388" spans="1:13" ht="30">
      <c r="A388" s="67">
        <f t="shared" si="6"/>
        <v>386</v>
      </c>
      <c r="B388" s="164">
        <v>386</v>
      </c>
      <c r="C388" s="193" t="s">
        <v>1681</v>
      </c>
      <c r="D388" s="195" t="s">
        <v>4949</v>
      </c>
      <c r="E388" s="193" t="s">
        <v>8083</v>
      </c>
      <c r="F388" s="193" t="s">
        <v>114</v>
      </c>
      <c r="G388" s="195" t="s">
        <v>10285</v>
      </c>
      <c r="H388" s="166" t="s">
        <v>13436</v>
      </c>
      <c r="I388" s="193" t="s">
        <v>12829</v>
      </c>
      <c r="J388" s="193" t="s">
        <v>146</v>
      </c>
      <c r="K388" s="170"/>
      <c r="L388" s="193" t="s">
        <v>12945</v>
      </c>
      <c r="M388" s="165"/>
    </row>
    <row r="389" spans="1:13" ht="75">
      <c r="A389" s="67">
        <f t="shared" si="6"/>
        <v>387</v>
      </c>
      <c r="B389" s="164">
        <v>387</v>
      </c>
      <c r="C389" s="193" t="s">
        <v>1682</v>
      </c>
      <c r="D389" s="195" t="s">
        <v>4950</v>
      </c>
      <c r="E389" s="193" t="s">
        <v>8084</v>
      </c>
      <c r="F389" s="193" t="s">
        <v>114</v>
      </c>
      <c r="G389" s="195" t="s">
        <v>10286</v>
      </c>
      <c r="H389" s="166" t="s">
        <v>13436</v>
      </c>
      <c r="I389" s="193" t="s">
        <v>12822</v>
      </c>
      <c r="J389" s="219" t="s">
        <v>12118</v>
      </c>
      <c r="K389" s="170"/>
      <c r="L389" s="193" t="s">
        <v>12946</v>
      </c>
      <c r="M389" s="165"/>
    </row>
    <row r="390" spans="1:13" ht="45">
      <c r="A390" s="67">
        <f t="shared" si="6"/>
        <v>388</v>
      </c>
      <c r="B390" s="164">
        <v>388</v>
      </c>
      <c r="C390" s="193" t="s">
        <v>1683</v>
      </c>
      <c r="D390" s="199" t="s">
        <v>4951</v>
      </c>
      <c r="E390" s="193" t="s">
        <v>8085</v>
      </c>
      <c r="F390" s="193" t="s">
        <v>59</v>
      </c>
      <c r="G390" s="195" t="s">
        <v>10287</v>
      </c>
      <c r="H390" s="166" t="s">
        <v>13436</v>
      </c>
      <c r="I390" s="193" t="s">
        <v>12839</v>
      </c>
      <c r="J390" s="193" t="s">
        <v>12119</v>
      </c>
      <c r="K390" s="170"/>
      <c r="L390" s="193"/>
      <c r="M390" s="165"/>
    </row>
    <row r="391" spans="1:13" ht="15.75">
      <c r="A391" s="67">
        <f t="shared" si="6"/>
        <v>389</v>
      </c>
      <c r="B391" s="164">
        <v>389</v>
      </c>
      <c r="C391" s="193" t="s">
        <v>1684</v>
      </c>
      <c r="D391" s="197" t="s">
        <v>4952</v>
      </c>
      <c r="E391" s="193" t="s">
        <v>351</v>
      </c>
      <c r="F391" s="193" t="s">
        <v>114</v>
      </c>
      <c r="G391" s="195" t="s">
        <v>199</v>
      </c>
      <c r="H391" s="166" t="s">
        <v>13436</v>
      </c>
      <c r="I391" s="193" t="s">
        <v>12816</v>
      </c>
      <c r="J391" s="193" t="s">
        <v>1252</v>
      </c>
      <c r="K391" s="170"/>
      <c r="L391" s="193" t="s">
        <v>146</v>
      </c>
      <c r="M391" s="165"/>
    </row>
    <row r="392" spans="1:13" ht="15.75">
      <c r="A392" s="67">
        <f t="shared" si="6"/>
        <v>390</v>
      </c>
      <c r="B392" s="164">
        <v>390</v>
      </c>
      <c r="C392" s="193" t="s">
        <v>1685</v>
      </c>
      <c r="D392" s="195" t="s">
        <v>4953</v>
      </c>
      <c r="E392" s="193" t="s">
        <v>8086</v>
      </c>
      <c r="F392" s="193" t="s">
        <v>114</v>
      </c>
      <c r="G392" s="195" t="s">
        <v>10288</v>
      </c>
      <c r="H392" s="166" t="s">
        <v>13436</v>
      </c>
      <c r="I392" s="193" t="s">
        <v>12814</v>
      </c>
      <c r="J392" s="193" t="s">
        <v>146</v>
      </c>
      <c r="K392" s="170"/>
      <c r="L392" s="193" t="s">
        <v>146</v>
      </c>
      <c r="M392" s="165"/>
    </row>
    <row r="393" spans="1:13" ht="15.75">
      <c r="A393" s="67">
        <f t="shared" si="6"/>
        <v>391</v>
      </c>
      <c r="B393" s="164">
        <v>391</v>
      </c>
      <c r="C393" s="193" t="s">
        <v>1686</v>
      </c>
      <c r="D393" s="195" t="s">
        <v>4954</v>
      </c>
      <c r="E393" s="193" t="s">
        <v>8087</v>
      </c>
      <c r="F393" s="193" t="s">
        <v>114</v>
      </c>
      <c r="G393" s="195" t="s">
        <v>10289</v>
      </c>
      <c r="H393" s="166" t="s">
        <v>13436</v>
      </c>
      <c r="I393" s="193" t="s">
        <v>12814</v>
      </c>
      <c r="J393" s="193" t="s">
        <v>146</v>
      </c>
      <c r="K393" s="170"/>
      <c r="L393" s="193" t="s">
        <v>146</v>
      </c>
      <c r="M393" s="165"/>
    </row>
    <row r="394" spans="1:13" ht="15.75">
      <c r="A394" s="67">
        <f t="shared" si="6"/>
        <v>392</v>
      </c>
      <c r="B394" s="164">
        <v>392</v>
      </c>
      <c r="C394" s="193" t="s">
        <v>1687</v>
      </c>
      <c r="D394" s="195" t="s">
        <v>4955</v>
      </c>
      <c r="E394" s="193" t="s">
        <v>8088</v>
      </c>
      <c r="F394" s="193" t="s">
        <v>114</v>
      </c>
      <c r="G394" s="195" t="s">
        <v>10290</v>
      </c>
      <c r="H394" s="166" t="s">
        <v>13436</v>
      </c>
      <c r="I394" s="193" t="s">
        <v>12814</v>
      </c>
      <c r="J394" s="219" t="s">
        <v>146</v>
      </c>
      <c r="K394" s="170"/>
      <c r="L394" s="193" t="s">
        <v>146</v>
      </c>
      <c r="M394" s="165"/>
    </row>
    <row r="395" spans="1:13" ht="30">
      <c r="A395" s="67">
        <f t="shared" si="6"/>
        <v>393</v>
      </c>
      <c r="B395" s="164">
        <v>393</v>
      </c>
      <c r="C395" s="193" t="s">
        <v>1688</v>
      </c>
      <c r="D395" s="195" t="s">
        <v>4956</v>
      </c>
      <c r="E395" s="193" t="s">
        <v>8089</v>
      </c>
      <c r="F395" s="193" t="s">
        <v>114</v>
      </c>
      <c r="G395" s="195" t="s">
        <v>10291</v>
      </c>
      <c r="H395" s="166" t="s">
        <v>13436</v>
      </c>
      <c r="I395" s="193" t="s">
        <v>12814</v>
      </c>
      <c r="J395" s="193" t="s">
        <v>12120</v>
      </c>
      <c r="K395" s="170"/>
      <c r="L395" s="193" t="s">
        <v>146</v>
      </c>
      <c r="M395" s="165"/>
    </row>
    <row r="396" spans="1:13" ht="15.75">
      <c r="A396" s="67">
        <f t="shared" si="6"/>
        <v>394</v>
      </c>
      <c r="B396" s="164">
        <v>394</v>
      </c>
      <c r="C396" s="193" t="s">
        <v>1689</v>
      </c>
      <c r="D396" s="198" t="s">
        <v>4957</v>
      </c>
      <c r="E396" s="193" t="s">
        <v>8090</v>
      </c>
      <c r="F396" s="193" t="s">
        <v>114</v>
      </c>
      <c r="G396" s="195" t="s">
        <v>10292</v>
      </c>
      <c r="H396" s="166" t="s">
        <v>13436</v>
      </c>
      <c r="I396" s="193" t="s">
        <v>1247</v>
      </c>
      <c r="J396" s="193" t="s">
        <v>146</v>
      </c>
      <c r="K396" s="170"/>
      <c r="L396" s="193" t="s">
        <v>146</v>
      </c>
      <c r="M396" s="165"/>
    </row>
    <row r="397" spans="1:13" ht="30">
      <c r="A397" s="67">
        <f t="shared" si="6"/>
        <v>395</v>
      </c>
      <c r="B397" s="164">
        <v>395</v>
      </c>
      <c r="C397" s="193" t="s">
        <v>1690</v>
      </c>
      <c r="D397" s="195" t="s">
        <v>4958</v>
      </c>
      <c r="E397" s="193" t="s">
        <v>8091</v>
      </c>
      <c r="F397" s="193" t="s">
        <v>114</v>
      </c>
      <c r="G397" s="195" t="s">
        <v>10293</v>
      </c>
      <c r="H397" s="166" t="s">
        <v>13436</v>
      </c>
      <c r="I397" s="193" t="s">
        <v>12825</v>
      </c>
      <c r="J397" s="193" t="s">
        <v>146</v>
      </c>
      <c r="K397" s="170"/>
      <c r="L397" s="193" t="s">
        <v>12947</v>
      </c>
      <c r="M397" s="165"/>
    </row>
    <row r="398" spans="1:13" ht="15.75">
      <c r="A398" s="67">
        <f t="shared" si="6"/>
        <v>396</v>
      </c>
      <c r="B398" s="164">
        <v>396</v>
      </c>
      <c r="C398" s="193" t="s">
        <v>1691</v>
      </c>
      <c r="D398" s="195" t="s">
        <v>4959</v>
      </c>
      <c r="E398" s="193" t="s">
        <v>8092</v>
      </c>
      <c r="F398" s="193" t="s">
        <v>114</v>
      </c>
      <c r="G398" s="195" t="s">
        <v>10294</v>
      </c>
      <c r="H398" s="166" t="s">
        <v>13436</v>
      </c>
      <c r="I398" s="193" t="s">
        <v>12824</v>
      </c>
      <c r="J398" s="193" t="s">
        <v>146</v>
      </c>
      <c r="K398" s="170"/>
      <c r="L398" s="193" t="s">
        <v>146</v>
      </c>
      <c r="M398" s="165"/>
    </row>
    <row r="399" spans="1:13" ht="15.75">
      <c r="A399" s="67">
        <f t="shared" si="6"/>
        <v>397</v>
      </c>
      <c r="B399" s="164">
        <v>397</v>
      </c>
      <c r="C399" s="193" t="s">
        <v>1692</v>
      </c>
      <c r="D399" s="195" t="s">
        <v>4960</v>
      </c>
      <c r="E399" s="193" t="s">
        <v>308</v>
      </c>
      <c r="F399" s="193" t="s">
        <v>114</v>
      </c>
      <c r="G399" s="195" t="s">
        <v>10295</v>
      </c>
      <c r="H399" s="166" t="s">
        <v>13436</v>
      </c>
      <c r="I399" s="193" t="s">
        <v>12826</v>
      </c>
      <c r="J399" s="193" t="s">
        <v>12121</v>
      </c>
      <c r="K399" s="170"/>
      <c r="L399" s="193" t="s">
        <v>146</v>
      </c>
      <c r="M399" s="165"/>
    </row>
    <row r="400" spans="1:13" ht="45">
      <c r="A400" s="67">
        <f t="shared" si="6"/>
        <v>398</v>
      </c>
      <c r="B400" s="164">
        <v>398</v>
      </c>
      <c r="C400" s="193" t="s">
        <v>1693</v>
      </c>
      <c r="D400" s="195" t="s">
        <v>4961</v>
      </c>
      <c r="E400" s="193" t="s">
        <v>8093</v>
      </c>
      <c r="F400" s="193" t="s">
        <v>114</v>
      </c>
      <c r="G400" s="195" t="s">
        <v>10296</v>
      </c>
      <c r="H400" s="166" t="s">
        <v>13436</v>
      </c>
      <c r="I400" s="193" t="s">
        <v>12826</v>
      </c>
      <c r="J400" s="193" t="s">
        <v>146</v>
      </c>
      <c r="K400" s="170"/>
      <c r="L400" s="193" t="s">
        <v>12948</v>
      </c>
      <c r="M400" s="165"/>
    </row>
    <row r="401" spans="1:13" ht="30">
      <c r="A401" s="67">
        <f t="shared" si="6"/>
        <v>399</v>
      </c>
      <c r="B401" s="164">
        <v>399</v>
      </c>
      <c r="C401" s="193" t="s">
        <v>1694</v>
      </c>
      <c r="D401" s="195" t="s">
        <v>4962</v>
      </c>
      <c r="E401" s="193" t="s">
        <v>313</v>
      </c>
      <c r="F401" s="193" t="s">
        <v>114</v>
      </c>
      <c r="G401" s="195" t="s">
        <v>972</v>
      </c>
      <c r="H401" s="166" t="s">
        <v>13436</v>
      </c>
      <c r="I401" s="193" t="s">
        <v>12824</v>
      </c>
      <c r="J401" s="193" t="s">
        <v>146</v>
      </c>
      <c r="K401" s="170"/>
      <c r="L401" s="193" t="s">
        <v>12949</v>
      </c>
      <c r="M401" s="165"/>
    </row>
    <row r="402" spans="1:13" ht="30">
      <c r="A402" s="67">
        <f t="shared" si="6"/>
        <v>400</v>
      </c>
      <c r="B402" s="164">
        <v>400</v>
      </c>
      <c r="C402" s="193" t="s">
        <v>1695</v>
      </c>
      <c r="D402" s="195" t="s">
        <v>4963</v>
      </c>
      <c r="E402" s="193" t="s">
        <v>579</v>
      </c>
      <c r="F402" s="193" t="s">
        <v>59</v>
      </c>
      <c r="G402" s="195" t="s">
        <v>10297</v>
      </c>
      <c r="H402" s="166" t="s">
        <v>13436</v>
      </c>
      <c r="I402" s="193" t="s">
        <v>12809</v>
      </c>
      <c r="J402" s="193" t="s">
        <v>12122</v>
      </c>
      <c r="K402" s="170"/>
      <c r="L402" s="193"/>
      <c r="M402" s="165"/>
    </row>
    <row r="403" spans="1:13" ht="30">
      <c r="A403" s="67">
        <f t="shared" si="6"/>
        <v>401</v>
      </c>
      <c r="B403" s="164">
        <v>401</v>
      </c>
      <c r="C403" s="193" t="s">
        <v>1696</v>
      </c>
      <c r="D403" s="195" t="s">
        <v>4964</v>
      </c>
      <c r="E403" s="193" t="s">
        <v>8094</v>
      </c>
      <c r="F403" s="193" t="s">
        <v>114</v>
      </c>
      <c r="G403" s="195" t="s">
        <v>10298</v>
      </c>
      <c r="H403" s="166" t="s">
        <v>13436</v>
      </c>
      <c r="I403" s="193" t="s">
        <v>12835</v>
      </c>
      <c r="J403" s="219" t="s">
        <v>12123</v>
      </c>
      <c r="K403" s="170"/>
      <c r="L403" s="193" t="s">
        <v>146</v>
      </c>
      <c r="M403" s="165"/>
    </row>
    <row r="404" spans="1:13" ht="15.75">
      <c r="A404" s="67">
        <f t="shared" si="6"/>
        <v>402</v>
      </c>
      <c r="B404" s="164">
        <v>402</v>
      </c>
      <c r="C404" s="193" t="s">
        <v>1697</v>
      </c>
      <c r="D404" s="195" t="s">
        <v>4965</v>
      </c>
      <c r="E404" s="193" t="s">
        <v>8095</v>
      </c>
      <c r="F404" s="193" t="s">
        <v>59</v>
      </c>
      <c r="G404" s="195" t="s">
        <v>1005</v>
      </c>
      <c r="H404" s="166" t="s">
        <v>13436</v>
      </c>
      <c r="I404" s="193" t="s">
        <v>12813</v>
      </c>
      <c r="J404" s="193" t="s">
        <v>147</v>
      </c>
      <c r="K404" s="170"/>
      <c r="L404" s="193"/>
      <c r="M404" s="165"/>
    </row>
    <row r="405" spans="1:13" ht="15.75">
      <c r="A405" s="67">
        <f t="shared" si="6"/>
        <v>403</v>
      </c>
      <c r="B405" s="164">
        <v>403</v>
      </c>
      <c r="C405" s="193" t="s">
        <v>1698</v>
      </c>
      <c r="D405" s="195" t="s">
        <v>4966</v>
      </c>
      <c r="E405" s="193" t="s">
        <v>8096</v>
      </c>
      <c r="F405" s="193" t="s">
        <v>59</v>
      </c>
      <c r="G405" s="195" t="s">
        <v>10299</v>
      </c>
      <c r="H405" s="166" t="s">
        <v>13436</v>
      </c>
      <c r="I405" s="193" t="s">
        <v>12813</v>
      </c>
      <c r="J405" s="193" t="s">
        <v>146</v>
      </c>
      <c r="K405" s="170"/>
      <c r="L405" s="193"/>
      <c r="M405" s="165"/>
    </row>
    <row r="406" spans="1:13" ht="15.75">
      <c r="A406" s="67">
        <f t="shared" si="6"/>
        <v>404</v>
      </c>
      <c r="B406" s="164">
        <v>404</v>
      </c>
      <c r="C406" s="193" t="s">
        <v>1699</v>
      </c>
      <c r="D406" s="195" t="s">
        <v>4967</v>
      </c>
      <c r="E406" s="193" t="s">
        <v>8097</v>
      </c>
      <c r="F406" s="193" t="s">
        <v>114</v>
      </c>
      <c r="G406" s="195" t="s">
        <v>10300</v>
      </c>
      <c r="H406" s="166" t="s">
        <v>13436</v>
      </c>
      <c r="I406" s="193" t="s">
        <v>12813</v>
      </c>
      <c r="J406" s="193" t="s">
        <v>146</v>
      </c>
      <c r="K406" s="170"/>
      <c r="L406" s="193" t="s">
        <v>146</v>
      </c>
      <c r="M406" s="165"/>
    </row>
    <row r="407" spans="1:13" ht="15.75">
      <c r="A407" s="67">
        <f t="shared" si="6"/>
        <v>405</v>
      </c>
      <c r="B407" s="164">
        <v>405</v>
      </c>
      <c r="C407" s="193" t="s">
        <v>1700</v>
      </c>
      <c r="D407" s="196" t="s">
        <v>4968</v>
      </c>
      <c r="E407" s="193" t="s">
        <v>8098</v>
      </c>
      <c r="F407" s="193" t="s">
        <v>59</v>
      </c>
      <c r="G407" s="195" t="s">
        <v>10301</v>
      </c>
      <c r="H407" s="166" t="s">
        <v>13436</v>
      </c>
      <c r="I407" s="193" t="s">
        <v>12809</v>
      </c>
      <c r="J407" s="193" t="s">
        <v>146</v>
      </c>
      <c r="K407" s="170"/>
      <c r="L407" s="193"/>
      <c r="M407" s="165"/>
    </row>
    <row r="408" spans="1:13" ht="30">
      <c r="A408" s="67">
        <f t="shared" si="6"/>
        <v>406</v>
      </c>
      <c r="B408" s="164">
        <v>406</v>
      </c>
      <c r="C408" s="193" t="s">
        <v>1701</v>
      </c>
      <c r="D408" s="195" t="s">
        <v>4969</v>
      </c>
      <c r="E408" s="193" t="s">
        <v>8099</v>
      </c>
      <c r="F408" s="193" t="s">
        <v>59</v>
      </c>
      <c r="G408" s="195" t="s">
        <v>10302</v>
      </c>
      <c r="H408" s="166" t="s">
        <v>13436</v>
      </c>
      <c r="I408" s="193" t="s">
        <v>12809</v>
      </c>
      <c r="J408" s="193" t="s">
        <v>12124</v>
      </c>
      <c r="K408" s="170"/>
      <c r="L408" s="193"/>
      <c r="M408" s="165"/>
    </row>
    <row r="409" spans="1:13" ht="15.75">
      <c r="A409" s="67">
        <f t="shared" si="6"/>
        <v>407</v>
      </c>
      <c r="B409" s="164">
        <v>407</v>
      </c>
      <c r="C409" s="193" t="s">
        <v>1702</v>
      </c>
      <c r="D409" s="195" t="s">
        <v>4970</v>
      </c>
      <c r="E409" s="193" t="s">
        <v>8100</v>
      </c>
      <c r="F409" s="193" t="s">
        <v>59</v>
      </c>
      <c r="G409" s="195" t="s">
        <v>751</v>
      </c>
      <c r="H409" s="166" t="s">
        <v>13436</v>
      </c>
      <c r="I409" s="193" t="s">
        <v>12809</v>
      </c>
      <c r="J409" s="193" t="s">
        <v>147</v>
      </c>
      <c r="K409" s="170"/>
      <c r="L409" s="193"/>
      <c r="M409" s="165"/>
    </row>
    <row r="410" spans="1:13" ht="15.75">
      <c r="A410" s="67">
        <f t="shared" si="6"/>
        <v>408</v>
      </c>
      <c r="B410" s="164">
        <v>408</v>
      </c>
      <c r="C410" s="193" t="s">
        <v>1703</v>
      </c>
      <c r="D410" s="196" t="s">
        <v>4971</v>
      </c>
      <c r="E410" s="193" t="s">
        <v>8101</v>
      </c>
      <c r="F410" s="193" t="s">
        <v>59</v>
      </c>
      <c r="G410" s="195" t="s">
        <v>10303</v>
      </c>
      <c r="H410" s="166" t="s">
        <v>13436</v>
      </c>
      <c r="I410" s="193" t="s">
        <v>12839</v>
      </c>
      <c r="J410" s="219" t="s">
        <v>146</v>
      </c>
      <c r="K410" s="170"/>
      <c r="L410" s="193"/>
      <c r="M410" s="165"/>
    </row>
    <row r="411" spans="1:13" ht="15.75">
      <c r="A411" s="67">
        <f t="shared" si="6"/>
        <v>409</v>
      </c>
      <c r="B411" s="164">
        <v>409</v>
      </c>
      <c r="C411" s="193" t="s">
        <v>1704</v>
      </c>
      <c r="D411" s="195" t="s">
        <v>4972</v>
      </c>
      <c r="E411" s="193" t="s">
        <v>8102</v>
      </c>
      <c r="F411" s="193" t="s">
        <v>114</v>
      </c>
      <c r="G411" s="195" t="s">
        <v>10304</v>
      </c>
      <c r="H411" s="166" t="s">
        <v>13436</v>
      </c>
      <c r="I411" s="193" t="s">
        <v>12814</v>
      </c>
      <c r="J411" s="193" t="s">
        <v>146</v>
      </c>
      <c r="K411" s="170"/>
      <c r="L411" s="193" t="s">
        <v>146</v>
      </c>
      <c r="M411" s="165"/>
    </row>
    <row r="412" spans="1:13" ht="30">
      <c r="A412" s="67">
        <f t="shared" si="6"/>
        <v>410</v>
      </c>
      <c r="B412" s="164">
        <v>410</v>
      </c>
      <c r="C412" s="193" t="s">
        <v>1705</v>
      </c>
      <c r="D412" s="195" t="s">
        <v>4973</v>
      </c>
      <c r="E412" s="193" t="s">
        <v>8103</v>
      </c>
      <c r="F412" s="193" t="s">
        <v>114</v>
      </c>
      <c r="G412" s="195" t="s">
        <v>10305</v>
      </c>
      <c r="H412" s="166" t="s">
        <v>13436</v>
      </c>
      <c r="I412" s="193" t="s">
        <v>12819</v>
      </c>
      <c r="J412" s="193" t="s">
        <v>12125</v>
      </c>
      <c r="K412" s="170"/>
      <c r="L412" s="193" t="s">
        <v>146</v>
      </c>
      <c r="M412" s="165"/>
    </row>
    <row r="413" spans="1:13" ht="75">
      <c r="A413" s="67">
        <f t="shared" si="6"/>
        <v>411</v>
      </c>
      <c r="B413" s="164">
        <v>411</v>
      </c>
      <c r="C413" s="193" t="s">
        <v>1706</v>
      </c>
      <c r="D413" s="195" t="s">
        <v>4974</v>
      </c>
      <c r="E413" s="193" t="s">
        <v>8104</v>
      </c>
      <c r="F413" s="193" t="s">
        <v>114</v>
      </c>
      <c r="G413" s="195" t="s">
        <v>10306</v>
      </c>
      <c r="H413" s="166" t="s">
        <v>13436</v>
      </c>
      <c r="I413" s="193" t="s">
        <v>12819</v>
      </c>
      <c r="J413" s="193" t="s">
        <v>146</v>
      </c>
      <c r="K413" s="170"/>
      <c r="L413" s="193" t="s">
        <v>12950</v>
      </c>
      <c r="M413" s="165"/>
    </row>
    <row r="414" spans="1:13" ht="60">
      <c r="A414" s="67">
        <f t="shared" si="6"/>
        <v>412</v>
      </c>
      <c r="B414" s="164">
        <v>412</v>
      </c>
      <c r="C414" s="193" t="s">
        <v>1707</v>
      </c>
      <c r="D414" s="195" t="s">
        <v>4975</v>
      </c>
      <c r="E414" s="193" t="s">
        <v>8105</v>
      </c>
      <c r="F414" s="193" t="s">
        <v>114</v>
      </c>
      <c r="G414" s="195" t="s">
        <v>10307</v>
      </c>
      <c r="H414" s="166" t="s">
        <v>13436</v>
      </c>
      <c r="I414" s="193" t="s">
        <v>12827</v>
      </c>
      <c r="J414" s="193" t="s">
        <v>12126</v>
      </c>
      <c r="K414" s="170"/>
      <c r="L414" s="193" t="s">
        <v>12951</v>
      </c>
      <c r="M414" s="165"/>
    </row>
    <row r="415" spans="1:13" ht="75">
      <c r="A415" s="67">
        <f t="shared" si="6"/>
        <v>413</v>
      </c>
      <c r="B415" s="164">
        <v>413</v>
      </c>
      <c r="C415" s="193" t="s">
        <v>1708</v>
      </c>
      <c r="D415" s="195" t="s">
        <v>4976</v>
      </c>
      <c r="E415" s="193" t="s">
        <v>8106</v>
      </c>
      <c r="F415" s="193" t="s">
        <v>114</v>
      </c>
      <c r="G415" s="195" t="s">
        <v>10308</v>
      </c>
      <c r="H415" s="166" t="s">
        <v>13436</v>
      </c>
      <c r="I415" s="193" t="s">
        <v>12837</v>
      </c>
      <c r="J415" s="219" t="s">
        <v>146</v>
      </c>
      <c r="K415" s="170"/>
      <c r="L415" s="193" t="s">
        <v>12952</v>
      </c>
      <c r="M415" s="165"/>
    </row>
    <row r="416" spans="1:13" ht="15.75">
      <c r="A416" s="67">
        <f t="shared" si="6"/>
        <v>414</v>
      </c>
      <c r="B416" s="164">
        <v>414</v>
      </c>
      <c r="C416" s="193" t="s">
        <v>1709</v>
      </c>
      <c r="D416" s="195" t="s">
        <v>4977</v>
      </c>
      <c r="E416" s="193" t="s">
        <v>8107</v>
      </c>
      <c r="F416" s="193" t="s">
        <v>114</v>
      </c>
      <c r="G416" s="195" t="s">
        <v>10309</v>
      </c>
      <c r="H416" s="166" t="s">
        <v>13436</v>
      </c>
      <c r="I416" s="193" t="s">
        <v>12825</v>
      </c>
      <c r="J416" s="219" t="s">
        <v>146</v>
      </c>
      <c r="K416" s="170"/>
      <c r="L416" s="193" t="s">
        <v>146</v>
      </c>
      <c r="M416" s="165"/>
    </row>
    <row r="417" spans="1:13" ht="15.75">
      <c r="A417" s="67">
        <f t="shared" si="6"/>
        <v>415</v>
      </c>
      <c r="B417" s="164">
        <v>415</v>
      </c>
      <c r="C417" s="193" t="s">
        <v>1710</v>
      </c>
      <c r="D417" s="195" t="s">
        <v>4978</v>
      </c>
      <c r="E417" s="193" t="s">
        <v>560</v>
      </c>
      <c r="F417" s="193" t="s">
        <v>114</v>
      </c>
      <c r="G417" s="195" t="s">
        <v>10310</v>
      </c>
      <c r="H417" s="166" t="s">
        <v>13436</v>
      </c>
      <c r="I417" s="193" t="s">
        <v>12815</v>
      </c>
      <c r="J417" s="193" t="s">
        <v>12127</v>
      </c>
      <c r="K417" s="170"/>
      <c r="L417" s="193" t="s">
        <v>146</v>
      </c>
      <c r="M417" s="165"/>
    </row>
    <row r="418" spans="1:13" ht="30">
      <c r="A418" s="67">
        <f t="shared" si="6"/>
        <v>416</v>
      </c>
      <c r="B418" s="164">
        <v>416</v>
      </c>
      <c r="C418" s="193" t="s">
        <v>1711</v>
      </c>
      <c r="D418" s="195" t="s">
        <v>4979</v>
      </c>
      <c r="E418" s="193" t="s">
        <v>8108</v>
      </c>
      <c r="F418" s="193" t="s">
        <v>114</v>
      </c>
      <c r="G418" s="195" t="s">
        <v>10311</v>
      </c>
      <c r="H418" s="166" t="s">
        <v>13436</v>
      </c>
      <c r="I418" s="193" t="s">
        <v>12826</v>
      </c>
      <c r="J418" s="193" t="s">
        <v>12128</v>
      </c>
      <c r="K418" s="170"/>
      <c r="L418" s="193" t="s">
        <v>146</v>
      </c>
      <c r="M418" s="165"/>
    </row>
    <row r="419" spans="1:13" ht="15.75">
      <c r="A419" s="67">
        <f t="shared" si="6"/>
        <v>417</v>
      </c>
      <c r="B419" s="164">
        <v>417</v>
      </c>
      <c r="C419" s="193" t="s">
        <v>1712</v>
      </c>
      <c r="D419" s="195" t="s">
        <v>4980</v>
      </c>
      <c r="E419" s="193" t="s">
        <v>8109</v>
      </c>
      <c r="F419" s="193" t="s">
        <v>114</v>
      </c>
      <c r="G419" s="195" t="s">
        <v>10312</v>
      </c>
      <c r="H419" s="166" t="s">
        <v>13436</v>
      </c>
      <c r="I419" s="193" t="s">
        <v>12826</v>
      </c>
      <c r="J419" s="193" t="s">
        <v>147</v>
      </c>
      <c r="K419" s="170"/>
      <c r="L419" s="193" t="s">
        <v>146</v>
      </c>
      <c r="M419" s="165"/>
    </row>
    <row r="420" spans="1:13" ht="15.75">
      <c r="A420" s="67">
        <f t="shared" si="6"/>
        <v>418</v>
      </c>
      <c r="B420" s="164">
        <v>418</v>
      </c>
      <c r="C420" s="193" t="s">
        <v>1713</v>
      </c>
      <c r="D420" s="195" t="s">
        <v>4981</v>
      </c>
      <c r="E420" s="193" t="s">
        <v>375</v>
      </c>
      <c r="F420" s="193" t="s">
        <v>114</v>
      </c>
      <c r="G420" s="195" t="s">
        <v>698</v>
      </c>
      <c r="H420" s="166" t="s">
        <v>13436</v>
      </c>
      <c r="I420" s="193" t="s">
        <v>12826</v>
      </c>
      <c r="J420" s="193" t="s">
        <v>146</v>
      </c>
      <c r="K420" s="170"/>
      <c r="L420" s="193" t="s">
        <v>146</v>
      </c>
      <c r="M420" s="165"/>
    </row>
    <row r="421" spans="1:13" ht="30">
      <c r="A421" s="67">
        <f t="shared" si="6"/>
        <v>419</v>
      </c>
      <c r="B421" s="164">
        <v>419</v>
      </c>
      <c r="C421" s="193" t="s">
        <v>1714</v>
      </c>
      <c r="D421" s="195" t="s">
        <v>4982</v>
      </c>
      <c r="E421" s="193" t="s">
        <v>8110</v>
      </c>
      <c r="F421" s="193" t="s">
        <v>114</v>
      </c>
      <c r="G421" s="195" t="s">
        <v>10144</v>
      </c>
      <c r="H421" s="166" t="s">
        <v>13436</v>
      </c>
      <c r="I421" s="193" t="s">
        <v>12826</v>
      </c>
      <c r="J421" s="193" t="s">
        <v>12129</v>
      </c>
      <c r="K421" s="170"/>
      <c r="L421" s="193" t="s">
        <v>146</v>
      </c>
      <c r="M421" s="165"/>
    </row>
    <row r="422" spans="1:13" ht="15.75">
      <c r="A422" s="67">
        <f t="shared" si="6"/>
        <v>420</v>
      </c>
      <c r="B422" s="164">
        <v>420</v>
      </c>
      <c r="C422" s="193" t="s">
        <v>1715</v>
      </c>
      <c r="D422" s="197" t="s">
        <v>4983</v>
      </c>
      <c r="E422" s="193" t="s">
        <v>8111</v>
      </c>
      <c r="F422" s="193" t="s">
        <v>59</v>
      </c>
      <c r="G422" s="195" t="s">
        <v>10313</v>
      </c>
      <c r="H422" s="166" t="s">
        <v>13436</v>
      </c>
      <c r="I422" s="193" t="s">
        <v>12816</v>
      </c>
      <c r="J422" s="193" t="s">
        <v>147</v>
      </c>
      <c r="K422" s="170"/>
      <c r="L422" s="193"/>
      <c r="M422" s="165"/>
    </row>
    <row r="423" spans="1:13" ht="15.75">
      <c r="A423" s="67">
        <f t="shared" si="6"/>
        <v>421</v>
      </c>
      <c r="B423" s="164">
        <v>421</v>
      </c>
      <c r="C423" s="193" t="s">
        <v>1716</v>
      </c>
      <c r="D423" s="197" t="s">
        <v>4984</v>
      </c>
      <c r="E423" s="193" t="s">
        <v>222</v>
      </c>
      <c r="F423" s="193" t="s">
        <v>114</v>
      </c>
      <c r="G423" s="195" t="s">
        <v>10314</v>
      </c>
      <c r="H423" s="166" t="s">
        <v>13436</v>
      </c>
      <c r="I423" s="193" t="s">
        <v>12816</v>
      </c>
      <c r="J423" s="193" t="s">
        <v>146</v>
      </c>
      <c r="K423" s="170"/>
      <c r="L423" s="193" t="s">
        <v>146</v>
      </c>
      <c r="M423" s="165"/>
    </row>
    <row r="424" spans="1:13" ht="45">
      <c r="A424" s="67">
        <f t="shared" si="6"/>
        <v>422</v>
      </c>
      <c r="B424" s="164">
        <v>422</v>
      </c>
      <c r="C424" s="193" t="s">
        <v>1717</v>
      </c>
      <c r="D424" s="195" t="s">
        <v>4985</v>
      </c>
      <c r="E424" s="193" t="s">
        <v>8112</v>
      </c>
      <c r="F424" s="193" t="s">
        <v>114</v>
      </c>
      <c r="G424" s="195" t="s">
        <v>10315</v>
      </c>
      <c r="H424" s="166" t="s">
        <v>13436</v>
      </c>
      <c r="I424" s="193" t="s">
        <v>12818</v>
      </c>
      <c r="J424" s="193" t="s">
        <v>146</v>
      </c>
      <c r="K424" s="170"/>
      <c r="L424" s="193" t="s">
        <v>12953</v>
      </c>
      <c r="M424" s="165"/>
    </row>
    <row r="425" spans="1:13" ht="45">
      <c r="A425" s="67">
        <f t="shared" si="6"/>
        <v>423</v>
      </c>
      <c r="B425" s="164">
        <v>423</v>
      </c>
      <c r="C425" s="193" t="s">
        <v>1718</v>
      </c>
      <c r="D425" s="195" t="s">
        <v>4986</v>
      </c>
      <c r="E425" s="193" t="s">
        <v>8113</v>
      </c>
      <c r="F425" s="193" t="s">
        <v>114</v>
      </c>
      <c r="G425" s="195" t="s">
        <v>10316</v>
      </c>
      <c r="H425" s="166" t="s">
        <v>13436</v>
      </c>
      <c r="I425" s="193" t="s">
        <v>12818</v>
      </c>
      <c r="J425" s="193" t="s">
        <v>12130</v>
      </c>
      <c r="K425" s="170"/>
      <c r="L425" s="193" t="s">
        <v>146</v>
      </c>
      <c r="M425" s="165"/>
    </row>
    <row r="426" spans="1:13" ht="15.75">
      <c r="A426" s="67">
        <f t="shared" si="6"/>
        <v>424</v>
      </c>
      <c r="B426" s="164">
        <v>424</v>
      </c>
      <c r="C426" s="193" t="s">
        <v>1719</v>
      </c>
      <c r="D426" s="195" t="s">
        <v>4987</v>
      </c>
      <c r="E426" s="193" t="s">
        <v>8114</v>
      </c>
      <c r="F426" s="193" t="s">
        <v>59</v>
      </c>
      <c r="G426" s="195" t="s">
        <v>10317</v>
      </c>
      <c r="H426" s="166" t="s">
        <v>13436</v>
      </c>
      <c r="I426" s="193" t="s">
        <v>12818</v>
      </c>
      <c r="J426" s="193" t="s">
        <v>147</v>
      </c>
      <c r="K426" s="170"/>
      <c r="L426" s="193"/>
      <c r="M426" s="165"/>
    </row>
    <row r="427" spans="1:13" ht="45">
      <c r="A427" s="67">
        <f t="shared" si="6"/>
        <v>425</v>
      </c>
      <c r="B427" s="164">
        <v>425</v>
      </c>
      <c r="C427" s="193" t="s">
        <v>1720</v>
      </c>
      <c r="D427" s="195" t="s">
        <v>4988</v>
      </c>
      <c r="E427" s="193" t="s">
        <v>8115</v>
      </c>
      <c r="F427" s="193" t="s">
        <v>114</v>
      </c>
      <c r="G427" s="195" t="s">
        <v>10318</v>
      </c>
      <c r="H427" s="166" t="s">
        <v>13436</v>
      </c>
      <c r="I427" s="193" t="s">
        <v>12818</v>
      </c>
      <c r="J427" s="219" t="s">
        <v>146</v>
      </c>
      <c r="K427" s="170"/>
      <c r="L427" s="193" t="s">
        <v>12954</v>
      </c>
      <c r="M427" s="165"/>
    </row>
    <row r="428" spans="1:13" ht="45">
      <c r="A428" s="67">
        <f t="shared" si="6"/>
        <v>426</v>
      </c>
      <c r="B428" s="164">
        <v>426</v>
      </c>
      <c r="C428" s="193" t="s">
        <v>1721</v>
      </c>
      <c r="D428" s="195" t="s">
        <v>4989</v>
      </c>
      <c r="E428" s="193" t="s">
        <v>8116</v>
      </c>
      <c r="F428" s="193" t="s">
        <v>59</v>
      </c>
      <c r="G428" s="195" t="s">
        <v>10107</v>
      </c>
      <c r="H428" s="166" t="s">
        <v>13436</v>
      </c>
      <c r="I428" s="193" t="s">
        <v>12818</v>
      </c>
      <c r="J428" s="193" t="s">
        <v>12131</v>
      </c>
      <c r="K428" s="170"/>
      <c r="L428" s="193"/>
      <c r="M428" s="165"/>
    </row>
    <row r="429" spans="1:13" ht="15.75">
      <c r="A429" s="67">
        <f t="shared" si="6"/>
        <v>427</v>
      </c>
      <c r="B429" s="164">
        <v>427</v>
      </c>
      <c r="C429" s="193" t="s">
        <v>1722</v>
      </c>
      <c r="D429" s="195" t="s">
        <v>4990</v>
      </c>
      <c r="E429" s="193" t="s">
        <v>8117</v>
      </c>
      <c r="F429" s="193" t="s">
        <v>114</v>
      </c>
      <c r="G429" s="195" t="s">
        <v>10319</v>
      </c>
      <c r="H429" s="166" t="s">
        <v>13436</v>
      </c>
      <c r="I429" s="193" t="s">
        <v>12818</v>
      </c>
      <c r="J429" s="193" t="s">
        <v>1252</v>
      </c>
      <c r="K429" s="170"/>
      <c r="L429" s="193" t="s">
        <v>146</v>
      </c>
      <c r="M429" s="165"/>
    </row>
    <row r="430" spans="1:13" ht="15.75">
      <c r="A430" s="67">
        <f t="shared" si="6"/>
        <v>428</v>
      </c>
      <c r="B430" s="164">
        <v>428</v>
      </c>
      <c r="C430" s="193" t="s">
        <v>1723</v>
      </c>
      <c r="D430" s="195" t="s">
        <v>4991</v>
      </c>
      <c r="E430" s="193" t="s">
        <v>8118</v>
      </c>
      <c r="F430" s="193" t="s">
        <v>59</v>
      </c>
      <c r="G430" s="195" t="s">
        <v>10320</v>
      </c>
      <c r="H430" s="166" t="s">
        <v>13436</v>
      </c>
      <c r="I430" s="193" t="s">
        <v>12818</v>
      </c>
      <c r="J430" s="193" t="s">
        <v>147</v>
      </c>
      <c r="K430" s="170"/>
      <c r="L430" s="193"/>
      <c r="M430" s="165"/>
    </row>
    <row r="431" spans="1:13" ht="45">
      <c r="A431" s="67">
        <f t="shared" si="6"/>
        <v>429</v>
      </c>
      <c r="B431" s="164">
        <v>429</v>
      </c>
      <c r="C431" s="193" t="s">
        <v>1724</v>
      </c>
      <c r="D431" s="195" t="s">
        <v>4992</v>
      </c>
      <c r="E431" s="193" t="s">
        <v>469</v>
      </c>
      <c r="F431" s="193" t="s">
        <v>59</v>
      </c>
      <c r="G431" s="195" t="s">
        <v>10321</v>
      </c>
      <c r="H431" s="166" t="s">
        <v>13436</v>
      </c>
      <c r="I431" s="193" t="s">
        <v>12818</v>
      </c>
      <c r="J431" s="193" t="s">
        <v>12132</v>
      </c>
      <c r="K431" s="170"/>
      <c r="L431" s="193"/>
      <c r="M431" s="165"/>
    </row>
    <row r="432" spans="1:13" ht="30">
      <c r="A432" s="67">
        <f t="shared" si="6"/>
        <v>430</v>
      </c>
      <c r="B432" s="164">
        <v>430</v>
      </c>
      <c r="C432" s="193" t="s">
        <v>1725</v>
      </c>
      <c r="D432" s="195" t="s">
        <v>4993</v>
      </c>
      <c r="E432" s="193" t="s">
        <v>8119</v>
      </c>
      <c r="F432" s="193" t="s">
        <v>114</v>
      </c>
      <c r="G432" s="195" t="s">
        <v>10322</v>
      </c>
      <c r="H432" s="166" t="s">
        <v>13436</v>
      </c>
      <c r="I432" s="193" t="s">
        <v>12818</v>
      </c>
      <c r="J432" s="193" t="s">
        <v>146</v>
      </c>
      <c r="K432" s="170"/>
      <c r="L432" s="193" t="s">
        <v>12955</v>
      </c>
      <c r="M432" s="165"/>
    </row>
    <row r="433" spans="1:13" ht="45">
      <c r="A433" s="67">
        <f t="shared" si="6"/>
        <v>431</v>
      </c>
      <c r="B433" s="164">
        <v>431</v>
      </c>
      <c r="C433" s="193" t="s">
        <v>1726</v>
      </c>
      <c r="D433" s="195" t="s">
        <v>4994</v>
      </c>
      <c r="E433" s="193" t="s">
        <v>8120</v>
      </c>
      <c r="F433" s="193" t="s">
        <v>114</v>
      </c>
      <c r="G433" s="195" t="s">
        <v>10323</v>
      </c>
      <c r="H433" s="166" t="s">
        <v>13436</v>
      </c>
      <c r="I433" s="193" t="s">
        <v>12818</v>
      </c>
      <c r="J433" s="193" t="s">
        <v>12133</v>
      </c>
      <c r="K433" s="170"/>
      <c r="L433" s="193" t="s">
        <v>146</v>
      </c>
      <c r="M433" s="165"/>
    </row>
    <row r="434" spans="1:13" ht="30">
      <c r="A434" s="67">
        <f t="shared" si="6"/>
        <v>432</v>
      </c>
      <c r="B434" s="164">
        <v>432</v>
      </c>
      <c r="C434" s="193" t="s">
        <v>1727</v>
      </c>
      <c r="D434" s="195" t="s">
        <v>4995</v>
      </c>
      <c r="E434" s="193" t="s">
        <v>374</v>
      </c>
      <c r="F434" s="193" t="s">
        <v>114</v>
      </c>
      <c r="G434" s="195" t="s">
        <v>10324</v>
      </c>
      <c r="H434" s="166" t="s">
        <v>13436</v>
      </c>
      <c r="I434" s="193" t="s">
        <v>12818</v>
      </c>
      <c r="J434" s="193" t="s">
        <v>146</v>
      </c>
      <c r="K434" s="170"/>
      <c r="L434" s="193" t="s">
        <v>12956</v>
      </c>
      <c r="M434" s="165"/>
    </row>
    <row r="435" spans="1:13" ht="75">
      <c r="A435" s="67">
        <f t="shared" si="6"/>
        <v>433</v>
      </c>
      <c r="B435" s="164">
        <v>433</v>
      </c>
      <c r="C435" s="193" t="s">
        <v>1728</v>
      </c>
      <c r="D435" s="199" t="s">
        <v>4996</v>
      </c>
      <c r="E435" s="193" t="s">
        <v>8121</v>
      </c>
      <c r="F435" s="193" t="s">
        <v>114</v>
      </c>
      <c r="G435" s="195" t="s">
        <v>10325</v>
      </c>
      <c r="H435" s="166" t="s">
        <v>13436</v>
      </c>
      <c r="I435" s="193" t="s">
        <v>12831</v>
      </c>
      <c r="J435" s="219" t="s">
        <v>146</v>
      </c>
      <c r="K435" s="170"/>
      <c r="L435" s="193" t="s">
        <v>12957</v>
      </c>
      <c r="M435" s="165"/>
    </row>
    <row r="436" spans="1:13" ht="15.75">
      <c r="A436" s="67">
        <f t="shared" si="6"/>
        <v>434</v>
      </c>
      <c r="B436" s="164">
        <v>434</v>
      </c>
      <c r="C436" s="193" t="s">
        <v>1729</v>
      </c>
      <c r="D436" s="195" t="s">
        <v>4997</v>
      </c>
      <c r="E436" s="193" t="s">
        <v>358</v>
      </c>
      <c r="F436" s="193" t="s">
        <v>114</v>
      </c>
      <c r="G436" s="195" t="s">
        <v>10326</v>
      </c>
      <c r="H436" s="166" t="s">
        <v>13436</v>
      </c>
      <c r="I436" s="193" t="s">
        <v>12814</v>
      </c>
      <c r="J436" s="219" t="s">
        <v>146</v>
      </c>
      <c r="K436" s="170"/>
      <c r="L436" s="193" t="s">
        <v>146</v>
      </c>
      <c r="M436" s="165"/>
    </row>
    <row r="437" spans="1:13" ht="15.75">
      <c r="A437" s="67">
        <f t="shared" si="6"/>
        <v>435</v>
      </c>
      <c r="B437" s="164">
        <v>435</v>
      </c>
      <c r="C437" s="193" t="s">
        <v>1730</v>
      </c>
      <c r="D437" s="199" t="s">
        <v>4998</v>
      </c>
      <c r="E437" s="193" t="s">
        <v>565</v>
      </c>
      <c r="F437" s="193" t="s">
        <v>114</v>
      </c>
      <c r="G437" s="195" t="s">
        <v>10327</v>
      </c>
      <c r="H437" s="166" t="s">
        <v>13436</v>
      </c>
      <c r="I437" s="193" t="s">
        <v>12831</v>
      </c>
      <c r="J437" s="193" t="s">
        <v>146</v>
      </c>
      <c r="K437" s="170"/>
      <c r="L437" s="193" t="s">
        <v>146</v>
      </c>
      <c r="M437" s="165"/>
    </row>
    <row r="438" spans="1:13" ht="30">
      <c r="A438" s="67">
        <f t="shared" si="6"/>
        <v>436</v>
      </c>
      <c r="B438" s="164">
        <v>436</v>
      </c>
      <c r="C438" s="193" t="s">
        <v>1731</v>
      </c>
      <c r="D438" s="195" t="s">
        <v>4999</v>
      </c>
      <c r="E438" s="193" t="s">
        <v>315</v>
      </c>
      <c r="F438" s="193" t="s">
        <v>114</v>
      </c>
      <c r="G438" s="195" t="s">
        <v>752</v>
      </c>
      <c r="H438" s="166" t="s">
        <v>13436</v>
      </c>
      <c r="I438" s="193" t="s">
        <v>12814</v>
      </c>
      <c r="J438" s="193" t="s">
        <v>146</v>
      </c>
      <c r="K438" s="170"/>
      <c r="L438" s="193" t="s">
        <v>12958</v>
      </c>
      <c r="M438" s="165"/>
    </row>
    <row r="439" spans="1:13" ht="15.75">
      <c r="A439" s="67">
        <f t="shared" si="6"/>
        <v>437</v>
      </c>
      <c r="B439" s="164">
        <v>437</v>
      </c>
      <c r="C439" s="193" t="s">
        <v>1732</v>
      </c>
      <c r="D439" s="199" t="s">
        <v>5000</v>
      </c>
      <c r="E439" s="193" t="s">
        <v>224</v>
      </c>
      <c r="F439" s="193" t="s">
        <v>114</v>
      </c>
      <c r="G439" s="195" t="s">
        <v>10158</v>
      </c>
      <c r="H439" s="166" t="s">
        <v>13436</v>
      </c>
      <c r="I439" s="193" t="s">
        <v>12831</v>
      </c>
      <c r="J439" s="219" t="s">
        <v>146</v>
      </c>
      <c r="K439" s="170"/>
      <c r="L439" s="193" t="s">
        <v>146</v>
      </c>
      <c r="M439" s="165"/>
    </row>
    <row r="440" spans="1:13" ht="15.75">
      <c r="A440" s="67">
        <f t="shared" si="6"/>
        <v>438</v>
      </c>
      <c r="B440" s="164">
        <v>438</v>
      </c>
      <c r="C440" s="193" t="s">
        <v>1733</v>
      </c>
      <c r="D440" s="195" t="s">
        <v>5001</v>
      </c>
      <c r="E440" s="193" t="s">
        <v>8122</v>
      </c>
      <c r="F440" s="193" t="s">
        <v>114</v>
      </c>
      <c r="G440" s="195" t="s">
        <v>10328</v>
      </c>
      <c r="H440" s="166" t="s">
        <v>13436</v>
      </c>
      <c r="I440" s="193" t="s">
        <v>12814</v>
      </c>
      <c r="J440" s="193" t="s">
        <v>1270</v>
      </c>
      <c r="K440" s="170"/>
      <c r="L440" s="193" t="s">
        <v>146</v>
      </c>
      <c r="M440" s="165"/>
    </row>
    <row r="441" spans="1:13" ht="15.75">
      <c r="A441" s="67">
        <f t="shared" si="6"/>
        <v>439</v>
      </c>
      <c r="B441" s="164">
        <v>439</v>
      </c>
      <c r="C441" s="193" t="s">
        <v>1734</v>
      </c>
      <c r="D441" s="195" t="s">
        <v>5002</v>
      </c>
      <c r="E441" s="193" t="s">
        <v>8123</v>
      </c>
      <c r="F441" s="193" t="s">
        <v>114</v>
      </c>
      <c r="G441" s="195" t="s">
        <v>10329</v>
      </c>
      <c r="H441" s="166" t="s">
        <v>13436</v>
      </c>
      <c r="I441" s="193" t="s">
        <v>12814</v>
      </c>
      <c r="J441" s="193" t="s">
        <v>146</v>
      </c>
      <c r="K441" s="170"/>
      <c r="L441" s="193" t="s">
        <v>146</v>
      </c>
      <c r="M441" s="165"/>
    </row>
    <row r="442" spans="1:13" ht="30">
      <c r="A442" s="67">
        <f t="shared" si="6"/>
        <v>440</v>
      </c>
      <c r="B442" s="164">
        <v>440</v>
      </c>
      <c r="C442" s="193" t="s">
        <v>1735</v>
      </c>
      <c r="D442" s="197" t="s">
        <v>5003</v>
      </c>
      <c r="E442" s="193" t="s">
        <v>8124</v>
      </c>
      <c r="F442" s="193" t="s">
        <v>114</v>
      </c>
      <c r="G442" s="195" t="s">
        <v>10330</v>
      </c>
      <c r="H442" s="166" t="s">
        <v>13436</v>
      </c>
      <c r="I442" s="193" t="s">
        <v>12816</v>
      </c>
      <c r="J442" s="193" t="s">
        <v>146</v>
      </c>
      <c r="K442" s="170"/>
      <c r="L442" s="193" t="s">
        <v>12959</v>
      </c>
      <c r="M442" s="165"/>
    </row>
    <row r="443" spans="1:13" ht="105">
      <c r="A443" s="67">
        <f t="shared" si="6"/>
        <v>441</v>
      </c>
      <c r="B443" s="164">
        <v>441</v>
      </c>
      <c r="C443" s="193" t="s">
        <v>1736</v>
      </c>
      <c r="D443" s="197" t="s">
        <v>5004</v>
      </c>
      <c r="E443" s="193" t="s">
        <v>8125</v>
      </c>
      <c r="F443" s="193" t="s">
        <v>114</v>
      </c>
      <c r="G443" s="195" t="s">
        <v>10331</v>
      </c>
      <c r="H443" s="166" t="s">
        <v>13436</v>
      </c>
      <c r="I443" s="193" t="s">
        <v>12816</v>
      </c>
      <c r="J443" s="193" t="s">
        <v>146</v>
      </c>
      <c r="K443" s="170"/>
      <c r="L443" s="193" t="s">
        <v>12960</v>
      </c>
      <c r="M443" s="165"/>
    </row>
    <row r="444" spans="1:13" ht="30">
      <c r="A444" s="67">
        <f t="shared" si="6"/>
        <v>442</v>
      </c>
      <c r="B444" s="164">
        <v>442</v>
      </c>
      <c r="C444" s="193" t="s">
        <v>1737</v>
      </c>
      <c r="D444" s="195" t="s">
        <v>5005</v>
      </c>
      <c r="E444" s="193" t="s">
        <v>8126</v>
      </c>
      <c r="F444" s="193" t="s">
        <v>114</v>
      </c>
      <c r="G444" s="195" t="s">
        <v>10332</v>
      </c>
      <c r="H444" s="166" t="s">
        <v>13436</v>
      </c>
      <c r="I444" s="193" t="s">
        <v>12814</v>
      </c>
      <c r="J444" s="193" t="s">
        <v>12134</v>
      </c>
      <c r="K444" s="170"/>
      <c r="L444" s="193" t="s">
        <v>12961</v>
      </c>
      <c r="M444" s="165"/>
    </row>
    <row r="445" spans="1:13" ht="15.75">
      <c r="A445" s="67">
        <f t="shared" si="6"/>
        <v>443</v>
      </c>
      <c r="B445" s="164">
        <v>443</v>
      </c>
      <c r="C445" s="193" t="s">
        <v>1738</v>
      </c>
      <c r="D445" s="195" t="s">
        <v>5006</v>
      </c>
      <c r="E445" s="193" t="s">
        <v>8127</v>
      </c>
      <c r="F445" s="193" t="s">
        <v>59</v>
      </c>
      <c r="G445" s="195" t="s">
        <v>10333</v>
      </c>
      <c r="H445" s="166" t="s">
        <v>13436</v>
      </c>
      <c r="I445" s="193" t="s">
        <v>12818</v>
      </c>
      <c r="J445" s="193" t="s">
        <v>147</v>
      </c>
      <c r="K445" s="170"/>
      <c r="L445" s="193"/>
      <c r="M445" s="165"/>
    </row>
    <row r="446" spans="1:13" ht="15.75">
      <c r="A446" s="67">
        <f t="shared" si="6"/>
        <v>444</v>
      </c>
      <c r="B446" s="164">
        <v>444</v>
      </c>
      <c r="C446" s="193" t="s">
        <v>1739</v>
      </c>
      <c r="D446" s="195" t="s">
        <v>5007</v>
      </c>
      <c r="E446" s="193" t="s">
        <v>8128</v>
      </c>
      <c r="F446" s="193" t="s">
        <v>114</v>
      </c>
      <c r="G446" s="195" t="s">
        <v>10334</v>
      </c>
      <c r="H446" s="166" t="s">
        <v>13436</v>
      </c>
      <c r="I446" s="193" t="s">
        <v>12818</v>
      </c>
      <c r="J446" s="193" t="s">
        <v>146</v>
      </c>
      <c r="K446" s="170"/>
      <c r="L446" s="193" t="s">
        <v>146</v>
      </c>
      <c r="M446" s="165"/>
    </row>
    <row r="447" spans="1:13" ht="15.75">
      <c r="A447" s="67">
        <f t="shared" si="6"/>
        <v>445</v>
      </c>
      <c r="B447" s="164">
        <v>445</v>
      </c>
      <c r="C447" s="193" t="s">
        <v>1740</v>
      </c>
      <c r="D447" s="199" t="s">
        <v>5008</v>
      </c>
      <c r="E447" s="193" t="s">
        <v>603</v>
      </c>
      <c r="F447" s="193" t="s">
        <v>59</v>
      </c>
      <c r="G447" s="195" t="s">
        <v>10335</v>
      </c>
      <c r="H447" s="166" t="s">
        <v>13436</v>
      </c>
      <c r="I447" s="193" t="s">
        <v>12831</v>
      </c>
      <c r="J447" s="193" t="s">
        <v>147</v>
      </c>
      <c r="K447" s="170"/>
      <c r="L447" s="193"/>
      <c r="M447" s="165"/>
    </row>
    <row r="448" spans="1:13" ht="15.75">
      <c r="A448" s="67">
        <f t="shared" si="6"/>
        <v>446</v>
      </c>
      <c r="B448" s="164">
        <v>446</v>
      </c>
      <c r="C448" s="193" t="s">
        <v>1741</v>
      </c>
      <c r="D448" s="195" t="s">
        <v>5009</v>
      </c>
      <c r="E448" s="193" t="s">
        <v>8129</v>
      </c>
      <c r="F448" s="193" t="s">
        <v>114</v>
      </c>
      <c r="G448" s="195" t="s">
        <v>10336</v>
      </c>
      <c r="H448" s="166" t="s">
        <v>13436</v>
      </c>
      <c r="I448" s="193" t="s">
        <v>12819</v>
      </c>
      <c r="J448" s="193" t="s">
        <v>146</v>
      </c>
      <c r="K448" s="170"/>
      <c r="L448" s="193" t="s">
        <v>146</v>
      </c>
      <c r="M448" s="165"/>
    </row>
    <row r="449" spans="1:13" ht="30">
      <c r="A449" s="67">
        <f t="shared" si="6"/>
        <v>447</v>
      </c>
      <c r="B449" s="164">
        <v>447</v>
      </c>
      <c r="C449" s="193" t="s">
        <v>1742</v>
      </c>
      <c r="D449" s="195" t="s">
        <v>5010</v>
      </c>
      <c r="E449" s="193" t="s">
        <v>8130</v>
      </c>
      <c r="F449" s="193" t="s">
        <v>114</v>
      </c>
      <c r="G449" s="195" t="s">
        <v>10337</v>
      </c>
      <c r="H449" s="166" t="s">
        <v>13436</v>
      </c>
      <c r="I449" s="193" t="s">
        <v>12819</v>
      </c>
      <c r="J449" s="193" t="s">
        <v>12135</v>
      </c>
      <c r="K449" s="170"/>
      <c r="L449" s="193" t="s">
        <v>12962</v>
      </c>
      <c r="M449" s="165"/>
    </row>
    <row r="450" spans="1:13" ht="75">
      <c r="A450" s="67">
        <f t="shared" si="6"/>
        <v>448</v>
      </c>
      <c r="B450" s="164">
        <v>448</v>
      </c>
      <c r="C450" s="193" t="s">
        <v>1743</v>
      </c>
      <c r="D450" s="196" t="s">
        <v>5011</v>
      </c>
      <c r="E450" s="193" t="s">
        <v>8131</v>
      </c>
      <c r="F450" s="193" t="s">
        <v>114</v>
      </c>
      <c r="G450" s="195" t="s">
        <v>10338</v>
      </c>
      <c r="H450" s="166" t="s">
        <v>13436</v>
      </c>
      <c r="I450" s="193" t="s">
        <v>12819</v>
      </c>
      <c r="J450" s="193" t="s">
        <v>12136</v>
      </c>
      <c r="K450" s="170"/>
      <c r="L450" s="193" t="s">
        <v>146</v>
      </c>
      <c r="M450" s="165"/>
    </row>
    <row r="451" spans="1:13" ht="15.75">
      <c r="A451" s="67">
        <f t="shared" ref="A451:A514" si="7">IFERROR(VALUE(RIGHT(C451,4)),"")</f>
        <v>449</v>
      </c>
      <c r="B451" s="164">
        <v>449</v>
      </c>
      <c r="C451" s="193" t="s">
        <v>1744</v>
      </c>
      <c r="D451" s="195" t="s">
        <v>5012</v>
      </c>
      <c r="E451" s="193" t="s">
        <v>8132</v>
      </c>
      <c r="F451" s="193" t="s">
        <v>114</v>
      </c>
      <c r="G451" s="195" t="s">
        <v>10339</v>
      </c>
      <c r="H451" s="166" t="s">
        <v>13436</v>
      </c>
      <c r="I451" s="193" t="s">
        <v>12819</v>
      </c>
      <c r="J451" s="193" t="s">
        <v>12137</v>
      </c>
      <c r="K451" s="170"/>
      <c r="L451" s="193" t="s">
        <v>146</v>
      </c>
      <c r="M451" s="165"/>
    </row>
    <row r="452" spans="1:13" ht="30">
      <c r="A452" s="67">
        <f t="shared" si="7"/>
        <v>450</v>
      </c>
      <c r="B452" s="164">
        <v>450</v>
      </c>
      <c r="C452" s="193" t="s">
        <v>1745</v>
      </c>
      <c r="D452" s="195" t="s">
        <v>5013</v>
      </c>
      <c r="E452" s="193" t="s">
        <v>614</v>
      </c>
      <c r="F452" s="193" t="s">
        <v>114</v>
      </c>
      <c r="G452" s="195" t="s">
        <v>10340</v>
      </c>
      <c r="H452" s="166" t="s">
        <v>13436</v>
      </c>
      <c r="I452" s="193" t="s">
        <v>12819</v>
      </c>
      <c r="J452" s="193" t="s">
        <v>146</v>
      </c>
      <c r="K452" s="170"/>
      <c r="L452" s="193" t="s">
        <v>12963</v>
      </c>
      <c r="M452" s="165"/>
    </row>
    <row r="453" spans="1:13" ht="15.75">
      <c r="A453" s="67">
        <f t="shared" si="7"/>
        <v>451</v>
      </c>
      <c r="B453" s="164">
        <v>451</v>
      </c>
      <c r="C453" s="193" t="s">
        <v>1746</v>
      </c>
      <c r="D453" s="195" t="s">
        <v>5014</v>
      </c>
      <c r="E453" s="193" t="s">
        <v>8133</v>
      </c>
      <c r="F453" s="193" t="s">
        <v>114</v>
      </c>
      <c r="G453" s="195" t="s">
        <v>10341</v>
      </c>
      <c r="H453" s="166" t="s">
        <v>13436</v>
      </c>
      <c r="I453" s="193" t="s">
        <v>12819</v>
      </c>
      <c r="J453" s="219" t="s">
        <v>146</v>
      </c>
      <c r="K453" s="170"/>
      <c r="L453" s="193" t="s">
        <v>146</v>
      </c>
      <c r="M453" s="165"/>
    </row>
    <row r="454" spans="1:13" ht="15.75">
      <c r="A454" s="67">
        <f t="shared" si="7"/>
        <v>452</v>
      </c>
      <c r="B454" s="164">
        <v>452</v>
      </c>
      <c r="C454" s="193" t="s">
        <v>1747</v>
      </c>
      <c r="D454" s="195" t="s">
        <v>5015</v>
      </c>
      <c r="E454" s="193" t="s">
        <v>8134</v>
      </c>
      <c r="F454" s="193" t="s">
        <v>59</v>
      </c>
      <c r="G454" s="195" t="s">
        <v>10342</v>
      </c>
      <c r="H454" s="166" t="s">
        <v>13436</v>
      </c>
      <c r="I454" s="193" t="s">
        <v>12819</v>
      </c>
      <c r="J454" s="193" t="s">
        <v>147</v>
      </c>
      <c r="K454" s="170"/>
      <c r="L454" s="193"/>
      <c r="M454" s="165"/>
    </row>
    <row r="455" spans="1:13" ht="30">
      <c r="A455" s="67">
        <f t="shared" si="7"/>
        <v>453</v>
      </c>
      <c r="B455" s="164">
        <v>453</v>
      </c>
      <c r="C455" s="193" t="s">
        <v>1748</v>
      </c>
      <c r="D455" s="195" t="s">
        <v>5016</v>
      </c>
      <c r="E455" s="193" t="s">
        <v>597</v>
      </c>
      <c r="F455" s="193" t="s">
        <v>114</v>
      </c>
      <c r="G455" s="195" t="s">
        <v>10343</v>
      </c>
      <c r="H455" s="166" t="s">
        <v>13436</v>
      </c>
      <c r="I455" s="193" t="s">
        <v>12818</v>
      </c>
      <c r="J455" s="193" t="s">
        <v>12138</v>
      </c>
      <c r="K455" s="170"/>
      <c r="L455" s="193" t="s">
        <v>146</v>
      </c>
      <c r="M455" s="165"/>
    </row>
    <row r="456" spans="1:13" ht="30">
      <c r="A456" s="67">
        <f t="shared" si="7"/>
        <v>454</v>
      </c>
      <c r="B456" s="164">
        <v>454</v>
      </c>
      <c r="C456" s="193" t="s">
        <v>1749</v>
      </c>
      <c r="D456" s="195" t="s">
        <v>5017</v>
      </c>
      <c r="E456" s="193" t="s">
        <v>8135</v>
      </c>
      <c r="F456" s="193" t="s">
        <v>114</v>
      </c>
      <c r="G456" s="195" t="s">
        <v>10085</v>
      </c>
      <c r="H456" s="166" t="s">
        <v>13436</v>
      </c>
      <c r="I456" s="193" t="s">
        <v>12819</v>
      </c>
      <c r="J456" s="193" t="s">
        <v>12139</v>
      </c>
      <c r="K456" s="170"/>
      <c r="L456" s="193" t="s">
        <v>146</v>
      </c>
      <c r="M456" s="165"/>
    </row>
    <row r="457" spans="1:13" ht="30">
      <c r="A457" s="67">
        <f t="shared" si="7"/>
        <v>455</v>
      </c>
      <c r="B457" s="164">
        <v>455</v>
      </c>
      <c r="C457" s="193" t="s">
        <v>1750</v>
      </c>
      <c r="D457" s="195" t="s">
        <v>5018</v>
      </c>
      <c r="E457" s="193" t="s">
        <v>8136</v>
      </c>
      <c r="F457" s="193" t="s">
        <v>114</v>
      </c>
      <c r="G457" s="195" t="s">
        <v>10344</v>
      </c>
      <c r="H457" s="166" t="s">
        <v>13436</v>
      </c>
      <c r="I457" s="193" t="s">
        <v>12819</v>
      </c>
      <c r="J457" s="193" t="s">
        <v>12140</v>
      </c>
      <c r="K457" s="170"/>
      <c r="L457" s="193" t="s">
        <v>12964</v>
      </c>
      <c r="M457" s="165"/>
    </row>
    <row r="458" spans="1:13" ht="15.75">
      <c r="A458" s="67">
        <f t="shared" si="7"/>
        <v>456</v>
      </c>
      <c r="B458" s="164">
        <v>456</v>
      </c>
      <c r="C458" s="193" t="s">
        <v>1751</v>
      </c>
      <c r="D458" s="195" t="s">
        <v>5019</v>
      </c>
      <c r="E458" s="193" t="s">
        <v>8137</v>
      </c>
      <c r="F458" s="193" t="s">
        <v>114</v>
      </c>
      <c r="G458" s="195" t="s">
        <v>10345</v>
      </c>
      <c r="H458" s="166" t="s">
        <v>13436</v>
      </c>
      <c r="I458" s="193" t="s">
        <v>12819</v>
      </c>
      <c r="J458" s="193" t="s">
        <v>1252</v>
      </c>
      <c r="K458" s="170"/>
      <c r="L458" s="193" t="s">
        <v>146</v>
      </c>
      <c r="M458" s="165"/>
    </row>
    <row r="459" spans="1:13" ht="30">
      <c r="A459" s="67">
        <f t="shared" si="7"/>
        <v>457</v>
      </c>
      <c r="B459" s="164">
        <v>457</v>
      </c>
      <c r="C459" s="193" t="s">
        <v>1752</v>
      </c>
      <c r="D459" s="195" t="s">
        <v>5020</v>
      </c>
      <c r="E459" s="193" t="s">
        <v>8138</v>
      </c>
      <c r="F459" s="193" t="s">
        <v>114</v>
      </c>
      <c r="G459" s="195" t="s">
        <v>10346</v>
      </c>
      <c r="H459" s="166" t="s">
        <v>13436</v>
      </c>
      <c r="I459" s="193" t="s">
        <v>12814</v>
      </c>
      <c r="J459" s="193" t="s">
        <v>12141</v>
      </c>
      <c r="K459" s="170"/>
      <c r="L459" s="193" t="s">
        <v>146</v>
      </c>
      <c r="M459" s="165"/>
    </row>
    <row r="460" spans="1:13" ht="60">
      <c r="A460" s="67">
        <f t="shared" si="7"/>
        <v>458</v>
      </c>
      <c r="B460" s="164">
        <v>458</v>
      </c>
      <c r="C460" s="193" t="s">
        <v>1753</v>
      </c>
      <c r="D460" s="195" t="s">
        <v>5021</v>
      </c>
      <c r="E460" s="193" t="s">
        <v>8139</v>
      </c>
      <c r="F460" s="193" t="s">
        <v>114</v>
      </c>
      <c r="G460" s="195" t="s">
        <v>10347</v>
      </c>
      <c r="H460" s="166" t="s">
        <v>13436</v>
      </c>
      <c r="I460" s="193" t="s">
        <v>12819</v>
      </c>
      <c r="J460" s="193" t="s">
        <v>12142</v>
      </c>
      <c r="K460" s="170"/>
      <c r="L460" s="193" t="s">
        <v>12965</v>
      </c>
      <c r="M460" s="165"/>
    </row>
    <row r="461" spans="1:13" ht="15.75">
      <c r="A461" s="67">
        <f t="shared" si="7"/>
        <v>459</v>
      </c>
      <c r="B461" s="164">
        <v>459</v>
      </c>
      <c r="C461" s="193" t="s">
        <v>1754</v>
      </c>
      <c r="D461" s="195" t="s">
        <v>5022</v>
      </c>
      <c r="E461" s="193" t="s">
        <v>8140</v>
      </c>
      <c r="F461" s="193" t="s">
        <v>59</v>
      </c>
      <c r="G461" s="195" t="s">
        <v>10348</v>
      </c>
      <c r="H461" s="166" t="s">
        <v>13436</v>
      </c>
      <c r="I461" s="193" t="s">
        <v>12819</v>
      </c>
      <c r="J461" s="219" t="s">
        <v>146</v>
      </c>
      <c r="K461" s="170"/>
      <c r="L461" s="193"/>
      <c r="M461" s="165"/>
    </row>
    <row r="462" spans="1:13" ht="15.75">
      <c r="A462" s="67">
        <f t="shared" si="7"/>
        <v>460</v>
      </c>
      <c r="B462" s="164">
        <v>460</v>
      </c>
      <c r="C462" s="193" t="s">
        <v>1755</v>
      </c>
      <c r="D462" s="195" t="s">
        <v>5023</v>
      </c>
      <c r="E462" s="193" t="s">
        <v>8141</v>
      </c>
      <c r="F462" s="193" t="s">
        <v>59</v>
      </c>
      <c r="G462" s="195" t="s">
        <v>10349</v>
      </c>
      <c r="H462" s="166" t="s">
        <v>13436</v>
      </c>
      <c r="I462" s="193" t="s">
        <v>12827</v>
      </c>
      <c r="J462" s="219" t="s">
        <v>146</v>
      </c>
      <c r="K462" s="170"/>
      <c r="L462" s="193"/>
      <c r="M462" s="165"/>
    </row>
    <row r="463" spans="1:13" ht="30">
      <c r="A463" s="67">
        <f t="shared" si="7"/>
        <v>461</v>
      </c>
      <c r="B463" s="164">
        <v>461</v>
      </c>
      <c r="C463" s="193" t="s">
        <v>1756</v>
      </c>
      <c r="D463" s="195" t="s">
        <v>5024</v>
      </c>
      <c r="E463" s="193" t="s">
        <v>313</v>
      </c>
      <c r="F463" s="193" t="s">
        <v>114</v>
      </c>
      <c r="G463" s="195" t="s">
        <v>10074</v>
      </c>
      <c r="H463" s="166" t="s">
        <v>13436</v>
      </c>
      <c r="I463" s="193" t="s">
        <v>12819</v>
      </c>
      <c r="J463" s="193" t="s">
        <v>146</v>
      </c>
      <c r="K463" s="170"/>
      <c r="L463" s="193" t="s">
        <v>12966</v>
      </c>
      <c r="M463" s="165"/>
    </row>
    <row r="464" spans="1:13" ht="15.75">
      <c r="A464" s="67">
        <f t="shared" si="7"/>
        <v>462</v>
      </c>
      <c r="B464" s="164">
        <v>462</v>
      </c>
      <c r="C464" s="193" t="s">
        <v>1757</v>
      </c>
      <c r="D464" s="195" t="s">
        <v>5025</v>
      </c>
      <c r="E464" s="193" t="s">
        <v>8142</v>
      </c>
      <c r="F464" s="193" t="s">
        <v>114</v>
      </c>
      <c r="G464" s="195" t="s">
        <v>10350</v>
      </c>
      <c r="H464" s="166" t="s">
        <v>13436</v>
      </c>
      <c r="I464" s="193" t="s">
        <v>12819</v>
      </c>
      <c r="J464" s="193" t="s">
        <v>147</v>
      </c>
      <c r="K464" s="170"/>
      <c r="L464" s="193" t="s">
        <v>146</v>
      </c>
      <c r="M464" s="165"/>
    </row>
    <row r="465" spans="1:13" ht="15.75">
      <c r="A465" s="67">
        <f t="shared" si="7"/>
        <v>463</v>
      </c>
      <c r="B465" s="164">
        <v>463</v>
      </c>
      <c r="C465" s="193" t="s">
        <v>1758</v>
      </c>
      <c r="D465" s="195" t="s">
        <v>5026</v>
      </c>
      <c r="E465" s="193" t="s">
        <v>8143</v>
      </c>
      <c r="F465" s="193" t="s">
        <v>59</v>
      </c>
      <c r="G465" s="195" t="s">
        <v>10351</v>
      </c>
      <c r="H465" s="166" t="s">
        <v>13436</v>
      </c>
      <c r="I465" s="193" t="s">
        <v>12819</v>
      </c>
      <c r="J465" s="193" t="s">
        <v>147</v>
      </c>
      <c r="K465" s="170"/>
      <c r="L465" s="193"/>
      <c r="M465" s="165"/>
    </row>
    <row r="466" spans="1:13" ht="15.75">
      <c r="A466" s="67">
        <f t="shared" si="7"/>
        <v>464</v>
      </c>
      <c r="B466" s="164">
        <v>464</v>
      </c>
      <c r="C466" s="193" t="s">
        <v>1759</v>
      </c>
      <c r="D466" s="195" t="s">
        <v>5027</v>
      </c>
      <c r="E466" s="193" t="s">
        <v>8144</v>
      </c>
      <c r="F466" s="193" t="s">
        <v>59</v>
      </c>
      <c r="G466" s="195" t="s">
        <v>10352</v>
      </c>
      <c r="H466" s="166" t="s">
        <v>13436</v>
      </c>
      <c r="I466" s="193" t="s">
        <v>12819</v>
      </c>
      <c r="J466" s="193" t="s">
        <v>146</v>
      </c>
      <c r="K466" s="170"/>
      <c r="L466" s="193"/>
      <c r="M466" s="165"/>
    </row>
    <row r="467" spans="1:13" ht="45">
      <c r="A467" s="67">
        <f t="shared" si="7"/>
        <v>465</v>
      </c>
      <c r="B467" s="164">
        <v>465</v>
      </c>
      <c r="C467" s="193" t="s">
        <v>1760</v>
      </c>
      <c r="D467" s="195" t="s">
        <v>5028</v>
      </c>
      <c r="E467" s="193" t="s">
        <v>8145</v>
      </c>
      <c r="F467" s="193" t="s">
        <v>114</v>
      </c>
      <c r="G467" s="195" t="s">
        <v>10353</v>
      </c>
      <c r="H467" s="166" t="s">
        <v>13436</v>
      </c>
      <c r="I467" s="193" t="s">
        <v>12819</v>
      </c>
      <c r="J467" s="193" t="s">
        <v>12143</v>
      </c>
      <c r="K467" s="170"/>
      <c r="L467" s="193" t="s">
        <v>1293</v>
      </c>
      <c r="M467" s="165"/>
    </row>
    <row r="468" spans="1:13" ht="30">
      <c r="A468" s="67">
        <f t="shared" si="7"/>
        <v>466</v>
      </c>
      <c r="B468" s="164">
        <v>466</v>
      </c>
      <c r="C468" s="193" t="s">
        <v>1761</v>
      </c>
      <c r="D468" s="195" t="s">
        <v>5029</v>
      </c>
      <c r="E468" s="193" t="s">
        <v>8146</v>
      </c>
      <c r="F468" s="193" t="s">
        <v>114</v>
      </c>
      <c r="G468" s="195" t="s">
        <v>10354</v>
      </c>
      <c r="H468" s="166" t="s">
        <v>13436</v>
      </c>
      <c r="I468" s="193" t="s">
        <v>12819</v>
      </c>
      <c r="J468" s="193" t="s">
        <v>146</v>
      </c>
      <c r="K468" s="170"/>
      <c r="L468" s="193" t="s">
        <v>12967</v>
      </c>
      <c r="M468" s="165"/>
    </row>
    <row r="469" spans="1:13" ht="30">
      <c r="A469" s="67">
        <f t="shared" si="7"/>
        <v>467</v>
      </c>
      <c r="B469" s="164">
        <v>467</v>
      </c>
      <c r="C469" s="193" t="s">
        <v>1762</v>
      </c>
      <c r="D469" s="195" t="s">
        <v>5030</v>
      </c>
      <c r="E469" s="193" t="s">
        <v>8147</v>
      </c>
      <c r="F469" s="193" t="s">
        <v>114</v>
      </c>
      <c r="G469" s="195" t="s">
        <v>10355</v>
      </c>
      <c r="H469" s="166" t="s">
        <v>13436</v>
      </c>
      <c r="I469" s="193" t="s">
        <v>12819</v>
      </c>
      <c r="J469" s="193" t="s">
        <v>12144</v>
      </c>
      <c r="K469" s="170"/>
      <c r="L469" s="193" t="s">
        <v>12968</v>
      </c>
      <c r="M469" s="165"/>
    </row>
    <row r="470" spans="1:13" ht="75">
      <c r="A470" s="67">
        <f t="shared" si="7"/>
        <v>468</v>
      </c>
      <c r="B470" s="164">
        <v>468</v>
      </c>
      <c r="C470" s="193" t="s">
        <v>1763</v>
      </c>
      <c r="D470" s="195" t="s">
        <v>5031</v>
      </c>
      <c r="E470" s="193" t="s">
        <v>8148</v>
      </c>
      <c r="F470" s="193" t="s">
        <v>114</v>
      </c>
      <c r="G470" s="195" t="s">
        <v>672</v>
      </c>
      <c r="H470" s="166" t="s">
        <v>13436</v>
      </c>
      <c r="I470" s="193" t="s">
        <v>12819</v>
      </c>
      <c r="J470" s="193" t="s">
        <v>146</v>
      </c>
      <c r="K470" s="170"/>
      <c r="L470" s="193" t="s">
        <v>12969</v>
      </c>
      <c r="M470" s="165"/>
    </row>
    <row r="471" spans="1:13" ht="15.75">
      <c r="A471" s="67">
        <f t="shared" si="7"/>
        <v>469</v>
      </c>
      <c r="B471" s="164">
        <v>469</v>
      </c>
      <c r="C471" s="193" t="s">
        <v>1764</v>
      </c>
      <c r="D471" s="195" t="s">
        <v>5032</v>
      </c>
      <c r="E471" s="193" t="s">
        <v>8149</v>
      </c>
      <c r="F471" s="193" t="s">
        <v>59</v>
      </c>
      <c r="G471" s="195" t="s">
        <v>9952</v>
      </c>
      <c r="H471" s="166" t="s">
        <v>13436</v>
      </c>
      <c r="I471" s="193" t="s">
        <v>12819</v>
      </c>
      <c r="J471" s="193" t="s">
        <v>146</v>
      </c>
      <c r="K471" s="170"/>
      <c r="L471" s="193"/>
      <c r="M471" s="165"/>
    </row>
    <row r="472" spans="1:13" ht="45">
      <c r="A472" s="67">
        <f t="shared" si="7"/>
        <v>470</v>
      </c>
      <c r="B472" s="164">
        <v>470</v>
      </c>
      <c r="C472" s="193" t="s">
        <v>1765</v>
      </c>
      <c r="D472" s="195" t="s">
        <v>5033</v>
      </c>
      <c r="E472" s="193" t="s">
        <v>611</v>
      </c>
      <c r="F472" s="193" t="s">
        <v>114</v>
      </c>
      <c r="G472" s="195" t="s">
        <v>10356</v>
      </c>
      <c r="H472" s="166" t="s">
        <v>13436</v>
      </c>
      <c r="I472" s="193" t="s">
        <v>12819</v>
      </c>
      <c r="J472" s="193" t="s">
        <v>12145</v>
      </c>
      <c r="K472" s="170"/>
      <c r="L472" s="193" t="s">
        <v>146</v>
      </c>
      <c r="M472" s="165"/>
    </row>
    <row r="473" spans="1:13" ht="15.75">
      <c r="A473" s="67">
        <f t="shared" si="7"/>
        <v>471</v>
      </c>
      <c r="B473" s="164">
        <v>471</v>
      </c>
      <c r="C473" s="193" t="s">
        <v>1766</v>
      </c>
      <c r="D473" s="195" t="s">
        <v>5034</v>
      </c>
      <c r="E473" s="193" t="s">
        <v>8150</v>
      </c>
      <c r="F473" s="193" t="s">
        <v>59</v>
      </c>
      <c r="G473" s="195" t="s">
        <v>10357</v>
      </c>
      <c r="H473" s="166" t="s">
        <v>13436</v>
      </c>
      <c r="I473" s="193" t="s">
        <v>12819</v>
      </c>
      <c r="J473" s="193" t="s">
        <v>146</v>
      </c>
      <c r="K473" s="170"/>
      <c r="L473" s="193"/>
      <c r="M473" s="165"/>
    </row>
    <row r="474" spans="1:13" ht="15.75">
      <c r="A474" s="67">
        <f t="shared" si="7"/>
        <v>472</v>
      </c>
      <c r="B474" s="164">
        <v>472</v>
      </c>
      <c r="C474" s="193" t="s">
        <v>1767</v>
      </c>
      <c r="D474" s="195" t="s">
        <v>5035</v>
      </c>
      <c r="E474" s="193" t="s">
        <v>8151</v>
      </c>
      <c r="F474" s="193" t="s">
        <v>114</v>
      </c>
      <c r="G474" s="195" t="s">
        <v>10358</v>
      </c>
      <c r="H474" s="166" t="s">
        <v>13436</v>
      </c>
      <c r="I474" s="193" t="s">
        <v>12819</v>
      </c>
      <c r="J474" s="193" t="s">
        <v>146</v>
      </c>
      <c r="K474" s="170"/>
      <c r="L474" s="193" t="s">
        <v>146</v>
      </c>
      <c r="M474" s="165"/>
    </row>
    <row r="475" spans="1:13" ht="15.75">
      <c r="A475" s="67">
        <f t="shared" si="7"/>
        <v>473</v>
      </c>
      <c r="B475" s="164">
        <v>473</v>
      </c>
      <c r="C475" s="193" t="s">
        <v>1768</v>
      </c>
      <c r="D475" s="195" t="s">
        <v>5036</v>
      </c>
      <c r="E475" s="193" t="s">
        <v>8152</v>
      </c>
      <c r="F475" s="193" t="s">
        <v>59</v>
      </c>
      <c r="G475" s="195" t="s">
        <v>10359</v>
      </c>
      <c r="H475" s="166" t="s">
        <v>13436</v>
      </c>
      <c r="I475" s="193" t="s">
        <v>12819</v>
      </c>
      <c r="J475" s="193" t="s">
        <v>12146</v>
      </c>
      <c r="K475" s="170"/>
      <c r="L475" s="193"/>
      <c r="M475" s="165"/>
    </row>
    <row r="476" spans="1:13" ht="30">
      <c r="A476" s="67">
        <f t="shared" si="7"/>
        <v>474</v>
      </c>
      <c r="B476" s="164">
        <v>474</v>
      </c>
      <c r="C476" s="193" t="s">
        <v>1769</v>
      </c>
      <c r="D476" s="195" t="s">
        <v>5037</v>
      </c>
      <c r="E476" s="193" t="s">
        <v>8153</v>
      </c>
      <c r="F476" s="193" t="s">
        <v>59</v>
      </c>
      <c r="G476" s="195" t="s">
        <v>10360</v>
      </c>
      <c r="H476" s="166" t="s">
        <v>13436</v>
      </c>
      <c r="I476" s="193" t="s">
        <v>12819</v>
      </c>
      <c r="J476" s="193" t="s">
        <v>12147</v>
      </c>
      <c r="K476" s="170"/>
      <c r="L476" s="193"/>
      <c r="M476" s="165"/>
    </row>
    <row r="477" spans="1:13" ht="15.75">
      <c r="A477" s="67">
        <f t="shared" si="7"/>
        <v>475</v>
      </c>
      <c r="B477" s="164">
        <v>475</v>
      </c>
      <c r="C477" s="193" t="s">
        <v>1770</v>
      </c>
      <c r="D477" s="196" t="s">
        <v>5038</v>
      </c>
      <c r="E477" s="193" t="s">
        <v>8154</v>
      </c>
      <c r="F477" s="193" t="s">
        <v>59</v>
      </c>
      <c r="G477" s="195" t="s">
        <v>10361</v>
      </c>
      <c r="H477" s="166" t="s">
        <v>13436</v>
      </c>
      <c r="I477" s="193" t="s">
        <v>12819</v>
      </c>
      <c r="J477" s="193" t="s">
        <v>146</v>
      </c>
      <c r="K477" s="170"/>
      <c r="L477" s="193"/>
      <c r="M477" s="165"/>
    </row>
    <row r="478" spans="1:13" ht="15.75">
      <c r="A478" s="67">
        <f t="shared" si="7"/>
        <v>476</v>
      </c>
      <c r="B478" s="164">
        <v>476</v>
      </c>
      <c r="C478" s="193" t="s">
        <v>1771</v>
      </c>
      <c r="D478" s="195" t="s">
        <v>5039</v>
      </c>
      <c r="E478" s="193" t="s">
        <v>8155</v>
      </c>
      <c r="F478" s="193" t="s">
        <v>59</v>
      </c>
      <c r="G478" s="195" t="s">
        <v>10004</v>
      </c>
      <c r="H478" s="166" t="s">
        <v>13436</v>
      </c>
      <c r="I478" s="193" t="s">
        <v>12812</v>
      </c>
      <c r="J478" s="193" t="s">
        <v>12148</v>
      </c>
      <c r="K478" s="170"/>
      <c r="L478" s="193"/>
      <c r="M478" s="165"/>
    </row>
    <row r="479" spans="1:13" ht="15.75">
      <c r="A479" s="67">
        <f t="shared" si="7"/>
        <v>477</v>
      </c>
      <c r="B479" s="164">
        <v>477</v>
      </c>
      <c r="C479" s="193" t="s">
        <v>1772</v>
      </c>
      <c r="D479" s="195" t="s">
        <v>5040</v>
      </c>
      <c r="E479" s="193" t="s">
        <v>200</v>
      </c>
      <c r="F479" s="193" t="s">
        <v>114</v>
      </c>
      <c r="G479" s="195" t="s">
        <v>10362</v>
      </c>
      <c r="H479" s="166" t="s">
        <v>13436</v>
      </c>
      <c r="I479" s="193" t="s">
        <v>12819</v>
      </c>
      <c r="J479" s="193" t="s">
        <v>146</v>
      </c>
      <c r="K479" s="170"/>
      <c r="L479" s="193" t="s">
        <v>146</v>
      </c>
      <c r="M479" s="165"/>
    </row>
    <row r="480" spans="1:13" ht="60">
      <c r="A480" s="67">
        <f t="shared" si="7"/>
        <v>478</v>
      </c>
      <c r="B480" s="164">
        <v>478</v>
      </c>
      <c r="C480" s="193" t="s">
        <v>1773</v>
      </c>
      <c r="D480" s="195" t="s">
        <v>5041</v>
      </c>
      <c r="E480" s="193" t="s">
        <v>8156</v>
      </c>
      <c r="F480" s="193" t="s">
        <v>114</v>
      </c>
      <c r="G480" s="195" t="s">
        <v>10363</v>
      </c>
      <c r="H480" s="166" t="s">
        <v>13436</v>
      </c>
      <c r="I480" s="193" t="s">
        <v>12819</v>
      </c>
      <c r="J480" s="193" t="s">
        <v>12149</v>
      </c>
      <c r="K480" s="170"/>
      <c r="L480" s="193" t="s">
        <v>12970</v>
      </c>
      <c r="M480" s="165"/>
    </row>
    <row r="481" spans="1:13" ht="15.75">
      <c r="A481" s="67">
        <f t="shared" si="7"/>
        <v>479</v>
      </c>
      <c r="B481" s="164">
        <v>479</v>
      </c>
      <c r="C481" s="193" t="s">
        <v>1774</v>
      </c>
      <c r="D481" s="195" t="s">
        <v>5042</v>
      </c>
      <c r="E481" s="193" t="s">
        <v>8157</v>
      </c>
      <c r="F481" s="193" t="s">
        <v>114</v>
      </c>
      <c r="G481" s="195" t="s">
        <v>10364</v>
      </c>
      <c r="H481" s="166" t="s">
        <v>13436</v>
      </c>
      <c r="I481" s="193" t="s">
        <v>12819</v>
      </c>
      <c r="J481" s="193" t="s">
        <v>146</v>
      </c>
      <c r="K481" s="170"/>
      <c r="L481" s="193" t="s">
        <v>146</v>
      </c>
      <c r="M481" s="165"/>
    </row>
    <row r="482" spans="1:13" ht="15.75">
      <c r="A482" s="67">
        <f t="shared" si="7"/>
        <v>480</v>
      </c>
      <c r="B482" s="164">
        <v>480</v>
      </c>
      <c r="C482" s="193" t="s">
        <v>1775</v>
      </c>
      <c r="D482" s="195" t="s">
        <v>5043</v>
      </c>
      <c r="E482" s="193" t="s">
        <v>8158</v>
      </c>
      <c r="F482" s="193" t="s">
        <v>59</v>
      </c>
      <c r="G482" s="195" t="s">
        <v>10118</v>
      </c>
      <c r="H482" s="166" t="s">
        <v>13436</v>
      </c>
      <c r="I482" s="193" t="s">
        <v>12819</v>
      </c>
      <c r="J482" s="219" t="s">
        <v>146</v>
      </c>
      <c r="K482" s="170"/>
      <c r="L482" s="193"/>
      <c r="M482" s="165"/>
    </row>
    <row r="483" spans="1:13" ht="15.75">
      <c r="A483" s="67">
        <f t="shared" si="7"/>
        <v>481</v>
      </c>
      <c r="B483" s="164">
        <v>481</v>
      </c>
      <c r="C483" s="193" t="s">
        <v>1776</v>
      </c>
      <c r="D483" s="195" t="s">
        <v>5044</v>
      </c>
      <c r="E483" s="193" t="s">
        <v>8159</v>
      </c>
      <c r="F483" s="193" t="s">
        <v>114</v>
      </c>
      <c r="G483" s="195" t="s">
        <v>10097</v>
      </c>
      <c r="H483" s="166" t="s">
        <v>13436</v>
      </c>
      <c r="I483" s="193" t="s">
        <v>12819</v>
      </c>
      <c r="J483" s="193" t="s">
        <v>146</v>
      </c>
      <c r="K483" s="170"/>
      <c r="L483" s="193" t="s">
        <v>146</v>
      </c>
      <c r="M483" s="165"/>
    </row>
    <row r="484" spans="1:13" ht="30">
      <c r="A484" s="67">
        <f t="shared" si="7"/>
        <v>482</v>
      </c>
      <c r="B484" s="164">
        <v>482</v>
      </c>
      <c r="C484" s="193" t="s">
        <v>1777</v>
      </c>
      <c r="D484" s="195" t="s">
        <v>5045</v>
      </c>
      <c r="E484" s="193" t="s">
        <v>346</v>
      </c>
      <c r="F484" s="193" t="s">
        <v>114</v>
      </c>
      <c r="G484" s="195" t="s">
        <v>10365</v>
      </c>
      <c r="H484" s="166" t="s">
        <v>13436</v>
      </c>
      <c r="I484" s="193" t="s">
        <v>12836</v>
      </c>
      <c r="J484" s="193" t="s">
        <v>12150</v>
      </c>
      <c r="K484" s="170"/>
      <c r="L484" s="193" t="s">
        <v>146</v>
      </c>
      <c r="M484" s="165"/>
    </row>
    <row r="485" spans="1:13" ht="30">
      <c r="A485" s="67">
        <f t="shared" si="7"/>
        <v>483</v>
      </c>
      <c r="B485" s="164">
        <v>483</v>
      </c>
      <c r="C485" s="193" t="s">
        <v>1778</v>
      </c>
      <c r="D485" s="195" t="s">
        <v>5046</v>
      </c>
      <c r="E485" s="193" t="s">
        <v>184</v>
      </c>
      <c r="F485" s="193" t="s">
        <v>114</v>
      </c>
      <c r="G485" s="195" t="s">
        <v>670</v>
      </c>
      <c r="H485" s="166" t="s">
        <v>13436</v>
      </c>
      <c r="I485" s="193" t="s">
        <v>12819</v>
      </c>
      <c r="J485" s="193" t="s">
        <v>146</v>
      </c>
      <c r="K485" s="170"/>
      <c r="L485" s="193" t="s">
        <v>12971</v>
      </c>
      <c r="M485" s="165"/>
    </row>
    <row r="486" spans="1:13" ht="15.75">
      <c r="A486" s="67">
        <f t="shared" si="7"/>
        <v>484</v>
      </c>
      <c r="B486" s="164">
        <v>484</v>
      </c>
      <c r="C486" s="193" t="s">
        <v>1779</v>
      </c>
      <c r="D486" s="195" t="s">
        <v>5047</v>
      </c>
      <c r="E486" s="193" t="s">
        <v>8160</v>
      </c>
      <c r="F486" s="193" t="s">
        <v>114</v>
      </c>
      <c r="G486" s="195" t="s">
        <v>10366</v>
      </c>
      <c r="H486" s="166" t="s">
        <v>13436</v>
      </c>
      <c r="I486" s="193" t="s">
        <v>12819</v>
      </c>
      <c r="J486" s="193" t="s">
        <v>146</v>
      </c>
      <c r="K486" s="170"/>
      <c r="L486" s="193" t="s">
        <v>146</v>
      </c>
      <c r="M486" s="165"/>
    </row>
    <row r="487" spans="1:13" ht="15.75">
      <c r="A487" s="67">
        <f t="shared" si="7"/>
        <v>485</v>
      </c>
      <c r="B487" s="164">
        <v>485</v>
      </c>
      <c r="C487" s="193" t="s">
        <v>1780</v>
      </c>
      <c r="D487" s="195" t="s">
        <v>5048</v>
      </c>
      <c r="E487" s="193" t="s">
        <v>8161</v>
      </c>
      <c r="F487" s="193" t="s">
        <v>59</v>
      </c>
      <c r="G487" s="195" t="s">
        <v>10367</v>
      </c>
      <c r="H487" s="166" t="s">
        <v>13436</v>
      </c>
      <c r="I487" s="193" t="s">
        <v>12819</v>
      </c>
      <c r="J487" s="193" t="s">
        <v>146</v>
      </c>
      <c r="K487" s="170"/>
      <c r="L487" s="193"/>
      <c r="M487" s="165"/>
    </row>
    <row r="488" spans="1:13" ht="15.75">
      <c r="A488" s="67">
        <f t="shared" si="7"/>
        <v>486</v>
      </c>
      <c r="B488" s="164">
        <v>486</v>
      </c>
      <c r="C488" s="193" t="s">
        <v>1781</v>
      </c>
      <c r="D488" s="195" t="s">
        <v>5049</v>
      </c>
      <c r="E488" s="193" t="s">
        <v>8162</v>
      </c>
      <c r="F488" s="193" t="s">
        <v>114</v>
      </c>
      <c r="G488" s="195" t="s">
        <v>724</v>
      </c>
      <c r="H488" s="166" t="s">
        <v>13436</v>
      </c>
      <c r="I488" s="193" t="s">
        <v>12819</v>
      </c>
      <c r="J488" s="193" t="s">
        <v>146</v>
      </c>
      <c r="K488" s="170"/>
      <c r="L488" s="193" t="s">
        <v>146</v>
      </c>
      <c r="M488" s="165"/>
    </row>
    <row r="489" spans="1:13" ht="75">
      <c r="A489" s="67">
        <f t="shared" si="7"/>
        <v>487</v>
      </c>
      <c r="B489" s="164">
        <v>487</v>
      </c>
      <c r="C489" s="193" t="s">
        <v>1782</v>
      </c>
      <c r="D489" s="195" t="s">
        <v>5050</v>
      </c>
      <c r="E489" s="193" t="s">
        <v>8163</v>
      </c>
      <c r="F489" s="193" t="s">
        <v>114</v>
      </c>
      <c r="G489" s="195" t="s">
        <v>729</v>
      </c>
      <c r="H489" s="166" t="s">
        <v>13436</v>
      </c>
      <c r="I489" s="193" t="s">
        <v>12819</v>
      </c>
      <c r="J489" s="193" t="s">
        <v>12151</v>
      </c>
      <c r="K489" s="170"/>
      <c r="L489" s="193" t="s">
        <v>12972</v>
      </c>
      <c r="M489" s="165"/>
    </row>
    <row r="490" spans="1:13" ht="15.75">
      <c r="A490" s="67">
        <f t="shared" si="7"/>
        <v>488</v>
      </c>
      <c r="B490" s="164">
        <v>488</v>
      </c>
      <c r="C490" s="193" t="s">
        <v>1783</v>
      </c>
      <c r="D490" s="195" t="s">
        <v>5051</v>
      </c>
      <c r="E490" s="193" t="s">
        <v>8164</v>
      </c>
      <c r="F490" s="193" t="s">
        <v>114</v>
      </c>
      <c r="G490" s="195" t="s">
        <v>10368</v>
      </c>
      <c r="H490" s="166" t="s">
        <v>13436</v>
      </c>
      <c r="I490" s="193" t="s">
        <v>12819</v>
      </c>
      <c r="J490" s="193" t="s">
        <v>146</v>
      </c>
      <c r="K490" s="170"/>
      <c r="L490" s="193" t="s">
        <v>146</v>
      </c>
      <c r="M490" s="165"/>
    </row>
    <row r="491" spans="1:13" ht="30">
      <c r="A491" s="67">
        <f t="shared" si="7"/>
        <v>489</v>
      </c>
      <c r="B491" s="164">
        <v>489</v>
      </c>
      <c r="C491" s="193" t="s">
        <v>1784</v>
      </c>
      <c r="D491" s="195" t="s">
        <v>5052</v>
      </c>
      <c r="E491" s="193" t="s">
        <v>8165</v>
      </c>
      <c r="F491" s="193" t="s">
        <v>114</v>
      </c>
      <c r="G491" s="195" t="s">
        <v>10369</v>
      </c>
      <c r="H491" s="166" t="s">
        <v>13436</v>
      </c>
      <c r="I491" s="193" t="s">
        <v>12819</v>
      </c>
      <c r="J491" s="193" t="s">
        <v>12152</v>
      </c>
      <c r="K491" s="170"/>
      <c r="L491" s="193" t="s">
        <v>146</v>
      </c>
      <c r="M491" s="165"/>
    </row>
    <row r="492" spans="1:13" ht="15.75">
      <c r="A492" s="67">
        <f t="shared" si="7"/>
        <v>490</v>
      </c>
      <c r="B492" s="164">
        <v>490</v>
      </c>
      <c r="C492" s="193" t="s">
        <v>1785</v>
      </c>
      <c r="D492" s="195" t="s">
        <v>5053</v>
      </c>
      <c r="E492" s="193" t="s">
        <v>8166</v>
      </c>
      <c r="F492" s="193" t="s">
        <v>114</v>
      </c>
      <c r="G492" s="195" t="s">
        <v>671</v>
      </c>
      <c r="H492" s="166" t="s">
        <v>13436</v>
      </c>
      <c r="I492" s="193" t="s">
        <v>12819</v>
      </c>
      <c r="J492" s="193" t="s">
        <v>146</v>
      </c>
      <c r="K492" s="170"/>
      <c r="L492" s="193" t="s">
        <v>146</v>
      </c>
      <c r="M492" s="165"/>
    </row>
    <row r="493" spans="1:13" ht="15.75">
      <c r="A493" s="67">
        <f t="shared" si="7"/>
        <v>491</v>
      </c>
      <c r="B493" s="164">
        <v>491</v>
      </c>
      <c r="C493" s="193" t="s">
        <v>1786</v>
      </c>
      <c r="D493" s="195" t="s">
        <v>5054</v>
      </c>
      <c r="E493" s="193" t="s">
        <v>8167</v>
      </c>
      <c r="F493" s="193" t="s">
        <v>114</v>
      </c>
      <c r="G493" s="195" t="s">
        <v>10370</v>
      </c>
      <c r="H493" s="166" t="s">
        <v>13436</v>
      </c>
      <c r="I493" s="193" t="s">
        <v>12819</v>
      </c>
      <c r="J493" s="193" t="s">
        <v>12153</v>
      </c>
      <c r="K493" s="170"/>
      <c r="L493" s="193" t="s">
        <v>146</v>
      </c>
      <c r="M493" s="165"/>
    </row>
    <row r="494" spans="1:13" ht="15.75">
      <c r="A494" s="67">
        <f t="shared" si="7"/>
        <v>492</v>
      </c>
      <c r="B494" s="164">
        <v>492</v>
      </c>
      <c r="C494" s="193" t="s">
        <v>1787</v>
      </c>
      <c r="D494" s="195" t="s">
        <v>5055</v>
      </c>
      <c r="E494" s="193" t="s">
        <v>8168</v>
      </c>
      <c r="F494" s="193" t="s">
        <v>114</v>
      </c>
      <c r="G494" s="195" t="s">
        <v>10371</v>
      </c>
      <c r="H494" s="166" t="s">
        <v>13436</v>
      </c>
      <c r="I494" s="193" t="s">
        <v>12819</v>
      </c>
      <c r="J494" s="193" t="s">
        <v>146</v>
      </c>
      <c r="K494" s="170"/>
      <c r="L494" s="193" t="s">
        <v>146</v>
      </c>
      <c r="M494" s="165"/>
    </row>
    <row r="495" spans="1:13" ht="30">
      <c r="A495" s="67">
        <f t="shared" si="7"/>
        <v>493</v>
      </c>
      <c r="B495" s="164">
        <v>493</v>
      </c>
      <c r="C495" s="193" t="s">
        <v>1788</v>
      </c>
      <c r="D495" s="195" t="s">
        <v>5056</v>
      </c>
      <c r="E495" s="193" t="s">
        <v>8169</v>
      </c>
      <c r="F495" s="193" t="s">
        <v>114</v>
      </c>
      <c r="G495" s="195" t="s">
        <v>10372</v>
      </c>
      <c r="H495" s="166" t="s">
        <v>13436</v>
      </c>
      <c r="I495" s="193" t="s">
        <v>12835</v>
      </c>
      <c r="J495" s="193" t="s">
        <v>12154</v>
      </c>
      <c r="K495" s="170"/>
      <c r="L495" s="193" t="s">
        <v>146</v>
      </c>
      <c r="M495" s="165"/>
    </row>
    <row r="496" spans="1:13" ht="75">
      <c r="A496" s="67">
        <f t="shared" si="7"/>
        <v>494</v>
      </c>
      <c r="B496" s="164">
        <v>494</v>
      </c>
      <c r="C496" s="193" t="s">
        <v>1789</v>
      </c>
      <c r="D496" s="195" t="s">
        <v>5057</v>
      </c>
      <c r="E496" s="193" t="s">
        <v>354</v>
      </c>
      <c r="F496" s="193" t="s">
        <v>114</v>
      </c>
      <c r="G496" s="195" t="s">
        <v>10373</v>
      </c>
      <c r="H496" s="166" t="s">
        <v>13436</v>
      </c>
      <c r="I496" s="193" t="s">
        <v>12819</v>
      </c>
      <c r="J496" s="193" t="s">
        <v>12155</v>
      </c>
      <c r="K496" s="170"/>
      <c r="L496" s="193" t="s">
        <v>12973</v>
      </c>
      <c r="M496" s="165"/>
    </row>
    <row r="497" spans="1:13" ht="30">
      <c r="A497" s="67">
        <f t="shared" si="7"/>
        <v>495</v>
      </c>
      <c r="B497" s="164">
        <v>495</v>
      </c>
      <c r="C497" s="193" t="s">
        <v>1790</v>
      </c>
      <c r="D497" s="195" t="s">
        <v>5058</v>
      </c>
      <c r="E497" s="193" t="s">
        <v>620</v>
      </c>
      <c r="F497" s="193" t="s">
        <v>114</v>
      </c>
      <c r="G497" s="195" t="s">
        <v>10048</v>
      </c>
      <c r="H497" s="166" t="s">
        <v>13436</v>
      </c>
      <c r="I497" s="193" t="s">
        <v>12819</v>
      </c>
      <c r="J497" s="193" t="s">
        <v>12156</v>
      </c>
      <c r="K497" s="170"/>
      <c r="L497" s="193" t="s">
        <v>146</v>
      </c>
      <c r="M497" s="165"/>
    </row>
    <row r="498" spans="1:13" ht="15.75">
      <c r="A498" s="67">
        <f t="shared" si="7"/>
        <v>496</v>
      </c>
      <c r="B498" s="164">
        <v>496</v>
      </c>
      <c r="C498" s="193" t="s">
        <v>1791</v>
      </c>
      <c r="D498" s="195" t="s">
        <v>5059</v>
      </c>
      <c r="E498" s="193" t="s">
        <v>450</v>
      </c>
      <c r="F498" s="193" t="s">
        <v>114</v>
      </c>
      <c r="G498" s="195" t="s">
        <v>10374</v>
      </c>
      <c r="H498" s="166" t="s">
        <v>13436</v>
      </c>
      <c r="I498" s="193" t="s">
        <v>12819</v>
      </c>
      <c r="J498" s="193" t="s">
        <v>12157</v>
      </c>
      <c r="K498" s="170"/>
      <c r="L498" s="193" t="s">
        <v>146</v>
      </c>
      <c r="M498" s="165"/>
    </row>
    <row r="499" spans="1:13" ht="30">
      <c r="A499" s="67">
        <f t="shared" si="7"/>
        <v>497</v>
      </c>
      <c r="B499" s="164">
        <v>497</v>
      </c>
      <c r="C499" s="193" t="s">
        <v>1792</v>
      </c>
      <c r="D499" s="195" t="s">
        <v>5060</v>
      </c>
      <c r="E499" s="193" t="s">
        <v>8170</v>
      </c>
      <c r="F499" s="193" t="s">
        <v>114</v>
      </c>
      <c r="G499" s="195" t="s">
        <v>1229</v>
      </c>
      <c r="H499" s="166" t="s">
        <v>13436</v>
      </c>
      <c r="I499" s="193" t="s">
        <v>12819</v>
      </c>
      <c r="J499" s="193" t="s">
        <v>12158</v>
      </c>
      <c r="K499" s="170"/>
      <c r="L499" s="193" t="s">
        <v>12974</v>
      </c>
      <c r="M499" s="165"/>
    </row>
    <row r="500" spans="1:13" ht="90">
      <c r="A500" s="67">
        <f t="shared" si="7"/>
        <v>498</v>
      </c>
      <c r="B500" s="164">
        <v>498</v>
      </c>
      <c r="C500" s="193" t="s">
        <v>1793</v>
      </c>
      <c r="D500" s="195" t="s">
        <v>5061</v>
      </c>
      <c r="E500" s="193" t="s">
        <v>8171</v>
      </c>
      <c r="F500" s="193" t="s">
        <v>114</v>
      </c>
      <c r="G500" s="195" t="s">
        <v>10375</v>
      </c>
      <c r="H500" s="166" t="s">
        <v>13436</v>
      </c>
      <c r="I500" s="193" t="s">
        <v>12819</v>
      </c>
      <c r="J500" s="193" t="s">
        <v>1270</v>
      </c>
      <c r="K500" s="170"/>
      <c r="L500" s="193" t="s">
        <v>12975</v>
      </c>
      <c r="M500" s="165"/>
    </row>
    <row r="501" spans="1:13" ht="15.75">
      <c r="A501" s="67">
        <f t="shared" si="7"/>
        <v>499</v>
      </c>
      <c r="B501" s="164">
        <v>499</v>
      </c>
      <c r="C501" s="193" t="s">
        <v>1794</v>
      </c>
      <c r="D501" s="195" t="s">
        <v>5062</v>
      </c>
      <c r="E501" s="193" t="s">
        <v>8172</v>
      </c>
      <c r="F501" s="193" t="s">
        <v>114</v>
      </c>
      <c r="G501" s="195" t="s">
        <v>10376</v>
      </c>
      <c r="H501" s="166" t="s">
        <v>13436</v>
      </c>
      <c r="I501" s="193" t="s">
        <v>12819</v>
      </c>
      <c r="J501" s="193" t="s">
        <v>1252</v>
      </c>
      <c r="K501" s="170"/>
      <c r="L501" s="193" t="s">
        <v>146</v>
      </c>
      <c r="M501" s="165"/>
    </row>
    <row r="502" spans="1:13" ht="15.75">
      <c r="A502" s="67">
        <f t="shared" si="7"/>
        <v>500</v>
      </c>
      <c r="B502" s="164">
        <v>500</v>
      </c>
      <c r="C502" s="193" t="s">
        <v>1795</v>
      </c>
      <c r="D502" s="195" t="s">
        <v>5063</v>
      </c>
      <c r="E502" s="193" t="s">
        <v>541</v>
      </c>
      <c r="F502" s="193" t="s">
        <v>114</v>
      </c>
      <c r="G502" s="195" t="s">
        <v>10377</v>
      </c>
      <c r="H502" s="166" t="s">
        <v>13436</v>
      </c>
      <c r="I502" s="193" t="s">
        <v>12819</v>
      </c>
      <c r="J502" s="193" t="s">
        <v>146</v>
      </c>
      <c r="K502" s="170"/>
      <c r="L502" s="193" t="s">
        <v>146</v>
      </c>
      <c r="M502" s="165"/>
    </row>
    <row r="503" spans="1:13" ht="30">
      <c r="A503" s="67">
        <f t="shared" si="7"/>
        <v>501</v>
      </c>
      <c r="B503" s="164">
        <v>501</v>
      </c>
      <c r="C503" s="193" t="s">
        <v>1796</v>
      </c>
      <c r="D503" s="195" t="s">
        <v>5064</v>
      </c>
      <c r="E503" s="193" t="s">
        <v>8173</v>
      </c>
      <c r="F503" s="193" t="s">
        <v>114</v>
      </c>
      <c r="G503" s="195" t="s">
        <v>10378</v>
      </c>
      <c r="H503" s="166" t="s">
        <v>13436</v>
      </c>
      <c r="I503" s="193" t="s">
        <v>12814</v>
      </c>
      <c r="J503" s="193" t="s">
        <v>12159</v>
      </c>
      <c r="K503" s="170"/>
      <c r="L503" s="193" t="s">
        <v>146</v>
      </c>
      <c r="M503" s="165"/>
    </row>
    <row r="504" spans="1:13" ht="75">
      <c r="A504" s="67">
        <f t="shared" si="7"/>
        <v>502</v>
      </c>
      <c r="B504" s="164">
        <v>502</v>
      </c>
      <c r="C504" s="193" t="s">
        <v>1797</v>
      </c>
      <c r="D504" s="195" t="s">
        <v>5065</v>
      </c>
      <c r="E504" s="193" t="s">
        <v>8174</v>
      </c>
      <c r="F504" s="193" t="s">
        <v>114</v>
      </c>
      <c r="G504" s="195" t="s">
        <v>10379</v>
      </c>
      <c r="H504" s="166" t="s">
        <v>13436</v>
      </c>
      <c r="I504" s="193" t="s">
        <v>12819</v>
      </c>
      <c r="J504" s="193" t="s">
        <v>146</v>
      </c>
      <c r="K504" s="170"/>
      <c r="L504" s="193" t="s">
        <v>12976</v>
      </c>
      <c r="M504" s="165"/>
    </row>
    <row r="505" spans="1:13" ht="15.75">
      <c r="A505" s="67">
        <f t="shared" si="7"/>
        <v>503</v>
      </c>
      <c r="B505" s="164">
        <v>503</v>
      </c>
      <c r="C505" s="193" t="s">
        <v>1798</v>
      </c>
      <c r="D505" s="195" t="s">
        <v>5066</v>
      </c>
      <c r="E505" s="193" t="s">
        <v>8175</v>
      </c>
      <c r="F505" s="193" t="s">
        <v>114</v>
      </c>
      <c r="G505" s="195" t="s">
        <v>10380</v>
      </c>
      <c r="H505" s="166" t="s">
        <v>13436</v>
      </c>
      <c r="I505" s="193" t="s">
        <v>12819</v>
      </c>
      <c r="J505" s="193" t="s">
        <v>12160</v>
      </c>
      <c r="K505" s="170"/>
      <c r="L505" s="193" t="s">
        <v>146</v>
      </c>
      <c r="M505" s="165"/>
    </row>
    <row r="506" spans="1:13" ht="15.75">
      <c r="A506" s="67">
        <f t="shared" si="7"/>
        <v>504</v>
      </c>
      <c r="B506" s="164">
        <v>504</v>
      </c>
      <c r="C506" s="193" t="s">
        <v>1799</v>
      </c>
      <c r="D506" s="195" t="s">
        <v>5067</v>
      </c>
      <c r="E506" s="193" t="s">
        <v>8176</v>
      </c>
      <c r="F506" s="193" t="s">
        <v>114</v>
      </c>
      <c r="G506" s="195" t="s">
        <v>10381</v>
      </c>
      <c r="H506" s="166" t="s">
        <v>13436</v>
      </c>
      <c r="I506" s="193" t="s">
        <v>12819</v>
      </c>
      <c r="J506" s="193" t="s">
        <v>146</v>
      </c>
      <c r="K506" s="170"/>
      <c r="L506" s="193" t="s">
        <v>146</v>
      </c>
      <c r="M506" s="165"/>
    </row>
    <row r="507" spans="1:13" ht="105">
      <c r="A507" s="67">
        <f t="shared" si="7"/>
        <v>505</v>
      </c>
      <c r="B507" s="164">
        <v>505</v>
      </c>
      <c r="C507" s="193" t="s">
        <v>1800</v>
      </c>
      <c r="D507" s="195" t="s">
        <v>5068</v>
      </c>
      <c r="E507" s="193" t="s">
        <v>505</v>
      </c>
      <c r="F507" s="193" t="s">
        <v>114</v>
      </c>
      <c r="G507" s="195" t="s">
        <v>10382</v>
      </c>
      <c r="H507" s="166" t="s">
        <v>13436</v>
      </c>
      <c r="I507" s="193" t="s">
        <v>12819</v>
      </c>
      <c r="J507" s="193" t="s">
        <v>12161</v>
      </c>
      <c r="K507" s="170"/>
      <c r="L507" s="193" t="s">
        <v>146</v>
      </c>
      <c r="M507" s="165"/>
    </row>
    <row r="508" spans="1:13" ht="15.75">
      <c r="A508" s="67">
        <f t="shared" si="7"/>
        <v>506</v>
      </c>
      <c r="B508" s="164">
        <v>506</v>
      </c>
      <c r="C508" s="193" t="s">
        <v>1801</v>
      </c>
      <c r="D508" s="195" t="s">
        <v>5069</v>
      </c>
      <c r="E508" s="193" t="s">
        <v>8177</v>
      </c>
      <c r="F508" s="193" t="s">
        <v>114</v>
      </c>
      <c r="G508" s="195" t="s">
        <v>10383</v>
      </c>
      <c r="H508" s="166" t="s">
        <v>13436</v>
      </c>
      <c r="I508" s="193" t="s">
        <v>12819</v>
      </c>
      <c r="J508" s="193" t="s">
        <v>12162</v>
      </c>
      <c r="K508" s="170"/>
      <c r="L508" s="193" t="s">
        <v>146</v>
      </c>
      <c r="M508" s="165"/>
    </row>
    <row r="509" spans="1:13" ht="15.75">
      <c r="A509" s="67">
        <f t="shared" si="7"/>
        <v>507</v>
      </c>
      <c r="B509" s="164">
        <v>507</v>
      </c>
      <c r="C509" s="193" t="s">
        <v>1802</v>
      </c>
      <c r="D509" s="195" t="s">
        <v>5070</v>
      </c>
      <c r="E509" s="193" t="s">
        <v>8178</v>
      </c>
      <c r="F509" s="193" t="s">
        <v>114</v>
      </c>
      <c r="G509" s="195" t="s">
        <v>10384</v>
      </c>
      <c r="H509" s="166" t="s">
        <v>13436</v>
      </c>
      <c r="I509" s="193" t="s">
        <v>12812</v>
      </c>
      <c r="J509" s="193" t="s">
        <v>12163</v>
      </c>
      <c r="K509" s="170"/>
      <c r="L509" s="193" t="s">
        <v>146</v>
      </c>
      <c r="M509" s="165"/>
    </row>
    <row r="510" spans="1:13" ht="15.75">
      <c r="A510" s="67">
        <f t="shared" si="7"/>
        <v>508</v>
      </c>
      <c r="B510" s="164">
        <v>508</v>
      </c>
      <c r="C510" s="193" t="s">
        <v>1803</v>
      </c>
      <c r="D510" s="195" t="s">
        <v>5071</v>
      </c>
      <c r="E510" s="193" t="s">
        <v>8179</v>
      </c>
      <c r="F510" s="193" t="s">
        <v>114</v>
      </c>
      <c r="G510" s="195" t="s">
        <v>10385</v>
      </c>
      <c r="H510" s="166" t="s">
        <v>13436</v>
      </c>
      <c r="I510" s="193" t="s">
        <v>12835</v>
      </c>
      <c r="J510" s="193" t="s">
        <v>146</v>
      </c>
      <c r="K510" s="170"/>
      <c r="L510" s="193" t="s">
        <v>146</v>
      </c>
      <c r="M510" s="165"/>
    </row>
    <row r="511" spans="1:13" ht="15.75">
      <c r="A511" s="67">
        <f t="shared" si="7"/>
        <v>509</v>
      </c>
      <c r="B511" s="164">
        <v>509</v>
      </c>
      <c r="C511" s="193" t="s">
        <v>1804</v>
      </c>
      <c r="D511" s="195" t="s">
        <v>5072</v>
      </c>
      <c r="E511" s="193" t="s">
        <v>8180</v>
      </c>
      <c r="F511" s="193" t="s">
        <v>114</v>
      </c>
      <c r="G511" s="195" t="s">
        <v>10386</v>
      </c>
      <c r="H511" s="166" t="s">
        <v>13436</v>
      </c>
      <c r="I511" s="193" t="s">
        <v>12812</v>
      </c>
      <c r="J511" s="193" t="s">
        <v>146</v>
      </c>
      <c r="K511" s="170"/>
      <c r="L511" s="193" t="s">
        <v>146</v>
      </c>
      <c r="M511" s="165"/>
    </row>
    <row r="512" spans="1:13" ht="30">
      <c r="A512" s="67">
        <f t="shared" si="7"/>
        <v>510</v>
      </c>
      <c r="B512" s="164">
        <v>510</v>
      </c>
      <c r="C512" s="193" t="s">
        <v>1805</v>
      </c>
      <c r="D512" s="195" t="s">
        <v>5073</v>
      </c>
      <c r="E512" s="193" t="s">
        <v>8181</v>
      </c>
      <c r="F512" s="193" t="s">
        <v>114</v>
      </c>
      <c r="G512" s="195" t="s">
        <v>10387</v>
      </c>
      <c r="H512" s="166" t="s">
        <v>13436</v>
      </c>
      <c r="I512" s="193" t="s">
        <v>1250</v>
      </c>
      <c r="J512" s="193" t="s">
        <v>12164</v>
      </c>
      <c r="K512" s="170"/>
      <c r="L512" s="193" t="s">
        <v>146</v>
      </c>
      <c r="M512" s="165"/>
    </row>
    <row r="513" spans="1:13" ht="15.75">
      <c r="A513" s="67">
        <f t="shared" si="7"/>
        <v>511</v>
      </c>
      <c r="B513" s="164">
        <v>511</v>
      </c>
      <c r="C513" s="193" t="s">
        <v>1806</v>
      </c>
      <c r="D513" s="195" t="s">
        <v>5074</v>
      </c>
      <c r="E513" s="193" t="s">
        <v>428</v>
      </c>
      <c r="F513" s="193" t="s">
        <v>114</v>
      </c>
      <c r="G513" s="195" t="s">
        <v>10388</v>
      </c>
      <c r="H513" s="166" t="s">
        <v>13436</v>
      </c>
      <c r="I513" s="193" t="s">
        <v>12835</v>
      </c>
      <c r="J513" s="219" t="s">
        <v>146</v>
      </c>
      <c r="K513" s="170"/>
      <c r="L513" s="193" t="s">
        <v>146</v>
      </c>
      <c r="M513" s="165"/>
    </row>
    <row r="514" spans="1:13" ht="15.75">
      <c r="A514" s="67">
        <f t="shared" si="7"/>
        <v>512</v>
      </c>
      <c r="B514" s="164">
        <v>512</v>
      </c>
      <c r="C514" s="193" t="s">
        <v>1807</v>
      </c>
      <c r="D514" s="195" t="s">
        <v>5075</v>
      </c>
      <c r="E514" s="193" t="s">
        <v>8182</v>
      </c>
      <c r="F514" s="193" t="s">
        <v>114</v>
      </c>
      <c r="G514" s="195" t="s">
        <v>10389</v>
      </c>
      <c r="H514" s="166" t="s">
        <v>13436</v>
      </c>
      <c r="I514" s="193" t="s">
        <v>12821</v>
      </c>
      <c r="J514" s="193" t="s">
        <v>146</v>
      </c>
      <c r="K514" s="170"/>
      <c r="L514" s="193" t="s">
        <v>146</v>
      </c>
      <c r="M514" s="165"/>
    </row>
    <row r="515" spans="1:13" ht="30">
      <c r="A515" s="67">
        <f t="shared" ref="A515:A578" si="8">IFERROR(VALUE(RIGHT(C515,4)),"")</f>
        <v>513</v>
      </c>
      <c r="B515" s="164">
        <v>513</v>
      </c>
      <c r="C515" s="193" t="s">
        <v>1808</v>
      </c>
      <c r="D515" s="195" t="s">
        <v>5076</v>
      </c>
      <c r="E515" s="193" t="s">
        <v>229</v>
      </c>
      <c r="F515" s="193" t="s">
        <v>114</v>
      </c>
      <c r="G515" s="195" t="s">
        <v>10390</v>
      </c>
      <c r="H515" s="166" t="s">
        <v>13436</v>
      </c>
      <c r="I515" s="193" t="s">
        <v>12808</v>
      </c>
      <c r="J515" s="219" t="s">
        <v>146</v>
      </c>
      <c r="K515" s="170"/>
      <c r="L515" s="193" t="s">
        <v>12977</v>
      </c>
      <c r="M515" s="165"/>
    </row>
    <row r="516" spans="1:13" ht="45">
      <c r="A516" s="67">
        <f t="shared" si="8"/>
        <v>514</v>
      </c>
      <c r="B516" s="164">
        <v>514</v>
      </c>
      <c r="C516" s="193" t="s">
        <v>1809</v>
      </c>
      <c r="D516" s="195" t="s">
        <v>5077</v>
      </c>
      <c r="E516" s="193" t="s">
        <v>8183</v>
      </c>
      <c r="F516" s="193" t="s">
        <v>114</v>
      </c>
      <c r="G516" s="195" t="s">
        <v>10208</v>
      </c>
      <c r="H516" s="166" t="s">
        <v>13436</v>
      </c>
      <c r="I516" s="193" t="s">
        <v>12814</v>
      </c>
      <c r="J516" s="193" t="s">
        <v>146</v>
      </c>
      <c r="K516" s="170"/>
      <c r="L516" s="193" t="s">
        <v>12978</v>
      </c>
      <c r="M516" s="165"/>
    </row>
    <row r="517" spans="1:13" ht="15.75">
      <c r="A517" s="67">
        <f t="shared" si="8"/>
        <v>515</v>
      </c>
      <c r="B517" s="164">
        <v>515</v>
      </c>
      <c r="C517" s="193" t="s">
        <v>1810</v>
      </c>
      <c r="D517" s="195" t="s">
        <v>5078</v>
      </c>
      <c r="E517" s="193" t="s">
        <v>8184</v>
      </c>
      <c r="F517" s="193" t="s">
        <v>114</v>
      </c>
      <c r="G517" s="195" t="s">
        <v>10391</v>
      </c>
      <c r="H517" s="166" t="s">
        <v>13436</v>
      </c>
      <c r="I517" s="193" t="s">
        <v>12817</v>
      </c>
      <c r="J517" s="193" t="s">
        <v>1252</v>
      </c>
      <c r="K517" s="170"/>
      <c r="L517" s="193" t="s">
        <v>146</v>
      </c>
      <c r="M517" s="165"/>
    </row>
    <row r="518" spans="1:13" ht="15.75">
      <c r="A518" s="67">
        <f t="shared" si="8"/>
        <v>516</v>
      </c>
      <c r="B518" s="164">
        <v>516</v>
      </c>
      <c r="C518" s="193" t="s">
        <v>1811</v>
      </c>
      <c r="D518" s="195" t="s">
        <v>5079</v>
      </c>
      <c r="E518" s="193" t="s">
        <v>8185</v>
      </c>
      <c r="F518" s="193" t="s">
        <v>59</v>
      </c>
      <c r="G518" s="195" t="s">
        <v>10392</v>
      </c>
      <c r="H518" s="166" t="s">
        <v>13436</v>
      </c>
      <c r="I518" s="193" t="s">
        <v>12808</v>
      </c>
      <c r="J518" s="219" t="s">
        <v>147</v>
      </c>
      <c r="K518" s="170"/>
      <c r="L518" s="193"/>
      <c r="M518" s="165"/>
    </row>
    <row r="519" spans="1:13" ht="15.75">
      <c r="A519" s="67">
        <f t="shared" si="8"/>
        <v>517</v>
      </c>
      <c r="B519" s="164">
        <v>517</v>
      </c>
      <c r="C519" s="193" t="s">
        <v>1812</v>
      </c>
      <c r="D519" s="195" t="s">
        <v>5080</v>
      </c>
      <c r="E519" s="193" t="s">
        <v>8186</v>
      </c>
      <c r="F519" s="193" t="s">
        <v>59</v>
      </c>
      <c r="G519" s="195" t="s">
        <v>10393</v>
      </c>
      <c r="H519" s="166" t="s">
        <v>13436</v>
      </c>
      <c r="I519" s="193" t="s">
        <v>12813</v>
      </c>
      <c r="J519" s="219" t="s">
        <v>146</v>
      </c>
      <c r="K519" s="170"/>
      <c r="L519" s="193"/>
      <c r="M519" s="165"/>
    </row>
    <row r="520" spans="1:13" ht="15.75">
      <c r="A520" s="67">
        <f t="shared" si="8"/>
        <v>518</v>
      </c>
      <c r="B520" s="164">
        <v>518</v>
      </c>
      <c r="C520" s="193" t="s">
        <v>1813</v>
      </c>
      <c r="D520" s="195" t="s">
        <v>5081</v>
      </c>
      <c r="E520" s="193" t="s">
        <v>8187</v>
      </c>
      <c r="F520" s="193" t="s">
        <v>114</v>
      </c>
      <c r="G520" s="195" t="s">
        <v>10294</v>
      </c>
      <c r="H520" s="166" t="s">
        <v>13436</v>
      </c>
      <c r="I520" s="193" t="s">
        <v>12820</v>
      </c>
      <c r="J520" s="193" t="s">
        <v>164</v>
      </c>
      <c r="K520" s="170"/>
      <c r="L520" s="193" t="s">
        <v>146</v>
      </c>
      <c r="M520" s="165"/>
    </row>
    <row r="521" spans="1:13" ht="45">
      <c r="A521" s="67">
        <f t="shared" si="8"/>
        <v>519</v>
      </c>
      <c r="B521" s="164">
        <v>519</v>
      </c>
      <c r="C521" s="193" t="s">
        <v>1814</v>
      </c>
      <c r="D521" s="195" t="s">
        <v>5082</v>
      </c>
      <c r="E521" s="193" t="s">
        <v>8188</v>
      </c>
      <c r="F521" s="193" t="s">
        <v>114</v>
      </c>
      <c r="G521" s="195" t="s">
        <v>10270</v>
      </c>
      <c r="H521" s="166" t="s">
        <v>13436</v>
      </c>
      <c r="I521" s="193" t="s">
        <v>12836</v>
      </c>
      <c r="J521" s="193" t="s">
        <v>12165</v>
      </c>
      <c r="K521" s="170"/>
      <c r="L521" s="193" t="s">
        <v>12979</v>
      </c>
      <c r="M521" s="165"/>
    </row>
    <row r="522" spans="1:13" ht="30">
      <c r="A522" s="67">
        <f t="shared" si="8"/>
        <v>520</v>
      </c>
      <c r="B522" s="164">
        <v>520</v>
      </c>
      <c r="C522" s="193" t="s">
        <v>1815</v>
      </c>
      <c r="D522" s="195" t="s">
        <v>5083</v>
      </c>
      <c r="E522" s="193" t="s">
        <v>8189</v>
      </c>
      <c r="F522" s="193" t="s">
        <v>114</v>
      </c>
      <c r="G522" s="195" t="s">
        <v>10394</v>
      </c>
      <c r="H522" s="166" t="s">
        <v>13436</v>
      </c>
      <c r="I522" s="193" t="s">
        <v>12817</v>
      </c>
      <c r="J522" s="193" t="s">
        <v>146</v>
      </c>
      <c r="K522" s="170"/>
      <c r="L522" s="193" t="s">
        <v>12980</v>
      </c>
      <c r="M522" s="165"/>
    </row>
    <row r="523" spans="1:13" ht="15.75">
      <c r="A523" s="67">
        <f t="shared" si="8"/>
        <v>521</v>
      </c>
      <c r="B523" s="164">
        <v>521</v>
      </c>
      <c r="C523" s="193" t="s">
        <v>1816</v>
      </c>
      <c r="D523" s="195" t="s">
        <v>5084</v>
      </c>
      <c r="E523" s="193" t="s">
        <v>198</v>
      </c>
      <c r="F523" s="193" t="s">
        <v>114</v>
      </c>
      <c r="G523" s="195" t="s">
        <v>10395</v>
      </c>
      <c r="H523" s="166" t="s">
        <v>13436</v>
      </c>
      <c r="I523" s="193" t="s">
        <v>12825</v>
      </c>
      <c r="J523" s="193" t="s">
        <v>146</v>
      </c>
      <c r="K523" s="170"/>
      <c r="L523" s="193" t="s">
        <v>146</v>
      </c>
      <c r="M523" s="165"/>
    </row>
    <row r="524" spans="1:13" ht="15.75">
      <c r="A524" s="67">
        <f t="shared" si="8"/>
        <v>522</v>
      </c>
      <c r="B524" s="164">
        <v>522</v>
      </c>
      <c r="C524" s="193" t="s">
        <v>1817</v>
      </c>
      <c r="D524" s="196" t="s">
        <v>5085</v>
      </c>
      <c r="E524" s="193" t="s">
        <v>8190</v>
      </c>
      <c r="F524" s="193" t="s">
        <v>114</v>
      </c>
      <c r="G524" s="195" t="s">
        <v>10396</v>
      </c>
      <c r="H524" s="166" t="s">
        <v>13436</v>
      </c>
      <c r="I524" s="193" t="s">
        <v>12833</v>
      </c>
      <c r="J524" s="193" t="s">
        <v>147</v>
      </c>
      <c r="K524" s="170"/>
      <c r="L524" s="193" t="s">
        <v>146</v>
      </c>
      <c r="M524" s="165"/>
    </row>
    <row r="525" spans="1:13" ht="15.75">
      <c r="A525" s="67">
        <f t="shared" si="8"/>
        <v>523</v>
      </c>
      <c r="B525" s="164">
        <v>523</v>
      </c>
      <c r="C525" s="193" t="s">
        <v>1818</v>
      </c>
      <c r="D525" s="195" t="s">
        <v>5086</v>
      </c>
      <c r="E525" s="193" t="s">
        <v>8191</v>
      </c>
      <c r="F525" s="193" t="s">
        <v>114</v>
      </c>
      <c r="G525" s="195" t="s">
        <v>10397</v>
      </c>
      <c r="H525" s="166" t="s">
        <v>13436</v>
      </c>
      <c r="I525" s="193" t="s">
        <v>12826</v>
      </c>
      <c r="J525" s="193" t="s">
        <v>12166</v>
      </c>
      <c r="K525" s="170"/>
      <c r="L525" s="193" t="s">
        <v>146</v>
      </c>
      <c r="M525" s="165"/>
    </row>
    <row r="526" spans="1:13" ht="15.75">
      <c r="A526" s="67">
        <f t="shared" si="8"/>
        <v>524</v>
      </c>
      <c r="B526" s="164">
        <v>524</v>
      </c>
      <c r="C526" s="193" t="s">
        <v>1819</v>
      </c>
      <c r="D526" s="195" t="s">
        <v>5087</v>
      </c>
      <c r="E526" s="193" t="s">
        <v>8192</v>
      </c>
      <c r="F526" s="193" t="s">
        <v>114</v>
      </c>
      <c r="G526" s="195" t="s">
        <v>707</v>
      </c>
      <c r="H526" s="166" t="s">
        <v>13436</v>
      </c>
      <c r="I526" s="193" t="s">
        <v>12826</v>
      </c>
      <c r="J526" s="193" t="s">
        <v>146</v>
      </c>
      <c r="K526" s="170"/>
      <c r="L526" s="193" t="s">
        <v>146</v>
      </c>
      <c r="M526" s="165"/>
    </row>
    <row r="527" spans="1:13" ht="15.75">
      <c r="A527" s="67">
        <f t="shared" si="8"/>
        <v>525</v>
      </c>
      <c r="B527" s="164">
        <v>525</v>
      </c>
      <c r="C527" s="193" t="s">
        <v>1820</v>
      </c>
      <c r="D527" s="197" t="s">
        <v>5088</v>
      </c>
      <c r="E527" s="193" t="s">
        <v>8193</v>
      </c>
      <c r="F527" s="193" t="s">
        <v>59</v>
      </c>
      <c r="G527" s="195" t="s">
        <v>10398</v>
      </c>
      <c r="H527" s="166" t="s">
        <v>13436</v>
      </c>
      <c r="I527" s="193" t="s">
        <v>12816</v>
      </c>
      <c r="J527" s="193" t="s">
        <v>146</v>
      </c>
      <c r="K527" s="170"/>
      <c r="L527" s="193"/>
      <c r="M527" s="165"/>
    </row>
    <row r="528" spans="1:13" ht="60">
      <c r="A528" s="67">
        <f t="shared" si="8"/>
        <v>526</v>
      </c>
      <c r="B528" s="164">
        <v>526</v>
      </c>
      <c r="C528" s="193" t="s">
        <v>1821</v>
      </c>
      <c r="D528" s="195" t="s">
        <v>5089</v>
      </c>
      <c r="E528" s="193" t="s">
        <v>361</v>
      </c>
      <c r="F528" s="193" t="s">
        <v>114</v>
      </c>
      <c r="G528" s="195" t="s">
        <v>10399</v>
      </c>
      <c r="H528" s="166" t="s">
        <v>13436</v>
      </c>
      <c r="I528" s="193" t="s">
        <v>12818</v>
      </c>
      <c r="J528" s="193" t="s">
        <v>12167</v>
      </c>
      <c r="K528" s="170"/>
      <c r="L528" s="193" t="s">
        <v>12981</v>
      </c>
      <c r="M528" s="165"/>
    </row>
    <row r="529" spans="1:13" ht="75">
      <c r="A529" s="67">
        <f t="shared" si="8"/>
        <v>527</v>
      </c>
      <c r="B529" s="164">
        <v>527</v>
      </c>
      <c r="C529" s="193" t="s">
        <v>1822</v>
      </c>
      <c r="D529" s="195" t="s">
        <v>5090</v>
      </c>
      <c r="E529" s="193" t="s">
        <v>343</v>
      </c>
      <c r="F529" s="193" t="s">
        <v>114</v>
      </c>
      <c r="G529" s="195" t="s">
        <v>10400</v>
      </c>
      <c r="H529" s="166" t="s">
        <v>13436</v>
      </c>
      <c r="I529" s="193" t="s">
        <v>12817</v>
      </c>
      <c r="J529" s="193" t="s">
        <v>12168</v>
      </c>
      <c r="K529" s="170"/>
      <c r="L529" s="193" t="s">
        <v>12982</v>
      </c>
      <c r="M529" s="165"/>
    </row>
    <row r="530" spans="1:13" ht="15.75">
      <c r="A530" s="67">
        <f t="shared" si="8"/>
        <v>528</v>
      </c>
      <c r="B530" s="164">
        <v>528</v>
      </c>
      <c r="C530" s="193" t="s">
        <v>1823</v>
      </c>
      <c r="D530" s="195" t="s">
        <v>5091</v>
      </c>
      <c r="E530" s="193" t="s">
        <v>8194</v>
      </c>
      <c r="F530" s="193" t="s">
        <v>114</v>
      </c>
      <c r="G530" s="195" t="s">
        <v>10401</v>
      </c>
      <c r="H530" s="166" t="s">
        <v>13436</v>
      </c>
      <c r="I530" s="193" t="s">
        <v>12818</v>
      </c>
      <c r="J530" s="193" t="s">
        <v>146</v>
      </c>
      <c r="K530" s="170"/>
      <c r="L530" s="193" t="s">
        <v>146</v>
      </c>
      <c r="M530" s="165"/>
    </row>
    <row r="531" spans="1:13" ht="75">
      <c r="A531" s="67">
        <f t="shared" si="8"/>
        <v>529</v>
      </c>
      <c r="B531" s="164">
        <v>529</v>
      </c>
      <c r="C531" s="193" t="s">
        <v>1824</v>
      </c>
      <c r="D531" s="195" t="s">
        <v>5092</v>
      </c>
      <c r="E531" s="193" t="s">
        <v>8195</v>
      </c>
      <c r="F531" s="193" t="s">
        <v>114</v>
      </c>
      <c r="G531" s="195" t="s">
        <v>10402</v>
      </c>
      <c r="H531" s="166" t="s">
        <v>13436</v>
      </c>
      <c r="I531" s="193" t="s">
        <v>12814</v>
      </c>
      <c r="J531" s="193" t="s">
        <v>146</v>
      </c>
      <c r="K531" s="170"/>
      <c r="L531" s="193" t="s">
        <v>12983</v>
      </c>
      <c r="M531" s="165"/>
    </row>
    <row r="532" spans="1:13" ht="45">
      <c r="A532" s="67">
        <f t="shared" si="8"/>
        <v>530</v>
      </c>
      <c r="B532" s="164">
        <v>530</v>
      </c>
      <c r="C532" s="193" t="s">
        <v>1825</v>
      </c>
      <c r="D532" s="195" t="s">
        <v>5093</v>
      </c>
      <c r="E532" s="193" t="s">
        <v>8196</v>
      </c>
      <c r="F532" s="193" t="s">
        <v>114</v>
      </c>
      <c r="G532" s="195" t="s">
        <v>10403</v>
      </c>
      <c r="H532" s="166" t="s">
        <v>13436</v>
      </c>
      <c r="I532" s="193" t="s">
        <v>12814</v>
      </c>
      <c r="J532" s="193" t="s">
        <v>12169</v>
      </c>
      <c r="K532" s="170"/>
      <c r="L532" s="193" t="s">
        <v>146</v>
      </c>
      <c r="M532" s="165"/>
    </row>
    <row r="533" spans="1:13" ht="105">
      <c r="A533" s="67">
        <f t="shared" si="8"/>
        <v>531</v>
      </c>
      <c r="B533" s="164">
        <v>531</v>
      </c>
      <c r="C533" s="193" t="s">
        <v>1826</v>
      </c>
      <c r="D533" s="195" t="s">
        <v>5094</v>
      </c>
      <c r="E533" s="193" t="s">
        <v>8197</v>
      </c>
      <c r="F533" s="193" t="s">
        <v>114</v>
      </c>
      <c r="G533" s="195" t="s">
        <v>1229</v>
      </c>
      <c r="H533" s="166" t="s">
        <v>13436</v>
      </c>
      <c r="I533" s="193" t="s">
        <v>12819</v>
      </c>
      <c r="J533" s="193" t="s">
        <v>12170</v>
      </c>
      <c r="K533" s="170"/>
      <c r="L533" s="193" t="s">
        <v>12984</v>
      </c>
      <c r="M533" s="165"/>
    </row>
    <row r="534" spans="1:13" ht="15.75">
      <c r="A534" s="67">
        <f t="shared" si="8"/>
        <v>532</v>
      </c>
      <c r="B534" s="164">
        <v>532</v>
      </c>
      <c r="C534" s="193" t="s">
        <v>1827</v>
      </c>
      <c r="D534" s="197" t="s">
        <v>5095</v>
      </c>
      <c r="E534" s="193" t="s">
        <v>8198</v>
      </c>
      <c r="F534" s="193" t="s">
        <v>114</v>
      </c>
      <c r="G534" s="195" t="s">
        <v>10404</v>
      </c>
      <c r="H534" s="166" t="s">
        <v>13436</v>
      </c>
      <c r="I534" s="193" t="s">
        <v>12816</v>
      </c>
      <c r="J534" s="193" t="s">
        <v>146</v>
      </c>
      <c r="K534" s="170"/>
      <c r="L534" s="193" t="s">
        <v>146</v>
      </c>
      <c r="M534" s="165"/>
    </row>
    <row r="535" spans="1:13" ht="30">
      <c r="A535" s="67">
        <f t="shared" si="8"/>
        <v>533</v>
      </c>
      <c r="B535" s="164">
        <v>533</v>
      </c>
      <c r="C535" s="193" t="s">
        <v>1828</v>
      </c>
      <c r="D535" s="195" t="s">
        <v>5096</v>
      </c>
      <c r="E535" s="193" t="s">
        <v>8199</v>
      </c>
      <c r="F535" s="193" t="s">
        <v>59</v>
      </c>
      <c r="G535" s="195" t="s">
        <v>10226</v>
      </c>
      <c r="H535" s="166" t="s">
        <v>13436</v>
      </c>
      <c r="I535" s="193" t="s">
        <v>12825</v>
      </c>
      <c r="J535" s="193" t="s">
        <v>12171</v>
      </c>
      <c r="K535" s="170"/>
      <c r="L535" s="193"/>
      <c r="M535" s="165"/>
    </row>
    <row r="536" spans="1:13" ht="15.75">
      <c r="A536" s="67">
        <f t="shared" si="8"/>
        <v>534</v>
      </c>
      <c r="B536" s="164">
        <v>534</v>
      </c>
      <c r="C536" s="193" t="s">
        <v>1829</v>
      </c>
      <c r="D536" s="199" t="s">
        <v>5097</v>
      </c>
      <c r="E536" s="193" t="s">
        <v>8200</v>
      </c>
      <c r="F536" s="193" t="s">
        <v>59</v>
      </c>
      <c r="G536" s="195" t="s">
        <v>10405</v>
      </c>
      <c r="H536" s="166" t="s">
        <v>13436</v>
      </c>
      <c r="I536" s="193" t="s">
        <v>12828</v>
      </c>
      <c r="J536" s="193" t="s">
        <v>146</v>
      </c>
      <c r="K536" s="170"/>
      <c r="L536" s="193"/>
      <c r="M536" s="165"/>
    </row>
    <row r="537" spans="1:13" ht="75">
      <c r="A537" s="67">
        <f t="shared" si="8"/>
        <v>535</v>
      </c>
      <c r="B537" s="164">
        <v>535</v>
      </c>
      <c r="C537" s="193" t="s">
        <v>1830</v>
      </c>
      <c r="D537" s="195" t="s">
        <v>5098</v>
      </c>
      <c r="E537" s="193" t="s">
        <v>8201</v>
      </c>
      <c r="F537" s="193" t="s">
        <v>114</v>
      </c>
      <c r="G537" s="195" t="s">
        <v>10406</v>
      </c>
      <c r="H537" s="166" t="s">
        <v>13436</v>
      </c>
      <c r="I537" s="193" t="s">
        <v>12819</v>
      </c>
      <c r="J537" s="193" t="s">
        <v>146</v>
      </c>
      <c r="K537" s="170"/>
      <c r="L537" s="193" t="s">
        <v>12985</v>
      </c>
      <c r="M537" s="165"/>
    </row>
    <row r="538" spans="1:13" ht="15.75">
      <c r="A538" s="67">
        <f t="shared" si="8"/>
        <v>536</v>
      </c>
      <c r="B538" s="164">
        <v>536</v>
      </c>
      <c r="C538" s="193" t="s">
        <v>1831</v>
      </c>
      <c r="D538" s="195" t="s">
        <v>5099</v>
      </c>
      <c r="E538" s="193" t="s">
        <v>8202</v>
      </c>
      <c r="F538" s="193" t="s">
        <v>114</v>
      </c>
      <c r="G538" s="195" t="s">
        <v>10407</v>
      </c>
      <c r="H538" s="166" t="s">
        <v>13436</v>
      </c>
      <c r="I538" s="193" t="s">
        <v>12819</v>
      </c>
      <c r="J538" s="193" t="s">
        <v>12172</v>
      </c>
      <c r="K538" s="170"/>
      <c r="L538" s="193" t="s">
        <v>146</v>
      </c>
      <c r="M538" s="165"/>
    </row>
    <row r="539" spans="1:13" ht="105">
      <c r="A539" s="67">
        <f t="shared" si="8"/>
        <v>537</v>
      </c>
      <c r="B539" s="164">
        <v>537</v>
      </c>
      <c r="C539" s="193" t="s">
        <v>1832</v>
      </c>
      <c r="D539" s="195" t="s">
        <v>5100</v>
      </c>
      <c r="E539" s="193" t="s">
        <v>8203</v>
      </c>
      <c r="F539" s="193" t="s">
        <v>114</v>
      </c>
      <c r="G539" s="195" t="s">
        <v>10408</v>
      </c>
      <c r="H539" s="166" t="s">
        <v>13436</v>
      </c>
      <c r="I539" s="193" t="s">
        <v>12819</v>
      </c>
      <c r="J539" s="193" t="s">
        <v>12173</v>
      </c>
      <c r="K539" s="170"/>
      <c r="L539" s="193" t="s">
        <v>12986</v>
      </c>
      <c r="M539" s="165"/>
    </row>
    <row r="540" spans="1:13" ht="15.75">
      <c r="A540" s="67">
        <f t="shared" si="8"/>
        <v>538</v>
      </c>
      <c r="B540" s="164">
        <v>538</v>
      </c>
      <c r="C540" s="193" t="s">
        <v>1833</v>
      </c>
      <c r="D540" s="195" t="s">
        <v>5101</v>
      </c>
      <c r="E540" s="193" t="s">
        <v>8204</v>
      </c>
      <c r="F540" s="193" t="s">
        <v>114</v>
      </c>
      <c r="G540" s="195" t="s">
        <v>10409</v>
      </c>
      <c r="H540" s="166" t="s">
        <v>13436</v>
      </c>
      <c r="I540" s="193" t="s">
        <v>12817</v>
      </c>
      <c r="J540" s="193" t="s">
        <v>146</v>
      </c>
      <c r="K540" s="170"/>
      <c r="L540" s="193" t="s">
        <v>146</v>
      </c>
      <c r="M540" s="165"/>
    </row>
    <row r="541" spans="1:13" ht="30">
      <c r="A541" s="67">
        <f t="shared" si="8"/>
        <v>539</v>
      </c>
      <c r="B541" s="164">
        <v>539</v>
      </c>
      <c r="C541" s="193" t="s">
        <v>1834</v>
      </c>
      <c r="D541" s="195" t="s">
        <v>5102</v>
      </c>
      <c r="E541" s="193" t="s">
        <v>8205</v>
      </c>
      <c r="F541" s="193" t="s">
        <v>114</v>
      </c>
      <c r="G541" s="195" t="s">
        <v>10410</v>
      </c>
      <c r="H541" s="166" t="s">
        <v>13436</v>
      </c>
      <c r="I541" s="193" t="s">
        <v>12817</v>
      </c>
      <c r="J541" s="193" t="s">
        <v>12174</v>
      </c>
      <c r="K541" s="170"/>
      <c r="L541" s="193" t="s">
        <v>146</v>
      </c>
      <c r="M541" s="165"/>
    </row>
    <row r="542" spans="1:13" ht="15.75">
      <c r="A542" s="67">
        <f t="shared" si="8"/>
        <v>540</v>
      </c>
      <c r="B542" s="164">
        <v>540</v>
      </c>
      <c r="C542" s="193" t="s">
        <v>1835</v>
      </c>
      <c r="D542" s="195" t="s">
        <v>5103</v>
      </c>
      <c r="E542" s="193" t="s">
        <v>8206</v>
      </c>
      <c r="F542" s="193" t="s">
        <v>114</v>
      </c>
      <c r="G542" s="195" t="s">
        <v>682</v>
      </c>
      <c r="H542" s="166" t="s">
        <v>13436</v>
      </c>
      <c r="I542" s="193" t="s">
        <v>12826</v>
      </c>
      <c r="J542" s="193" t="s">
        <v>146</v>
      </c>
      <c r="K542" s="170"/>
      <c r="L542" s="193" t="s">
        <v>146</v>
      </c>
      <c r="M542" s="165"/>
    </row>
    <row r="543" spans="1:13" ht="15.75">
      <c r="A543" s="67">
        <f t="shared" si="8"/>
        <v>541</v>
      </c>
      <c r="B543" s="164">
        <v>541</v>
      </c>
      <c r="C543" s="193" t="s">
        <v>1836</v>
      </c>
      <c r="D543" s="195" t="s">
        <v>5104</v>
      </c>
      <c r="E543" s="193" t="s">
        <v>390</v>
      </c>
      <c r="F543" s="193" t="s">
        <v>59</v>
      </c>
      <c r="G543" s="195" t="s">
        <v>10411</v>
      </c>
      <c r="H543" s="166" t="s">
        <v>13436</v>
      </c>
      <c r="I543" s="193" t="s">
        <v>12808</v>
      </c>
      <c r="J543" s="193" t="s">
        <v>147</v>
      </c>
      <c r="K543" s="170"/>
      <c r="L543" s="193"/>
      <c r="M543" s="165"/>
    </row>
    <row r="544" spans="1:13" ht="15.75">
      <c r="A544" s="67">
        <f t="shared" si="8"/>
        <v>542</v>
      </c>
      <c r="B544" s="164">
        <v>542</v>
      </c>
      <c r="C544" s="193" t="s">
        <v>1837</v>
      </c>
      <c r="D544" s="195" t="s">
        <v>5105</v>
      </c>
      <c r="E544" s="193" t="s">
        <v>8207</v>
      </c>
      <c r="F544" s="193" t="s">
        <v>114</v>
      </c>
      <c r="G544" s="195" t="s">
        <v>10412</v>
      </c>
      <c r="H544" s="166" t="s">
        <v>13436</v>
      </c>
      <c r="I544" s="193" t="s">
        <v>12813</v>
      </c>
      <c r="J544" s="193" t="s">
        <v>146</v>
      </c>
      <c r="K544" s="170"/>
      <c r="L544" s="193" t="s">
        <v>146</v>
      </c>
      <c r="M544" s="165"/>
    </row>
    <row r="545" spans="1:13" ht="15.75">
      <c r="A545" s="67">
        <f t="shared" si="8"/>
        <v>543</v>
      </c>
      <c r="B545" s="164">
        <v>543</v>
      </c>
      <c r="C545" s="193" t="s">
        <v>1838</v>
      </c>
      <c r="D545" s="195" t="s">
        <v>5106</v>
      </c>
      <c r="E545" s="193" t="s">
        <v>8208</v>
      </c>
      <c r="F545" s="193" t="s">
        <v>59</v>
      </c>
      <c r="G545" s="195" t="s">
        <v>673</v>
      </c>
      <c r="H545" s="166" t="s">
        <v>13436</v>
      </c>
      <c r="I545" s="193" t="s">
        <v>12825</v>
      </c>
      <c r="J545" s="193" t="s">
        <v>146</v>
      </c>
      <c r="K545" s="170"/>
      <c r="L545" s="193"/>
      <c r="M545" s="165"/>
    </row>
    <row r="546" spans="1:13" ht="30">
      <c r="A546" s="67">
        <f t="shared" si="8"/>
        <v>544</v>
      </c>
      <c r="B546" s="164">
        <v>544</v>
      </c>
      <c r="C546" s="193" t="s">
        <v>1839</v>
      </c>
      <c r="D546" s="195" t="s">
        <v>5107</v>
      </c>
      <c r="E546" s="193" t="s">
        <v>8209</v>
      </c>
      <c r="F546" s="193" t="s">
        <v>114</v>
      </c>
      <c r="G546" s="195" t="s">
        <v>10413</v>
      </c>
      <c r="H546" s="166" t="s">
        <v>13436</v>
      </c>
      <c r="I546" s="193" t="s">
        <v>12825</v>
      </c>
      <c r="J546" s="219" t="s">
        <v>12175</v>
      </c>
      <c r="K546" s="170"/>
      <c r="L546" s="219" t="s">
        <v>146</v>
      </c>
      <c r="M546" s="165"/>
    </row>
    <row r="547" spans="1:13" ht="15.75">
      <c r="A547" s="67">
        <f t="shared" si="8"/>
        <v>545</v>
      </c>
      <c r="B547" s="164">
        <v>545</v>
      </c>
      <c r="C547" s="193" t="s">
        <v>1840</v>
      </c>
      <c r="D547" s="195" t="s">
        <v>5108</v>
      </c>
      <c r="E547" s="193" t="s">
        <v>356</v>
      </c>
      <c r="F547" s="193" t="s">
        <v>114</v>
      </c>
      <c r="G547" s="195" t="s">
        <v>10414</v>
      </c>
      <c r="H547" s="166" t="s">
        <v>13436</v>
      </c>
      <c r="I547" s="193" t="s">
        <v>12824</v>
      </c>
      <c r="J547" s="219" t="s">
        <v>146</v>
      </c>
      <c r="K547" s="170"/>
      <c r="L547" s="193" t="s">
        <v>146</v>
      </c>
      <c r="M547" s="165"/>
    </row>
    <row r="548" spans="1:13" ht="15.75">
      <c r="A548" s="67">
        <f t="shared" si="8"/>
        <v>546</v>
      </c>
      <c r="B548" s="164">
        <v>546</v>
      </c>
      <c r="C548" s="193" t="s">
        <v>1841</v>
      </c>
      <c r="D548" s="195" t="s">
        <v>5109</v>
      </c>
      <c r="E548" s="193" t="s">
        <v>8210</v>
      </c>
      <c r="F548" s="193" t="s">
        <v>114</v>
      </c>
      <c r="G548" s="195" t="s">
        <v>10415</v>
      </c>
      <c r="H548" s="166" t="s">
        <v>13436</v>
      </c>
      <c r="I548" s="193" t="s">
        <v>12824</v>
      </c>
      <c r="J548" s="193" t="s">
        <v>147</v>
      </c>
      <c r="K548" s="170"/>
      <c r="L548" s="193" t="s">
        <v>146</v>
      </c>
      <c r="M548" s="165"/>
    </row>
    <row r="549" spans="1:13" ht="15.75">
      <c r="A549" s="67">
        <f t="shared" si="8"/>
        <v>547</v>
      </c>
      <c r="B549" s="164">
        <v>547</v>
      </c>
      <c r="C549" s="193" t="s">
        <v>1842</v>
      </c>
      <c r="D549" s="195" t="s">
        <v>5110</v>
      </c>
      <c r="E549" s="193" t="s">
        <v>182</v>
      </c>
      <c r="F549" s="193" t="s">
        <v>114</v>
      </c>
      <c r="G549" s="195" t="s">
        <v>10416</v>
      </c>
      <c r="H549" s="166" t="s">
        <v>13436</v>
      </c>
      <c r="I549" s="193" t="s">
        <v>12826</v>
      </c>
      <c r="J549" s="193" t="s">
        <v>1270</v>
      </c>
      <c r="K549" s="170"/>
      <c r="L549" s="193" t="s">
        <v>146</v>
      </c>
      <c r="M549" s="165"/>
    </row>
    <row r="550" spans="1:13" ht="15.75">
      <c r="A550" s="67">
        <f t="shared" si="8"/>
        <v>548</v>
      </c>
      <c r="B550" s="164">
        <v>548</v>
      </c>
      <c r="C550" s="193" t="s">
        <v>1843</v>
      </c>
      <c r="D550" s="195" t="s">
        <v>5111</v>
      </c>
      <c r="E550" s="193" t="s">
        <v>8211</v>
      </c>
      <c r="F550" s="193" t="s">
        <v>114</v>
      </c>
      <c r="G550" s="195" t="s">
        <v>10417</v>
      </c>
      <c r="H550" s="166" t="s">
        <v>13436</v>
      </c>
      <c r="I550" s="193" t="s">
        <v>12826</v>
      </c>
      <c r="J550" s="193" t="s">
        <v>146</v>
      </c>
      <c r="K550" s="170"/>
      <c r="L550" s="193" t="s">
        <v>146</v>
      </c>
      <c r="M550" s="165"/>
    </row>
    <row r="551" spans="1:13" ht="45">
      <c r="A551" s="67">
        <f t="shared" si="8"/>
        <v>549</v>
      </c>
      <c r="B551" s="164">
        <v>549</v>
      </c>
      <c r="C551" s="193" t="s">
        <v>1844</v>
      </c>
      <c r="D551" s="195" t="s">
        <v>5112</v>
      </c>
      <c r="E551" s="193" t="s">
        <v>426</v>
      </c>
      <c r="F551" s="193" t="s">
        <v>114</v>
      </c>
      <c r="G551" s="195" t="s">
        <v>10418</v>
      </c>
      <c r="H551" s="166" t="s">
        <v>13436</v>
      </c>
      <c r="I551" s="193" t="s">
        <v>12826</v>
      </c>
      <c r="J551" s="193" t="s">
        <v>12176</v>
      </c>
      <c r="K551" s="170"/>
      <c r="L551" s="193" t="s">
        <v>12987</v>
      </c>
      <c r="M551" s="165"/>
    </row>
    <row r="552" spans="1:13" ht="30">
      <c r="A552" s="67">
        <f t="shared" si="8"/>
        <v>550</v>
      </c>
      <c r="B552" s="164">
        <v>550</v>
      </c>
      <c r="C552" s="193" t="s">
        <v>1845</v>
      </c>
      <c r="D552" s="197" t="s">
        <v>5113</v>
      </c>
      <c r="E552" s="193" t="s">
        <v>8212</v>
      </c>
      <c r="F552" s="193" t="s">
        <v>114</v>
      </c>
      <c r="G552" s="195" t="s">
        <v>10419</v>
      </c>
      <c r="H552" s="166" t="s">
        <v>13436</v>
      </c>
      <c r="I552" s="193" t="s">
        <v>12816</v>
      </c>
      <c r="J552" s="193" t="s">
        <v>12177</v>
      </c>
      <c r="K552" s="170"/>
      <c r="L552" s="193" t="s">
        <v>12988</v>
      </c>
      <c r="M552" s="165"/>
    </row>
    <row r="553" spans="1:13" ht="30">
      <c r="A553" s="67">
        <f t="shared" si="8"/>
        <v>551</v>
      </c>
      <c r="B553" s="164">
        <v>551</v>
      </c>
      <c r="C553" s="193" t="s">
        <v>1846</v>
      </c>
      <c r="D553" s="195" t="s">
        <v>5114</v>
      </c>
      <c r="E553" s="193" t="s">
        <v>8213</v>
      </c>
      <c r="F553" s="193" t="s">
        <v>114</v>
      </c>
      <c r="G553" s="195" t="s">
        <v>10420</v>
      </c>
      <c r="H553" s="166" t="s">
        <v>13436</v>
      </c>
      <c r="I553" s="193" t="s">
        <v>12818</v>
      </c>
      <c r="J553" s="219" t="s">
        <v>146</v>
      </c>
      <c r="K553" s="170"/>
      <c r="L553" s="193" t="s">
        <v>12989</v>
      </c>
      <c r="M553" s="165"/>
    </row>
    <row r="554" spans="1:13" ht="30">
      <c r="A554" s="67">
        <f t="shared" si="8"/>
        <v>552</v>
      </c>
      <c r="B554" s="164">
        <v>552</v>
      </c>
      <c r="C554" s="193" t="s">
        <v>1847</v>
      </c>
      <c r="D554" s="195" t="s">
        <v>5115</v>
      </c>
      <c r="E554" s="193" t="s">
        <v>8214</v>
      </c>
      <c r="F554" s="193" t="s">
        <v>114</v>
      </c>
      <c r="G554" s="195" t="s">
        <v>747</v>
      </c>
      <c r="H554" s="166" t="s">
        <v>13436</v>
      </c>
      <c r="I554" s="193" t="s">
        <v>12818</v>
      </c>
      <c r="J554" s="193" t="s">
        <v>12178</v>
      </c>
      <c r="K554" s="170"/>
      <c r="L554" s="193" t="s">
        <v>146</v>
      </c>
      <c r="M554" s="165"/>
    </row>
    <row r="555" spans="1:13" ht="45">
      <c r="A555" s="67">
        <f t="shared" si="8"/>
        <v>553</v>
      </c>
      <c r="B555" s="164">
        <v>553</v>
      </c>
      <c r="C555" s="193" t="s">
        <v>1848</v>
      </c>
      <c r="D555" s="195" t="s">
        <v>5116</v>
      </c>
      <c r="E555" s="193" t="s">
        <v>8215</v>
      </c>
      <c r="F555" s="193" t="s">
        <v>114</v>
      </c>
      <c r="G555" s="195" t="s">
        <v>10421</v>
      </c>
      <c r="H555" s="166" t="s">
        <v>13436</v>
      </c>
      <c r="I555" s="193" t="s">
        <v>12818</v>
      </c>
      <c r="J555" s="193" t="s">
        <v>12179</v>
      </c>
      <c r="K555" s="170"/>
      <c r="L555" s="193" t="s">
        <v>146</v>
      </c>
      <c r="M555" s="165"/>
    </row>
    <row r="556" spans="1:13" ht="15.75">
      <c r="A556" s="67">
        <f t="shared" si="8"/>
        <v>554</v>
      </c>
      <c r="B556" s="164">
        <v>554</v>
      </c>
      <c r="C556" s="193" t="s">
        <v>1849</v>
      </c>
      <c r="D556" s="195" t="s">
        <v>5117</v>
      </c>
      <c r="E556" s="193" t="s">
        <v>8216</v>
      </c>
      <c r="F556" s="193" t="s">
        <v>114</v>
      </c>
      <c r="G556" s="195" t="s">
        <v>10422</v>
      </c>
      <c r="H556" s="166" t="s">
        <v>13436</v>
      </c>
      <c r="I556" s="193" t="s">
        <v>12814</v>
      </c>
      <c r="J556" s="193" t="s">
        <v>12180</v>
      </c>
      <c r="K556" s="170"/>
      <c r="L556" s="193" t="s">
        <v>146</v>
      </c>
      <c r="M556" s="165"/>
    </row>
    <row r="557" spans="1:13" ht="15.75">
      <c r="A557" s="67">
        <f t="shared" si="8"/>
        <v>555</v>
      </c>
      <c r="B557" s="164">
        <v>555</v>
      </c>
      <c r="C557" s="193" t="s">
        <v>1850</v>
      </c>
      <c r="D557" s="195" t="s">
        <v>5118</v>
      </c>
      <c r="E557" s="193" t="s">
        <v>8217</v>
      </c>
      <c r="F557" s="193" t="s">
        <v>114</v>
      </c>
      <c r="G557" s="195" t="s">
        <v>10423</v>
      </c>
      <c r="H557" s="166" t="s">
        <v>13436</v>
      </c>
      <c r="I557" s="193" t="s">
        <v>12814</v>
      </c>
      <c r="J557" s="193" t="s">
        <v>146</v>
      </c>
      <c r="K557" s="170"/>
      <c r="L557" s="193" t="s">
        <v>146</v>
      </c>
      <c r="M557" s="165"/>
    </row>
    <row r="558" spans="1:13" ht="30">
      <c r="A558" s="67">
        <f t="shared" si="8"/>
        <v>556</v>
      </c>
      <c r="B558" s="164">
        <v>556</v>
      </c>
      <c r="C558" s="193" t="s">
        <v>1851</v>
      </c>
      <c r="D558" s="195" t="s">
        <v>5119</v>
      </c>
      <c r="E558" s="193" t="s">
        <v>8218</v>
      </c>
      <c r="F558" s="193" t="s">
        <v>114</v>
      </c>
      <c r="G558" s="195" t="s">
        <v>10424</v>
      </c>
      <c r="H558" s="166" t="s">
        <v>13436</v>
      </c>
      <c r="I558" s="193" t="s">
        <v>12814</v>
      </c>
      <c r="J558" s="193" t="s">
        <v>12181</v>
      </c>
      <c r="K558" s="170"/>
      <c r="L558" s="193" t="s">
        <v>12990</v>
      </c>
      <c r="M558" s="165"/>
    </row>
    <row r="559" spans="1:13" ht="15.75">
      <c r="A559" s="67">
        <f t="shared" si="8"/>
        <v>557</v>
      </c>
      <c r="B559" s="164">
        <v>557</v>
      </c>
      <c r="C559" s="193" t="s">
        <v>1852</v>
      </c>
      <c r="D559" s="195" t="s">
        <v>5120</v>
      </c>
      <c r="E559" s="193" t="s">
        <v>8219</v>
      </c>
      <c r="F559" s="193" t="s">
        <v>114</v>
      </c>
      <c r="G559" s="195" t="s">
        <v>10425</v>
      </c>
      <c r="H559" s="166" t="s">
        <v>13436</v>
      </c>
      <c r="I559" s="193" t="s">
        <v>12814</v>
      </c>
      <c r="J559" s="193" t="s">
        <v>146</v>
      </c>
      <c r="K559" s="170"/>
      <c r="L559" s="193" t="s">
        <v>146</v>
      </c>
      <c r="M559" s="165"/>
    </row>
    <row r="560" spans="1:13" ht="30">
      <c r="A560" s="67">
        <f t="shared" si="8"/>
        <v>558</v>
      </c>
      <c r="B560" s="164">
        <v>558</v>
      </c>
      <c r="C560" s="193" t="s">
        <v>1853</v>
      </c>
      <c r="D560" s="195" t="s">
        <v>5121</v>
      </c>
      <c r="E560" s="193" t="s">
        <v>8220</v>
      </c>
      <c r="F560" s="193" t="s">
        <v>114</v>
      </c>
      <c r="G560" s="195" t="s">
        <v>10426</v>
      </c>
      <c r="H560" s="166" t="s">
        <v>13436</v>
      </c>
      <c r="I560" s="193" t="s">
        <v>12814</v>
      </c>
      <c r="J560" s="193" t="s">
        <v>146</v>
      </c>
      <c r="K560" s="170"/>
      <c r="L560" s="193" t="s">
        <v>12991</v>
      </c>
      <c r="M560" s="165"/>
    </row>
    <row r="561" spans="1:13" ht="15.75">
      <c r="A561" s="67">
        <f t="shared" si="8"/>
        <v>559</v>
      </c>
      <c r="B561" s="164">
        <v>559</v>
      </c>
      <c r="C561" s="193" t="s">
        <v>1854</v>
      </c>
      <c r="D561" s="195" t="s">
        <v>5122</v>
      </c>
      <c r="E561" s="193" t="s">
        <v>519</v>
      </c>
      <c r="F561" s="193" t="s">
        <v>114</v>
      </c>
      <c r="G561" s="195" t="s">
        <v>10242</v>
      </c>
      <c r="H561" s="166" t="s">
        <v>13436</v>
      </c>
      <c r="I561" s="193" t="s">
        <v>12814</v>
      </c>
      <c r="J561" s="193" t="s">
        <v>146</v>
      </c>
      <c r="K561" s="170"/>
      <c r="L561" s="193" t="s">
        <v>146</v>
      </c>
      <c r="M561" s="165"/>
    </row>
    <row r="562" spans="1:13" ht="30">
      <c r="A562" s="67">
        <f t="shared" si="8"/>
        <v>560</v>
      </c>
      <c r="B562" s="164">
        <v>560</v>
      </c>
      <c r="C562" s="193" t="s">
        <v>1855</v>
      </c>
      <c r="D562" s="195" t="s">
        <v>5123</v>
      </c>
      <c r="E562" s="193" t="s">
        <v>8221</v>
      </c>
      <c r="F562" s="193" t="s">
        <v>114</v>
      </c>
      <c r="G562" s="195" t="s">
        <v>10210</v>
      </c>
      <c r="H562" s="166" t="s">
        <v>13436</v>
      </c>
      <c r="I562" s="193" t="s">
        <v>12814</v>
      </c>
      <c r="J562" s="193" t="s">
        <v>146</v>
      </c>
      <c r="K562" s="170"/>
      <c r="L562" s="193" t="s">
        <v>12992</v>
      </c>
      <c r="M562" s="165"/>
    </row>
    <row r="563" spans="1:13" ht="30">
      <c r="A563" s="67">
        <f t="shared" si="8"/>
        <v>561</v>
      </c>
      <c r="B563" s="164">
        <v>561</v>
      </c>
      <c r="C563" s="193" t="s">
        <v>1856</v>
      </c>
      <c r="D563" s="195" t="s">
        <v>5124</v>
      </c>
      <c r="E563" s="193" t="s">
        <v>493</v>
      </c>
      <c r="F563" s="193" t="s">
        <v>114</v>
      </c>
      <c r="G563" s="195" t="s">
        <v>10427</v>
      </c>
      <c r="H563" s="166" t="s">
        <v>13436</v>
      </c>
      <c r="I563" s="193" t="s">
        <v>12814</v>
      </c>
      <c r="J563" s="219" t="s">
        <v>12182</v>
      </c>
      <c r="K563" s="170"/>
      <c r="L563" s="193" t="s">
        <v>146</v>
      </c>
      <c r="M563" s="165"/>
    </row>
    <row r="564" spans="1:13" ht="15.75">
      <c r="A564" s="67">
        <f t="shared" si="8"/>
        <v>562</v>
      </c>
      <c r="B564" s="164">
        <v>562</v>
      </c>
      <c r="C564" s="193" t="s">
        <v>1857</v>
      </c>
      <c r="D564" s="195" t="s">
        <v>5125</v>
      </c>
      <c r="E564" s="193" t="s">
        <v>8222</v>
      </c>
      <c r="F564" s="193" t="s">
        <v>114</v>
      </c>
      <c r="G564" s="195" t="s">
        <v>10428</v>
      </c>
      <c r="H564" s="166" t="s">
        <v>13436</v>
      </c>
      <c r="I564" s="193" t="s">
        <v>12825</v>
      </c>
      <c r="J564" s="193" t="s">
        <v>146</v>
      </c>
      <c r="K564" s="170"/>
      <c r="L564" s="193" t="s">
        <v>146</v>
      </c>
      <c r="M564" s="165"/>
    </row>
    <row r="565" spans="1:13" ht="15.75">
      <c r="A565" s="67">
        <f t="shared" si="8"/>
        <v>563</v>
      </c>
      <c r="B565" s="164">
        <v>563</v>
      </c>
      <c r="C565" s="193" t="s">
        <v>1858</v>
      </c>
      <c r="D565" s="195" t="s">
        <v>5126</v>
      </c>
      <c r="E565" s="193" t="s">
        <v>8223</v>
      </c>
      <c r="F565" s="193" t="s">
        <v>114</v>
      </c>
      <c r="G565" s="195" t="s">
        <v>684</v>
      </c>
      <c r="H565" s="166" t="s">
        <v>13436</v>
      </c>
      <c r="I565" s="193" t="s">
        <v>12814</v>
      </c>
      <c r="J565" s="193" t="s">
        <v>146</v>
      </c>
      <c r="K565" s="170"/>
      <c r="L565" s="193" t="s">
        <v>146</v>
      </c>
      <c r="M565" s="165"/>
    </row>
    <row r="566" spans="1:13" ht="15.75">
      <c r="A566" s="67">
        <f t="shared" si="8"/>
        <v>564</v>
      </c>
      <c r="B566" s="164">
        <v>564</v>
      </c>
      <c r="C566" s="193" t="s">
        <v>1859</v>
      </c>
      <c r="D566" s="196" t="s">
        <v>5127</v>
      </c>
      <c r="E566" s="193" t="s">
        <v>8224</v>
      </c>
      <c r="F566" s="193" t="s">
        <v>114</v>
      </c>
      <c r="G566" s="195" t="s">
        <v>10429</v>
      </c>
      <c r="H566" s="166" t="s">
        <v>13436</v>
      </c>
      <c r="I566" s="193" t="s">
        <v>12830</v>
      </c>
      <c r="J566" s="193" t="s">
        <v>1270</v>
      </c>
      <c r="K566" s="170"/>
      <c r="L566" s="193" t="s">
        <v>146</v>
      </c>
      <c r="M566" s="165"/>
    </row>
    <row r="567" spans="1:13" ht="30">
      <c r="A567" s="67">
        <f t="shared" si="8"/>
        <v>565</v>
      </c>
      <c r="B567" s="164">
        <v>565</v>
      </c>
      <c r="C567" s="193" t="s">
        <v>1860</v>
      </c>
      <c r="D567" s="195" t="s">
        <v>5128</v>
      </c>
      <c r="E567" s="193" t="s">
        <v>8225</v>
      </c>
      <c r="F567" s="193" t="s">
        <v>114</v>
      </c>
      <c r="G567" s="195" t="s">
        <v>10430</v>
      </c>
      <c r="H567" s="166" t="s">
        <v>13436</v>
      </c>
      <c r="I567" s="193" t="s">
        <v>12821</v>
      </c>
      <c r="J567" s="193" t="s">
        <v>12183</v>
      </c>
      <c r="K567" s="170"/>
      <c r="L567" s="193" t="s">
        <v>12993</v>
      </c>
      <c r="M567" s="165"/>
    </row>
    <row r="568" spans="1:13" ht="45">
      <c r="A568" s="67">
        <f t="shared" si="8"/>
        <v>566</v>
      </c>
      <c r="B568" s="164">
        <v>566</v>
      </c>
      <c r="C568" s="193" t="s">
        <v>1861</v>
      </c>
      <c r="D568" s="195" t="s">
        <v>5129</v>
      </c>
      <c r="E568" s="193" t="s">
        <v>475</v>
      </c>
      <c r="F568" s="193" t="s">
        <v>114</v>
      </c>
      <c r="G568" s="195" t="s">
        <v>10431</v>
      </c>
      <c r="H568" s="166" t="s">
        <v>13436</v>
      </c>
      <c r="I568" s="193" t="s">
        <v>12819</v>
      </c>
      <c r="J568" s="193" t="s">
        <v>12184</v>
      </c>
      <c r="K568" s="170"/>
      <c r="L568" s="193" t="s">
        <v>146</v>
      </c>
      <c r="M568" s="165"/>
    </row>
    <row r="569" spans="1:13" ht="30">
      <c r="A569" s="67">
        <f t="shared" si="8"/>
        <v>567</v>
      </c>
      <c r="B569" s="164">
        <v>567</v>
      </c>
      <c r="C569" s="193" t="s">
        <v>1862</v>
      </c>
      <c r="D569" s="195" t="s">
        <v>5130</v>
      </c>
      <c r="E569" s="193" t="s">
        <v>349</v>
      </c>
      <c r="F569" s="193" t="s">
        <v>114</v>
      </c>
      <c r="G569" s="195" t="s">
        <v>1163</v>
      </c>
      <c r="H569" s="166" t="s">
        <v>13436</v>
      </c>
      <c r="I569" s="193" t="s">
        <v>12817</v>
      </c>
      <c r="J569" s="193" t="s">
        <v>12185</v>
      </c>
      <c r="K569" s="170"/>
      <c r="L569" s="193" t="s">
        <v>146</v>
      </c>
      <c r="M569" s="165"/>
    </row>
    <row r="570" spans="1:13" ht="30">
      <c r="A570" s="67">
        <f t="shared" si="8"/>
        <v>568</v>
      </c>
      <c r="B570" s="164">
        <v>568</v>
      </c>
      <c r="C570" s="193" t="s">
        <v>1863</v>
      </c>
      <c r="D570" s="195" t="s">
        <v>5131</v>
      </c>
      <c r="E570" s="193" t="s">
        <v>8226</v>
      </c>
      <c r="F570" s="193" t="s">
        <v>114</v>
      </c>
      <c r="G570" s="195" t="s">
        <v>10225</v>
      </c>
      <c r="H570" s="166" t="s">
        <v>13436</v>
      </c>
      <c r="I570" s="193" t="s">
        <v>12819</v>
      </c>
      <c r="J570" s="193" t="s">
        <v>12186</v>
      </c>
      <c r="K570" s="170"/>
      <c r="L570" s="193" t="s">
        <v>146</v>
      </c>
      <c r="M570" s="165"/>
    </row>
    <row r="571" spans="1:13" ht="60">
      <c r="A571" s="67">
        <f t="shared" si="8"/>
        <v>569</v>
      </c>
      <c r="B571" s="164">
        <v>569</v>
      </c>
      <c r="C571" s="193" t="s">
        <v>1864</v>
      </c>
      <c r="D571" s="195" t="s">
        <v>5132</v>
      </c>
      <c r="E571" s="193" t="s">
        <v>7960</v>
      </c>
      <c r="F571" s="193" t="s">
        <v>114</v>
      </c>
      <c r="G571" s="195" t="s">
        <v>10432</v>
      </c>
      <c r="H571" s="166" t="s">
        <v>13436</v>
      </c>
      <c r="I571" s="193" t="s">
        <v>12819</v>
      </c>
      <c r="J571" s="193" t="s">
        <v>1252</v>
      </c>
      <c r="K571" s="170"/>
      <c r="L571" s="193" t="s">
        <v>12994</v>
      </c>
      <c r="M571" s="165"/>
    </row>
    <row r="572" spans="1:13" ht="15.75">
      <c r="A572" s="67">
        <f t="shared" si="8"/>
        <v>570</v>
      </c>
      <c r="B572" s="164">
        <v>570</v>
      </c>
      <c r="C572" s="193" t="s">
        <v>1865</v>
      </c>
      <c r="D572" s="195" t="s">
        <v>5133</v>
      </c>
      <c r="E572" s="193" t="s">
        <v>8227</v>
      </c>
      <c r="F572" s="193" t="s">
        <v>114</v>
      </c>
      <c r="G572" s="195" t="s">
        <v>10433</v>
      </c>
      <c r="H572" s="166" t="s">
        <v>13436</v>
      </c>
      <c r="I572" s="193" t="s">
        <v>12819</v>
      </c>
      <c r="J572" s="193" t="s">
        <v>146</v>
      </c>
      <c r="K572" s="170"/>
      <c r="L572" s="193" t="s">
        <v>146</v>
      </c>
      <c r="M572" s="165"/>
    </row>
    <row r="573" spans="1:13" ht="30">
      <c r="A573" s="67">
        <f t="shared" si="8"/>
        <v>571</v>
      </c>
      <c r="B573" s="164">
        <v>571</v>
      </c>
      <c r="C573" s="193" t="s">
        <v>1866</v>
      </c>
      <c r="D573" s="195" t="s">
        <v>5134</v>
      </c>
      <c r="E573" s="193" t="s">
        <v>8228</v>
      </c>
      <c r="F573" s="193" t="s">
        <v>114</v>
      </c>
      <c r="G573" s="195" t="s">
        <v>10434</v>
      </c>
      <c r="H573" s="166" t="s">
        <v>13436</v>
      </c>
      <c r="I573" s="193" t="s">
        <v>12819</v>
      </c>
      <c r="J573" s="193" t="s">
        <v>146</v>
      </c>
      <c r="K573" s="170"/>
      <c r="L573" s="193" t="s">
        <v>12995</v>
      </c>
      <c r="M573" s="165"/>
    </row>
    <row r="574" spans="1:13" ht="45">
      <c r="A574" s="67">
        <f t="shared" si="8"/>
        <v>572</v>
      </c>
      <c r="B574" s="164">
        <v>572</v>
      </c>
      <c r="C574" s="193" t="s">
        <v>1867</v>
      </c>
      <c r="D574" s="195" t="s">
        <v>5135</v>
      </c>
      <c r="E574" s="193" t="s">
        <v>8229</v>
      </c>
      <c r="F574" s="193" t="s">
        <v>114</v>
      </c>
      <c r="G574" s="195" t="s">
        <v>10435</v>
      </c>
      <c r="H574" s="166" t="s">
        <v>13436</v>
      </c>
      <c r="I574" s="193" t="s">
        <v>12826</v>
      </c>
      <c r="J574" s="193" t="s">
        <v>12187</v>
      </c>
      <c r="K574" s="170"/>
      <c r="L574" s="193" t="s">
        <v>146</v>
      </c>
      <c r="M574" s="165"/>
    </row>
    <row r="575" spans="1:13" ht="30">
      <c r="A575" s="67">
        <f t="shared" si="8"/>
        <v>573</v>
      </c>
      <c r="B575" s="164">
        <v>573</v>
      </c>
      <c r="C575" s="193" t="s">
        <v>1868</v>
      </c>
      <c r="D575" s="195" t="s">
        <v>5136</v>
      </c>
      <c r="E575" s="193" t="s">
        <v>8230</v>
      </c>
      <c r="F575" s="193" t="s">
        <v>114</v>
      </c>
      <c r="G575" s="195" t="s">
        <v>220</v>
      </c>
      <c r="H575" s="166" t="s">
        <v>13436</v>
      </c>
      <c r="I575" s="193" t="s">
        <v>12813</v>
      </c>
      <c r="J575" s="193" t="s">
        <v>12188</v>
      </c>
      <c r="K575" s="170"/>
      <c r="L575" s="193" t="s">
        <v>12996</v>
      </c>
      <c r="M575" s="165"/>
    </row>
    <row r="576" spans="1:13" ht="30">
      <c r="A576" s="67">
        <f t="shared" si="8"/>
        <v>574</v>
      </c>
      <c r="B576" s="164">
        <v>574</v>
      </c>
      <c r="C576" s="193" t="s">
        <v>1869</v>
      </c>
      <c r="D576" s="195" t="s">
        <v>5137</v>
      </c>
      <c r="E576" s="193" t="s">
        <v>8231</v>
      </c>
      <c r="F576" s="193" t="s">
        <v>59</v>
      </c>
      <c r="G576" s="195" t="s">
        <v>754</v>
      </c>
      <c r="H576" s="166" t="s">
        <v>13436</v>
      </c>
      <c r="I576" s="193" t="s">
        <v>12825</v>
      </c>
      <c r="J576" s="219" t="s">
        <v>12029</v>
      </c>
      <c r="K576" s="170"/>
      <c r="L576" s="193"/>
      <c r="M576" s="165"/>
    </row>
    <row r="577" spans="1:13" ht="15.75">
      <c r="A577" s="67">
        <f t="shared" si="8"/>
        <v>575</v>
      </c>
      <c r="B577" s="164">
        <v>575</v>
      </c>
      <c r="C577" s="193" t="s">
        <v>1870</v>
      </c>
      <c r="D577" s="195" t="s">
        <v>5138</v>
      </c>
      <c r="E577" s="193" t="s">
        <v>8232</v>
      </c>
      <c r="F577" s="193" t="s">
        <v>59</v>
      </c>
      <c r="G577" s="195" t="s">
        <v>10436</v>
      </c>
      <c r="H577" s="166" t="s">
        <v>13436</v>
      </c>
      <c r="I577" s="193" t="s">
        <v>12813</v>
      </c>
      <c r="J577" s="193" t="s">
        <v>146</v>
      </c>
      <c r="K577" s="170"/>
      <c r="L577" s="193"/>
      <c r="M577" s="165"/>
    </row>
    <row r="578" spans="1:13" ht="30">
      <c r="A578" s="67">
        <f t="shared" si="8"/>
        <v>576</v>
      </c>
      <c r="B578" s="164">
        <v>576</v>
      </c>
      <c r="C578" s="193" t="s">
        <v>1871</v>
      </c>
      <c r="D578" s="195" t="s">
        <v>5139</v>
      </c>
      <c r="E578" s="193" t="s">
        <v>8233</v>
      </c>
      <c r="F578" s="193" t="s">
        <v>114</v>
      </c>
      <c r="G578" s="195" t="s">
        <v>10437</v>
      </c>
      <c r="H578" s="166" t="s">
        <v>13436</v>
      </c>
      <c r="I578" s="193" t="s">
        <v>12813</v>
      </c>
      <c r="J578" s="193" t="s">
        <v>146</v>
      </c>
      <c r="K578" s="170"/>
      <c r="L578" s="193" t="s">
        <v>12997</v>
      </c>
      <c r="M578" s="165"/>
    </row>
    <row r="579" spans="1:13" ht="15.75">
      <c r="A579" s="67">
        <f t="shared" ref="A579:A642" si="9">IFERROR(VALUE(RIGHT(C579,4)),"")</f>
        <v>577</v>
      </c>
      <c r="B579" s="164">
        <v>577</v>
      </c>
      <c r="C579" s="193" t="s">
        <v>1872</v>
      </c>
      <c r="D579" s="203" t="s">
        <v>5140</v>
      </c>
      <c r="E579" s="193" t="s">
        <v>8234</v>
      </c>
      <c r="F579" s="193" t="s">
        <v>114</v>
      </c>
      <c r="G579" s="195" t="s">
        <v>10438</v>
      </c>
      <c r="H579" s="166" t="s">
        <v>13436</v>
      </c>
      <c r="I579" s="193" t="s">
        <v>12827</v>
      </c>
      <c r="J579" s="193" t="s">
        <v>12189</v>
      </c>
      <c r="K579" s="170"/>
      <c r="L579" s="193" t="s">
        <v>146</v>
      </c>
      <c r="M579" s="165"/>
    </row>
    <row r="580" spans="1:13" ht="15.75">
      <c r="A580" s="67">
        <f t="shared" si="9"/>
        <v>578</v>
      </c>
      <c r="B580" s="164">
        <v>578</v>
      </c>
      <c r="C580" s="193" t="s">
        <v>1873</v>
      </c>
      <c r="D580" s="195" t="s">
        <v>5141</v>
      </c>
      <c r="E580" s="193" t="s">
        <v>388</v>
      </c>
      <c r="F580" s="193" t="s">
        <v>114</v>
      </c>
      <c r="G580" s="195" t="s">
        <v>706</v>
      </c>
      <c r="H580" s="166" t="s">
        <v>13436</v>
      </c>
      <c r="I580" s="193" t="s">
        <v>12836</v>
      </c>
      <c r="J580" s="193" t="s">
        <v>146</v>
      </c>
      <c r="K580" s="170"/>
      <c r="L580" s="193" t="s">
        <v>146</v>
      </c>
      <c r="M580" s="165"/>
    </row>
    <row r="581" spans="1:13" ht="30">
      <c r="A581" s="67">
        <f t="shared" si="9"/>
        <v>579</v>
      </c>
      <c r="B581" s="164">
        <v>579</v>
      </c>
      <c r="C581" s="193" t="s">
        <v>1874</v>
      </c>
      <c r="D581" s="195" t="s">
        <v>5142</v>
      </c>
      <c r="E581" s="193" t="s">
        <v>8235</v>
      </c>
      <c r="F581" s="193" t="s">
        <v>114</v>
      </c>
      <c r="G581" s="195" t="s">
        <v>1211</v>
      </c>
      <c r="H581" s="166" t="s">
        <v>13436</v>
      </c>
      <c r="I581" s="193" t="s">
        <v>12820</v>
      </c>
      <c r="J581" s="193" t="s">
        <v>12190</v>
      </c>
      <c r="K581" s="170"/>
      <c r="L581" s="193" t="s">
        <v>146</v>
      </c>
      <c r="M581" s="165"/>
    </row>
    <row r="582" spans="1:13" ht="30">
      <c r="A582" s="67">
        <f t="shared" si="9"/>
        <v>580</v>
      </c>
      <c r="B582" s="164">
        <v>580</v>
      </c>
      <c r="C582" s="193" t="s">
        <v>1875</v>
      </c>
      <c r="D582" s="195" t="s">
        <v>5143</v>
      </c>
      <c r="E582" s="193" t="s">
        <v>155</v>
      </c>
      <c r="F582" s="193" t="s">
        <v>114</v>
      </c>
      <c r="G582" s="195" t="s">
        <v>728</v>
      </c>
      <c r="H582" s="166" t="s">
        <v>13436</v>
      </c>
      <c r="I582" s="193" t="s">
        <v>12836</v>
      </c>
      <c r="J582" s="193" t="s">
        <v>12191</v>
      </c>
      <c r="K582" s="170"/>
      <c r="L582" s="193" t="s">
        <v>12998</v>
      </c>
      <c r="M582" s="165"/>
    </row>
    <row r="583" spans="1:13" ht="30">
      <c r="A583" s="67">
        <f t="shared" si="9"/>
        <v>581</v>
      </c>
      <c r="B583" s="164">
        <v>581</v>
      </c>
      <c r="C583" s="193" t="s">
        <v>1876</v>
      </c>
      <c r="D583" s="195" t="s">
        <v>5144</v>
      </c>
      <c r="E583" s="193" t="s">
        <v>466</v>
      </c>
      <c r="F583" s="193" t="s">
        <v>114</v>
      </c>
      <c r="G583" s="195" t="s">
        <v>10439</v>
      </c>
      <c r="H583" s="166" t="s">
        <v>13436</v>
      </c>
      <c r="I583" s="193" t="s">
        <v>12836</v>
      </c>
      <c r="J583" s="193" t="s">
        <v>146</v>
      </c>
      <c r="K583" s="170"/>
      <c r="L583" s="193" t="s">
        <v>12999</v>
      </c>
      <c r="M583" s="165"/>
    </row>
    <row r="584" spans="1:13" ht="165">
      <c r="A584" s="67">
        <f t="shared" si="9"/>
        <v>582</v>
      </c>
      <c r="B584" s="164">
        <v>582</v>
      </c>
      <c r="C584" s="193" t="s">
        <v>1877</v>
      </c>
      <c r="D584" s="195" t="s">
        <v>5145</v>
      </c>
      <c r="E584" s="193" t="s">
        <v>8236</v>
      </c>
      <c r="F584" s="193" t="s">
        <v>114</v>
      </c>
      <c r="G584" s="195" t="s">
        <v>199</v>
      </c>
      <c r="H584" s="166" t="s">
        <v>13436</v>
      </c>
      <c r="I584" s="193" t="s">
        <v>12836</v>
      </c>
      <c r="J584" s="193" t="s">
        <v>12192</v>
      </c>
      <c r="K584" s="170"/>
      <c r="L584" s="193" t="s">
        <v>13000</v>
      </c>
      <c r="M584" s="165"/>
    </row>
    <row r="585" spans="1:13" ht="15.75">
      <c r="A585" s="67">
        <f t="shared" si="9"/>
        <v>583</v>
      </c>
      <c r="B585" s="164">
        <v>583</v>
      </c>
      <c r="C585" s="193" t="s">
        <v>1878</v>
      </c>
      <c r="D585" s="201" t="s">
        <v>5146</v>
      </c>
      <c r="E585" s="193" t="s">
        <v>8237</v>
      </c>
      <c r="F585" s="193" t="s">
        <v>59</v>
      </c>
      <c r="G585" s="195" t="s">
        <v>10440</v>
      </c>
      <c r="H585" s="166" t="s">
        <v>13436</v>
      </c>
      <c r="I585" s="193" t="s">
        <v>12834</v>
      </c>
      <c r="J585" s="219" t="s">
        <v>148</v>
      </c>
      <c r="K585" s="170"/>
      <c r="L585" s="193"/>
      <c r="M585" s="165"/>
    </row>
    <row r="586" spans="1:13" ht="15.75">
      <c r="A586" s="67">
        <f t="shared" si="9"/>
        <v>584</v>
      </c>
      <c r="B586" s="164">
        <v>584</v>
      </c>
      <c r="C586" s="193" t="s">
        <v>1879</v>
      </c>
      <c r="D586" s="201" t="s">
        <v>5147</v>
      </c>
      <c r="E586" s="193" t="s">
        <v>8238</v>
      </c>
      <c r="F586" s="193" t="s">
        <v>59</v>
      </c>
      <c r="G586" s="195" t="s">
        <v>10441</v>
      </c>
      <c r="H586" s="166" t="s">
        <v>13436</v>
      </c>
      <c r="I586" s="193" t="s">
        <v>12834</v>
      </c>
      <c r="J586" s="193" t="s">
        <v>146</v>
      </c>
      <c r="K586" s="170"/>
      <c r="L586" s="193"/>
      <c r="M586" s="165"/>
    </row>
    <row r="587" spans="1:13" ht="15.75">
      <c r="A587" s="67">
        <f t="shared" si="9"/>
        <v>585</v>
      </c>
      <c r="B587" s="164">
        <v>585</v>
      </c>
      <c r="C587" s="193" t="s">
        <v>1880</v>
      </c>
      <c r="D587" s="195" t="s">
        <v>5148</v>
      </c>
      <c r="E587" s="193" t="s">
        <v>8239</v>
      </c>
      <c r="F587" s="193" t="s">
        <v>59</v>
      </c>
      <c r="G587" s="195" t="s">
        <v>10442</v>
      </c>
      <c r="H587" s="166" t="s">
        <v>13436</v>
      </c>
      <c r="I587" s="193" t="s">
        <v>12827</v>
      </c>
      <c r="J587" s="219" t="s">
        <v>146</v>
      </c>
      <c r="K587" s="170"/>
      <c r="L587" s="193"/>
      <c r="M587" s="165"/>
    </row>
    <row r="588" spans="1:13" ht="45">
      <c r="A588" s="67">
        <f t="shared" si="9"/>
        <v>586</v>
      </c>
      <c r="B588" s="164">
        <v>586</v>
      </c>
      <c r="C588" s="193" t="s">
        <v>1881</v>
      </c>
      <c r="D588" s="195" t="s">
        <v>5149</v>
      </c>
      <c r="E588" s="193" t="s">
        <v>8240</v>
      </c>
      <c r="F588" s="193" t="s">
        <v>59</v>
      </c>
      <c r="G588" s="195" t="s">
        <v>10443</v>
      </c>
      <c r="H588" s="166" t="s">
        <v>13436</v>
      </c>
      <c r="I588" s="193" t="s">
        <v>12825</v>
      </c>
      <c r="J588" s="193" t="s">
        <v>12193</v>
      </c>
      <c r="K588" s="170"/>
      <c r="L588" s="193"/>
      <c r="M588" s="165"/>
    </row>
    <row r="589" spans="1:13" ht="15.75">
      <c r="A589" s="67">
        <f t="shared" si="9"/>
        <v>587</v>
      </c>
      <c r="B589" s="164">
        <v>587</v>
      </c>
      <c r="C589" s="193" t="s">
        <v>1882</v>
      </c>
      <c r="D589" s="195" t="s">
        <v>5150</v>
      </c>
      <c r="E589" s="193" t="s">
        <v>8241</v>
      </c>
      <c r="F589" s="193" t="s">
        <v>114</v>
      </c>
      <c r="G589" s="195" t="s">
        <v>10444</v>
      </c>
      <c r="H589" s="166" t="s">
        <v>13436</v>
      </c>
      <c r="I589" s="193" t="s">
        <v>12825</v>
      </c>
      <c r="J589" s="219" t="s">
        <v>146</v>
      </c>
      <c r="K589" s="170"/>
      <c r="L589" s="193" t="s">
        <v>146</v>
      </c>
      <c r="M589" s="165"/>
    </row>
    <row r="590" spans="1:13" ht="15.75">
      <c r="A590" s="67">
        <f t="shared" si="9"/>
        <v>588</v>
      </c>
      <c r="B590" s="164">
        <v>588</v>
      </c>
      <c r="C590" s="193" t="s">
        <v>1883</v>
      </c>
      <c r="D590" s="195" t="s">
        <v>5151</v>
      </c>
      <c r="E590" s="193" t="s">
        <v>161</v>
      </c>
      <c r="F590" s="193" t="s">
        <v>114</v>
      </c>
      <c r="G590" s="195" t="s">
        <v>1163</v>
      </c>
      <c r="H590" s="166" t="s">
        <v>13436</v>
      </c>
      <c r="I590" s="193" t="s">
        <v>12824</v>
      </c>
      <c r="J590" s="193" t="s">
        <v>147</v>
      </c>
      <c r="K590" s="170"/>
      <c r="L590" s="193" t="s">
        <v>146</v>
      </c>
      <c r="M590" s="165"/>
    </row>
    <row r="591" spans="1:13" ht="90">
      <c r="A591" s="67">
        <f t="shared" si="9"/>
        <v>589</v>
      </c>
      <c r="B591" s="164">
        <v>589</v>
      </c>
      <c r="C591" s="193" t="s">
        <v>1884</v>
      </c>
      <c r="D591" s="197" t="s">
        <v>5152</v>
      </c>
      <c r="E591" s="193" t="s">
        <v>8242</v>
      </c>
      <c r="F591" s="193" t="s">
        <v>114</v>
      </c>
      <c r="G591" s="195" t="s">
        <v>10445</v>
      </c>
      <c r="H591" s="166" t="s">
        <v>13436</v>
      </c>
      <c r="I591" s="193" t="s">
        <v>12816</v>
      </c>
      <c r="J591" s="193" t="s">
        <v>12194</v>
      </c>
      <c r="K591" s="170"/>
      <c r="L591" s="193" t="s">
        <v>146</v>
      </c>
      <c r="M591" s="165"/>
    </row>
    <row r="592" spans="1:13" ht="15.75">
      <c r="A592" s="67">
        <f t="shared" si="9"/>
        <v>590</v>
      </c>
      <c r="B592" s="164">
        <v>590</v>
      </c>
      <c r="C592" s="193" t="s">
        <v>1885</v>
      </c>
      <c r="D592" s="195" t="s">
        <v>5153</v>
      </c>
      <c r="E592" s="193" t="s">
        <v>7945</v>
      </c>
      <c r="F592" s="193" t="s">
        <v>114</v>
      </c>
      <c r="G592" s="195" t="s">
        <v>674</v>
      </c>
      <c r="H592" s="166" t="s">
        <v>13436</v>
      </c>
      <c r="I592" s="193" t="s">
        <v>12814</v>
      </c>
      <c r="J592" s="193" t="s">
        <v>164</v>
      </c>
      <c r="K592" s="170"/>
      <c r="L592" s="193" t="s">
        <v>146</v>
      </c>
      <c r="M592" s="165"/>
    </row>
    <row r="593" spans="1:13" ht="30">
      <c r="A593" s="67">
        <f t="shared" si="9"/>
        <v>591</v>
      </c>
      <c r="B593" s="164">
        <v>591</v>
      </c>
      <c r="C593" s="193" t="s">
        <v>1886</v>
      </c>
      <c r="D593" s="195" t="s">
        <v>5154</v>
      </c>
      <c r="E593" s="193" t="s">
        <v>8243</v>
      </c>
      <c r="F593" s="193" t="s">
        <v>114</v>
      </c>
      <c r="G593" s="195" t="s">
        <v>10446</v>
      </c>
      <c r="H593" s="166" t="s">
        <v>13436</v>
      </c>
      <c r="I593" s="193" t="s">
        <v>12814</v>
      </c>
      <c r="J593" s="219" t="s">
        <v>12195</v>
      </c>
      <c r="K593" s="170"/>
      <c r="L593" s="219" t="s">
        <v>146</v>
      </c>
      <c r="M593" s="165"/>
    </row>
    <row r="594" spans="1:13" ht="15.75">
      <c r="A594" s="67">
        <f t="shared" si="9"/>
        <v>592</v>
      </c>
      <c r="B594" s="164">
        <v>592</v>
      </c>
      <c r="C594" s="193" t="s">
        <v>1887</v>
      </c>
      <c r="D594" s="195" t="s">
        <v>5155</v>
      </c>
      <c r="E594" s="193" t="s">
        <v>8244</v>
      </c>
      <c r="F594" s="193" t="s">
        <v>114</v>
      </c>
      <c r="G594" s="195" t="s">
        <v>10447</v>
      </c>
      <c r="H594" s="166" t="s">
        <v>13436</v>
      </c>
      <c r="I594" s="193" t="s">
        <v>12814</v>
      </c>
      <c r="J594" s="193" t="s">
        <v>146</v>
      </c>
      <c r="K594" s="170"/>
      <c r="L594" s="193" t="s">
        <v>146</v>
      </c>
      <c r="M594" s="165"/>
    </row>
    <row r="595" spans="1:13" ht="75">
      <c r="A595" s="67">
        <f t="shared" si="9"/>
        <v>593</v>
      </c>
      <c r="B595" s="164">
        <v>593</v>
      </c>
      <c r="C595" s="193" t="s">
        <v>1888</v>
      </c>
      <c r="D595" s="195" t="s">
        <v>5156</v>
      </c>
      <c r="E595" s="193" t="s">
        <v>8002</v>
      </c>
      <c r="F595" s="193" t="s">
        <v>114</v>
      </c>
      <c r="G595" s="195" t="s">
        <v>10448</v>
      </c>
      <c r="H595" s="166" t="s">
        <v>13436</v>
      </c>
      <c r="I595" s="193" t="s">
        <v>12821</v>
      </c>
      <c r="J595" s="193" t="s">
        <v>12196</v>
      </c>
      <c r="K595" s="170"/>
      <c r="L595" s="193" t="s">
        <v>13001</v>
      </c>
      <c r="M595" s="165"/>
    </row>
    <row r="596" spans="1:13" ht="60">
      <c r="A596" s="67">
        <f t="shared" si="9"/>
        <v>594</v>
      </c>
      <c r="B596" s="164">
        <v>594</v>
      </c>
      <c r="C596" s="193" t="s">
        <v>1889</v>
      </c>
      <c r="D596" s="195" t="s">
        <v>5157</v>
      </c>
      <c r="E596" s="193" t="s">
        <v>8245</v>
      </c>
      <c r="F596" s="193" t="s">
        <v>114</v>
      </c>
      <c r="G596" s="195" t="s">
        <v>10449</v>
      </c>
      <c r="H596" s="166" t="s">
        <v>13436</v>
      </c>
      <c r="I596" s="193" t="s">
        <v>12827</v>
      </c>
      <c r="J596" s="193" t="s">
        <v>12197</v>
      </c>
      <c r="K596" s="170"/>
      <c r="L596" s="193" t="s">
        <v>146</v>
      </c>
      <c r="M596" s="165"/>
    </row>
    <row r="597" spans="1:13" ht="15.75">
      <c r="A597" s="67">
        <f t="shared" si="9"/>
        <v>595</v>
      </c>
      <c r="B597" s="164">
        <v>595</v>
      </c>
      <c r="C597" s="193" t="s">
        <v>1890</v>
      </c>
      <c r="D597" s="195" t="s">
        <v>5158</v>
      </c>
      <c r="E597" s="193" t="s">
        <v>8246</v>
      </c>
      <c r="F597" s="193" t="s">
        <v>114</v>
      </c>
      <c r="G597" s="195" t="s">
        <v>10450</v>
      </c>
      <c r="H597" s="166" t="s">
        <v>13436</v>
      </c>
      <c r="I597" s="193" t="s">
        <v>12821</v>
      </c>
      <c r="J597" s="193" t="s">
        <v>146</v>
      </c>
      <c r="K597" s="170"/>
      <c r="L597" s="193" t="s">
        <v>146</v>
      </c>
      <c r="M597" s="165"/>
    </row>
    <row r="598" spans="1:13" ht="15.75">
      <c r="A598" s="67">
        <f t="shared" si="9"/>
        <v>596</v>
      </c>
      <c r="B598" s="164">
        <v>596</v>
      </c>
      <c r="C598" s="193" t="s">
        <v>1891</v>
      </c>
      <c r="D598" s="195" t="s">
        <v>5159</v>
      </c>
      <c r="E598" s="193" t="s">
        <v>8247</v>
      </c>
      <c r="F598" s="193" t="s">
        <v>114</v>
      </c>
      <c r="G598" s="195" t="s">
        <v>10451</v>
      </c>
      <c r="H598" s="166" t="s">
        <v>13436</v>
      </c>
      <c r="I598" s="193" t="s">
        <v>12825</v>
      </c>
      <c r="J598" s="193" t="s">
        <v>148</v>
      </c>
      <c r="K598" s="170"/>
      <c r="L598" s="193" t="s">
        <v>146</v>
      </c>
      <c r="M598" s="165"/>
    </row>
    <row r="599" spans="1:13" ht="60">
      <c r="A599" s="67">
        <f t="shared" si="9"/>
        <v>597</v>
      </c>
      <c r="B599" s="164">
        <v>597</v>
      </c>
      <c r="C599" s="193" t="s">
        <v>1892</v>
      </c>
      <c r="D599" s="195" t="s">
        <v>5160</v>
      </c>
      <c r="E599" s="193" t="s">
        <v>177</v>
      </c>
      <c r="F599" s="193" t="s">
        <v>114</v>
      </c>
      <c r="G599" s="195" t="s">
        <v>10452</v>
      </c>
      <c r="H599" s="166" t="s">
        <v>13436</v>
      </c>
      <c r="I599" s="193" t="s">
        <v>12836</v>
      </c>
      <c r="J599" s="193" t="s">
        <v>146</v>
      </c>
      <c r="K599" s="170"/>
      <c r="L599" s="193" t="s">
        <v>13002</v>
      </c>
      <c r="M599" s="165"/>
    </row>
    <row r="600" spans="1:13" ht="75">
      <c r="A600" s="67">
        <f t="shared" si="9"/>
        <v>598</v>
      </c>
      <c r="B600" s="164">
        <v>598</v>
      </c>
      <c r="C600" s="193" t="s">
        <v>1893</v>
      </c>
      <c r="D600" s="198" t="s">
        <v>5161</v>
      </c>
      <c r="E600" s="193" t="s">
        <v>8248</v>
      </c>
      <c r="F600" s="193" t="s">
        <v>114</v>
      </c>
      <c r="G600" s="195" t="s">
        <v>10453</v>
      </c>
      <c r="H600" s="166" t="s">
        <v>13436</v>
      </c>
      <c r="I600" s="193" t="s">
        <v>1247</v>
      </c>
      <c r="J600" s="193" t="s">
        <v>147</v>
      </c>
      <c r="K600" s="170"/>
      <c r="L600" s="193" t="s">
        <v>13003</v>
      </c>
      <c r="M600" s="165"/>
    </row>
    <row r="601" spans="1:13" ht="15.75">
      <c r="A601" s="67">
        <f t="shared" si="9"/>
        <v>599</v>
      </c>
      <c r="B601" s="164">
        <v>599</v>
      </c>
      <c r="C601" s="193" t="s">
        <v>1894</v>
      </c>
      <c r="D601" s="195" t="s">
        <v>5162</v>
      </c>
      <c r="E601" s="193" t="s">
        <v>222</v>
      </c>
      <c r="F601" s="193" t="s">
        <v>114</v>
      </c>
      <c r="G601" s="195" t="s">
        <v>10454</v>
      </c>
      <c r="H601" s="166" t="s">
        <v>13436</v>
      </c>
      <c r="I601" s="193" t="s">
        <v>12825</v>
      </c>
      <c r="J601" s="193" t="s">
        <v>146</v>
      </c>
      <c r="K601" s="170"/>
      <c r="L601" s="193" t="s">
        <v>146</v>
      </c>
      <c r="M601" s="165"/>
    </row>
    <row r="602" spans="1:13" ht="15.75">
      <c r="A602" s="67">
        <f t="shared" si="9"/>
        <v>600</v>
      </c>
      <c r="B602" s="164">
        <v>600</v>
      </c>
      <c r="C602" s="193" t="s">
        <v>1895</v>
      </c>
      <c r="D602" s="195" t="s">
        <v>5163</v>
      </c>
      <c r="E602" s="193" t="s">
        <v>8249</v>
      </c>
      <c r="F602" s="193" t="s">
        <v>114</v>
      </c>
      <c r="G602" s="195" t="s">
        <v>9981</v>
      </c>
      <c r="H602" s="166" t="s">
        <v>13436</v>
      </c>
      <c r="I602" s="193" t="s">
        <v>12824</v>
      </c>
      <c r="J602" s="193" t="s">
        <v>146</v>
      </c>
      <c r="K602" s="170"/>
      <c r="L602" s="193" t="s">
        <v>146</v>
      </c>
      <c r="M602" s="165"/>
    </row>
    <row r="603" spans="1:13" ht="75">
      <c r="A603" s="67">
        <f t="shared" si="9"/>
        <v>601</v>
      </c>
      <c r="B603" s="164">
        <v>601</v>
      </c>
      <c r="C603" s="193" t="s">
        <v>1896</v>
      </c>
      <c r="D603" s="195" t="s">
        <v>5164</v>
      </c>
      <c r="E603" s="193" t="s">
        <v>8250</v>
      </c>
      <c r="F603" s="193" t="s">
        <v>114</v>
      </c>
      <c r="G603" s="195" t="s">
        <v>10455</v>
      </c>
      <c r="H603" s="166" t="s">
        <v>13436</v>
      </c>
      <c r="I603" s="193" t="s">
        <v>12832</v>
      </c>
      <c r="J603" s="193" t="s">
        <v>146</v>
      </c>
      <c r="K603" s="170"/>
      <c r="L603" s="193" t="s">
        <v>13004</v>
      </c>
      <c r="M603" s="165"/>
    </row>
    <row r="604" spans="1:13" ht="15.75">
      <c r="A604" s="67">
        <f t="shared" si="9"/>
        <v>602</v>
      </c>
      <c r="B604" s="164">
        <v>602</v>
      </c>
      <c r="C604" s="193" t="s">
        <v>1897</v>
      </c>
      <c r="D604" s="195" t="s">
        <v>5165</v>
      </c>
      <c r="E604" s="193" t="s">
        <v>8251</v>
      </c>
      <c r="F604" s="193" t="s">
        <v>114</v>
      </c>
      <c r="G604" s="195" t="s">
        <v>10456</v>
      </c>
      <c r="H604" s="166" t="s">
        <v>13436</v>
      </c>
      <c r="I604" s="193" t="s">
        <v>12826</v>
      </c>
      <c r="J604" s="219" t="s">
        <v>147</v>
      </c>
      <c r="K604" s="170"/>
      <c r="L604" s="193" t="s">
        <v>146</v>
      </c>
      <c r="M604" s="165"/>
    </row>
    <row r="605" spans="1:13" ht="15.75">
      <c r="A605" s="67">
        <f t="shared" si="9"/>
        <v>603</v>
      </c>
      <c r="B605" s="164">
        <v>603</v>
      </c>
      <c r="C605" s="193" t="s">
        <v>1898</v>
      </c>
      <c r="D605" s="197" t="s">
        <v>5166</v>
      </c>
      <c r="E605" s="193" t="s">
        <v>8252</v>
      </c>
      <c r="F605" s="193" t="s">
        <v>114</v>
      </c>
      <c r="G605" s="195" t="s">
        <v>10457</v>
      </c>
      <c r="H605" s="166" t="s">
        <v>13436</v>
      </c>
      <c r="I605" s="193" t="s">
        <v>12816</v>
      </c>
      <c r="J605" s="193" t="s">
        <v>146</v>
      </c>
      <c r="K605" s="170"/>
      <c r="L605" s="193" t="s">
        <v>146</v>
      </c>
      <c r="M605" s="165"/>
    </row>
    <row r="606" spans="1:13" ht="30">
      <c r="A606" s="67">
        <f t="shared" si="9"/>
        <v>604</v>
      </c>
      <c r="B606" s="164">
        <v>604</v>
      </c>
      <c r="C606" s="193" t="s">
        <v>1899</v>
      </c>
      <c r="D606" s="195" t="s">
        <v>5167</v>
      </c>
      <c r="E606" s="193" t="s">
        <v>154</v>
      </c>
      <c r="F606" s="193" t="s">
        <v>114</v>
      </c>
      <c r="G606" s="195" t="s">
        <v>10458</v>
      </c>
      <c r="H606" s="166" t="s">
        <v>13436</v>
      </c>
      <c r="I606" s="193" t="s">
        <v>12819</v>
      </c>
      <c r="J606" s="193" t="s">
        <v>12198</v>
      </c>
      <c r="K606" s="170"/>
      <c r="L606" s="193" t="s">
        <v>146</v>
      </c>
      <c r="M606" s="165"/>
    </row>
    <row r="607" spans="1:13" ht="75">
      <c r="A607" s="67">
        <f t="shared" si="9"/>
        <v>605</v>
      </c>
      <c r="B607" s="164">
        <v>605</v>
      </c>
      <c r="C607" s="193" t="s">
        <v>1900</v>
      </c>
      <c r="D607" s="195" t="s">
        <v>5168</v>
      </c>
      <c r="E607" s="193" t="s">
        <v>8253</v>
      </c>
      <c r="F607" s="193" t="s">
        <v>114</v>
      </c>
      <c r="G607" s="195" t="s">
        <v>731</v>
      </c>
      <c r="H607" s="166" t="s">
        <v>13436</v>
      </c>
      <c r="I607" s="193" t="s">
        <v>12819</v>
      </c>
      <c r="J607" s="193" t="s">
        <v>12191</v>
      </c>
      <c r="K607" s="170"/>
      <c r="L607" s="193" t="s">
        <v>13005</v>
      </c>
      <c r="M607" s="165"/>
    </row>
    <row r="608" spans="1:13" ht="15.75">
      <c r="A608" s="67">
        <f t="shared" si="9"/>
        <v>606</v>
      </c>
      <c r="B608" s="164">
        <v>606</v>
      </c>
      <c r="C608" s="193" t="s">
        <v>1901</v>
      </c>
      <c r="D608" s="195" t="s">
        <v>5169</v>
      </c>
      <c r="E608" s="193" t="s">
        <v>8254</v>
      </c>
      <c r="F608" s="193" t="s">
        <v>114</v>
      </c>
      <c r="G608" s="195" t="s">
        <v>773</v>
      </c>
      <c r="H608" s="166" t="s">
        <v>13436</v>
      </c>
      <c r="I608" s="193" t="s">
        <v>12825</v>
      </c>
      <c r="J608" s="193" t="s">
        <v>146</v>
      </c>
      <c r="K608" s="170"/>
      <c r="L608" s="193" t="s">
        <v>146</v>
      </c>
      <c r="M608" s="165"/>
    </row>
    <row r="609" spans="1:13" ht="30">
      <c r="A609" s="67">
        <f t="shared" si="9"/>
        <v>607</v>
      </c>
      <c r="B609" s="164">
        <v>607</v>
      </c>
      <c r="C609" s="193" t="s">
        <v>1902</v>
      </c>
      <c r="D609" s="195" t="s">
        <v>5170</v>
      </c>
      <c r="E609" s="193" t="s">
        <v>523</v>
      </c>
      <c r="F609" s="193" t="s">
        <v>114</v>
      </c>
      <c r="G609" s="195" t="s">
        <v>10459</v>
      </c>
      <c r="H609" s="166" t="s">
        <v>13436</v>
      </c>
      <c r="I609" s="193" t="s">
        <v>12827</v>
      </c>
      <c r="J609" s="193" t="s">
        <v>146</v>
      </c>
      <c r="K609" s="170"/>
      <c r="L609" s="193" t="s">
        <v>13006</v>
      </c>
      <c r="M609" s="165"/>
    </row>
    <row r="610" spans="1:13" ht="45">
      <c r="A610" s="67">
        <f t="shared" si="9"/>
        <v>608</v>
      </c>
      <c r="B610" s="164">
        <v>608</v>
      </c>
      <c r="C610" s="193" t="s">
        <v>1903</v>
      </c>
      <c r="D610" s="195" t="s">
        <v>5171</v>
      </c>
      <c r="E610" s="193" t="s">
        <v>159</v>
      </c>
      <c r="F610" s="193" t="s">
        <v>114</v>
      </c>
      <c r="G610" s="195" t="s">
        <v>1089</v>
      </c>
      <c r="H610" s="166" t="s">
        <v>13436</v>
      </c>
      <c r="I610" s="193" t="s">
        <v>12819</v>
      </c>
      <c r="J610" s="193" t="s">
        <v>12199</v>
      </c>
      <c r="K610" s="170"/>
      <c r="L610" s="193" t="s">
        <v>146</v>
      </c>
      <c r="M610" s="165"/>
    </row>
    <row r="611" spans="1:13" ht="15.75">
      <c r="A611" s="67">
        <f t="shared" si="9"/>
        <v>609</v>
      </c>
      <c r="B611" s="164">
        <v>609</v>
      </c>
      <c r="C611" s="193" t="s">
        <v>1904</v>
      </c>
      <c r="D611" s="195" t="s">
        <v>5172</v>
      </c>
      <c r="E611" s="193" t="s">
        <v>8255</v>
      </c>
      <c r="F611" s="193" t="s">
        <v>114</v>
      </c>
      <c r="G611" s="195" t="s">
        <v>10259</v>
      </c>
      <c r="H611" s="166" t="s">
        <v>13436</v>
      </c>
      <c r="I611" s="193" t="s">
        <v>12819</v>
      </c>
      <c r="J611" s="193" t="s">
        <v>146</v>
      </c>
      <c r="K611" s="170"/>
      <c r="L611" s="193" t="s">
        <v>146</v>
      </c>
      <c r="M611" s="165"/>
    </row>
    <row r="612" spans="1:13" ht="30">
      <c r="A612" s="67">
        <f t="shared" si="9"/>
        <v>610</v>
      </c>
      <c r="B612" s="164">
        <v>610</v>
      </c>
      <c r="C612" s="193" t="s">
        <v>1905</v>
      </c>
      <c r="D612" s="195" t="s">
        <v>5173</v>
      </c>
      <c r="E612" s="193" t="s">
        <v>8256</v>
      </c>
      <c r="F612" s="193" t="s">
        <v>114</v>
      </c>
      <c r="G612" s="195" t="s">
        <v>10460</v>
      </c>
      <c r="H612" s="166" t="s">
        <v>13436</v>
      </c>
      <c r="I612" s="193" t="s">
        <v>12813</v>
      </c>
      <c r="J612" s="219" t="s">
        <v>12112</v>
      </c>
      <c r="K612" s="170"/>
      <c r="L612" s="193" t="s">
        <v>146</v>
      </c>
      <c r="M612" s="165"/>
    </row>
    <row r="613" spans="1:13" ht="15.75">
      <c r="A613" s="67">
        <f t="shared" si="9"/>
        <v>611</v>
      </c>
      <c r="B613" s="164">
        <v>611</v>
      </c>
      <c r="C613" s="193" t="s">
        <v>1906</v>
      </c>
      <c r="D613" s="195" t="s">
        <v>5174</v>
      </c>
      <c r="E613" s="193" t="s">
        <v>467</v>
      </c>
      <c r="F613" s="193" t="s">
        <v>114</v>
      </c>
      <c r="G613" s="195" t="s">
        <v>10461</v>
      </c>
      <c r="H613" s="166" t="s">
        <v>13436</v>
      </c>
      <c r="I613" s="193" t="s">
        <v>12813</v>
      </c>
      <c r="J613" s="193" t="s">
        <v>146</v>
      </c>
      <c r="K613" s="170"/>
      <c r="L613" s="193" t="s">
        <v>146</v>
      </c>
      <c r="M613" s="165"/>
    </row>
    <row r="614" spans="1:13" ht="30">
      <c r="A614" s="67">
        <f t="shared" si="9"/>
        <v>612</v>
      </c>
      <c r="B614" s="164">
        <v>612</v>
      </c>
      <c r="C614" s="193" t="s">
        <v>1907</v>
      </c>
      <c r="D614" s="195" t="s">
        <v>5175</v>
      </c>
      <c r="E614" s="193" t="s">
        <v>8257</v>
      </c>
      <c r="F614" s="193" t="s">
        <v>114</v>
      </c>
      <c r="G614" s="195" t="s">
        <v>10253</v>
      </c>
      <c r="H614" s="166" t="s">
        <v>13436</v>
      </c>
      <c r="I614" s="193" t="s">
        <v>12836</v>
      </c>
      <c r="J614" s="193" t="s">
        <v>12200</v>
      </c>
      <c r="K614" s="170"/>
      <c r="L614" s="193" t="s">
        <v>13007</v>
      </c>
      <c r="M614" s="165"/>
    </row>
    <row r="615" spans="1:13" ht="45">
      <c r="A615" s="67">
        <f t="shared" si="9"/>
        <v>613</v>
      </c>
      <c r="B615" s="164">
        <v>613</v>
      </c>
      <c r="C615" s="193" t="s">
        <v>1908</v>
      </c>
      <c r="D615" s="195" t="s">
        <v>5176</v>
      </c>
      <c r="E615" s="193" t="s">
        <v>8258</v>
      </c>
      <c r="F615" s="193" t="s">
        <v>114</v>
      </c>
      <c r="G615" s="195" t="s">
        <v>10462</v>
      </c>
      <c r="H615" s="166" t="s">
        <v>13436</v>
      </c>
      <c r="I615" s="193" t="s">
        <v>12836</v>
      </c>
      <c r="J615" s="193" t="s">
        <v>147</v>
      </c>
      <c r="K615" s="170"/>
      <c r="L615" s="193" t="s">
        <v>13008</v>
      </c>
      <c r="M615" s="165"/>
    </row>
    <row r="616" spans="1:13" ht="30">
      <c r="A616" s="67">
        <f t="shared" si="9"/>
        <v>614</v>
      </c>
      <c r="B616" s="164">
        <v>614</v>
      </c>
      <c r="C616" s="193" t="s">
        <v>1909</v>
      </c>
      <c r="D616" s="195" t="s">
        <v>5177</v>
      </c>
      <c r="E616" s="193" t="s">
        <v>8259</v>
      </c>
      <c r="F616" s="193" t="s">
        <v>114</v>
      </c>
      <c r="G616" s="195" t="s">
        <v>10463</v>
      </c>
      <c r="H616" s="166" t="s">
        <v>13436</v>
      </c>
      <c r="I616" s="193" t="s">
        <v>12836</v>
      </c>
      <c r="J616" s="193" t="s">
        <v>12201</v>
      </c>
      <c r="K616" s="170"/>
      <c r="L616" s="193" t="s">
        <v>146</v>
      </c>
      <c r="M616" s="165"/>
    </row>
    <row r="617" spans="1:13" ht="15.75">
      <c r="A617" s="67">
        <f t="shared" si="9"/>
        <v>615</v>
      </c>
      <c r="B617" s="164">
        <v>615</v>
      </c>
      <c r="C617" s="193" t="s">
        <v>1910</v>
      </c>
      <c r="D617" s="195" t="s">
        <v>5178</v>
      </c>
      <c r="E617" s="193" t="s">
        <v>464</v>
      </c>
      <c r="F617" s="193" t="s">
        <v>114</v>
      </c>
      <c r="G617" s="195" t="s">
        <v>214</v>
      </c>
      <c r="H617" s="166" t="s">
        <v>13436</v>
      </c>
      <c r="I617" s="193" t="s">
        <v>12836</v>
      </c>
      <c r="J617" s="193" t="s">
        <v>146</v>
      </c>
      <c r="K617" s="170"/>
      <c r="L617" s="193" t="s">
        <v>146</v>
      </c>
      <c r="M617" s="165"/>
    </row>
    <row r="618" spans="1:13" ht="45">
      <c r="A618" s="67">
        <f t="shared" si="9"/>
        <v>616</v>
      </c>
      <c r="B618" s="164">
        <v>616</v>
      </c>
      <c r="C618" s="193" t="s">
        <v>1911</v>
      </c>
      <c r="D618" s="195" t="s">
        <v>5179</v>
      </c>
      <c r="E618" s="193" t="s">
        <v>8260</v>
      </c>
      <c r="F618" s="193" t="s">
        <v>114</v>
      </c>
      <c r="G618" s="195" t="s">
        <v>10464</v>
      </c>
      <c r="H618" s="166" t="s">
        <v>13436</v>
      </c>
      <c r="I618" s="193" t="s">
        <v>12836</v>
      </c>
      <c r="J618" s="193" t="s">
        <v>146</v>
      </c>
      <c r="K618" s="170"/>
      <c r="L618" s="193" t="s">
        <v>13009</v>
      </c>
      <c r="M618" s="165"/>
    </row>
    <row r="619" spans="1:13" ht="60">
      <c r="A619" s="67">
        <f t="shared" si="9"/>
        <v>617</v>
      </c>
      <c r="B619" s="164">
        <v>617</v>
      </c>
      <c r="C619" s="193" t="s">
        <v>1912</v>
      </c>
      <c r="D619" s="195" t="s">
        <v>5180</v>
      </c>
      <c r="E619" s="193" t="s">
        <v>8261</v>
      </c>
      <c r="F619" s="193" t="s">
        <v>114</v>
      </c>
      <c r="G619" s="195" t="s">
        <v>10465</v>
      </c>
      <c r="H619" s="166" t="s">
        <v>13436</v>
      </c>
      <c r="I619" s="193" t="s">
        <v>12824</v>
      </c>
      <c r="J619" s="193" t="s">
        <v>12202</v>
      </c>
      <c r="K619" s="170"/>
      <c r="L619" s="193" t="s">
        <v>13010</v>
      </c>
      <c r="M619" s="165"/>
    </row>
    <row r="620" spans="1:13" ht="15.75">
      <c r="A620" s="67">
        <f t="shared" si="9"/>
        <v>618</v>
      </c>
      <c r="B620" s="164">
        <v>618</v>
      </c>
      <c r="C620" s="193" t="s">
        <v>1913</v>
      </c>
      <c r="D620" s="195" t="s">
        <v>5181</v>
      </c>
      <c r="E620" s="193" t="s">
        <v>518</v>
      </c>
      <c r="F620" s="193" t="s">
        <v>114</v>
      </c>
      <c r="G620" s="195" t="s">
        <v>10356</v>
      </c>
      <c r="H620" s="166" t="s">
        <v>13436</v>
      </c>
      <c r="I620" s="193" t="s">
        <v>12814</v>
      </c>
      <c r="J620" s="193" t="s">
        <v>146</v>
      </c>
      <c r="K620" s="170"/>
      <c r="L620" s="193" t="s">
        <v>146</v>
      </c>
      <c r="M620" s="165"/>
    </row>
    <row r="621" spans="1:13" ht="30">
      <c r="A621" s="67">
        <f t="shared" si="9"/>
        <v>619</v>
      </c>
      <c r="B621" s="164">
        <v>619</v>
      </c>
      <c r="C621" s="193" t="s">
        <v>1914</v>
      </c>
      <c r="D621" s="195" t="s">
        <v>5182</v>
      </c>
      <c r="E621" s="193" t="s">
        <v>8262</v>
      </c>
      <c r="F621" s="193" t="s">
        <v>114</v>
      </c>
      <c r="G621" s="195" t="s">
        <v>10466</v>
      </c>
      <c r="H621" s="166" t="s">
        <v>13436</v>
      </c>
      <c r="I621" s="193" t="s">
        <v>12814</v>
      </c>
      <c r="J621" s="193" t="s">
        <v>12203</v>
      </c>
      <c r="K621" s="170"/>
      <c r="L621" s="193" t="s">
        <v>13011</v>
      </c>
      <c r="M621" s="165"/>
    </row>
    <row r="622" spans="1:13" ht="15.75">
      <c r="A622" s="67">
        <f t="shared" si="9"/>
        <v>620</v>
      </c>
      <c r="B622" s="164">
        <v>620</v>
      </c>
      <c r="C622" s="193" t="s">
        <v>1915</v>
      </c>
      <c r="D622" s="195" t="s">
        <v>5183</v>
      </c>
      <c r="E622" s="193" t="s">
        <v>8263</v>
      </c>
      <c r="F622" s="193" t="s">
        <v>114</v>
      </c>
      <c r="G622" s="195" t="s">
        <v>10467</v>
      </c>
      <c r="H622" s="166" t="s">
        <v>13436</v>
      </c>
      <c r="I622" s="193" t="s">
        <v>12814</v>
      </c>
      <c r="J622" s="193" t="s">
        <v>1252</v>
      </c>
      <c r="K622" s="170"/>
      <c r="L622" s="193" t="s">
        <v>146</v>
      </c>
      <c r="M622" s="165"/>
    </row>
    <row r="623" spans="1:13" ht="75">
      <c r="A623" s="67">
        <f t="shared" si="9"/>
        <v>621</v>
      </c>
      <c r="B623" s="164">
        <v>621</v>
      </c>
      <c r="C623" s="193" t="s">
        <v>1916</v>
      </c>
      <c r="D623" s="195" t="s">
        <v>5184</v>
      </c>
      <c r="E623" s="193" t="s">
        <v>581</v>
      </c>
      <c r="F623" s="193" t="s">
        <v>114</v>
      </c>
      <c r="G623" s="195" t="s">
        <v>10468</v>
      </c>
      <c r="H623" s="166" t="s">
        <v>13436</v>
      </c>
      <c r="I623" s="193" t="s">
        <v>12819</v>
      </c>
      <c r="J623" s="193" t="s">
        <v>146</v>
      </c>
      <c r="K623" s="170"/>
      <c r="L623" s="193" t="s">
        <v>13012</v>
      </c>
      <c r="M623" s="165"/>
    </row>
    <row r="624" spans="1:13" ht="15.75">
      <c r="A624" s="67">
        <f t="shared" si="9"/>
        <v>622</v>
      </c>
      <c r="B624" s="164">
        <v>622</v>
      </c>
      <c r="C624" s="193" t="s">
        <v>1917</v>
      </c>
      <c r="D624" s="195" t="s">
        <v>5185</v>
      </c>
      <c r="E624" s="193" t="s">
        <v>8264</v>
      </c>
      <c r="F624" s="193" t="s">
        <v>114</v>
      </c>
      <c r="G624" s="195" t="s">
        <v>10469</v>
      </c>
      <c r="H624" s="166" t="s">
        <v>13436</v>
      </c>
      <c r="I624" s="193" t="s">
        <v>12812</v>
      </c>
      <c r="J624" s="193" t="s">
        <v>146</v>
      </c>
      <c r="K624" s="170"/>
      <c r="L624" s="193" t="s">
        <v>146</v>
      </c>
      <c r="M624" s="165"/>
    </row>
    <row r="625" spans="1:13" ht="30">
      <c r="A625" s="67">
        <f t="shared" si="9"/>
        <v>623</v>
      </c>
      <c r="B625" s="164">
        <v>623</v>
      </c>
      <c r="C625" s="193" t="s">
        <v>1918</v>
      </c>
      <c r="D625" s="195" t="s">
        <v>5186</v>
      </c>
      <c r="E625" s="193" t="s">
        <v>8265</v>
      </c>
      <c r="F625" s="193" t="s">
        <v>114</v>
      </c>
      <c r="G625" s="195" t="s">
        <v>10470</v>
      </c>
      <c r="H625" s="166" t="s">
        <v>13436</v>
      </c>
      <c r="I625" s="193" t="s">
        <v>12819</v>
      </c>
      <c r="J625" s="193" t="s">
        <v>12204</v>
      </c>
      <c r="K625" s="170"/>
      <c r="L625" s="193" t="s">
        <v>146</v>
      </c>
      <c r="M625" s="165"/>
    </row>
    <row r="626" spans="1:13" ht="45">
      <c r="A626" s="67">
        <f t="shared" si="9"/>
        <v>624</v>
      </c>
      <c r="B626" s="164">
        <v>624</v>
      </c>
      <c r="C626" s="193" t="s">
        <v>1919</v>
      </c>
      <c r="D626" s="195" t="s">
        <v>5187</v>
      </c>
      <c r="E626" s="193" t="s">
        <v>8266</v>
      </c>
      <c r="F626" s="193" t="s">
        <v>114</v>
      </c>
      <c r="G626" s="195" t="s">
        <v>10214</v>
      </c>
      <c r="H626" s="166" t="s">
        <v>13436</v>
      </c>
      <c r="I626" s="193" t="s">
        <v>12819</v>
      </c>
      <c r="J626" s="193" t="s">
        <v>12205</v>
      </c>
      <c r="K626" s="170"/>
      <c r="L626" s="193" t="s">
        <v>13013</v>
      </c>
      <c r="M626" s="165"/>
    </row>
    <row r="627" spans="1:13" ht="15.75">
      <c r="A627" s="67">
        <f t="shared" si="9"/>
        <v>625</v>
      </c>
      <c r="B627" s="164">
        <v>625</v>
      </c>
      <c r="C627" s="193" t="s">
        <v>1920</v>
      </c>
      <c r="D627" s="195" t="s">
        <v>5188</v>
      </c>
      <c r="E627" s="193" t="s">
        <v>8267</v>
      </c>
      <c r="F627" s="193" t="s">
        <v>114</v>
      </c>
      <c r="G627" s="195" t="s">
        <v>10410</v>
      </c>
      <c r="H627" s="166" t="s">
        <v>13436</v>
      </c>
      <c r="I627" s="193" t="s">
        <v>12819</v>
      </c>
      <c r="J627" s="193" t="s">
        <v>146</v>
      </c>
      <c r="K627" s="170"/>
      <c r="L627" s="193" t="s">
        <v>146</v>
      </c>
      <c r="M627" s="165"/>
    </row>
    <row r="628" spans="1:13" ht="30">
      <c r="A628" s="67">
        <f t="shared" si="9"/>
        <v>626</v>
      </c>
      <c r="B628" s="164">
        <v>626</v>
      </c>
      <c r="C628" s="193" t="s">
        <v>1921</v>
      </c>
      <c r="D628" s="195" t="s">
        <v>5189</v>
      </c>
      <c r="E628" s="193" t="s">
        <v>372</v>
      </c>
      <c r="F628" s="193" t="s">
        <v>114</v>
      </c>
      <c r="G628" s="195" t="s">
        <v>775</v>
      </c>
      <c r="H628" s="166" t="s">
        <v>13436</v>
      </c>
      <c r="I628" s="193" t="s">
        <v>12836</v>
      </c>
      <c r="J628" s="193" t="s">
        <v>12206</v>
      </c>
      <c r="K628" s="170"/>
      <c r="L628" s="193" t="s">
        <v>146</v>
      </c>
      <c r="M628" s="165"/>
    </row>
    <row r="629" spans="1:13" ht="15.75">
      <c r="A629" s="67">
        <f t="shared" si="9"/>
        <v>627</v>
      </c>
      <c r="B629" s="164">
        <v>627</v>
      </c>
      <c r="C629" s="193" t="s">
        <v>1922</v>
      </c>
      <c r="D629" s="203" t="s">
        <v>5190</v>
      </c>
      <c r="E629" s="193" t="s">
        <v>7813</v>
      </c>
      <c r="F629" s="193" t="s">
        <v>114</v>
      </c>
      <c r="G629" s="195" t="s">
        <v>10471</v>
      </c>
      <c r="H629" s="166" t="s">
        <v>13436</v>
      </c>
      <c r="I629" s="193" t="s">
        <v>12827</v>
      </c>
      <c r="J629" s="193" t="s">
        <v>12166</v>
      </c>
      <c r="K629" s="170"/>
      <c r="L629" s="193" t="s">
        <v>146</v>
      </c>
      <c r="M629" s="165"/>
    </row>
    <row r="630" spans="1:13" ht="30">
      <c r="A630" s="67">
        <f t="shared" si="9"/>
        <v>628</v>
      </c>
      <c r="B630" s="164">
        <v>628</v>
      </c>
      <c r="C630" s="193" t="s">
        <v>1923</v>
      </c>
      <c r="D630" s="195" t="s">
        <v>5191</v>
      </c>
      <c r="E630" s="193" t="s">
        <v>162</v>
      </c>
      <c r="F630" s="193" t="s">
        <v>114</v>
      </c>
      <c r="G630" s="195" t="s">
        <v>10472</v>
      </c>
      <c r="H630" s="166" t="s">
        <v>13436</v>
      </c>
      <c r="I630" s="193" t="s">
        <v>12836</v>
      </c>
      <c r="J630" s="193" t="s">
        <v>12207</v>
      </c>
      <c r="K630" s="170"/>
      <c r="L630" s="193" t="s">
        <v>13014</v>
      </c>
      <c r="M630" s="165"/>
    </row>
    <row r="631" spans="1:13" ht="15.75">
      <c r="A631" s="67">
        <f t="shared" si="9"/>
        <v>629</v>
      </c>
      <c r="B631" s="164">
        <v>629</v>
      </c>
      <c r="C631" s="193" t="s">
        <v>1924</v>
      </c>
      <c r="D631" s="195" t="s">
        <v>5192</v>
      </c>
      <c r="E631" s="193" t="s">
        <v>645</v>
      </c>
      <c r="F631" s="193" t="s">
        <v>114</v>
      </c>
      <c r="G631" s="195" t="s">
        <v>739</v>
      </c>
      <c r="H631" s="166" t="s">
        <v>13436</v>
      </c>
      <c r="I631" s="193" t="s">
        <v>12824</v>
      </c>
      <c r="J631" s="193" t="s">
        <v>12208</v>
      </c>
      <c r="K631" s="170"/>
      <c r="L631" s="193" t="s">
        <v>146</v>
      </c>
      <c r="M631" s="165"/>
    </row>
    <row r="632" spans="1:13" ht="15.75">
      <c r="A632" s="67">
        <f t="shared" si="9"/>
        <v>630</v>
      </c>
      <c r="B632" s="164">
        <v>630</v>
      </c>
      <c r="C632" s="193" t="s">
        <v>1925</v>
      </c>
      <c r="D632" s="195" t="s">
        <v>5193</v>
      </c>
      <c r="E632" s="193" t="s">
        <v>639</v>
      </c>
      <c r="F632" s="193" t="s">
        <v>114</v>
      </c>
      <c r="G632" s="195" t="s">
        <v>10473</v>
      </c>
      <c r="H632" s="166" t="s">
        <v>13436</v>
      </c>
      <c r="I632" s="193" t="s">
        <v>12836</v>
      </c>
      <c r="J632" s="193" t="s">
        <v>146</v>
      </c>
      <c r="K632" s="170"/>
      <c r="L632" s="193" t="s">
        <v>146</v>
      </c>
      <c r="M632" s="165"/>
    </row>
    <row r="633" spans="1:13" ht="15.75">
      <c r="A633" s="67">
        <f t="shared" si="9"/>
        <v>631</v>
      </c>
      <c r="B633" s="164">
        <v>631</v>
      </c>
      <c r="C633" s="193" t="s">
        <v>1926</v>
      </c>
      <c r="D633" s="195" t="s">
        <v>5194</v>
      </c>
      <c r="E633" s="193" t="s">
        <v>8268</v>
      </c>
      <c r="F633" s="193" t="s">
        <v>114</v>
      </c>
      <c r="G633" s="195" t="s">
        <v>1246</v>
      </c>
      <c r="H633" s="166" t="s">
        <v>13436</v>
      </c>
      <c r="I633" s="193" t="s">
        <v>12824</v>
      </c>
      <c r="J633" s="193" t="s">
        <v>146</v>
      </c>
      <c r="K633" s="170"/>
      <c r="L633" s="193" t="s">
        <v>146</v>
      </c>
      <c r="M633" s="165"/>
    </row>
    <row r="634" spans="1:13" ht="30">
      <c r="A634" s="67">
        <f t="shared" si="9"/>
        <v>632</v>
      </c>
      <c r="B634" s="164">
        <v>632</v>
      </c>
      <c r="C634" s="193" t="s">
        <v>1927</v>
      </c>
      <c r="D634" s="195" t="s">
        <v>5195</v>
      </c>
      <c r="E634" s="193" t="s">
        <v>8269</v>
      </c>
      <c r="F634" s="193" t="s">
        <v>114</v>
      </c>
      <c r="G634" s="195" t="s">
        <v>10474</v>
      </c>
      <c r="H634" s="166" t="s">
        <v>13436</v>
      </c>
      <c r="I634" s="193" t="s">
        <v>12826</v>
      </c>
      <c r="J634" s="193" t="s">
        <v>146</v>
      </c>
      <c r="K634" s="170"/>
      <c r="L634" s="193" t="s">
        <v>13015</v>
      </c>
      <c r="M634" s="165"/>
    </row>
    <row r="635" spans="1:13" ht="30">
      <c r="A635" s="67">
        <f t="shared" si="9"/>
        <v>633</v>
      </c>
      <c r="B635" s="164">
        <v>633</v>
      </c>
      <c r="C635" s="193" t="s">
        <v>1928</v>
      </c>
      <c r="D635" s="195" t="s">
        <v>5196</v>
      </c>
      <c r="E635" s="193" t="s">
        <v>8270</v>
      </c>
      <c r="F635" s="193" t="s">
        <v>114</v>
      </c>
      <c r="G635" s="195" t="s">
        <v>1106</v>
      </c>
      <c r="H635" s="166" t="s">
        <v>13436</v>
      </c>
      <c r="I635" s="193" t="s">
        <v>12826</v>
      </c>
      <c r="J635" s="219" t="s">
        <v>12209</v>
      </c>
      <c r="K635" s="170"/>
      <c r="L635" s="219" t="s">
        <v>146</v>
      </c>
      <c r="M635" s="165"/>
    </row>
    <row r="636" spans="1:13" ht="15.75">
      <c r="A636" s="67">
        <f t="shared" si="9"/>
        <v>634</v>
      </c>
      <c r="B636" s="164">
        <v>634</v>
      </c>
      <c r="C636" s="193" t="s">
        <v>1929</v>
      </c>
      <c r="D636" s="195" t="s">
        <v>5197</v>
      </c>
      <c r="E636" s="193" t="s">
        <v>641</v>
      </c>
      <c r="F636" s="193" t="s">
        <v>114</v>
      </c>
      <c r="G636" s="195" t="s">
        <v>10312</v>
      </c>
      <c r="H636" s="166" t="s">
        <v>13436</v>
      </c>
      <c r="I636" s="193" t="s">
        <v>12826</v>
      </c>
      <c r="J636" s="193" t="s">
        <v>146</v>
      </c>
      <c r="K636" s="170"/>
      <c r="L636" s="193" t="s">
        <v>146</v>
      </c>
      <c r="M636" s="165"/>
    </row>
    <row r="637" spans="1:13" ht="15.75">
      <c r="A637" s="67">
        <f t="shared" si="9"/>
        <v>635</v>
      </c>
      <c r="B637" s="164">
        <v>635</v>
      </c>
      <c r="C637" s="193" t="s">
        <v>1930</v>
      </c>
      <c r="D637" s="195" t="s">
        <v>5198</v>
      </c>
      <c r="E637" s="193" t="s">
        <v>8271</v>
      </c>
      <c r="F637" s="193" t="s">
        <v>114</v>
      </c>
      <c r="G637" s="195" t="s">
        <v>10475</v>
      </c>
      <c r="H637" s="166" t="s">
        <v>13436</v>
      </c>
      <c r="I637" s="193" t="s">
        <v>12808</v>
      </c>
      <c r="J637" s="219" t="s">
        <v>146</v>
      </c>
      <c r="K637" s="170"/>
      <c r="L637" s="193" t="s">
        <v>146</v>
      </c>
      <c r="M637" s="165"/>
    </row>
    <row r="638" spans="1:13" ht="15.75">
      <c r="A638" s="67">
        <f t="shared" si="9"/>
        <v>636</v>
      </c>
      <c r="B638" s="164">
        <v>636</v>
      </c>
      <c r="C638" s="193" t="s">
        <v>1931</v>
      </c>
      <c r="D638" s="195" t="s">
        <v>5199</v>
      </c>
      <c r="E638" s="193" t="s">
        <v>443</v>
      </c>
      <c r="F638" s="193" t="s">
        <v>114</v>
      </c>
      <c r="G638" s="195" t="s">
        <v>1208</v>
      </c>
      <c r="H638" s="166" t="s">
        <v>13436</v>
      </c>
      <c r="I638" s="193" t="s">
        <v>12826</v>
      </c>
      <c r="J638" s="193" t="s">
        <v>146</v>
      </c>
      <c r="K638" s="170"/>
      <c r="L638" s="193" t="s">
        <v>146</v>
      </c>
      <c r="M638" s="165"/>
    </row>
    <row r="639" spans="1:13" ht="15.75">
      <c r="A639" s="67">
        <f t="shared" si="9"/>
        <v>637</v>
      </c>
      <c r="B639" s="164">
        <v>637</v>
      </c>
      <c r="C639" s="193" t="s">
        <v>1932</v>
      </c>
      <c r="D639" s="195" t="s">
        <v>5200</v>
      </c>
      <c r="E639" s="193" t="s">
        <v>646</v>
      </c>
      <c r="F639" s="193" t="s">
        <v>114</v>
      </c>
      <c r="G639" s="195" t="s">
        <v>1128</v>
      </c>
      <c r="H639" s="166" t="s">
        <v>13436</v>
      </c>
      <c r="I639" s="193" t="s">
        <v>12826</v>
      </c>
      <c r="J639" s="193" t="s">
        <v>147</v>
      </c>
      <c r="K639" s="170"/>
      <c r="L639" s="193" t="s">
        <v>146</v>
      </c>
      <c r="M639" s="165"/>
    </row>
    <row r="640" spans="1:13" ht="15.75">
      <c r="A640" s="67">
        <f t="shared" si="9"/>
        <v>638</v>
      </c>
      <c r="B640" s="164">
        <v>638</v>
      </c>
      <c r="C640" s="193" t="s">
        <v>1933</v>
      </c>
      <c r="D640" s="195" t="s">
        <v>5201</v>
      </c>
      <c r="E640" s="193" t="s">
        <v>334</v>
      </c>
      <c r="F640" s="193" t="s">
        <v>114</v>
      </c>
      <c r="G640" s="195" t="s">
        <v>10476</v>
      </c>
      <c r="H640" s="166" t="s">
        <v>13436</v>
      </c>
      <c r="I640" s="193" t="s">
        <v>12826</v>
      </c>
      <c r="J640" s="193" t="s">
        <v>146</v>
      </c>
      <c r="K640" s="170"/>
      <c r="L640" s="193" t="s">
        <v>146</v>
      </c>
      <c r="M640" s="165"/>
    </row>
    <row r="641" spans="1:13" ht="15.75">
      <c r="A641" s="67">
        <f t="shared" si="9"/>
        <v>639</v>
      </c>
      <c r="B641" s="164">
        <v>639</v>
      </c>
      <c r="C641" s="193" t="s">
        <v>1934</v>
      </c>
      <c r="D641" s="195" t="s">
        <v>5202</v>
      </c>
      <c r="E641" s="193" t="s">
        <v>340</v>
      </c>
      <c r="F641" s="193" t="s">
        <v>114</v>
      </c>
      <c r="G641" s="195" t="s">
        <v>10099</v>
      </c>
      <c r="H641" s="166" t="s">
        <v>13436</v>
      </c>
      <c r="I641" s="193" t="s">
        <v>12827</v>
      </c>
      <c r="J641" s="193" t="s">
        <v>146</v>
      </c>
      <c r="K641" s="170"/>
      <c r="L641" s="193" t="s">
        <v>146</v>
      </c>
      <c r="M641" s="165"/>
    </row>
    <row r="642" spans="1:13" ht="75">
      <c r="A642" s="67">
        <f t="shared" si="9"/>
        <v>640</v>
      </c>
      <c r="B642" s="164">
        <v>640</v>
      </c>
      <c r="C642" s="193" t="s">
        <v>1935</v>
      </c>
      <c r="D642" s="195" t="s">
        <v>5203</v>
      </c>
      <c r="E642" s="193" t="s">
        <v>170</v>
      </c>
      <c r="F642" s="193" t="s">
        <v>114</v>
      </c>
      <c r="G642" s="195" t="s">
        <v>10477</v>
      </c>
      <c r="H642" s="166" t="s">
        <v>13436</v>
      </c>
      <c r="I642" s="193" t="s">
        <v>12814</v>
      </c>
      <c r="J642" s="193" t="s">
        <v>146</v>
      </c>
      <c r="K642" s="170"/>
      <c r="L642" s="193" t="s">
        <v>13016</v>
      </c>
      <c r="M642" s="165"/>
    </row>
    <row r="643" spans="1:13" ht="15.75">
      <c r="A643" s="67">
        <f t="shared" ref="A643:A706" si="10">IFERROR(VALUE(RIGHT(C643,4)),"")</f>
        <v>641</v>
      </c>
      <c r="B643" s="164">
        <v>641</v>
      </c>
      <c r="C643" s="193" t="s">
        <v>1936</v>
      </c>
      <c r="D643" s="195" t="s">
        <v>5204</v>
      </c>
      <c r="E643" s="193" t="s">
        <v>8272</v>
      </c>
      <c r="F643" s="193" t="s">
        <v>114</v>
      </c>
      <c r="G643" s="195" t="s">
        <v>10478</v>
      </c>
      <c r="H643" s="166" t="s">
        <v>13436</v>
      </c>
      <c r="I643" s="193" t="s">
        <v>12814</v>
      </c>
      <c r="J643" s="193" t="s">
        <v>12210</v>
      </c>
      <c r="K643" s="170"/>
      <c r="L643" s="193" t="s">
        <v>146</v>
      </c>
      <c r="M643" s="165"/>
    </row>
    <row r="644" spans="1:13" ht="30">
      <c r="A644" s="67">
        <f t="shared" si="10"/>
        <v>642</v>
      </c>
      <c r="B644" s="164">
        <v>642</v>
      </c>
      <c r="C644" s="193" t="s">
        <v>1937</v>
      </c>
      <c r="D644" s="196" t="s">
        <v>5205</v>
      </c>
      <c r="E644" s="193" t="s">
        <v>575</v>
      </c>
      <c r="F644" s="193" t="s">
        <v>114</v>
      </c>
      <c r="G644" s="195" t="s">
        <v>10479</v>
      </c>
      <c r="H644" s="166" t="s">
        <v>13436</v>
      </c>
      <c r="I644" s="193" t="s">
        <v>12823</v>
      </c>
      <c r="J644" s="193" t="s">
        <v>12211</v>
      </c>
      <c r="K644" s="170"/>
      <c r="L644" s="193" t="s">
        <v>146</v>
      </c>
      <c r="M644" s="165"/>
    </row>
    <row r="645" spans="1:13" ht="60">
      <c r="A645" s="67">
        <f t="shared" si="10"/>
        <v>643</v>
      </c>
      <c r="B645" s="164">
        <v>643</v>
      </c>
      <c r="C645" s="193" t="s">
        <v>1938</v>
      </c>
      <c r="D645" s="195" t="s">
        <v>5206</v>
      </c>
      <c r="E645" s="193" t="s">
        <v>8273</v>
      </c>
      <c r="F645" s="193" t="s">
        <v>114</v>
      </c>
      <c r="G645" s="195" t="s">
        <v>10480</v>
      </c>
      <c r="H645" s="166" t="s">
        <v>13436</v>
      </c>
      <c r="I645" s="193" t="s">
        <v>12813</v>
      </c>
      <c r="J645" s="193" t="s">
        <v>12212</v>
      </c>
      <c r="K645" s="170"/>
      <c r="L645" s="193" t="s">
        <v>146</v>
      </c>
      <c r="M645" s="165"/>
    </row>
    <row r="646" spans="1:13" ht="60">
      <c r="A646" s="67">
        <f t="shared" si="10"/>
        <v>644</v>
      </c>
      <c r="B646" s="164">
        <v>644</v>
      </c>
      <c r="C646" s="193" t="s">
        <v>1939</v>
      </c>
      <c r="D646" s="195" t="s">
        <v>5207</v>
      </c>
      <c r="E646" s="193" t="s">
        <v>183</v>
      </c>
      <c r="F646" s="193" t="s">
        <v>114</v>
      </c>
      <c r="G646" s="195" t="s">
        <v>10481</v>
      </c>
      <c r="H646" s="166" t="s">
        <v>13436</v>
      </c>
      <c r="I646" s="193" t="s">
        <v>12813</v>
      </c>
      <c r="J646" s="193" t="s">
        <v>146</v>
      </c>
      <c r="K646" s="170"/>
      <c r="L646" s="193" t="s">
        <v>13017</v>
      </c>
      <c r="M646" s="165"/>
    </row>
    <row r="647" spans="1:13" ht="30">
      <c r="A647" s="67">
        <f t="shared" si="10"/>
        <v>645</v>
      </c>
      <c r="B647" s="164">
        <v>645</v>
      </c>
      <c r="C647" s="193" t="s">
        <v>1940</v>
      </c>
      <c r="D647" s="195" t="s">
        <v>5208</v>
      </c>
      <c r="E647" s="193" t="s">
        <v>8274</v>
      </c>
      <c r="F647" s="193" t="s">
        <v>114</v>
      </c>
      <c r="G647" s="195" t="s">
        <v>10482</v>
      </c>
      <c r="H647" s="166" t="s">
        <v>13436</v>
      </c>
      <c r="I647" s="193" t="s">
        <v>12813</v>
      </c>
      <c r="J647" s="193" t="s">
        <v>12213</v>
      </c>
      <c r="K647" s="170"/>
      <c r="L647" s="193" t="s">
        <v>146</v>
      </c>
      <c r="M647" s="165"/>
    </row>
    <row r="648" spans="1:13" ht="15.75">
      <c r="A648" s="67">
        <f t="shared" si="10"/>
        <v>646</v>
      </c>
      <c r="B648" s="164">
        <v>646</v>
      </c>
      <c r="C648" s="193" t="s">
        <v>1941</v>
      </c>
      <c r="D648" s="195" t="s">
        <v>5209</v>
      </c>
      <c r="E648" s="193" t="s">
        <v>8275</v>
      </c>
      <c r="F648" s="193" t="s">
        <v>59</v>
      </c>
      <c r="G648" s="195" t="s">
        <v>10483</v>
      </c>
      <c r="H648" s="166" t="s">
        <v>13436</v>
      </c>
      <c r="I648" s="193" t="s">
        <v>12813</v>
      </c>
      <c r="J648" s="193" t="s">
        <v>146</v>
      </c>
      <c r="K648" s="170"/>
      <c r="L648" s="193"/>
      <c r="M648" s="165"/>
    </row>
    <row r="649" spans="1:13" ht="30">
      <c r="A649" s="67">
        <f t="shared" si="10"/>
        <v>647</v>
      </c>
      <c r="B649" s="164">
        <v>647</v>
      </c>
      <c r="C649" s="193" t="s">
        <v>1942</v>
      </c>
      <c r="D649" s="195" t="s">
        <v>5210</v>
      </c>
      <c r="E649" s="193" t="s">
        <v>8276</v>
      </c>
      <c r="F649" s="193" t="s">
        <v>59</v>
      </c>
      <c r="G649" s="195" t="s">
        <v>10435</v>
      </c>
      <c r="H649" s="166" t="s">
        <v>13436</v>
      </c>
      <c r="I649" s="193" t="s">
        <v>12817</v>
      </c>
      <c r="J649" s="219" t="s">
        <v>12214</v>
      </c>
      <c r="K649" s="170"/>
      <c r="L649" s="193"/>
      <c r="M649" s="165"/>
    </row>
    <row r="650" spans="1:13" ht="15.75">
      <c r="A650" s="67">
        <f t="shared" si="10"/>
        <v>648</v>
      </c>
      <c r="B650" s="164">
        <v>648</v>
      </c>
      <c r="C650" s="193" t="s">
        <v>1943</v>
      </c>
      <c r="D650" s="195" t="s">
        <v>5211</v>
      </c>
      <c r="E650" s="193" t="s">
        <v>8277</v>
      </c>
      <c r="F650" s="193" t="s">
        <v>114</v>
      </c>
      <c r="G650" s="195" t="s">
        <v>10287</v>
      </c>
      <c r="H650" s="166" t="s">
        <v>13436</v>
      </c>
      <c r="I650" s="193" t="s">
        <v>12825</v>
      </c>
      <c r="J650" s="193" t="s">
        <v>147</v>
      </c>
      <c r="K650" s="170"/>
      <c r="L650" s="193" t="s">
        <v>146</v>
      </c>
      <c r="M650" s="165"/>
    </row>
    <row r="651" spans="1:13" ht="15.75">
      <c r="A651" s="67">
        <f t="shared" si="10"/>
        <v>649</v>
      </c>
      <c r="B651" s="164">
        <v>649</v>
      </c>
      <c r="C651" s="193" t="s">
        <v>1944</v>
      </c>
      <c r="D651" s="195" t="s">
        <v>5212</v>
      </c>
      <c r="E651" s="193" t="s">
        <v>8278</v>
      </c>
      <c r="F651" s="193" t="s">
        <v>114</v>
      </c>
      <c r="G651" s="195" t="s">
        <v>10484</v>
      </c>
      <c r="H651" s="166" t="s">
        <v>13436</v>
      </c>
      <c r="I651" s="193" t="s">
        <v>12824</v>
      </c>
      <c r="J651" s="193" t="s">
        <v>12215</v>
      </c>
      <c r="K651" s="170"/>
      <c r="L651" s="193" t="s">
        <v>146</v>
      </c>
      <c r="M651" s="165"/>
    </row>
    <row r="652" spans="1:13" ht="75">
      <c r="A652" s="67">
        <f t="shared" si="10"/>
        <v>650</v>
      </c>
      <c r="B652" s="164">
        <v>650</v>
      </c>
      <c r="C652" s="193" t="s">
        <v>1945</v>
      </c>
      <c r="D652" s="195" t="s">
        <v>5213</v>
      </c>
      <c r="E652" s="193" t="s">
        <v>450</v>
      </c>
      <c r="F652" s="193" t="s">
        <v>114</v>
      </c>
      <c r="G652" s="195" t="s">
        <v>10485</v>
      </c>
      <c r="H652" s="166" t="s">
        <v>13436</v>
      </c>
      <c r="I652" s="193" t="s">
        <v>12826</v>
      </c>
      <c r="J652" s="219" t="s">
        <v>146</v>
      </c>
      <c r="K652" s="170"/>
      <c r="L652" s="193" t="s">
        <v>13018</v>
      </c>
      <c r="M652" s="165"/>
    </row>
    <row r="653" spans="1:13" ht="15.75">
      <c r="A653" s="67">
        <f t="shared" si="10"/>
        <v>651</v>
      </c>
      <c r="B653" s="164">
        <v>651</v>
      </c>
      <c r="C653" s="193" t="s">
        <v>1946</v>
      </c>
      <c r="D653" s="195" t="s">
        <v>5214</v>
      </c>
      <c r="E653" s="193" t="s">
        <v>8279</v>
      </c>
      <c r="F653" s="193" t="s">
        <v>114</v>
      </c>
      <c r="G653" s="195" t="s">
        <v>10486</v>
      </c>
      <c r="H653" s="166" t="s">
        <v>13436</v>
      </c>
      <c r="I653" s="193" t="s">
        <v>12826</v>
      </c>
      <c r="J653" s="193" t="s">
        <v>146</v>
      </c>
      <c r="K653" s="170"/>
      <c r="L653" s="193" t="s">
        <v>146</v>
      </c>
      <c r="M653" s="165"/>
    </row>
    <row r="654" spans="1:13" ht="15.75">
      <c r="A654" s="67">
        <f t="shared" si="10"/>
        <v>652</v>
      </c>
      <c r="B654" s="164">
        <v>652</v>
      </c>
      <c r="C654" s="193" t="s">
        <v>1947</v>
      </c>
      <c r="D654" s="195" t="s">
        <v>5215</v>
      </c>
      <c r="E654" s="193" t="s">
        <v>446</v>
      </c>
      <c r="F654" s="193" t="s">
        <v>114</v>
      </c>
      <c r="G654" s="195" t="s">
        <v>10487</v>
      </c>
      <c r="H654" s="166" t="s">
        <v>13436</v>
      </c>
      <c r="I654" s="193" t="s">
        <v>12826</v>
      </c>
      <c r="J654" s="193" t="s">
        <v>146</v>
      </c>
      <c r="K654" s="170"/>
      <c r="L654" s="193" t="s">
        <v>146</v>
      </c>
      <c r="M654" s="165"/>
    </row>
    <row r="655" spans="1:13" ht="30">
      <c r="A655" s="67">
        <f t="shared" si="10"/>
        <v>653</v>
      </c>
      <c r="B655" s="164">
        <v>653</v>
      </c>
      <c r="C655" s="193" t="s">
        <v>1948</v>
      </c>
      <c r="D655" s="197" t="s">
        <v>5216</v>
      </c>
      <c r="E655" s="193" t="s">
        <v>370</v>
      </c>
      <c r="F655" s="193" t="s">
        <v>114</v>
      </c>
      <c r="G655" s="195" t="s">
        <v>10135</v>
      </c>
      <c r="H655" s="166" t="s">
        <v>13436</v>
      </c>
      <c r="I655" s="193" t="s">
        <v>12816</v>
      </c>
      <c r="J655" s="193" t="s">
        <v>146</v>
      </c>
      <c r="K655" s="170"/>
      <c r="L655" s="193" t="s">
        <v>13019</v>
      </c>
      <c r="M655" s="165"/>
    </row>
    <row r="656" spans="1:13" ht="15.75">
      <c r="A656" s="67">
        <f t="shared" si="10"/>
        <v>654</v>
      </c>
      <c r="B656" s="164">
        <v>654</v>
      </c>
      <c r="C656" s="193" t="s">
        <v>1949</v>
      </c>
      <c r="D656" s="197" t="s">
        <v>5217</v>
      </c>
      <c r="E656" s="193" t="s">
        <v>8280</v>
      </c>
      <c r="F656" s="193" t="s">
        <v>114</v>
      </c>
      <c r="G656" s="195" t="s">
        <v>10488</v>
      </c>
      <c r="H656" s="166" t="s">
        <v>13436</v>
      </c>
      <c r="I656" s="193" t="s">
        <v>12816</v>
      </c>
      <c r="J656" s="193" t="s">
        <v>146</v>
      </c>
      <c r="K656" s="170"/>
      <c r="L656" s="193" t="s">
        <v>146</v>
      </c>
      <c r="M656" s="72"/>
    </row>
    <row r="657" spans="1:13" ht="15.75">
      <c r="A657" s="67">
        <f t="shared" si="10"/>
        <v>655</v>
      </c>
      <c r="B657" s="164">
        <v>655</v>
      </c>
      <c r="C657" s="193" t="s">
        <v>1950</v>
      </c>
      <c r="D657" s="197" t="s">
        <v>5218</v>
      </c>
      <c r="E657" s="193" t="s">
        <v>8281</v>
      </c>
      <c r="F657" s="193" t="s">
        <v>114</v>
      </c>
      <c r="G657" s="195" t="s">
        <v>10489</v>
      </c>
      <c r="H657" s="166" t="s">
        <v>13436</v>
      </c>
      <c r="I657" s="193" t="s">
        <v>12816</v>
      </c>
      <c r="J657" s="193" t="s">
        <v>146</v>
      </c>
      <c r="K657" s="170"/>
      <c r="L657" s="193" t="s">
        <v>146</v>
      </c>
      <c r="M657" s="72"/>
    </row>
    <row r="658" spans="1:13" ht="15.75">
      <c r="A658" s="67">
        <f t="shared" si="10"/>
        <v>656</v>
      </c>
      <c r="B658" s="164">
        <v>656</v>
      </c>
      <c r="C658" s="193" t="s">
        <v>1951</v>
      </c>
      <c r="D658" s="195" t="s">
        <v>5219</v>
      </c>
      <c r="E658" s="193" t="s">
        <v>8282</v>
      </c>
      <c r="F658" s="193" t="s">
        <v>114</v>
      </c>
      <c r="G658" s="195" t="s">
        <v>10490</v>
      </c>
      <c r="H658" s="166" t="s">
        <v>13436</v>
      </c>
      <c r="I658" s="193" t="s">
        <v>12814</v>
      </c>
      <c r="J658" s="193" t="s">
        <v>146</v>
      </c>
      <c r="K658" s="170"/>
      <c r="L658" s="193" t="s">
        <v>146</v>
      </c>
      <c r="M658" s="72"/>
    </row>
    <row r="659" spans="1:13" ht="165">
      <c r="A659" s="67">
        <f t="shared" si="10"/>
        <v>657</v>
      </c>
      <c r="B659" s="164">
        <v>657</v>
      </c>
      <c r="C659" s="193" t="s">
        <v>1952</v>
      </c>
      <c r="D659" s="195" t="s">
        <v>5220</v>
      </c>
      <c r="E659" s="193" t="s">
        <v>8283</v>
      </c>
      <c r="F659" s="193" t="s">
        <v>114</v>
      </c>
      <c r="G659" s="195" t="s">
        <v>10491</v>
      </c>
      <c r="H659" s="166" t="s">
        <v>13436</v>
      </c>
      <c r="I659" s="193" t="s">
        <v>12825</v>
      </c>
      <c r="J659" s="193" t="s">
        <v>164</v>
      </c>
      <c r="K659" s="170"/>
      <c r="L659" s="193" t="s">
        <v>13020</v>
      </c>
      <c r="M659" s="72"/>
    </row>
    <row r="660" spans="1:13" ht="150">
      <c r="A660" s="67">
        <f t="shared" si="10"/>
        <v>658</v>
      </c>
      <c r="B660" s="164">
        <v>658</v>
      </c>
      <c r="C660" s="193" t="s">
        <v>1953</v>
      </c>
      <c r="D660" s="195" t="s">
        <v>5221</v>
      </c>
      <c r="E660" s="193" t="s">
        <v>8284</v>
      </c>
      <c r="F660" s="193" t="s">
        <v>114</v>
      </c>
      <c r="G660" s="195" t="s">
        <v>10492</v>
      </c>
      <c r="H660" s="166" t="s">
        <v>13436</v>
      </c>
      <c r="I660" s="193" t="s">
        <v>12814</v>
      </c>
      <c r="J660" s="193" t="s">
        <v>12216</v>
      </c>
      <c r="K660" s="170"/>
      <c r="L660" s="193" t="s">
        <v>13021</v>
      </c>
      <c r="M660" s="72"/>
    </row>
    <row r="661" spans="1:13" ht="15.75">
      <c r="A661" s="67">
        <f t="shared" si="10"/>
        <v>659</v>
      </c>
      <c r="B661" s="164">
        <v>659</v>
      </c>
      <c r="C661" s="193" t="s">
        <v>1954</v>
      </c>
      <c r="D661" s="199" t="s">
        <v>5222</v>
      </c>
      <c r="E661" s="193" t="s">
        <v>8285</v>
      </c>
      <c r="F661" s="193" t="s">
        <v>114</v>
      </c>
      <c r="G661" s="195" t="s">
        <v>10334</v>
      </c>
      <c r="H661" s="166" t="s">
        <v>13436</v>
      </c>
      <c r="I661" s="193" t="s">
        <v>12831</v>
      </c>
      <c r="J661" s="193" t="s">
        <v>146</v>
      </c>
      <c r="K661" s="170"/>
      <c r="L661" s="193" t="s">
        <v>146</v>
      </c>
      <c r="M661" s="167"/>
    </row>
    <row r="662" spans="1:13" ht="75">
      <c r="A662" s="67">
        <f t="shared" si="10"/>
        <v>660</v>
      </c>
      <c r="B662" s="164">
        <v>660</v>
      </c>
      <c r="C662" s="193" t="s">
        <v>1955</v>
      </c>
      <c r="D662" s="195" t="s">
        <v>5223</v>
      </c>
      <c r="E662" s="193" t="s">
        <v>8286</v>
      </c>
      <c r="F662" s="193" t="s">
        <v>114</v>
      </c>
      <c r="G662" s="195" t="s">
        <v>10493</v>
      </c>
      <c r="H662" s="166" t="s">
        <v>13436</v>
      </c>
      <c r="I662" s="193" t="s">
        <v>12819</v>
      </c>
      <c r="J662" s="193" t="s">
        <v>164</v>
      </c>
      <c r="K662" s="170"/>
      <c r="L662" s="193" t="s">
        <v>13022</v>
      </c>
      <c r="M662" s="169"/>
    </row>
    <row r="663" spans="1:13" ht="15.75">
      <c r="A663" s="67">
        <f t="shared" si="10"/>
        <v>661</v>
      </c>
      <c r="B663" s="164">
        <v>661</v>
      </c>
      <c r="C663" s="193" t="s">
        <v>1956</v>
      </c>
      <c r="D663" s="195" t="s">
        <v>5224</v>
      </c>
      <c r="E663" s="193" t="s">
        <v>8287</v>
      </c>
      <c r="F663" s="193" t="s">
        <v>114</v>
      </c>
      <c r="G663" s="195" t="s">
        <v>10494</v>
      </c>
      <c r="H663" s="166" t="s">
        <v>13436</v>
      </c>
      <c r="I663" s="193" t="s">
        <v>12824</v>
      </c>
      <c r="J663" s="193" t="s">
        <v>146</v>
      </c>
      <c r="K663" s="170"/>
      <c r="L663" s="193" t="s">
        <v>146</v>
      </c>
    </row>
    <row r="664" spans="1:13" ht="15.75">
      <c r="A664" s="67">
        <f t="shared" si="10"/>
        <v>662</v>
      </c>
      <c r="B664" s="164">
        <v>662</v>
      </c>
      <c r="C664" s="193" t="s">
        <v>1957</v>
      </c>
      <c r="D664" s="195" t="s">
        <v>5225</v>
      </c>
      <c r="E664" s="193" t="s">
        <v>8288</v>
      </c>
      <c r="F664" s="193" t="s">
        <v>114</v>
      </c>
      <c r="G664" s="195" t="s">
        <v>10495</v>
      </c>
      <c r="H664" s="166" t="s">
        <v>13436</v>
      </c>
      <c r="I664" s="193" t="s">
        <v>12814</v>
      </c>
      <c r="J664" s="193" t="s">
        <v>146</v>
      </c>
      <c r="K664" s="170"/>
      <c r="L664" s="193" t="s">
        <v>146</v>
      </c>
    </row>
    <row r="665" spans="1:13" ht="45">
      <c r="A665" s="67">
        <f t="shared" si="10"/>
        <v>663</v>
      </c>
      <c r="B665" s="164">
        <v>663</v>
      </c>
      <c r="C665" s="193" t="s">
        <v>1958</v>
      </c>
      <c r="D665" s="195" t="s">
        <v>5226</v>
      </c>
      <c r="E665" s="193" t="s">
        <v>8289</v>
      </c>
      <c r="F665" s="193" t="s">
        <v>114</v>
      </c>
      <c r="G665" s="195" t="s">
        <v>10496</v>
      </c>
      <c r="H665" s="166" t="s">
        <v>13436</v>
      </c>
      <c r="I665" s="193" t="s">
        <v>12814</v>
      </c>
      <c r="J665" s="193" t="s">
        <v>146</v>
      </c>
      <c r="K665" s="170"/>
      <c r="L665" s="193" t="s">
        <v>13023</v>
      </c>
    </row>
    <row r="666" spans="1:13" ht="30">
      <c r="A666" s="67">
        <f t="shared" si="10"/>
        <v>664</v>
      </c>
      <c r="B666" s="164">
        <v>664</v>
      </c>
      <c r="C666" s="193" t="s">
        <v>1959</v>
      </c>
      <c r="D666" s="195" t="s">
        <v>5227</v>
      </c>
      <c r="E666" s="193" t="s">
        <v>622</v>
      </c>
      <c r="F666" s="193" t="s">
        <v>114</v>
      </c>
      <c r="G666" s="195" t="s">
        <v>817</v>
      </c>
      <c r="H666" s="166" t="s">
        <v>13436</v>
      </c>
      <c r="I666" s="193" t="s">
        <v>12824</v>
      </c>
      <c r="J666" s="219" t="s">
        <v>12217</v>
      </c>
      <c r="K666" s="170"/>
      <c r="L666" s="193" t="s">
        <v>146</v>
      </c>
    </row>
    <row r="667" spans="1:13" ht="30">
      <c r="A667" s="67">
        <f t="shared" si="10"/>
        <v>665</v>
      </c>
      <c r="B667" s="164">
        <v>665</v>
      </c>
      <c r="C667" s="193" t="s">
        <v>1960</v>
      </c>
      <c r="D667" s="195" t="s">
        <v>5228</v>
      </c>
      <c r="E667" s="193" t="s">
        <v>8290</v>
      </c>
      <c r="F667" s="193" t="s">
        <v>114</v>
      </c>
      <c r="G667" s="195" t="s">
        <v>10497</v>
      </c>
      <c r="H667" s="166" t="s">
        <v>13436</v>
      </c>
      <c r="I667" s="193" t="s">
        <v>12819</v>
      </c>
      <c r="J667" s="193" t="s">
        <v>12218</v>
      </c>
      <c r="K667" s="170"/>
      <c r="L667" s="193" t="s">
        <v>146</v>
      </c>
    </row>
    <row r="668" spans="1:13" ht="15.75">
      <c r="A668" s="67">
        <f t="shared" si="10"/>
        <v>666</v>
      </c>
      <c r="B668" s="164">
        <v>666</v>
      </c>
      <c r="C668" s="193" t="s">
        <v>1961</v>
      </c>
      <c r="D668" s="195" t="s">
        <v>5229</v>
      </c>
      <c r="E668" s="193" t="s">
        <v>273</v>
      </c>
      <c r="F668" s="193" t="s">
        <v>114</v>
      </c>
      <c r="G668" s="195" t="s">
        <v>10498</v>
      </c>
      <c r="H668" s="166" t="s">
        <v>13436</v>
      </c>
      <c r="I668" s="193" t="s">
        <v>12819</v>
      </c>
      <c r="J668" s="193" t="s">
        <v>146</v>
      </c>
      <c r="K668" s="170"/>
      <c r="L668" s="193" t="s">
        <v>146</v>
      </c>
    </row>
    <row r="669" spans="1:13" ht="15.75">
      <c r="A669" s="67">
        <f t="shared" si="10"/>
        <v>667</v>
      </c>
      <c r="B669" s="164">
        <v>667</v>
      </c>
      <c r="C669" s="193" t="s">
        <v>1962</v>
      </c>
      <c r="D669" s="195" t="s">
        <v>5230</v>
      </c>
      <c r="E669" s="193" t="s">
        <v>8291</v>
      </c>
      <c r="F669" s="193" t="s">
        <v>114</v>
      </c>
      <c r="G669" s="195" t="s">
        <v>10499</v>
      </c>
      <c r="H669" s="166" t="s">
        <v>13436</v>
      </c>
      <c r="I669" s="193" t="s">
        <v>12819</v>
      </c>
      <c r="J669" s="193" t="s">
        <v>146</v>
      </c>
      <c r="K669" s="170"/>
      <c r="L669" s="193" t="s">
        <v>146</v>
      </c>
    </row>
    <row r="670" spans="1:13" ht="30">
      <c r="A670" s="67">
        <f t="shared" si="10"/>
        <v>668</v>
      </c>
      <c r="B670" s="164">
        <v>668</v>
      </c>
      <c r="C670" s="193" t="s">
        <v>1963</v>
      </c>
      <c r="D670" s="195" t="s">
        <v>5231</v>
      </c>
      <c r="E670" s="193" t="s">
        <v>209</v>
      </c>
      <c r="F670" s="193" t="s">
        <v>114</v>
      </c>
      <c r="G670" s="195" t="s">
        <v>10500</v>
      </c>
      <c r="H670" s="166" t="s">
        <v>13436</v>
      </c>
      <c r="I670" s="193" t="s">
        <v>12819</v>
      </c>
      <c r="J670" s="193" t="s">
        <v>12219</v>
      </c>
      <c r="K670" s="170"/>
      <c r="L670" s="193" t="s">
        <v>13024</v>
      </c>
    </row>
    <row r="671" spans="1:13" ht="60">
      <c r="A671" s="67">
        <f t="shared" si="10"/>
        <v>669</v>
      </c>
      <c r="B671" s="164">
        <v>669</v>
      </c>
      <c r="C671" s="193" t="s">
        <v>1964</v>
      </c>
      <c r="D671" s="195" t="s">
        <v>5232</v>
      </c>
      <c r="E671" s="193" t="s">
        <v>8292</v>
      </c>
      <c r="F671" s="193" t="s">
        <v>114</v>
      </c>
      <c r="G671" s="195" t="s">
        <v>10501</v>
      </c>
      <c r="H671" s="166" t="s">
        <v>13436</v>
      </c>
      <c r="I671" s="193" t="s">
        <v>12819</v>
      </c>
      <c r="J671" s="193" t="s">
        <v>146</v>
      </c>
      <c r="K671" s="170"/>
      <c r="L671" s="193" t="s">
        <v>13025</v>
      </c>
    </row>
    <row r="672" spans="1:13" ht="15.75">
      <c r="A672" s="67">
        <f t="shared" si="10"/>
        <v>670</v>
      </c>
      <c r="B672" s="164">
        <v>670</v>
      </c>
      <c r="C672" s="193" t="s">
        <v>1965</v>
      </c>
      <c r="D672" s="195" t="s">
        <v>5233</v>
      </c>
      <c r="E672" s="193" t="s">
        <v>8293</v>
      </c>
      <c r="F672" s="193" t="s">
        <v>59</v>
      </c>
      <c r="G672" s="195" t="s">
        <v>10502</v>
      </c>
      <c r="H672" s="166" t="s">
        <v>13436</v>
      </c>
      <c r="I672" s="193" t="s">
        <v>12819</v>
      </c>
      <c r="J672" s="193" t="s">
        <v>146</v>
      </c>
      <c r="K672" s="170"/>
      <c r="L672" s="193"/>
    </row>
    <row r="673" spans="1:12" ht="75">
      <c r="A673" s="67">
        <f t="shared" si="10"/>
        <v>671</v>
      </c>
      <c r="B673" s="164">
        <v>671</v>
      </c>
      <c r="C673" s="193" t="s">
        <v>1966</v>
      </c>
      <c r="D673" s="195" t="s">
        <v>5234</v>
      </c>
      <c r="E673" s="193" t="s">
        <v>647</v>
      </c>
      <c r="F673" s="193" t="s">
        <v>114</v>
      </c>
      <c r="G673" s="195" t="s">
        <v>10503</v>
      </c>
      <c r="H673" s="166" t="s">
        <v>13436</v>
      </c>
      <c r="I673" s="193" t="s">
        <v>12819</v>
      </c>
      <c r="J673" s="193" t="s">
        <v>12220</v>
      </c>
      <c r="K673" s="170"/>
      <c r="L673" s="193" t="s">
        <v>13026</v>
      </c>
    </row>
    <row r="674" spans="1:12" ht="75">
      <c r="A674" s="67">
        <f t="shared" si="10"/>
        <v>672</v>
      </c>
      <c r="B674" s="164">
        <v>672</v>
      </c>
      <c r="C674" s="193" t="s">
        <v>1967</v>
      </c>
      <c r="D674" s="195" t="s">
        <v>5235</v>
      </c>
      <c r="E674" s="193" t="s">
        <v>156</v>
      </c>
      <c r="F674" s="193" t="s">
        <v>114</v>
      </c>
      <c r="G674" s="195" t="s">
        <v>10504</v>
      </c>
      <c r="H674" s="166" t="s">
        <v>13436</v>
      </c>
      <c r="I674" s="193" t="s">
        <v>12824</v>
      </c>
      <c r="J674" s="193" t="s">
        <v>146</v>
      </c>
      <c r="K674" s="170"/>
      <c r="L674" s="193" t="s">
        <v>13027</v>
      </c>
    </row>
    <row r="675" spans="1:12" ht="75">
      <c r="A675" s="67">
        <f t="shared" si="10"/>
        <v>673</v>
      </c>
      <c r="B675" s="164">
        <v>673</v>
      </c>
      <c r="C675" s="193" t="s">
        <v>1968</v>
      </c>
      <c r="D675" s="195" t="s">
        <v>5236</v>
      </c>
      <c r="E675" s="193" t="s">
        <v>451</v>
      </c>
      <c r="F675" s="193" t="s">
        <v>114</v>
      </c>
      <c r="G675" s="195" t="s">
        <v>10505</v>
      </c>
      <c r="H675" s="166" t="s">
        <v>13436</v>
      </c>
      <c r="I675" s="193" t="s">
        <v>12808</v>
      </c>
      <c r="J675" s="193" t="s">
        <v>146</v>
      </c>
      <c r="K675" s="170"/>
      <c r="L675" s="193" t="s">
        <v>13028</v>
      </c>
    </row>
    <row r="676" spans="1:12" ht="15.75">
      <c r="A676" s="67">
        <f t="shared" si="10"/>
        <v>674</v>
      </c>
      <c r="B676" s="164">
        <v>674</v>
      </c>
      <c r="C676" s="193" t="s">
        <v>1969</v>
      </c>
      <c r="D676" s="195" t="s">
        <v>5237</v>
      </c>
      <c r="E676" s="193" t="s">
        <v>410</v>
      </c>
      <c r="F676" s="193" t="s">
        <v>114</v>
      </c>
      <c r="G676" s="195" t="s">
        <v>10506</v>
      </c>
      <c r="H676" s="166" t="s">
        <v>13436</v>
      </c>
      <c r="I676" s="193" t="s">
        <v>12813</v>
      </c>
      <c r="J676" s="193" t="s">
        <v>146</v>
      </c>
      <c r="K676" s="170"/>
      <c r="L676" s="193" t="s">
        <v>146</v>
      </c>
    </row>
    <row r="677" spans="1:12" ht="15.75">
      <c r="A677" s="67">
        <f t="shared" si="10"/>
        <v>675</v>
      </c>
      <c r="B677" s="164">
        <v>675</v>
      </c>
      <c r="C677" s="193" t="s">
        <v>1970</v>
      </c>
      <c r="D677" s="195" t="s">
        <v>5238</v>
      </c>
      <c r="E677" s="193" t="s">
        <v>8294</v>
      </c>
      <c r="F677" s="193" t="s">
        <v>59</v>
      </c>
      <c r="G677" s="195" t="s">
        <v>10507</v>
      </c>
      <c r="H677" s="166" t="s">
        <v>13436</v>
      </c>
      <c r="I677" s="193" t="s">
        <v>12819</v>
      </c>
      <c r="J677" s="193" t="s">
        <v>146</v>
      </c>
      <c r="K677" s="170"/>
      <c r="L677" s="193"/>
    </row>
    <row r="678" spans="1:12" ht="30">
      <c r="A678" s="67">
        <f t="shared" si="10"/>
        <v>676</v>
      </c>
      <c r="B678" s="164">
        <v>676</v>
      </c>
      <c r="C678" s="193" t="s">
        <v>1971</v>
      </c>
      <c r="D678" s="195" t="s">
        <v>5239</v>
      </c>
      <c r="E678" s="193" t="s">
        <v>8295</v>
      </c>
      <c r="F678" s="193" t="s">
        <v>114</v>
      </c>
      <c r="G678" s="195" t="s">
        <v>10508</v>
      </c>
      <c r="H678" s="166" t="s">
        <v>13436</v>
      </c>
      <c r="I678" s="193" t="s">
        <v>12818</v>
      </c>
      <c r="J678" s="193" t="s">
        <v>146</v>
      </c>
      <c r="K678" s="170"/>
      <c r="L678" s="193" t="s">
        <v>13029</v>
      </c>
    </row>
    <row r="679" spans="1:12" ht="60">
      <c r="A679" s="67">
        <f t="shared" si="10"/>
        <v>677</v>
      </c>
      <c r="B679" s="164">
        <v>677</v>
      </c>
      <c r="C679" s="193" t="s">
        <v>1972</v>
      </c>
      <c r="D679" s="195" t="s">
        <v>5240</v>
      </c>
      <c r="E679" s="193" t="s">
        <v>8296</v>
      </c>
      <c r="F679" s="193" t="s">
        <v>114</v>
      </c>
      <c r="G679" s="195" t="s">
        <v>10148</v>
      </c>
      <c r="H679" s="166" t="s">
        <v>13436</v>
      </c>
      <c r="I679" s="193" t="s">
        <v>12818</v>
      </c>
      <c r="J679" s="193" t="s">
        <v>12221</v>
      </c>
      <c r="K679" s="170"/>
      <c r="L679" s="193" t="s">
        <v>146</v>
      </c>
    </row>
    <row r="680" spans="1:12" ht="30">
      <c r="A680" s="67">
        <f t="shared" si="10"/>
        <v>678</v>
      </c>
      <c r="B680" s="164">
        <v>678</v>
      </c>
      <c r="C680" s="193" t="s">
        <v>1973</v>
      </c>
      <c r="D680" s="195" t="s">
        <v>5241</v>
      </c>
      <c r="E680" s="193" t="s">
        <v>8297</v>
      </c>
      <c r="F680" s="193" t="s">
        <v>114</v>
      </c>
      <c r="G680" s="195" t="s">
        <v>10213</v>
      </c>
      <c r="H680" s="166" t="s">
        <v>13436</v>
      </c>
      <c r="I680" s="193" t="s">
        <v>12818</v>
      </c>
      <c r="J680" s="193" t="s">
        <v>12222</v>
      </c>
      <c r="K680" s="170"/>
      <c r="L680" s="193" t="s">
        <v>146</v>
      </c>
    </row>
    <row r="681" spans="1:12" ht="15.75">
      <c r="A681" s="67">
        <f t="shared" si="10"/>
        <v>679</v>
      </c>
      <c r="B681" s="164">
        <v>679</v>
      </c>
      <c r="C681" s="193" t="s">
        <v>1974</v>
      </c>
      <c r="D681" s="195" t="s">
        <v>5242</v>
      </c>
      <c r="E681" s="193" t="s">
        <v>8298</v>
      </c>
      <c r="F681" s="193" t="s">
        <v>114</v>
      </c>
      <c r="G681" s="195" t="s">
        <v>10509</v>
      </c>
      <c r="H681" s="166" t="s">
        <v>13436</v>
      </c>
      <c r="I681" s="193" t="s">
        <v>12814</v>
      </c>
      <c r="J681" s="193" t="s">
        <v>146</v>
      </c>
      <c r="K681" s="170"/>
      <c r="L681" s="193" t="s">
        <v>146</v>
      </c>
    </row>
    <row r="682" spans="1:12" ht="15.75">
      <c r="A682" s="67">
        <f t="shared" si="10"/>
        <v>680</v>
      </c>
      <c r="B682" s="164">
        <v>680</v>
      </c>
      <c r="C682" s="193" t="s">
        <v>1975</v>
      </c>
      <c r="D682" s="195" t="s">
        <v>5243</v>
      </c>
      <c r="E682" s="193" t="s">
        <v>577</v>
      </c>
      <c r="F682" s="193" t="s">
        <v>114</v>
      </c>
      <c r="G682" s="195" t="s">
        <v>10510</v>
      </c>
      <c r="H682" s="166" t="s">
        <v>13436</v>
      </c>
      <c r="I682" s="193" t="s">
        <v>12818</v>
      </c>
      <c r="J682" s="193" t="s">
        <v>146</v>
      </c>
      <c r="K682" s="170"/>
      <c r="L682" s="193" t="s">
        <v>146</v>
      </c>
    </row>
    <row r="683" spans="1:12" ht="15.75">
      <c r="A683" s="67">
        <f t="shared" si="10"/>
        <v>681</v>
      </c>
      <c r="B683" s="164">
        <v>681</v>
      </c>
      <c r="C683" s="193" t="s">
        <v>1976</v>
      </c>
      <c r="D683" s="195" t="s">
        <v>5244</v>
      </c>
      <c r="E683" s="193" t="s">
        <v>8299</v>
      </c>
      <c r="F683" s="193" t="s">
        <v>114</v>
      </c>
      <c r="G683" s="195" t="s">
        <v>10511</v>
      </c>
      <c r="H683" s="166" t="s">
        <v>13436</v>
      </c>
      <c r="I683" s="193" t="s">
        <v>12818</v>
      </c>
      <c r="J683" s="193" t="s">
        <v>146</v>
      </c>
      <c r="K683" s="170"/>
      <c r="L683" s="193" t="s">
        <v>146</v>
      </c>
    </row>
    <row r="684" spans="1:12" ht="15.75">
      <c r="A684" s="67">
        <f t="shared" si="10"/>
        <v>682</v>
      </c>
      <c r="B684" s="164">
        <v>682</v>
      </c>
      <c r="C684" s="193" t="s">
        <v>1977</v>
      </c>
      <c r="D684" s="195" t="s">
        <v>5245</v>
      </c>
      <c r="E684" s="193" t="s">
        <v>157</v>
      </c>
      <c r="F684" s="193" t="s">
        <v>114</v>
      </c>
      <c r="G684" s="195" t="s">
        <v>10512</v>
      </c>
      <c r="H684" s="166" t="s">
        <v>13436</v>
      </c>
      <c r="I684" s="193" t="s">
        <v>12812</v>
      </c>
      <c r="J684" s="193" t="s">
        <v>146</v>
      </c>
      <c r="K684" s="170"/>
      <c r="L684" s="193" t="s">
        <v>146</v>
      </c>
    </row>
    <row r="685" spans="1:12" ht="30">
      <c r="A685" s="67">
        <f t="shared" si="10"/>
        <v>683</v>
      </c>
      <c r="B685" s="164">
        <v>683</v>
      </c>
      <c r="C685" s="193" t="s">
        <v>1978</v>
      </c>
      <c r="D685" s="195" t="s">
        <v>5246</v>
      </c>
      <c r="E685" s="193" t="s">
        <v>8300</v>
      </c>
      <c r="F685" s="193" t="s">
        <v>114</v>
      </c>
      <c r="G685" s="195" t="s">
        <v>10513</v>
      </c>
      <c r="H685" s="166" t="s">
        <v>13436</v>
      </c>
      <c r="I685" s="193" t="s">
        <v>12832</v>
      </c>
      <c r="J685" s="193" t="s">
        <v>146</v>
      </c>
      <c r="K685" s="170"/>
      <c r="L685" s="193" t="s">
        <v>13030</v>
      </c>
    </row>
    <row r="686" spans="1:12" ht="90">
      <c r="A686" s="67">
        <f t="shared" si="10"/>
        <v>684</v>
      </c>
      <c r="B686" s="164">
        <v>684</v>
      </c>
      <c r="C686" s="193" t="s">
        <v>1979</v>
      </c>
      <c r="D686" s="195" t="s">
        <v>5247</v>
      </c>
      <c r="E686" s="193" t="s">
        <v>8301</v>
      </c>
      <c r="F686" s="193" t="s">
        <v>114</v>
      </c>
      <c r="G686" s="195" t="s">
        <v>10514</v>
      </c>
      <c r="H686" s="166" t="s">
        <v>13436</v>
      </c>
      <c r="I686" s="193" t="s">
        <v>12824</v>
      </c>
      <c r="J686" s="193" t="s">
        <v>146</v>
      </c>
      <c r="K686" s="170"/>
      <c r="L686" s="193" t="s">
        <v>13031</v>
      </c>
    </row>
    <row r="687" spans="1:12" ht="15.75">
      <c r="A687" s="67">
        <f t="shared" si="10"/>
        <v>685</v>
      </c>
      <c r="B687" s="164">
        <v>685</v>
      </c>
      <c r="C687" s="193" t="s">
        <v>1980</v>
      </c>
      <c r="D687" s="195" t="s">
        <v>5248</v>
      </c>
      <c r="E687" s="193" t="s">
        <v>354</v>
      </c>
      <c r="F687" s="193" t="s">
        <v>114</v>
      </c>
      <c r="G687" s="195" t="s">
        <v>10515</v>
      </c>
      <c r="H687" s="166" t="s">
        <v>13436</v>
      </c>
      <c r="I687" s="193" t="s">
        <v>12821</v>
      </c>
      <c r="J687" s="193" t="s">
        <v>146</v>
      </c>
      <c r="K687" s="170"/>
      <c r="L687" s="193" t="s">
        <v>146</v>
      </c>
    </row>
    <row r="688" spans="1:12" ht="15.75">
      <c r="A688" s="67">
        <f t="shared" si="10"/>
        <v>686</v>
      </c>
      <c r="B688" s="164">
        <v>686</v>
      </c>
      <c r="C688" s="193" t="s">
        <v>1981</v>
      </c>
      <c r="D688" s="195" t="s">
        <v>5249</v>
      </c>
      <c r="E688" s="193" t="s">
        <v>8302</v>
      </c>
      <c r="F688" s="193" t="s">
        <v>114</v>
      </c>
      <c r="G688" s="195" t="s">
        <v>10357</v>
      </c>
      <c r="H688" s="166" t="s">
        <v>13436</v>
      </c>
      <c r="I688" s="193" t="s">
        <v>12813</v>
      </c>
      <c r="J688" s="193" t="s">
        <v>146</v>
      </c>
      <c r="K688" s="170"/>
      <c r="L688" s="193" t="s">
        <v>146</v>
      </c>
    </row>
    <row r="689" spans="1:12" ht="15.75">
      <c r="A689" s="67">
        <f t="shared" si="10"/>
        <v>687</v>
      </c>
      <c r="B689" s="164">
        <v>687</v>
      </c>
      <c r="C689" s="193" t="s">
        <v>1982</v>
      </c>
      <c r="D689" s="195" t="s">
        <v>5250</v>
      </c>
      <c r="E689" s="193" t="s">
        <v>8303</v>
      </c>
      <c r="F689" s="193" t="s">
        <v>114</v>
      </c>
      <c r="G689" s="195" t="s">
        <v>10516</v>
      </c>
      <c r="H689" s="166" t="s">
        <v>13436</v>
      </c>
      <c r="I689" s="193" t="s">
        <v>12825</v>
      </c>
      <c r="J689" s="193" t="s">
        <v>146</v>
      </c>
      <c r="K689" s="170"/>
      <c r="L689" s="193" t="s">
        <v>146</v>
      </c>
    </row>
    <row r="690" spans="1:12" ht="15.75">
      <c r="A690" s="67">
        <f t="shared" si="10"/>
        <v>688</v>
      </c>
      <c r="B690" s="164">
        <v>688</v>
      </c>
      <c r="C690" s="193" t="s">
        <v>1983</v>
      </c>
      <c r="D690" s="195" t="s">
        <v>5251</v>
      </c>
      <c r="E690" s="193" t="s">
        <v>487</v>
      </c>
      <c r="F690" s="193" t="s">
        <v>114</v>
      </c>
      <c r="G690" s="195" t="s">
        <v>10249</v>
      </c>
      <c r="H690" s="166" t="s">
        <v>13436</v>
      </c>
      <c r="I690" s="193" t="s">
        <v>12835</v>
      </c>
      <c r="J690" s="193" t="s">
        <v>146</v>
      </c>
      <c r="K690" s="170"/>
      <c r="L690" s="193" t="s">
        <v>146</v>
      </c>
    </row>
    <row r="691" spans="1:12" ht="15.75">
      <c r="A691" s="67">
        <f t="shared" si="10"/>
        <v>689</v>
      </c>
      <c r="B691" s="164">
        <v>689</v>
      </c>
      <c r="C691" s="193" t="s">
        <v>1984</v>
      </c>
      <c r="D691" s="195" t="s">
        <v>5252</v>
      </c>
      <c r="E691" s="193" t="s">
        <v>8304</v>
      </c>
      <c r="F691" s="193" t="s">
        <v>114</v>
      </c>
      <c r="G691" s="195" t="s">
        <v>10517</v>
      </c>
      <c r="H691" s="166" t="s">
        <v>13436</v>
      </c>
      <c r="I691" s="193" t="s">
        <v>12826</v>
      </c>
      <c r="J691" s="193" t="s">
        <v>12223</v>
      </c>
      <c r="K691" s="170"/>
      <c r="L691" s="193" t="s">
        <v>146</v>
      </c>
    </row>
    <row r="692" spans="1:12" ht="75">
      <c r="A692" s="67">
        <f t="shared" si="10"/>
        <v>690</v>
      </c>
      <c r="B692" s="164">
        <v>690</v>
      </c>
      <c r="C692" s="193" t="s">
        <v>1985</v>
      </c>
      <c r="D692" s="195" t="s">
        <v>5253</v>
      </c>
      <c r="E692" s="193" t="s">
        <v>8305</v>
      </c>
      <c r="F692" s="193" t="s">
        <v>114</v>
      </c>
      <c r="G692" s="195" t="s">
        <v>10518</v>
      </c>
      <c r="H692" s="166" t="s">
        <v>13436</v>
      </c>
      <c r="I692" s="193" t="s">
        <v>12826</v>
      </c>
      <c r="J692" s="193" t="s">
        <v>146</v>
      </c>
      <c r="K692" s="170"/>
      <c r="L692" s="193" t="s">
        <v>13032</v>
      </c>
    </row>
    <row r="693" spans="1:12" ht="15.75">
      <c r="A693" s="67">
        <f t="shared" si="10"/>
        <v>691</v>
      </c>
      <c r="B693" s="164">
        <v>691</v>
      </c>
      <c r="C693" s="193" t="s">
        <v>1986</v>
      </c>
      <c r="D693" s="195" t="s">
        <v>5254</v>
      </c>
      <c r="E693" s="193" t="s">
        <v>8306</v>
      </c>
      <c r="F693" s="193" t="s">
        <v>114</v>
      </c>
      <c r="G693" s="195" t="s">
        <v>10426</v>
      </c>
      <c r="H693" s="166" t="s">
        <v>13436</v>
      </c>
      <c r="I693" s="193" t="s">
        <v>12826</v>
      </c>
      <c r="J693" s="193" t="s">
        <v>146</v>
      </c>
      <c r="K693" s="170"/>
      <c r="L693" s="193" t="s">
        <v>146</v>
      </c>
    </row>
    <row r="694" spans="1:12" ht="15.75">
      <c r="A694" s="67">
        <f t="shared" si="10"/>
        <v>692</v>
      </c>
      <c r="B694" s="164">
        <v>692</v>
      </c>
      <c r="C694" s="193" t="s">
        <v>1987</v>
      </c>
      <c r="D694" s="195" t="s">
        <v>5255</v>
      </c>
      <c r="E694" s="193" t="s">
        <v>462</v>
      </c>
      <c r="F694" s="193" t="s">
        <v>114</v>
      </c>
      <c r="G694" s="195" t="s">
        <v>806</v>
      </c>
      <c r="H694" s="166" t="s">
        <v>13436</v>
      </c>
      <c r="I694" s="193" t="s">
        <v>12826</v>
      </c>
      <c r="J694" s="193" t="s">
        <v>146</v>
      </c>
      <c r="K694" s="170"/>
      <c r="L694" s="193" t="s">
        <v>146</v>
      </c>
    </row>
    <row r="695" spans="1:12" ht="15.75">
      <c r="A695" s="67">
        <f t="shared" si="10"/>
        <v>693</v>
      </c>
      <c r="B695" s="164">
        <v>693</v>
      </c>
      <c r="C695" s="193" t="s">
        <v>1988</v>
      </c>
      <c r="D695" s="195" t="s">
        <v>5256</v>
      </c>
      <c r="E695" s="193" t="s">
        <v>8307</v>
      </c>
      <c r="F695" s="193" t="s">
        <v>114</v>
      </c>
      <c r="G695" s="195" t="s">
        <v>10519</v>
      </c>
      <c r="H695" s="166" t="s">
        <v>13436</v>
      </c>
      <c r="I695" s="193" t="s">
        <v>12826</v>
      </c>
      <c r="J695" s="193" t="s">
        <v>146</v>
      </c>
      <c r="K695" s="170"/>
      <c r="L695" s="193" t="s">
        <v>146</v>
      </c>
    </row>
    <row r="696" spans="1:12" ht="15.75">
      <c r="A696" s="67">
        <f t="shared" si="10"/>
        <v>694</v>
      </c>
      <c r="B696" s="164">
        <v>694</v>
      </c>
      <c r="C696" s="193" t="s">
        <v>1989</v>
      </c>
      <c r="D696" s="195" t="s">
        <v>5257</v>
      </c>
      <c r="E696" s="193" t="s">
        <v>8308</v>
      </c>
      <c r="F696" s="193" t="s">
        <v>114</v>
      </c>
      <c r="G696" s="195" t="s">
        <v>10520</v>
      </c>
      <c r="H696" s="166" t="s">
        <v>13436</v>
      </c>
      <c r="I696" s="193" t="s">
        <v>12826</v>
      </c>
      <c r="J696" s="193" t="s">
        <v>146</v>
      </c>
      <c r="K696" s="170"/>
      <c r="L696" s="193" t="s">
        <v>146</v>
      </c>
    </row>
    <row r="697" spans="1:12" ht="15.75">
      <c r="A697" s="67">
        <f t="shared" si="10"/>
        <v>695</v>
      </c>
      <c r="B697" s="164">
        <v>695</v>
      </c>
      <c r="C697" s="193" t="s">
        <v>1990</v>
      </c>
      <c r="D697" s="195" t="s">
        <v>5258</v>
      </c>
      <c r="E697" s="193" t="s">
        <v>170</v>
      </c>
      <c r="F697" s="193" t="s">
        <v>114</v>
      </c>
      <c r="G697" s="195" t="s">
        <v>10521</v>
      </c>
      <c r="H697" s="166" t="s">
        <v>13436</v>
      </c>
      <c r="I697" s="193" t="s">
        <v>12826</v>
      </c>
      <c r="J697" s="219" t="s">
        <v>146</v>
      </c>
      <c r="K697" s="170"/>
      <c r="L697" s="193" t="s">
        <v>146</v>
      </c>
    </row>
    <row r="698" spans="1:12" ht="15.75">
      <c r="A698" s="67">
        <f t="shared" si="10"/>
        <v>696</v>
      </c>
      <c r="B698" s="164">
        <v>696</v>
      </c>
      <c r="C698" s="193" t="s">
        <v>1991</v>
      </c>
      <c r="D698" s="195" t="s">
        <v>5259</v>
      </c>
      <c r="E698" s="193" t="s">
        <v>8309</v>
      </c>
      <c r="F698" s="193" t="s">
        <v>114</v>
      </c>
      <c r="G698" s="195" t="s">
        <v>10522</v>
      </c>
      <c r="H698" s="166" t="s">
        <v>13436</v>
      </c>
      <c r="I698" s="193" t="s">
        <v>12824</v>
      </c>
      <c r="J698" s="193" t="s">
        <v>146</v>
      </c>
      <c r="K698" s="170"/>
      <c r="L698" s="193" t="s">
        <v>146</v>
      </c>
    </row>
    <row r="699" spans="1:12" ht="30">
      <c r="A699" s="67">
        <f t="shared" si="10"/>
        <v>697</v>
      </c>
      <c r="B699" s="164">
        <v>697</v>
      </c>
      <c r="C699" s="193" t="s">
        <v>1992</v>
      </c>
      <c r="D699" s="197" t="s">
        <v>5260</v>
      </c>
      <c r="E699" s="193" t="s">
        <v>8310</v>
      </c>
      <c r="F699" s="193" t="s">
        <v>114</v>
      </c>
      <c r="G699" s="195" t="s">
        <v>690</v>
      </c>
      <c r="H699" s="166" t="s">
        <v>13436</v>
      </c>
      <c r="I699" s="193" t="s">
        <v>12816</v>
      </c>
      <c r="J699" s="193" t="s">
        <v>12224</v>
      </c>
      <c r="K699" s="170"/>
      <c r="L699" s="193" t="s">
        <v>13033</v>
      </c>
    </row>
    <row r="700" spans="1:12" ht="15.75">
      <c r="A700" s="67">
        <f t="shared" si="10"/>
        <v>698</v>
      </c>
      <c r="B700" s="164">
        <v>698</v>
      </c>
      <c r="C700" s="193" t="s">
        <v>1993</v>
      </c>
      <c r="D700" s="195" t="s">
        <v>5261</v>
      </c>
      <c r="E700" s="193" t="s">
        <v>8311</v>
      </c>
      <c r="F700" s="193" t="s">
        <v>114</v>
      </c>
      <c r="G700" s="195" t="s">
        <v>10197</v>
      </c>
      <c r="H700" s="166" t="s">
        <v>13436</v>
      </c>
      <c r="I700" s="193" t="s">
        <v>12817</v>
      </c>
      <c r="J700" s="193" t="s">
        <v>146</v>
      </c>
      <c r="K700" s="170"/>
      <c r="L700" s="193" t="s">
        <v>146</v>
      </c>
    </row>
    <row r="701" spans="1:12" ht="15.75">
      <c r="A701" s="67">
        <f t="shared" si="10"/>
        <v>699</v>
      </c>
      <c r="B701" s="164">
        <v>699</v>
      </c>
      <c r="C701" s="193" t="s">
        <v>1994</v>
      </c>
      <c r="D701" s="197" t="s">
        <v>5262</v>
      </c>
      <c r="E701" s="193" t="s">
        <v>8312</v>
      </c>
      <c r="F701" s="193" t="s">
        <v>114</v>
      </c>
      <c r="G701" s="195" t="s">
        <v>10523</v>
      </c>
      <c r="H701" s="166" t="s">
        <v>13436</v>
      </c>
      <c r="I701" s="193" t="s">
        <v>12816</v>
      </c>
      <c r="J701" s="193" t="s">
        <v>146</v>
      </c>
      <c r="K701" s="170"/>
      <c r="L701" s="193" t="s">
        <v>146</v>
      </c>
    </row>
    <row r="702" spans="1:12" ht="15.75">
      <c r="A702" s="67">
        <f t="shared" si="10"/>
        <v>700</v>
      </c>
      <c r="B702" s="164">
        <v>700</v>
      </c>
      <c r="C702" s="193" t="s">
        <v>1995</v>
      </c>
      <c r="D702" s="205" t="s">
        <v>5263</v>
      </c>
      <c r="E702" s="193" t="s">
        <v>8313</v>
      </c>
      <c r="F702" s="193" t="s">
        <v>59</v>
      </c>
      <c r="G702" s="195" t="s">
        <v>10398</v>
      </c>
      <c r="H702" s="166" t="s">
        <v>13436</v>
      </c>
      <c r="I702" s="193" t="s">
        <v>12816</v>
      </c>
      <c r="J702" s="219" t="s">
        <v>146</v>
      </c>
      <c r="K702" s="170"/>
      <c r="L702" s="193"/>
    </row>
    <row r="703" spans="1:12" ht="15.75">
      <c r="A703" s="67">
        <f t="shared" si="10"/>
        <v>701</v>
      </c>
      <c r="B703" s="164">
        <v>701</v>
      </c>
      <c r="C703" s="193" t="s">
        <v>1996</v>
      </c>
      <c r="D703" s="197" t="s">
        <v>5264</v>
      </c>
      <c r="E703" s="193" t="s">
        <v>8314</v>
      </c>
      <c r="F703" s="193" t="s">
        <v>114</v>
      </c>
      <c r="G703" s="195" t="s">
        <v>10524</v>
      </c>
      <c r="H703" s="166" t="s">
        <v>13436</v>
      </c>
      <c r="I703" s="193" t="s">
        <v>12816</v>
      </c>
      <c r="J703" s="193" t="s">
        <v>146</v>
      </c>
      <c r="K703" s="170"/>
      <c r="L703" s="193" t="s">
        <v>146</v>
      </c>
    </row>
    <row r="704" spans="1:12" ht="15.75">
      <c r="A704" s="67">
        <f t="shared" si="10"/>
        <v>702</v>
      </c>
      <c r="B704" s="164">
        <v>702</v>
      </c>
      <c r="C704" s="193" t="s">
        <v>1997</v>
      </c>
      <c r="D704" s="195" t="s">
        <v>5265</v>
      </c>
      <c r="E704" s="193" t="s">
        <v>182</v>
      </c>
      <c r="F704" s="193" t="s">
        <v>114</v>
      </c>
      <c r="G704" s="195" t="s">
        <v>10525</v>
      </c>
      <c r="H704" s="166" t="s">
        <v>13436</v>
      </c>
      <c r="I704" s="193" t="s">
        <v>12814</v>
      </c>
      <c r="J704" s="193" t="s">
        <v>146</v>
      </c>
      <c r="K704" s="170"/>
      <c r="L704" s="193" t="s">
        <v>146</v>
      </c>
    </row>
    <row r="705" spans="1:12" ht="15.75">
      <c r="A705" s="67">
        <f t="shared" si="10"/>
        <v>703</v>
      </c>
      <c r="B705" s="164">
        <v>703</v>
      </c>
      <c r="C705" s="193" t="s">
        <v>1998</v>
      </c>
      <c r="D705" s="195" t="s">
        <v>5266</v>
      </c>
      <c r="E705" s="193" t="s">
        <v>8307</v>
      </c>
      <c r="F705" s="193" t="s">
        <v>114</v>
      </c>
      <c r="G705" s="195" t="s">
        <v>10526</v>
      </c>
      <c r="H705" s="166" t="s">
        <v>13436</v>
      </c>
      <c r="I705" s="193" t="s">
        <v>12814</v>
      </c>
      <c r="J705" s="193" t="s">
        <v>146</v>
      </c>
      <c r="K705" s="170"/>
      <c r="L705" s="193" t="s">
        <v>146</v>
      </c>
    </row>
    <row r="706" spans="1:12" ht="45">
      <c r="A706" s="67">
        <f t="shared" si="10"/>
        <v>704</v>
      </c>
      <c r="B706" s="164">
        <v>704</v>
      </c>
      <c r="C706" s="193" t="s">
        <v>1999</v>
      </c>
      <c r="D706" s="195" t="s">
        <v>5267</v>
      </c>
      <c r="E706" s="193" t="s">
        <v>8315</v>
      </c>
      <c r="F706" s="193" t="s">
        <v>114</v>
      </c>
      <c r="G706" s="195" t="s">
        <v>10527</v>
      </c>
      <c r="H706" s="166" t="s">
        <v>13436</v>
      </c>
      <c r="I706" s="193" t="s">
        <v>12814</v>
      </c>
      <c r="J706" s="193" t="s">
        <v>146</v>
      </c>
      <c r="K706" s="170"/>
      <c r="L706" s="193" t="s">
        <v>13034</v>
      </c>
    </row>
    <row r="707" spans="1:12" ht="30">
      <c r="A707" s="67">
        <f t="shared" ref="A707:A770" si="11">IFERROR(VALUE(RIGHT(C707,4)),"")</f>
        <v>705</v>
      </c>
      <c r="B707" s="164">
        <v>705</v>
      </c>
      <c r="C707" s="193" t="s">
        <v>2000</v>
      </c>
      <c r="D707" s="195" t="s">
        <v>5268</v>
      </c>
      <c r="E707" s="193" t="s">
        <v>281</v>
      </c>
      <c r="F707" s="193" t="s">
        <v>114</v>
      </c>
      <c r="G707" s="195" t="s">
        <v>10182</v>
      </c>
      <c r="H707" s="166" t="s">
        <v>13436</v>
      </c>
      <c r="I707" s="193" t="s">
        <v>12814</v>
      </c>
      <c r="J707" s="193" t="s">
        <v>12225</v>
      </c>
      <c r="K707" s="170"/>
      <c r="L707" s="193" t="s">
        <v>13035</v>
      </c>
    </row>
    <row r="708" spans="1:12" ht="30">
      <c r="A708" s="67">
        <f t="shared" si="11"/>
        <v>706</v>
      </c>
      <c r="B708" s="164">
        <v>706</v>
      </c>
      <c r="C708" s="193" t="s">
        <v>2001</v>
      </c>
      <c r="D708" s="195" t="s">
        <v>5269</v>
      </c>
      <c r="E708" s="193" t="s">
        <v>8316</v>
      </c>
      <c r="F708" s="193" t="s">
        <v>114</v>
      </c>
      <c r="G708" s="195" t="s">
        <v>10528</v>
      </c>
      <c r="H708" s="166" t="s">
        <v>13436</v>
      </c>
      <c r="I708" s="193" t="s">
        <v>12814</v>
      </c>
      <c r="J708" s="193" t="s">
        <v>12226</v>
      </c>
      <c r="K708" s="170"/>
      <c r="L708" s="193" t="s">
        <v>146</v>
      </c>
    </row>
    <row r="709" spans="1:12" ht="60">
      <c r="A709" s="67">
        <f t="shared" si="11"/>
        <v>707</v>
      </c>
      <c r="B709" s="164">
        <v>707</v>
      </c>
      <c r="C709" s="193" t="s">
        <v>2002</v>
      </c>
      <c r="D709" s="195" t="s">
        <v>5270</v>
      </c>
      <c r="E709" s="193" t="s">
        <v>8317</v>
      </c>
      <c r="F709" s="193" t="s">
        <v>114</v>
      </c>
      <c r="G709" s="195" t="s">
        <v>10377</v>
      </c>
      <c r="H709" s="166" t="s">
        <v>13436</v>
      </c>
      <c r="I709" s="193" t="s">
        <v>12824</v>
      </c>
      <c r="J709" s="193" t="s">
        <v>12227</v>
      </c>
      <c r="K709" s="170"/>
      <c r="L709" s="193" t="s">
        <v>13036</v>
      </c>
    </row>
    <row r="710" spans="1:12" ht="30">
      <c r="A710" s="67">
        <f t="shared" si="11"/>
        <v>708</v>
      </c>
      <c r="B710" s="164">
        <v>708</v>
      </c>
      <c r="C710" s="193" t="s">
        <v>2003</v>
      </c>
      <c r="D710" s="195" t="s">
        <v>5271</v>
      </c>
      <c r="E710" s="193" t="s">
        <v>8318</v>
      </c>
      <c r="F710" s="193" t="s">
        <v>114</v>
      </c>
      <c r="G710" s="195" t="s">
        <v>10529</v>
      </c>
      <c r="H710" s="166" t="s">
        <v>13436</v>
      </c>
      <c r="I710" s="193" t="s">
        <v>12814</v>
      </c>
      <c r="J710" s="193" t="s">
        <v>146</v>
      </c>
      <c r="K710" s="170"/>
      <c r="L710" s="193" t="s">
        <v>13037</v>
      </c>
    </row>
    <row r="711" spans="1:12" ht="15.75">
      <c r="A711" s="67">
        <f t="shared" si="11"/>
        <v>709</v>
      </c>
      <c r="B711" s="164">
        <v>709</v>
      </c>
      <c r="C711" s="193" t="s">
        <v>2004</v>
      </c>
      <c r="D711" s="195" t="s">
        <v>5272</v>
      </c>
      <c r="E711" s="193" t="s">
        <v>8319</v>
      </c>
      <c r="F711" s="193" t="s">
        <v>114</v>
      </c>
      <c r="G711" s="195" t="s">
        <v>10530</v>
      </c>
      <c r="H711" s="166" t="s">
        <v>13436</v>
      </c>
      <c r="I711" s="193" t="s">
        <v>12819</v>
      </c>
      <c r="J711" s="193" t="s">
        <v>146</v>
      </c>
      <c r="K711" s="170"/>
      <c r="L711" s="193" t="s">
        <v>146</v>
      </c>
    </row>
    <row r="712" spans="1:12" ht="30">
      <c r="A712" s="67">
        <f t="shared" si="11"/>
        <v>710</v>
      </c>
      <c r="B712" s="164">
        <v>710</v>
      </c>
      <c r="C712" s="193" t="s">
        <v>2005</v>
      </c>
      <c r="D712" s="195" t="s">
        <v>5273</v>
      </c>
      <c r="E712" s="193" t="s">
        <v>8320</v>
      </c>
      <c r="F712" s="193" t="s">
        <v>114</v>
      </c>
      <c r="G712" s="195" t="s">
        <v>10481</v>
      </c>
      <c r="H712" s="166" t="s">
        <v>13436</v>
      </c>
      <c r="I712" s="193" t="s">
        <v>12812</v>
      </c>
      <c r="J712" s="219" t="s">
        <v>12228</v>
      </c>
      <c r="K712" s="170"/>
      <c r="L712" s="219" t="s">
        <v>146</v>
      </c>
    </row>
    <row r="713" spans="1:12" ht="15.75">
      <c r="A713" s="67">
        <f t="shared" si="11"/>
        <v>711</v>
      </c>
      <c r="B713" s="164">
        <v>711</v>
      </c>
      <c r="C713" s="193" t="s">
        <v>2006</v>
      </c>
      <c r="D713" s="195" t="s">
        <v>5274</v>
      </c>
      <c r="E713" s="193" t="s">
        <v>400</v>
      </c>
      <c r="F713" s="193" t="s">
        <v>114</v>
      </c>
      <c r="G713" s="195" t="s">
        <v>10531</v>
      </c>
      <c r="H713" s="166" t="s">
        <v>13436</v>
      </c>
      <c r="I713" s="193" t="s">
        <v>12819</v>
      </c>
      <c r="J713" s="193" t="s">
        <v>146</v>
      </c>
      <c r="K713" s="170"/>
      <c r="L713" s="193" t="s">
        <v>146</v>
      </c>
    </row>
    <row r="714" spans="1:12" ht="15.75">
      <c r="A714" s="67">
        <f t="shared" si="11"/>
        <v>712</v>
      </c>
      <c r="B714" s="164">
        <v>712</v>
      </c>
      <c r="C714" s="193" t="s">
        <v>2007</v>
      </c>
      <c r="D714" s="195" t="s">
        <v>5275</v>
      </c>
      <c r="E714" s="193" t="s">
        <v>8321</v>
      </c>
      <c r="F714" s="193" t="s">
        <v>114</v>
      </c>
      <c r="G714" s="195" t="s">
        <v>10532</v>
      </c>
      <c r="H714" s="166" t="s">
        <v>13436</v>
      </c>
      <c r="I714" s="193" t="s">
        <v>12835</v>
      </c>
      <c r="J714" s="219" t="s">
        <v>146</v>
      </c>
      <c r="K714" s="170"/>
      <c r="L714" s="193" t="s">
        <v>146</v>
      </c>
    </row>
    <row r="715" spans="1:12" ht="30">
      <c r="A715" s="67">
        <f t="shared" si="11"/>
        <v>713</v>
      </c>
      <c r="B715" s="164">
        <v>713</v>
      </c>
      <c r="C715" s="193" t="s">
        <v>2008</v>
      </c>
      <c r="D715" s="195" t="s">
        <v>5276</v>
      </c>
      <c r="E715" s="193" t="s">
        <v>160</v>
      </c>
      <c r="F715" s="193" t="s">
        <v>114</v>
      </c>
      <c r="G715" s="195" t="s">
        <v>10533</v>
      </c>
      <c r="H715" s="166" t="s">
        <v>13436</v>
      </c>
      <c r="I715" s="193" t="s">
        <v>12819</v>
      </c>
      <c r="J715" s="193" t="s">
        <v>12229</v>
      </c>
      <c r="K715" s="170"/>
      <c r="L715" s="193" t="s">
        <v>146</v>
      </c>
    </row>
    <row r="716" spans="1:12" ht="45">
      <c r="A716" s="67">
        <f t="shared" si="11"/>
        <v>714</v>
      </c>
      <c r="B716" s="164">
        <v>714</v>
      </c>
      <c r="C716" s="193" t="s">
        <v>2009</v>
      </c>
      <c r="D716" s="195" t="s">
        <v>5277</v>
      </c>
      <c r="E716" s="193" t="s">
        <v>8322</v>
      </c>
      <c r="F716" s="193" t="s">
        <v>114</v>
      </c>
      <c r="G716" s="195" t="s">
        <v>266</v>
      </c>
      <c r="H716" s="166" t="s">
        <v>13436</v>
      </c>
      <c r="I716" s="193" t="s">
        <v>12819</v>
      </c>
      <c r="J716" s="193" t="s">
        <v>12230</v>
      </c>
      <c r="K716" s="170"/>
      <c r="L716" s="193" t="s">
        <v>146</v>
      </c>
    </row>
    <row r="717" spans="1:12" ht="60">
      <c r="A717" s="67">
        <f t="shared" si="11"/>
        <v>715</v>
      </c>
      <c r="B717" s="164">
        <v>715</v>
      </c>
      <c r="C717" s="193" t="s">
        <v>2010</v>
      </c>
      <c r="D717" s="195" t="s">
        <v>5278</v>
      </c>
      <c r="E717" s="193" t="s">
        <v>8323</v>
      </c>
      <c r="F717" s="193" t="s">
        <v>114</v>
      </c>
      <c r="G717" s="195" t="s">
        <v>10534</v>
      </c>
      <c r="H717" s="166" t="s">
        <v>13436</v>
      </c>
      <c r="I717" s="193" t="s">
        <v>12819</v>
      </c>
      <c r="J717" s="193" t="s">
        <v>146</v>
      </c>
      <c r="K717" s="170"/>
      <c r="L717" s="193" t="s">
        <v>13038</v>
      </c>
    </row>
    <row r="718" spans="1:12" ht="15.75">
      <c r="A718" s="67">
        <f t="shared" si="11"/>
        <v>716</v>
      </c>
      <c r="B718" s="164">
        <v>716</v>
      </c>
      <c r="C718" s="193" t="s">
        <v>2011</v>
      </c>
      <c r="D718" s="195" t="s">
        <v>5279</v>
      </c>
      <c r="E718" s="193" t="s">
        <v>8324</v>
      </c>
      <c r="F718" s="193" t="s">
        <v>114</v>
      </c>
      <c r="G718" s="195" t="s">
        <v>10535</v>
      </c>
      <c r="H718" s="166" t="s">
        <v>13436</v>
      </c>
      <c r="I718" s="193" t="s">
        <v>12819</v>
      </c>
      <c r="J718" s="193" t="s">
        <v>146</v>
      </c>
      <c r="K718" s="170"/>
      <c r="L718" s="193" t="s">
        <v>146</v>
      </c>
    </row>
    <row r="719" spans="1:12" ht="15.75">
      <c r="A719" s="67">
        <f t="shared" si="11"/>
        <v>717</v>
      </c>
      <c r="B719" s="164">
        <v>717</v>
      </c>
      <c r="C719" s="193" t="s">
        <v>2012</v>
      </c>
      <c r="D719" s="195" t="s">
        <v>5280</v>
      </c>
      <c r="E719" s="193" t="s">
        <v>167</v>
      </c>
      <c r="F719" s="193" t="s">
        <v>114</v>
      </c>
      <c r="G719" s="195" t="s">
        <v>10536</v>
      </c>
      <c r="H719" s="166" t="s">
        <v>13436</v>
      </c>
      <c r="I719" s="193" t="s">
        <v>12819</v>
      </c>
      <c r="J719" s="193" t="s">
        <v>146</v>
      </c>
      <c r="K719" s="170"/>
      <c r="L719" s="193" t="s">
        <v>146</v>
      </c>
    </row>
    <row r="720" spans="1:12" ht="45">
      <c r="A720" s="67">
        <f t="shared" si="11"/>
        <v>718</v>
      </c>
      <c r="B720" s="164">
        <v>718</v>
      </c>
      <c r="C720" s="193" t="s">
        <v>2013</v>
      </c>
      <c r="D720" s="195" t="s">
        <v>5281</v>
      </c>
      <c r="E720" s="193" t="s">
        <v>172</v>
      </c>
      <c r="F720" s="193" t="s">
        <v>114</v>
      </c>
      <c r="G720" s="195" t="s">
        <v>10537</v>
      </c>
      <c r="H720" s="166" t="s">
        <v>13436</v>
      </c>
      <c r="I720" s="193" t="s">
        <v>12835</v>
      </c>
      <c r="J720" s="193" t="s">
        <v>12231</v>
      </c>
      <c r="K720" s="170"/>
      <c r="L720" s="193" t="s">
        <v>146</v>
      </c>
    </row>
    <row r="721" spans="1:12" ht="30">
      <c r="A721" s="67">
        <f t="shared" si="11"/>
        <v>719</v>
      </c>
      <c r="B721" s="164">
        <v>719</v>
      </c>
      <c r="C721" s="193" t="s">
        <v>2014</v>
      </c>
      <c r="D721" s="195" t="s">
        <v>5282</v>
      </c>
      <c r="E721" s="193" t="s">
        <v>8325</v>
      </c>
      <c r="F721" s="193" t="s">
        <v>114</v>
      </c>
      <c r="G721" s="195" t="s">
        <v>10538</v>
      </c>
      <c r="H721" s="166" t="s">
        <v>13436</v>
      </c>
      <c r="I721" s="193" t="s">
        <v>12821</v>
      </c>
      <c r="J721" s="193" t="s">
        <v>12232</v>
      </c>
      <c r="K721" s="170"/>
      <c r="L721" s="193" t="s">
        <v>146</v>
      </c>
    </row>
    <row r="722" spans="1:12" ht="15.75">
      <c r="A722" s="67">
        <f t="shared" si="11"/>
        <v>720</v>
      </c>
      <c r="B722" s="164">
        <v>720</v>
      </c>
      <c r="C722" s="193" t="s">
        <v>2015</v>
      </c>
      <c r="D722" s="195" t="s">
        <v>5283</v>
      </c>
      <c r="E722" s="193" t="s">
        <v>8326</v>
      </c>
      <c r="F722" s="193" t="s">
        <v>114</v>
      </c>
      <c r="G722" s="195" t="s">
        <v>10539</v>
      </c>
      <c r="H722" s="166" t="s">
        <v>13436</v>
      </c>
      <c r="I722" s="193" t="s">
        <v>12821</v>
      </c>
      <c r="J722" s="193" t="s">
        <v>146</v>
      </c>
      <c r="K722" s="170"/>
      <c r="L722" s="193" t="s">
        <v>146</v>
      </c>
    </row>
    <row r="723" spans="1:12" ht="30">
      <c r="A723" s="67">
        <f t="shared" si="11"/>
        <v>721</v>
      </c>
      <c r="B723" s="164">
        <v>721</v>
      </c>
      <c r="C723" s="193" t="s">
        <v>2016</v>
      </c>
      <c r="D723" s="195" t="s">
        <v>5284</v>
      </c>
      <c r="E723" s="193" t="s">
        <v>8327</v>
      </c>
      <c r="F723" s="193" t="s">
        <v>59</v>
      </c>
      <c r="G723" s="195" t="s">
        <v>10540</v>
      </c>
      <c r="H723" s="166" t="s">
        <v>13436</v>
      </c>
      <c r="I723" s="193" t="s">
        <v>12821</v>
      </c>
      <c r="J723" s="193" t="s">
        <v>12233</v>
      </c>
      <c r="K723" s="170"/>
      <c r="L723" s="193"/>
    </row>
    <row r="724" spans="1:12" ht="30">
      <c r="A724" s="67">
        <f t="shared" si="11"/>
        <v>722</v>
      </c>
      <c r="B724" s="164">
        <v>722</v>
      </c>
      <c r="C724" s="193" t="s">
        <v>2017</v>
      </c>
      <c r="D724" s="195" t="s">
        <v>5285</v>
      </c>
      <c r="E724" s="193" t="s">
        <v>8328</v>
      </c>
      <c r="F724" s="193" t="s">
        <v>114</v>
      </c>
      <c r="G724" s="195" t="s">
        <v>10469</v>
      </c>
      <c r="H724" s="166" t="s">
        <v>13436</v>
      </c>
      <c r="I724" s="193" t="s">
        <v>12821</v>
      </c>
      <c r="J724" s="193" t="s">
        <v>146</v>
      </c>
      <c r="K724" s="170"/>
      <c r="L724" s="193" t="s">
        <v>13039</v>
      </c>
    </row>
    <row r="725" spans="1:12" ht="15.75">
      <c r="A725" s="67">
        <f t="shared" si="11"/>
        <v>723</v>
      </c>
      <c r="B725" s="164">
        <v>723</v>
      </c>
      <c r="C725" s="193" t="s">
        <v>2018</v>
      </c>
      <c r="D725" s="195" t="s">
        <v>5286</v>
      </c>
      <c r="E725" s="193" t="s">
        <v>7806</v>
      </c>
      <c r="F725" s="193" t="s">
        <v>59</v>
      </c>
      <c r="G725" s="195" t="s">
        <v>10541</v>
      </c>
      <c r="H725" s="166" t="s">
        <v>13436</v>
      </c>
      <c r="I725" s="193" t="s">
        <v>12821</v>
      </c>
      <c r="J725" s="193" t="s">
        <v>147</v>
      </c>
      <c r="K725" s="170"/>
      <c r="L725" s="193"/>
    </row>
    <row r="726" spans="1:12" ht="15.75">
      <c r="A726" s="67">
        <f t="shared" si="11"/>
        <v>724</v>
      </c>
      <c r="B726" s="164">
        <v>724</v>
      </c>
      <c r="C726" s="193" t="s">
        <v>2019</v>
      </c>
      <c r="D726" s="195" t="s">
        <v>5287</v>
      </c>
      <c r="E726" s="193" t="s">
        <v>208</v>
      </c>
      <c r="F726" s="193" t="s">
        <v>114</v>
      </c>
      <c r="G726" s="195" t="s">
        <v>10542</v>
      </c>
      <c r="H726" s="166" t="s">
        <v>13436</v>
      </c>
      <c r="I726" s="193" t="s">
        <v>12824</v>
      </c>
      <c r="J726" s="193" t="s">
        <v>146</v>
      </c>
      <c r="K726" s="170"/>
      <c r="L726" s="193" t="s">
        <v>146</v>
      </c>
    </row>
    <row r="727" spans="1:12" ht="30">
      <c r="A727" s="67">
        <f t="shared" si="11"/>
        <v>725</v>
      </c>
      <c r="B727" s="164">
        <v>725</v>
      </c>
      <c r="C727" s="193" t="s">
        <v>2020</v>
      </c>
      <c r="D727" s="195" t="s">
        <v>5288</v>
      </c>
      <c r="E727" s="193" t="s">
        <v>413</v>
      </c>
      <c r="F727" s="193" t="s">
        <v>114</v>
      </c>
      <c r="G727" s="195" t="s">
        <v>10543</v>
      </c>
      <c r="H727" s="166" t="s">
        <v>13436</v>
      </c>
      <c r="I727" s="193" t="s">
        <v>12814</v>
      </c>
      <c r="J727" s="219" t="s">
        <v>12234</v>
      </c>
      <c r="K727" s="170"/>
      <c r="L727" s="193" t="s">
        <v>146</v>
      </c>
    </row>
    <row r="728" spans="1:12" ht="75">
      <c r="A728" s="67">
        <f t="shared" si="11"/>
        <v>726</v>
      </c>
      <c r="B728" s="164">
        <v>726</v>
      </c>
      <c r="C728" s="193" t="s">
        <v>2021</v>
      </c>
      <c r="D728" s="195" t="s">
        <v>5289</v>
      </c>
      <c r="E728" s="193" t="s">
        <v>354</v>
      </c>
      <c r="F728" s="193" t="s">
        <v>114</v>
      </c>
      <c r="G728" s="195" t="s">
        <v>686</v>
      </c>
      <c r="H728" s="166" t="s">
        <v>13436</v>
      </c>
      <c r="I728" s="193" t="s">
        <v>12813</v>
      </c>
      <c r="J728" s="193" t="s">
        <v>146</v>
      </c>
      <c r="K728" s="170"/>
      <c r="L728" s="193" t="s">
        <v>13040</v>
      </c>
    </row>
    <row r="729" spans="1:12" ht="30">
      <c r="A729" s="67">
        <f t="shared" si="11"/>
        <v>727</v>
      </c>
      <c r="B729" s="164">
        <v>727</v>
      </c>
      <c r="C729" s="193" t="s">
        <v>2022</v>
      </c>
      <c r="D729" s="195" t="s">
        <v>5290</v>
      </c>
      <c r="E729" s="193" t="s">
        <v>8329</v>
      </c>
      <c r="F729" s="193" t="s">
        <v>114</v>
      </c>
      <c r="G729" s="195" t="s">
        <v>10177</v>
      </c>
      <c r="H729" s="166" t="s">
        <v>13436</v>
      </c>
      <c r="I729" s="193" t="s">
        <v>12824</v>
      </c>
      <c r="J729" s="193" t="s">
        <v>12235</v>
      </c>
      <c r="K729" s="170"/>
      <c r="L729" s="193" t="s">
        <v>146</v>
      </c>
    </row>
    <row r="730" spans="1:12" ht="15.75">
      <c r="A730" s="67">
        <f t="shared" si="11"/>
        <v>728</v>
      </c>
      <c r="B730" s="164">
        <v>728</v>
      </c>
      <c r="C730" s="193" t="s">
        <v>2023</v>
      </c>
      <c r="D730" s="195" t="s">
        <v>5291</v>
      </c>
      <c r="E730" s="193" t="s">
        <v>361</v>
      </c>
      <c r="F730" s="193" t="s">
        <v>114</v>
      </c>
      <c r="G730" s="195" t="s">
        <v>10478</v>
      </c>
      <c r="H730" s="166" t="s">
        <v>13436</v>
      </c>
      <c r="I730" s="193" t="s">
        <v>12813</v>
      </c>
      <c r="J730" s="193" t="s">
        <v>146</v>
      </c>
      <c r="K730" s="170"/>
      <c r="L730" s="193" t="s">
        <v>146</v>
      </c>
    </row>
    <row r="731" spans="1:12" ht="30">
      <c r="A731" s="67">
        <f t="shared" si="11"/>
        <v>729</v>
      </c>
      <c r="B731" s="164">
        <v>729</v>
      </c>
      <c r="C731" s="193" t="s">
        <v>2024</v>
      </c>
      <c r="D731" s="195" t="s">
        <v>5292</v>
      </c>
      <c r="E731" s="193" t="s">
        <v>8330</v>
      </c>
      <c r="F731" s="193" t="s">
        <v>114</v>
      </c>
      <c r="G731" s="195" t="s">
        <v>10321</v>
      </c>
      <c r="H731" s="166" t="s">
        <v>13436</v>
      </c>
      <c r="I731" s="193" t="s">
        <v>12827</v>
      </c>
      <c r="J731" s="193" t="s">
        <v>146</v>
      </c>
      <c r="K731" s="170"/>
      <c r="L731" s="193" t="s">
        <v>13041</v>
      </c>
    </row>
    <row r="732" spans="1:12" ht="30">
      <c r="A732" s="67">
        <f t="shared" si="11"/>
        <v>730</v>
      </c>
      <c r="B732" s="164">
        <v>730</v>
      </c>
      <c r="C732" s="193" t="s">
        <v>2025</v>
      </c>
      <c r="D732" s="196" t="s">
        <v>5293</v>
      </c>
      <c r="E732" s="193" t="s">
        <v>8331</v>
      </c>
      <c r="F732" s="193" t="s">
        <v>114</v>
      </c>
      <c r="G732" s="195" t="s">
        <v>10453</v>
      </c>
      <c r="H732" s="166" t="s">
        <v>13436</v>
      </c>
      <c r="I732" s="193" t="s">
        <v>12833</v>
      </c>
      <c r="J732" s="219" t="s">
        <v>146</v>
      </c>
      <c r="K732" s="170"/>
      <c r="L732" s="193" t="s">
        <v>13042</v>
      </c>
    </row>
    <row r="733" spans="1:12" ht="15.75">
      <c r="A733" s="67">
        <f t="shared" si="11"/>
        <v>731</v>
      </c>
      <c r="B733" s="164">
        <v>731</v>
      </c>
      <c r="C733" s="193" t="s">
        <v>2026</v>
      </c>
      <c r="D733" s="195" t="s">
        <v>5294</v>
      </c>
      <c r="E733" s="193" t="s">
        <v>204</v>
      </c>
      <c r="F733" s="193" t="s">
        <v>114</v>
      </c>
      <c r="G733" s="195" t="s">
        <v>10239</v>
      </c>
      <c r="H733" s="166" t="s">
        <v>13436</v>
      </c>
      <c r="I733" s="193" t="s">
        <v>12826</v>
      </c>
      <c r="J733" s="193" t="s">
        <v>146</v>
      </c>
      <c r="K733" s="170"/>
      <c r="L733" s="193" t="s">
        <v>146</v>
      </c>
    </row>
    <row r="734" spans="1:12" ht="45">
      <c r="A734" s="67">
        <f t="shared" si="11"/>
        <v>732</v>
      </c>
      <c r="B734" s="164">
        <v>732</v>
      </c>
      <c r="C734" s="193" t="s">
        <v>2027</v>
      </c>
      <c r="D734" s="195" t="s">
        <v>5295</v>
      </c>
      <c r="E734" s="193" t="s">
        <v>8332</v>
      </c>
      <c r="F734" s="193" t="s">
        <v>114</v>
      </c>
      <c r="G734" s="195" t="s">
        <v>10544</v>
      </c>
      <c r="H734" s="166" t="s">
        <v>13436</v>
      </c>
      <c r="I734" s="193" t="s">
        <v>12826</v>
      </c>
      <c r="J734" s="193" t="s">
        <v>12236</v>
      </c>
      <c r="K734" s="170"/>
      <c r="L734" s="193" t="s">
        <v>146</v>
      </c>
    </row>
    <row r="735" spans="1:12" ht="15.75">
      <c r="A735" s="67">
        <f t="shared" si="11"/>
        <v>733</v>
      </c>
      <c r="B735" s="164">
        <v>733</v>
      </c>
      <c r="C735" s="193" t="s">
        <v>2028</v>
      </c>
      <c r="D735" s="195" t="s">
        <v>5296</v>
      </c>
      <c r="E735" s="193" t="s">
        <v>163</v>
      </c>
      <c r="F735" s="193" t="s">
        <v>114</v>
      </c>
      <c r="G735" s="195" t="s">
        <v>10545</v>
      </c>
      <c r="H735" s="166" t="s">
        <v>13436</v>
      </c>
      <c r="I735" s="193" t="s">
        <v>12826</v>
      </c>
      <c r="J735" s="193" t="s">
        <v>146</v>
      </c>
      <c r="K735" s="170"/>
      <c r="L735" s="193" t="s">
        <v>146</v>
      </c>
    </row>
    <row r="736" spans="1:12" ht="60">
      <c r="A736" s="67">
        <f t="shared" si="11"/>
        <v>734</v>
      </c>
      <c r="B736" s="164">
        <v>734</v>
      </c>
      <c r="C736" s="193" t="s">
        <v>2029</v>
      </c>
      <c r="D736" s="195" t="s">
        <v>5297</v>
      </c>
      <c r="E736" s="193" t="s">
        <v>554</v>
      </c>
      <c r="F736" s="193" t="s">
        <v>114</v>
      </c>
      <c r="G736" s="195" t="s">
        <v>10546</v>
      </c>
      <c r="H736" s="166" t="s">
        <v>13436</v>
      </c>
      <c r="I736" s="193" t="s">
        <v>12808</v>
      </c>
      <c r="J736" s="193" t="s">
        <v>146</v>
      </c>
      <c r="K736" s="170"/>
      <c r="L736" s="193" t="s">
        <v>13043</v>
      </c>
    </row>
    <row r="737" spans="1:12" ht="15.75">
      <c r="A737" s="67">
        <f t="shared" si="11"/>
        <v>735</v>
      </c>
      <c r="B737" s="164">
        <v>735</v>
      </c>
      <c r="C737" s="193" t="s">
        <v>2030</v>
      </c>
      <c r="D737" s="195" t="s">
        <v>5298</v>
      </c>
      <c r="E737" s="193" t="s">
        <v>496</v>
      </c>
      <c r="F737" s="193" t="s">
        <v>114</v>
      </c>
      <c r="G737" s="195" t="s">
        <v>10197</v>
      </c>
      <c r="H737" s="166" t="s">
        <v>13436</v>
      </c>
      <c r="I737" s="193" t="s">
        <v>12814</v>
      </c>
      <c r="J737" s="193" t="s">
        <v>146</v>
      </c>
      <c r="K737" s="170"/>
      <c r="L737" s="193" t="s">
        <v>146</v>
      </c>
    </row>
    <row r="738" spans="1:12" ht="15.75">
      <c r="A738" s="67">
        <f t="shared" si="11"/>
        <v>736</v>
      </c>
      <c r="B738" s="164">
        <v>736</v>
      </c>
      <c r="C738" s="193" t="s">
        <v>2031</v>
      </c>
      <c r="D738" s="197" t="s">
        <v>5299</v>
      </c>
      <c r="E738" s="193" t="s">
        <v>8333</v>
      </c>
      <c r="F738" s="193" t="s">
        <v>114</v>
      </c>
      <c r="G738" s="195" t="s">
        <v>292</v>
      </c>
      <c r="H738" s="166" t="s">
        <v>13436</v>
      </c>
      <c r="I738" s="193" t="s">
        <v>12816</v>
      </c>
      <c r="J738" s="193" t="s">
        <v>146</v>
      </c>
      <c r="K738" s="170"/>
      <c r="L738" s="193" t="s">
        <v>146</v>
      </c>
    </row>
    <row r="739" spans="1:12" ht="30">
      <c r="A739" s="67">
        <f t="shared" si="11"/>
        <v>737</v>
      </c>
      <c r="B739" s="164">
        <v>737</v>
      </c>
      <c r="C739" s="193" t="s">
        <v>2032</v>
      </c>
      <c r="D739" s="195" t="s">
        <v>5300</v>
      </c>
      <c r="E739" s="193" t="s">
        <v>170</v>
      </c>
      <c r="F739" s="193" t="s">
        <v>114</v>
      </c>
      <c r="G739" s="195" t="s">
        <v>10547</v>
      </c>
      <c r="H739" s="166" t="s">
        <v>13436</v>
      </c>
      <c r="I739" s="193" t="s">
        <v>12835</v>
      </c>
      <c r="J739" s="193" t="s">
        <v>146</v>
      </c>
      <c r="K739" s="170"/>
      <c r="L739" s="193" t="s">
        <v>13044</v>
      </c>
    </row>
    <row r="740" spans="1:12" ht="30">
      <c r="A740" s="67">
        <f t="shared" si="11"/>
        <v>738</v>
      </c>
      <c r="B740" s="164">
        <v>738</v>
      </c>
      <c r="C740" s="193" t="s">
        <v>2033</v>
      </c>
      <c r="D740" s="195" t="s">
        <v>5301</v>
      </c>
      <c r="E740" s="193" t="s">
        <v>8334</v>
      </c>
      <c r="F740" s="193" t="s">
        <v>114</v>
      </c>
      <c r="G740" s="195" t="s">
        <v>10469</v>
      </c>
      <c r="H740" s="166" t="s">
        <v>13436</v>
      </c>
      <c r="I740" s="193" t="s">
        <v>12835</v>
      </c>
      <c r="J740" s="193" t="s">
        <v>12237</v>
      </c>
      <c r="K740" s="170"/>
      <c r="L740" s="193" t="s">
        <v>146</v>
      </c>
    </row>
    <row r="741" spans="1:12" ht="15.75">
      <c r="A741" s="67">
        <f t="shared" si="11"/>
        <v>739</v>
      </c>
      <c r="B741" s="164">
        <v>739</v>
      </c>
      <c r="C741" s="193" t="s">
        <v>2034</v>
      </c>
      <c r="D741" s="195" t="s">
        <v>5302</v>
      </c>
      <c r="E741" s="193" t="s">
        <v>8335</v>
      </c>
      <c r="F741" s="193" t="s">
        <v>114</v>
      </c>
      <c r="G741" s="195" t="s">
        <v>10548</v>
      </c>
      <c r="H741" s="166" t="s">
        <v>13436</v>
      </c>
      <c r="I741" s="193" t="s">
        <v>12814</v>
      </c>
      <c r="J741" s="193" t="s">
        <v>146</v>
      </c>
      <c r="K741" s="170"/>
      <c r="L741" s="193" t="s">
        <v>146</v>
      </c>
    </row>
    <row r="742" spans="1:12" ht="15.75">
      <c r="A742" s="67">
        <f t="shared" si="11"/>
        <v>740</v>
      </c>
      <c r="B742" s="164">
        <v>740</v>
      </c>
      <c r="C742" s="193" t="s">
        <v>2035</v>
      </c>
      <c r="D742" s="195" t="s">
        <v>5303</v>
      </c>
      <c r="E742" s="193" t="s">
        <v>406</v>
      </c>
      <c r="F742" s="193" t="s">
        <v>114</v>
      </c>
      <c r="G742" s="195" t="s">
        <v>10549</v>
      </c>
      <c r="H742" s="166" t="s">
        <v>13436</v>
      </c>
      <c r="I742" s="193" t="s">
        <v>12821</v>
      </c>
      <c r="J742" s="193" t="s">
        <v>12127</v>
      </c>
      <c r="K742" s="170"/>
      <c r="L742" s="193" t="s">
        <v>146</v>
      </c>
    </row>
    <row r="743" spans="1:12" ht="15.75">
      <c r="A743" s="67">
        <f t="shared" si="11"/>
        <v>741</v>
      </c>
      <c r="B743" s="164">
        <v>741</v>
      </c>
      <c r="C743" s="193" t="s">
        <v>2036</v>
      </c>
      <c r="D743" s="195" t="s">
        <v>5304</v>
      </c>
      <c r="E743" s="193" t="s">
        <v>8336</v>
      </c>
      <c r="F743" s="193" t="s">
        <v>114</v>
      </c>
      <c r="G743" s="195" t="s">
        <v>10550</v>
      </c>
      <c r="H743" s="166" t="s">
        <v>13436</v>
      </c>
      <c r="I743" s="193" t="s">
        <v>12827</v>
      </c>
      <c r="J743" s="193" t="s">
        <v>146</v>
      </c>
      <c r="K743" s="170"/>
      <c r="L743" s="193" t="s">
        <v>146</v>
      </c>
    </row>
    <row r="744" spans="1:12" ht="30">
      <c r="A744" s="67">
        <f t="shared" si="11"/>
        <v>742</v>
      </c>
      <c r="B744" s="164">
        <v>742</v>
      </c>
      <c r="C744" s="193" t="s">
        <v>2037</v>
      </c>
      <c r="D744" s="195" t="s">
        <v>5305</v>
      </c>
      <c r="E744" s="193" t="s">
        <v>8337</v>
      </c>
      <c r="F744" s="193" t="s">
        <v>114</v>
      </c>
      <c r="G744" s="195" t="s">
        <v>10551</v>
      </c>
      <c r="H744" s="166" t="s">
        <v>13436</v>
      </c>
      <c r="I744" s="193" t="s">
        <v>12821</v>
      </c>
      <c r="J744" s="193" t="s">
        <v>146</v>
      </c>
      <c r="K744" s="170"/>
      <c r="L744" s="193" t="s">
        <v>13045</v>
      </c>
    </row>
    <row r="745" spans="1:12" ht="30">
      <c r="A745" s="67">
        <f t="shared" si="11"/>
        <v>743</v>
      </c>
      <c r="B745" s="164">
        <v>743</v>
      </c>
      <c r="C745" s="193" t="s">
        <v>2038</v>
      </c>
      <c r="D745" s="195" t="s">
        <v>5306</v>
      </c>
      <c r="E745" s="193" t="s">
        <v>8338</v>
      </c>
      <c r="F745" s="193" t="s">
        <v>114</v>
      </c>
      <c r="G745" s="195" t="s">
        <v>10552</v>
      </c>
      <c r="H745" s="166" t="s">
        <v>13436</v>
      </c>
      <c r="I745" s="193" t="s">
        <v>12813</v>
      </c>
      <c r="J745" s="193" t="s">
        <v>12238</v>
      </c>
      <c r="K745" s="170"/>
      <c r="L745" s="193" t="s">
        <v>13046</v>
      </c>
    </row>
    <row r="746" spans="1:12" ht="75">
      <c r="A746" s="67">
        <f t="shared" si="11"/>
        <v>744</v>
      </c>
      <c r="B746" s="164">
        <v>744</v>
      </c>
      <c r="C746" s="193" t="s">
        <v>2039</v>
      </c>
      <c r="D746" s="195" t="s">
        <v>5307</v>
      </c>
      <c r="E746" s="193" t="s">
        <v>8339</v>
      </c>
      <c r="F746" s="193" t="s">
        <v>114</v>
      </c>
      <c r="G746" s="195" t="s">
        <v>10482</v>
      </c>
      <c r="H746" s="166" t="s">
        <v>13436</v>
      </c>
      <c r="I746" s="193" t="s">
        <v>12826</v>
      </c>
      <c r="J746" s="193" t="s">
        <v>146</v>
      </c>
      <c r="K746" s="170"/>
      <c r="L746" s="193" t="s">
        <v>13047</v>
      </c>
    </row>
    <row r="747" spans="1:12" ht="30">
      <c r="A747" s="67">
        <f t="shared" si="11"/>
        <v>745</v>
      </c>
      <c r="B747" s="164">
        <v>745</v>
      </c>
      <c r="C747" s="193" t="s">
        <v>2040</v>
      </c>
      <c r="D747" s="195" t="s">
        <v>5308</v>
      </c>
      <c r="E747" s="193" t="s">
        <v>8340</v>
      </c>
      <c r="F747" s="193" t="s">
        <v>114</v>
      </c>
      <c r="G747" s="195" t="s">
        <v>10553</v>
      </c>
      <c r="H747" s="166" t="s">
        <v>13436</v>
      </c>
      <c r="I747" s="193" t="s">
        <v>12818</v>
      </c>
      <c r="J747" s="193" t="s">
        <v>12239</v>
      </c>
      <c r="K747" s="170"/>
      <c r="L747" s="193" t="s">
        <v>13048</v>
      </c>
    </row>
    <row r="748" spans="1:12" ht="30">
      <c r="A748" s="67">
        <f t="shared" si="11"/>
        <v>746</v>
      </c>
      <c r="B748" s="164">
        <v>746</v>
      </c>
      <c r="C748" s="193" t="s">
        <v>2041</v>
      </c>
      <c r="D748" s="195" t="s">
        <v>5309</v>
      </c>
      <c r="E748" s="193" t="s">
        <v>383</v>
      </c>
      <c r="F748" s="193" t="s">
        <v>114</v>
      </c>
      <c r="G748" s="195" t="s">
        <v>10554</v>
      </c>
      <c r="H748" s="166" t="s">
        <v>13436</v>
      </c>
      <c r="I748" s="193" t="s">
        <v>12812</v>
      </c>
      <c r="J748" s="193" t="s">
        <v>1252</v>
      </c>
      <c r="K748" s="170"/>
      <c r="L748" s="193" t="s">
        <v>13049</v>
      </c>
    </row>
    <row r="749" spans="1:12" ht="60">
      <c r="A749" s="67">
        <f t="shared" si="11"/>
        <v>747</v>
      </c>
      <c r="B749" s="164">
        <v>747</v>
      </c>
      <c r="C749" s="193" t="s">
        <v>2042</v>
      </c>
      <c r="D749" s="195" t="s">
        <v>5310</v>
      </c>
      <c r="E749" s="193" t="s">
        <v>8341</v>
      </c>
      <c r="F749" s="193" t="s">
        <v>114</v>
      </c>
      <c r="G749" s="195" t="s">
        <v>10555</v>
      </c>
      <c r="H749" s="166" t="s">
        <v>13436</v>
      </c>
      <c r="I749" s="193" t="s">
        <v>12820</v>
      </c>
      <c r="J749" s="219" t="s">
        <v>147</v>
      </c>
      <c r="K749" s="170"/>
      <c r="L749" s="193" t="s">
        <v>13050</v>
      </c>
    </row>
    <row r="750" spans="1:12" ht="30">
      <c r="A750" s="67">
        <f t="shared" si="11"/>
        <v>748</v>
      </c>
      <c r="B750" s="164">
        <v>748</v>
      </c>
      <c r="C750" s="193" t="s">
        <v>2043</v>
      </c>
      <c r="D750" s="195" t="s">
        <v>5311</v>
      </c>
      <c r="E750" s="193" t="s">
        <v>206</v>
      </c>
      <c r="F750" s="193" t="s">
        <v>114</v>
      </c>
      <c r="G750" s="195" t="s">
        <v>10556</v>
      </c>
      <c r="H750" s="166" t="s">
        <v>13436</v>
      </c>
      <c r="I750" s="193" t="s">
        <v>12814</v>
      </c>
      <c r="J750" s="193" t="s">
        <v>12240</v>
      </c>
      <c r="K750" s="170"/>
      <c r="L750" s="193" t="s">
        <v>146</v>
      </c>
    </row>
    <row r="751" spans="1:12" ht="15.75">
      <c r="A751" s="67">
        <f t="shared" si="11"/>
        <v>749</v>
      </c>
      <c r="B751" s="164">
        <v>749</v>
      </c>
      <c r="C751" s="193" t="s">
        <v>2044</v>
      </c>
      <c r="D751" s="195" t="s">
        <v>5312</v>
      </c>
      <c r="E751" s="193" t="s">
        <v>8342</v>
      </c>
      <c r="F751" s="193" t="s">
        <v>114</v>
      </c>
      <c r="G751" s="195" t="s">
        <v>221</v>
      </c>
      <c r="H751" s="166" t="s">
        <v>13436</v>
      </c>
      <c r="I751" s="193" t="s">
        <v>12819</v>
      </c>
      <c r="J751" s="219" t="s">
        <v>146</v>
      </c>
      <c r="K751" s="170"/>
      <c r="L751" s="219" t="s">
        <v>146</v>
      </c>
    </row>
    <row r="752" spans="1:12" ht="30">
      <c r="A752" s="67">
        <f t="shared" si="11"/>
        <v>750</v>
      </c>
      <c r="B752" s="164">
        <v>750</v>
      </c>
      <c r="C752" s="193" t="s">
        <v>2045</v>
      </c>
      <c r="D752" s="195" t="s">
        <v>5313</v>
      </c>
      <c r="E752" s="193" t="s">
        <v>8343</v>
      </c>
      <c r="F752" s="193" t="s">
        <v>114</v>
      </c>
      <c r="G752" s="195" t="s">
        <v>10557</v>
      </c>
      <c r="H752" s="166" t="s">
        <v>13436</v>
      </c>
      <c r="I752" s="193" t="s">
        <v>12819</v>
      </c>
      <c r="J752" s="193" t="s">
        <v>12241</v>
      </c>
      <c r="K752" s="170"/>
      <c r="L752" s="193" t="s">
        <v>13051</v>
      </c>
    </row>
    <row r="753" spans="1:12" ht="15.75">
      <c r="A753" s="67">
        <f t="shared" si="11"/>
        <v>751</v>
      </c>
      <c r="B753" s="164">
        <v>751</v>
      </c>
      <c r="C753" s="193" t="s">
        <v>2046</v>
      </c>
      <c r="D753" s="196" t="s">
        <v>5314</v>
      </c>
      <c r="E753" s="193" t="s">
        <v>8344</v>
      </c>
      <c r="F753" s="193" t="s">
        <v>59</v>
      </c>
      <c r="G753" s="195" t="s">
        <v>10558</v>
      </c>
      <c r="H753" s="166" t="s">
        <v>13436</v>
      </c>
      <c r="I753" s="193" t="s">
        <v>12809</v>
      </c>
      <c r="J753" s="193" t="s">
        <v>146</v>
      </c>
      <c r="K753" s="170"/>
      <c r="L753" s="193"/>
    </row>
    <row r="754" spans="1:12" ht="15.75">
      <c r="A754" s="67">
        <f t="shared" si="11"/>
        <v>752</v>
      </c>
      <c r="B754" s="164">
        <v>752</v>
      </c>
      <c r="C754" s="193" t="s">
        <v>2047</v>
      </c>
      <c r="D754" s="195" t="s">
        <v>5315</v>
      </c>
      <c r="E754" s="193" t="s">
        <v>8345</v>
      </c>
      <c r="F754" s="193" t="s">
        <v>59</v>
      </c>
      <c r="G754" s="195" t="s">
        <v>1153</v>
      </c>
      <c r="H754" s="166" t="s">
        <v>13436</v>
      </c>
      <c r="I754" s="193" t="s">
        <v>12821</v>
      </c>
      <c r="J754" s="219" t="s">
        <v>147</v>
      </c>
      <c r="K754" s="170"/>
      <c r="L754" s="193"/>
    </row>
    <row r="755" spans="1:12" ht="15.75">
      <c r="A755" s="67">
        <f t="shared" si="11"/>
        <v>753</v>
      </c>
      <c r="B755" s="164">
        <v>753</v>
      </c>
      <c r="C755" s="193" t="s">
        <v>2048</v>
      </c>
      <c r="D755" s="195" t="s">
        <v>5316</v>
      </c>
      <c r="E755" s="193" t="s">
        <v>8346</v>
      </c>
      <c r="F755" s="193" t="s">
        <v>114</v>
      </c>
      <c r="G755" s="195" t="s">
        <v>10559</v>
      </c>
      <c r="H755" s="166" t="s">
        <v>13436</v>
      </c>
      <c r="I755" s="193" t="s">
        <v>12827</v>
      </c>
      <c r="J755" s="193" t="s">
        <v>12242</v>
      </c>
      <c r="K755" s="170"/>
      <c r="L755" s="193" t="s">
        <v>146</v>
      </c>
    </row>
    <row r="756" spans="1:12" ht="15.75">
      <c r="A756" s="67">
        <f t="shared" si="11"/>
        <v>754</v>
      </c>
      <c r="B756" s="164">
        <v>754</v>
      </c>
      <c r="C756" s="193" t="s">
        <v>2049</v>
      </c>
      <c r="D756" s="195" t="s">
        <v>5317</v>
      </c>
      <c r="E756" s="193" t="s">
        <v>558</v>
      </c>
      <c r="F756" s="193" t="s">
        <v>114</v>
      </c>
      <c r="G756" s="195" t="s">
        <v>10560</v>
      </c>
      <c r="H756" s="166" t="s">
        <v>13436</v>
      </c>
      <c r="I756" s="193" t="s">
        <v>12813</v>
      </c>
      <c r="J756" s="193" t="s">
        <v>146</v>
      </c>
      <c r="K756" s="170"/>
      <c r="L756" s="193" t="s">
        <v>146</v>
      </c>
    </row>
    <row r="757" spans="1:12" ht="30">
      <c r="A757" s="67">
        <f t="shared" si="11"/>
        <v>755</v>
      </c>
      <c r="B757" s="164">
        <v>755</v>
      </c>
      <c r="C757" s="193" t="s">
        <v>2050</v>
      </c>
      <c r="D757" s="195" t="s">
        <v>5318</v>
      </c>
      <c r="E757" s="193" t="s">
        <v>8347</v>
      </c>
      <c r="F757" s="193" t="s">
        <v>114</v>
      </c>
      <c r="G757" s="195" t="s">
        <v>10561</v>
      </c>
      <c r="H757" s="166" t="s">
        <v>13436</v>
      </c>
      <c r="I757" s="193" t="s">
        <v>12826</v>
      </c>
      <c r="J757" s="193" t="s">
        <v>146</v>
      </c>
      <c r="K757" s="170"/>
      <c r="L757" s="193" t="s">
        <v>13052</v>
      </c>
    </row>
    <row r="758" spans="1:12" ht="15.75">
      <c r="A758" s="67">
        <f t="shared" si="11"/>
        <v>756</v>
      </c>
      <c r="B758" s="164">
        <v>756</v>
      </c>
      <c r="C758" s="193" t="s">
        <v>2051</v>
      </c>
      <c r="D758" s="195" t="s">
        <v>5319</v>
      </c>
      <c r="E758" s="193" t="s">
        <v>8348</v>
      </c>
      <c r="F758" s="193" t="s">
        <v>114</v>
      </c>
      <c r="G758" s="195" t="s">
        <v>10562</v>
      </c>
      <c r="H758" s="166" t="s">
        <v>13436</v>
      </c>
      <c r="I758" s="193" t="s">
        <v>12813</v>
      </c>
      <c r="J758" s="193" t="s">
        <v>12243</v>
      </c>
      <c r="K758" s="170"/>
      <c r="L758" s="193" t="s">
        <v>146</v>
      </c>
    </row>
    <row r="759" spans="1:12" ht="15.75">
      <c r="A759" s="67">
        <f t="shared" si="11"/>
        <v>757</v>
      </c>
      <c r="B759" s="164">
        <v>757</v>
      </c>
      <c r="C759" s="193" t="s">
        <v>2052</v>
      </c>
      <c r="D759" s="195" t="s">
        <v>5320</v>
      </c>
      <c r="E759" s="193" t="s">
        <v>8349</v>
      </c>
      <c r="F759" s="193" t="s">
        <v>59</v>
      </c>
      <c r="G759" s="195" t="s">
        <v>10563</v>
      </c>
      <c r="H759" s="166" t="s">
        <v>13436</v>
      </c>
      <c r="I759" s="193" t="s">
        <v>12813</v>
      </c>
      <c r="J759" s="193" t="s">
        <v>146</v>
      </c>
      <c r="K759" s="170"/>
      <c r="L759" s="193"/>
    </row>
    <row r="760" spans="1:12" ht="15.75">
      <c r="A760" s="67">
        <f t="shared" si="11"/>
        <v>758</v>
      </c>
      <c r="B760" s="164">
        <v>758</v>
      </c>
      <c r="C760" s="193" t="s">
        <v>2053</v>
      </c>
      <c r="D760" s="195" t="s">
        <v>5321</v>
      </c>
      <c r="E760" s="193" t="s">
        <v>165</v>
      </c>
      <c r="F760" s="193" t="s">
        <v>114</v>
      </c>
      <c r="G760" s="195" t="s">
        <v>10564</v>
      </c>
      <c r="H760" s="166" t="s">
        <v>13436</v>
      </c>
      <c r="I760" s="193" t="s">
        <v>12813</v>
      </c>
      <c r="J760" s="193" t="s">
        <v>146</v>
      </c>
      <c r="K760" s="170"/>
      <c r="L760" s="193" t="s">
        <v>146</v>
      </c>
    </row>
    <row r="761" spans="1:12" ht="45">
      <c r="A761" s="67">
        <f t="shared" si="11"/>
        <v>759</v>
      </c>
      <c r="B761" s="164">
        <v>759</v>
      </c>
      <c r="C761" s="193" t="s">
        <v>2054</v>
      </c>
      <c r="D761" s="195" t="s">
        <v>5322</v>
      </c>
      <c r="E761" s="193" t="s">
        <v>8350</v>
      </c>
      <c r="F761" s="193" t="s">
        <v>114</v>
      </c>
      <c r="G761" s="195" t="s">
        <v>10565</v>
      </c>
      <c r="H761" s="166" t="s">
        <v>13436</v>
      </c>
      <c r="I761" s="193" t="s">
        <v>12815</v>
      </c>
      <c r="J761" s="193" t="s">
        <v>12244</v>
      </c>
      <c r="K761" s="170"/>
      <c r="L761" s="193" t="s">
        <v>13053</v>
      </c>
    </row>
    <row r="762" spans="1:12" ht="90">
      <c r="A762" s="67">
        <f t="shared" si="11"/>
        <v>760</v>
      </c>
      <c r="B762" s="164">
        <v>760</v>
      </c>
      <c r="C762" s="193" t="s">
        <v>2055</v>
      </c>
      <c r="D762" s="196" t="s">
        <v>5323</v>
      </c>
      <c r="E762" s="193" t="s">
        <v>201</v>
      </c>
      <c r="F762" s="193" t="s">
        <v>114</v>
      </c>
      <c r="G762" s="195" t="s">
        <v>10566</v>
      </c>
      <c r="H762" s="166" t="s">
        <v>13436</v>
      </c>
      <c r="I762" s="193" t="s">
        <v>12811</v>
      </c>
      <c r="J762" s="193" t="s">
        <v>12245</v>
      </c>
      <c r="K762" s="170"/>
      <c r="L762" s="193" t="s">
        <v>13054</v>
      </c>
    </row>
    <row r="763" spans="1:12" ht="30">
      <c r="A763" s="67">
        <f t="shared" si="11"/>
        <v>761</v>
      </c>
      <c r="B763" s="164">
        <v>761</v>
      </c>
      <c r="C763" s="193" t="s">
        <v>2056</v>
      </c>
      <c r="D763" s="195" t="s">
        <v>5324</v>
      </c>
      <c r="E763" s="193" t="s">
        <v>8351</v>
      </c>
      <c r="F763" s="193" t="s">
        <v>59</v>
      </c>
      <c r="G763" s="195" t="s">
        <v>10567</v>
      </c>
      <c r="H763" s="166" t="s">
        <v>13436</v>
      </c>
      <c r="I763" s="193" t="s">
        <v>12822</v>
      </c>
      <c r="J763" s="193" t="s">
        <v>12246</v>
      </c>
      <c r="K763" s="170"/>
      <c r="L763" s="193"/>
    </row>
    <row r="764" spans="1:12" ht="15.75">
      <c r="A764" s="67">
        <f t="shared" si="11"/>
        <v>762</v>
      </c>
      <c r="B764" s="164">
        <v>762</v>
      </c>
      <c r="C764" s="193" t="s">
        <v>2057</v>
      </c>
      <c r="D764" s="195" t="s">
        <v>5325</v>
      </c>
      <c r="E764" s="193" t="s">
        <v>8352</v>
      </c>
      <c r="F764" s="193" t="s">
        <v>59</v>
      </c>
      <c r="G764" s="195" t="s">
        <v>10568</v>
      </c>
      <c r="H764" s="166" t="s">
        <v>13436</v>
      </c>
      <c r="I764" s="193" t="s">
        <v>12822</v>
      </c>
      <c r="J764" s="193" t="s">
        <v>147</v>
      </c>
      <c r="K764" s="170"/>
      <c r="L764" s="193"/>
    </row>
    <row r="765" spans="1:12" ht="15.75">
      <c r="A765" s="67">
        <f t="shared" si="11"/>
        <v>763</v>
      </c>
      <c r="B765" s="164">
        <v>763</v>
      </c>
      <c r="C765" s="193" t="s">
        <v>2058</v>
      </c>
      <c r="D765" s="195" t="s">
        <v>5326</v>
      </c>
      <c r="E765" s="193" t="s">
        <v>8353</v>
      </c>
      <c r="F765" s="193" t="s">
        <v>59</v>
      </c>
      <c r="G765" s="195" t="s">
        <v>10569</v>
      </c>
      <c r="H765" s="166" t="s">
        <v>13436</v>
      </c>
      <c r="I765" s="193" t="s">
        <v>12819</v>
      </c>
      <c r="J765" s="219" t="s">
        <v>12247</v>
      </c>
      <c r="K765" s="170"/>
      <c r="L765" s="193"/>
    </row>
    <row r="766" spans="1:12" ht="15.75">
      <c r="A766" s="67">
        <f t="shared" si="11"/>
        <v>764</v>
      </c>
      <c r="B766" s="164">
        <v>764</v>
      </c>
      <c r="C766" s="193" t="s">
        <v>2059</v>
      </c>
      <c r="D766" s="206" t="s">
        <v>5327</v>
      </c>
      <c r="E766" s="193" t="s">
        <v>8354</v>
      </c>
      <c r="F766" s="193" t="s">
        <v>114</v>
      </c>
      <c r="G766" s="195" t="s">
        <v>10570</v>
      </c>
      <c r="H766" s="166" t="s">
        <v>13436</v>
      </c>
      <c r="I766" s="193" t="s">
        <v>12822</v>
      </c>
      <c r="J766" s="193" t="s">
        <v>146</v>
      </c>
      <c r="K766" s="170"/>
      <c r="L766" s="193" t="s">
        <v>146</v>
      </c>
    </row>
    <row r="767" spans="1:12" ht="30">
      <c r="A767" s="67">
        <f t="shared" si="11"/>
        <v>765</v>
      </c>
      <c r="B767" s="164">
        <v>765</v>
      </c>
      <c r="C767" s="193" t="s">
        <v>2060</v>
      </c>
      <c r="D767" s="195" t="s">
        <v>5328</v>
      </c>
      <c r="E767" s="193" t="s">
        <v>8355</v>
      </c>
      <c r="F767" s="193" t="s">
        <v>114</v>
      </c>
      <c r="G767" s="195" t="s">
        <v>10571</v>
      </c>
      <c r="H767" s="166" t="s">
        <v>13436</v>
      </c>
      <c r="I767" s="193" t="s">
        <v>12822</v>
      </c>
      <c r="J767" s="219" t="s">
        <v>146</v>
      </c>
      <c r="K767" s="170"/>
      <c r="L767" s="193" t="s">
        <v>13055</v>
      </c>
    </row>
    <row r="768" spans="1:12" ht="15.75">
      <c r="A768" s="67">
        <f t="shared" si="11"/>
        <v>766</v>
      </c>
      <c r="B768" s="164">
        <v>766</v>
      </c>
      <c r="C768" s="193" t="s">
        <v>2061</v>
      </c>
      <c r="D768" s="195" t="s">
        <v>5329</v>
      </c>
      <c r="E768" s="193" t="s">
        <v>8356</v>
      </c>
      <c r="F768" s="193" t="s">
        <v>114</v>
      </c>
      <c r="G768" s="195" t="s">
        <v>10376</v>
      </c>
      <c r="H768" s="166" t="s">
        <v>13436</v>
      </c>
      <c r="I768" s="193" t="s">
        <v>12825</v>
      </c>
      <c r="J768" s="193" t="s">
        <v>146</v>
      </c>
      <c r="K768" s="170"/>
      <c r="L768" s="193" t="s">
        <v>146</v>
      </c>
    </row>
    <row r="769" spans="1:12" ht="15.75">
      <c r="A769" s="67">
        <f t="shared" si="11"/>
        <v>767</v>
      </c>
      <c r="B769" s="164">
        <v>767</v>
      </c>
      <c r="C769" s="193" t="s">
        <v>2062</v>
      </c>
      <c r="D769" s="199" t="s">
        <v>5330</v>
      </c>
      <c r="E769" s="193" t="s">
        <v>8357</v>
      </c>
      <c r="F769" s="193" t="s">
        <v>59</v>
      </c>
      <c r="G769" s="195" t="s">
        <v>10572</v>
      </c>
      <c r="H769" s="166" t="s">
        <v>13436</v>
      </c>
      <c r="I769" s="193" t="s">
        <v>12828</v>
      </c>
      <c r="J769" s="193" t="s">
        <v>146</v>
      </c>
      <c r="K769" s="170"/>
      <c r="L769" s="193"/>
    </row>
    <row r="770" spans="1:12" ht="15.75">
      <c r="A770" s="67">
        <f t="shared" si="11"/>
        <v>768</v>
      </c>
      <c r="B770" s="164">
        <v>768</v>
      </c>
      <c r="C770" s="193" t="s">
        <v>2063</v>
      </c>
      <c r="D770" s="195" t="s">
        <v>5331</v>
      </c>
      <c r="E770" s="193" t="s">
        <v>8358</v>
      </c>
      <c r="F770" s="193" t="s">
        <v>59</v>
      </c>
      <c r="G770" s="195" t="s">
        <v>10573</v>
      </c>
      <c r="H770" s="166" t="s">
        <v>13436</v>
      </c>
      <c r="I770" s="193" t="s">
        <v>12825</v>
      </c>
      <c r="J770" s="193" t="s">
        <v>146</v>
      </c>
      <c r="K770" s="170"/>
      <c r="L770" s="193"/>
    </row>
    <row r="771" spans="1:12" ht="15.75">
      <c r="A771" s="67">
        <f t="shared" ref="A771:A834" si="12">IFERROR(VALUE(RIGHT(C771,4)),"")</f>
        <v>769</v>
      </c>
      <c r="B771" s="164">
        <v>769</v>
      </c>
      <c r="C771" s="193" t="s">
        <v>2064</v>
      </c>
      <c r="D771" s="195" t="s">
        <v>5332</v>
      </c>
      <c r="E771" s="193" t="s">
        <v>391</v>
      </c>
      <c r="F771" s="193" t="s">
        <v>114</v>
      </c>
      <c r="G771" s="195" t="s">
        <v>10574</v>
      </c>
      <c r="H771" s="166" t="s">
        <v>13436</v>
      </c>
      <c r="I771" s="193" t="s">
        <v>12825</v>
      </c>
      <c r="J771" s="193" t="s">
        <v>146</v>
      </c>
      <c r="K771" s="170"/>
      <c r="L771" s="193" t="s">
        <v>146</v>
      </c>
    </row>
    <row r="772" spans="1:12" ht="75">
      <c r="A772" s="67">
        <f t="shared" si="12"/>
        <v>770</v>
      </c>
      <c r="B772" s="164">
        <v>770</v>
      </c>
      <c r="C772" s="193" t="s">
        <v>2065</v>
      </c>
      <c r="D772" s="195" t="s">
        <v>5333</v>
      </c>
      <c r="E772" s="193" t="s">
        <v>8359</v>
      </c>
      <c r="F772" s="193" t="s">
        <v>114</v>
      </c>
      <c r="G772" s="195" t="s">
        <v>10575</v>
      </c>
      <c r="H772" s="166" t="s">
        <v>13436</v>
      </c>
      <c r="I772" s="193" t="s">
        <v>12825</v>
      </c>
      <c r="J772" s="193" t="s">
        <v>12248</v>
      </c>
      <c r="K772" s="170"/>
      <c r="L772" s="193" t="s">
        <v>13056</v>
      </c>
    </row>
    <row r="773" spans="1:12" ht="45">
      <c r="A773" s="67">
        <f t="shared" si="12"/>
        <v>771</v>
      </c>
      <c r="B773" s="164">
        <v>771</v>
      </c>
      <c r="C773" s="193" t="s">
        <v>2066</v>
      </c>
      <c r="D773" s="195" t="s">
        <v>5334</v>
      </c>
      <c r="E773" s="193" t="s">
        <v>8360</v>
      </c>
      <c r="F773" s="193" t="s">
        <v>114</v>
      </c>
      <c r="G773" s="195" t="s">
        <v>10576</v>
      </c>
      <c r="H773" s="166" t="s">
        <v>13436</v>
      </c>
      <c r="I773" s="193" t="s">
        <v>12824</v>
      </c>
      <c r="J773" s="219" t="s">
        <v>12249</v>
      </c>
      <c r="K773" s="170"/>
      <c r="L773" s="193" t="s">
        <v>146</v>
      </c>
    </row>
    <row r="774" spans="1:12" ht="30">
      <c r="A774" s="67">
        <f t="shared" si="12"/>
        <v>772</v>
      </c>
      <c r="B774" s="164">
        <v>772</v>
      </c>
      <c r="C774" s="193" t="s">
        <v>2067</v>
      </c>
      <c r="D774" s="195" t="s">
        <v>5335</v>
      </c>
      <c r="E774" s="193" t="s">
        <v>8361</v>
      </c>
      <c r="F774" s="193" t="s">
        <v>114</v>
      </c>
      <c r="G774" s="195" t="s">
        <v>10577</v>
      </c>
      <c r="H774" s="166" t="s">
        <v>13436</v>
      </c>
      <c r="I774" s="193" t="s">
        <v>12826</v>
      </c>
      <c r="J774" s="219" t="s">
        <v>147</v>
      </c>
      <c r="K774" s="170"/>
      <c r="L774" s="193" t="s">
        <v>13057</v>
      </c>
    </row>
    <row r="775" spans="1:12" ht="15.75">
      <c r="A775" s="67">
        <f t="shared" si="12"/>
        <v>773</v>
      </c>
      <c r="B775" s="164">
        <v>773</v>
      </c>
      <c r="C775" s="193" t="s">
        <v>2068</v>
      </c>
      <c r="D775" s="195" t="s">
        <v>5336</v>
      </c>
      <c r="E775" s="193" t="s">
        <v>8362</v>
      </c>
      <c r="F775" s="193" t="s">
        <v>59</v>
      </c>
      <c r="G775" s="195" t="s">
        <v>10578</v>
      </c>
      <c r="H775" s="166" t="s">
        <v>13436</v>
      </c>
      <c r="I775" s="193" t="s">
        <v>12825</v>
      </c>
      <c r="J775" s="219" t="s">
        <v>147</v>
      </c>
      <c r="K775" s="170"/>
      <c r="L775" s="193"/>
    </row>
    <row r="776" spans="1:12" ht="15.75">
      <c r="A776" s="67">
        <f t="shared" si="12"/>
        <v>774</v>
      </c>
      <c r="B776" s="164">
        <v>774</v>
      </c>
      <c r="C776" s="193" t="s">
        <v>2069</v>
      </c>
      <c r="D776" s="196" t="s">
        <v>5337</v>
      </c>
      <c r="E776" s="193" t="s">
        <v>8363</v>
      </c>
      <c r="F776" s="193" t="s">
        <v>59</v>
      </c>
      <c r="G776" s="195" t="s">
        <v>10579</v>
      </c>
      <c r="H776" s="166" t="s">
        <v>13436</v>
      </c>
      <c r="I776" s="193" t="s">
        <v>12819</v>
      </c>
      <c r="J776" s="193" t="s">
        <v>146</v>
      </c>
      <c r="K776" s="170"/>
      <c r="L776" s="193"/>
    </row>
    <row r="777" spans="1:12" ht="15.75">
      <c r="A777" s="67">
        <f t="shared" si="12"/>
        <v>775</v>
      </c>
      <c r="B777" s="164">
        <v>775</v>
      </c>
      <c r="C777" s="193" t="s">
        <v>2070</v>
      </c>
      <c r="D777" s="197" t="s">
        <v>5338</v>
      </c>
      <c r="E777" s="193" t="s">
        <v>8364</v>
      </c>
      <c r="F777" s="193" t="s">
        <v>59</v>
      </c>
      <c r="G777" s="195" t="s">
        <v>10580</v>
      </c>
      <c r="H777" s="166" t="s">
        <v>13436</v>
      </c>
      <c r="I777" s="193" t="s">
        <v>12816</v>
      </c>
      <c r="J777" s="193" t="s">
        <v>146</v>
      </c>
      <c r="K777" s="170"/>
      <c r="L777" s="193"/>
    </row>
    <row r="778" spans="1:12" ht="15.75">
      <c r="A778" s="67">
        <f t="shared" si="12"/>
        <v>776</v>
      </c>
      <c r="B778" s="164">
        <v>776</v>
      </c>
      <c r="C778" s="193" t="s">
        <v>2071</v>
      </c>
      <c r="D778" s="199" t="s">
        <v>5339</v>
      </c>
      <c r="E778" s="193" t="s">
        <v>8365</v>
      </c>
      <c r="F778" s="193" t="s">
        <v>59</v>
      </c>
      <c r="G778" s="195" t="s">
        <v>10581</v>
      </c>
      <c r="H778" s="166" t="s">
        <v>13436</v>
      </c>
      <c r="I778" s="193" t="s">
        <v>12831</v>
      </c>
      <c r="J778" s="193" t="s">
        <v>12250</v>
      </c>
      <c r="K778" s="170"/>
      <c r="L778" s="193"/>
    </row>
    <row r="779" spans="1:12" ht="15.75">
      <c r="A779" s="67">
        <f t="shared" si="12"/>
        <v>777</v>
      </c>
      <c r="B779" s="164">
        <v>777</v>
      </c>
      <c r="C779" s="193" t="s">
        <v>2072</v>
      </c>
      <c r="D779" s="196" t="s">
        <v>5340</v>
      </c>
      <c r="E779" s="193" t="s">
        <v>8366</v>
      </c>
      <c r="F779" s="193" t="s">
        <v>59</v>
      </c>
      <c r="G779" s="195" t="s">
        <v>10582</v>
      </c>
      <c r="H779" s="166" t="s">
        <v>13436</v>
      </c>
      <c r="I779" s="193" t="s">
        <v>12830</v>
      </c>
      <c r="J779" s="193" t="s">
        <v>164</v>
      </c>
      <c r="K779" s="170"/>
      <c r="L779" s="193"/>
    </row>
    <row r="780" spans="1:12" ht="15.75">
      <c r="A780" s="67">
        <f t="shared" si="12"/>
        <v>778</v>
      </c>
      <c r="B780" s="164">
        <v>778</v>
      </c>
      <c r="C780" s="193" t="s">
        <v>2073</v>
      </c>
      <c r="D780" s="195" t="s">
        <v>5341</v>
      </c>
      <c r="E780" s="193" t="s">
        <v>8367</v>
      </c>
      <c r="F780" s="193" t="s">
        <v>59</v>
      </c>
      <c r="G780" s="195" t="s">
        <v>10583</v>
      </c>
      <c r="H780" s="166" t="s">
        <v>13436</v>
      </c>
      <c r="I780" s="193" t="s">
        <v>12819</v>
      </c>
      <c r="J780" s="193" t="s">
        <v>146</v>
      </c>
      <c r="K780" s="170"/>
      <c r="L780" s="193"/>
    </row>
    <row r="781" spans="1:12" ht="15.75">
      <c r="A781" s="67">
        <f t="shared" si="12"/>
        <v>779</v>
      </c>
      <c r="B781" s="164">
        <v>779</v>
      </c>
      <c r="C781" s="193" t="s">
        <v>2074</v>
      </c>
      <c r="D781" s="195" t="s">
        <v>5342</v>
      </c>
      <c r="E781" s="193" t="s">
        <v>8368</v>
      </c>
      <c r="F781" s="193" t="s">
        <v>59</v>
      </c>
      <c r="G781" s="195" t="s">
        <v>10584</v>
      </c>
      <c r="H781" s="166" t="s">
        <v>13436</v>
      </c>
      <c r="I781" s="193" t="s">
        <v>1250</v>
      </c>
      <c r="J781" s="219" t="s">
        <v>1252</v>
      </c>
      <c r="K781" s="170"/>
      <c r="L781" s="193"/>
    </row>
    <row r="782" spans="1:12" ht="15.75">
      <c r="A782" s="67">
        <f t="shared" si="12"/>
        <v>780</v>
      </c>
      <c r="B782" s="164">
        <v>780</v>
      </c>
      <c r="C782" s="193" t="s">
        <v>2075</v>
      </c>
      <c r="D782" s="195" t="s">
        <v>5343</v>
      </c>
      <c r="E782" s="193" t="s">
        <v>8369</v>
      </c>
      <c r="F782" s="193" t="s">
        <v>59</v>
      </c>
      <c r="G782" s="195" t="s">
        <v>10585</v>
      </c>
      <c r="H782" s="166" t="s">
        <v>13436</v>
      </c>
      <c r="I782" s="193" t="s">
        <v>12817</v>
      </c>
      <c r="J782" s="219" t="s">
        <v>1251</v>
      </c>
      <c r="K782" s="170"/>
      <c r="L782" s="193"/>
    </row>
    <row r="783" spans="1:12" ht="15.75">
      <c r="A783" s="67">
        <f t="shared" si="12"/>
        <v>781</v>
      </c>
      <c r="B783" s="164">
        <v>781</v>
      </c>
      <c r="C783" s="193" t="s">
        <v>2076</v>
      </c>
      <c r="D783" s="201" t="s">
        <v>5344</v>
      </c>
      <c r="E783" s="193" t="s">
        <v>8370</v>
      </c>
      <c r="F783" s="193" t="s">
        <v>59</v>
      </c>
      <c r="G783" s="195" t="s">
        <v>10586</v>
      </c>
      <c r="H783" s="166" t="s">
        <v>13436</v>
      </c>
      <c r="I783" s="193" t="s">
        <v>12834</v>
      </c>
      <c r="J783" s="193" t="s">
        <v>147</v>
      </c>
      <c r="K783" s="170"/>
      <c r="L783" s="193"/>
    </row>
    <row r="784" spans="1:12" ht="60">
      <c r="A784" s="67">
        <f t="shared" si="12"/>
        <v>782</v>
      </c>
      <c r="B784" s="164">
        <v>782</v>
      </c>
      <c r="C784" s="193" t="s">
        <v>2077</v>
      </c>
      <c r="D784" s="207" t="s">
        <v>5345</v>
      </c>
      <c r="E784" s="193" t="s">
        <v>8371</v>
      </c>
      <c r="F784" s="193" t="s">
        <v>59</v>
      </c>
      <c r="G784" s="195" t="s">
        <v>10587</v>
      </c>
      <c r="H784" s="166" t="s">
        <v>13436</v>
      </c>
      <c r="I784" s="193" t="s">
        <v>12838</v>
      </c>
      <c r="J784" s="193" t="s">
        <v>12251</v>
      </c>
      <c r="K784" s="170"/>
      <c r="L784" s="193"/>
    </row>
    <row r="785" spans="1:12" ht="15.75">
      <c r="A785" s="67">
        <f t="shared" si="12"/>
        <v>783</v>
      </c>
      <c r="B785" s="164">
        <v>783</v>
      </c>
      <c r="C785" s="193" t="s">
        <v>2078</v>
      </c>
      <c r="D785" s="195" t="s">
        <v>5346</v>
      </c>
      <c r="E785" s="193" t="s">
        <v>8372</v>
      </c>
      <c r="F785" s="193" t="s">
        <v>59</v>
      </c>
      <c r="G785" s="195" t="s">
        <v>10588</v>
      </c>
      <c r="H785" s="166" t="s">
        <v>13436</v>
      </c>
      <c r="I785" s="193" t="s">
        <v>12838</v>
      </c>
      <c r="J785" s="193" t="s">
        <v>147</v>
      </c>
      <c r="K785" s="170"/>
      <c r="L785" s="193"/>
    </row>
    <row r="786" spans="1:12" ht="15.75">
      <c r="A786" s="67">
        <f t="shared" si="12"/>
        <v>784</v>
      </c>
      <c r="B786" s="164">
        <v>784</v>
      </c>
      <c r="C786" s="193" t="s">
        <v>2079</v>
      </c>
      <c r="D786" s="195" t="s">
        <v>5347</v>
      </c>
      <c r="E786" s="193" t="s">
        <v>8373</v>
      </c>
      <c r="F786" s="193" t="s">
        <v>59</v>
      </c>
      <c r="G786" s="195" t="s">
        <v>10589</v>
      </c>
      <c r="H786" s="166" t="s">
        <v>13436</v>
      </c>
      <c r="I786" s="193" t="s">
        <v>12838</v>
      </c>
      <c r="J786" s="219" t="s">
        <v>146</v>
      </c>
      <c r="K786" s="170"/>
      <c r="L786" s="193"/>
    </row>
    <row r="787" spans="1:12" ht="15.75">
      <c r="A787" s="67">
        <f t="shared" si="12"/>
        <v>785</v>
      </c>
      <c r="B787" s="164">
        <v>785</v>
      </c>
      <c r="C787" s="193" t="s">
        <v>2080</v>
      </c>
      <c r="D787" s="195" t="s">
        <v>5348</v>
      </c>
      <c r="E787" s="193" t="s">
        <v>8374</v>
      </c>
      <c r="F787" s="193" t="s">
        <v>59</v>
      </c>
      <c r="G787" s="195" t="s">
        <v>10524</v>
      </c>
      <c r="H787" s="166" t="s">
        <v>13436</v>
      </c>
      <c r="I787" s="193" t="s">
        <v>12832</v>
      </c>
      <c r="J787" s="193" t="s">
        <v>12252</v>
      </c>
      <c r="K787" s="170"/>
      <c r="L787" s="193"/>
    </row>
    <row r="788" spans="1:12" ht="15.75">
      <c r="A788" s="67">
        <f t="shared" si="12"/>
        <v>786</v>
      </c>
      <c r="B788" s="164">
        <v>786</v>
      </c>
      <c r="C788" s="193" t="s">
        <v>2081</v>
      </c>
      <c r="D788" s="195" t="s">
        <v>5349</v>
      </c>
      <c r="E788" s="193" t="s">
        <v>8375</v>
      </c>
      <c r="F788" s="193" t="s">
        <v>59</v>
      </c>
      <c r="G788" s="195" t="s">
        <v>10590</v>
      </c>
      <c r="H788" s="166" t="s">
        <v>13436</v>
      </c>
      <c r="I788" s="193" t="s">
        <v>12821</v>
      </c>
      <c r="J788" s="193" t="s">
        <v>12253</v>
      </c>
      <c r="K788" s="170"/>
      <c r="L788" s="193"/>
    </row>
    <row r="789" spans="1:12" ht="15.75">
      <c r="A789" s="67">
        <f t="shared" si="12"/>
        <v>787</v>
      </c>
      <c r="B789" s="164">
        <v>787</v>
      </c>
      <c r="C789" s="193" t="s">
        <v>2082</v>
      </c>
      <c r="D789" s="195" t="s">
        <v>5350</v>
      </c>
      <c r="E789" s="193" t="s">
        <v>8376</v>
      </c>
      <c r="F789" s="193" t="s">
        <v>59</v>
      </c>
      <c r="G789" s="195" t="s">
        <v>10591</v>
      </c>
      <c r="H789" s="166" t="s">
        <v>13436</v>
      </c>
      <c r="I789" s="193" t="s">
        <v>12838</v>
      </c>
      <c r="J789" s="193" t="s">
        <v>147</v>
      </c>
      <c r="K789" s="170"/>
      <c r="L789" s="193"/>
    </row>
    <row r="790" spans="1:12" ht="15.75">
      <c r="A790" s="67">
        <f t="shared" si="12"/>
        <v>788</v>
      </c>
      <c r="B790" s="164">
        <v>788</v>
      </c>
      <c r="C790" s="193" t="s">
        <v>2083</v>
      </c>
      <c r="D790" s="195" t="s">
        <v>5351</v>
      </c>
      <c r="E790" s="193" t="s">
        <v>8377</v>
      </c>
      <c r="F790" s="193" t="s">
        <v>59</v>
      </c>
      <c r="G790" s="195" t="s">
        <v>668</v>
      </c>
      <c r="H790" s="166" t="s">
        <v>13436</v>
      </c>
      <c r="I790" s="193" t="s">
        <v>12838</v>
      </c>
      <c r="J790" s="193" t="s">
        <v>147</v>
      </c>
      <c r="K790" s="170"/>
      <c r="L790" s="193"/>
    </row>
    <row r="791" spans="1:12" ht="15.75">
      <c r="A791" s="67">
        <f t="shared" si="12"/>
        <v>789</v>
      </c>
      <c r="B791" s="164">
        <v>789</v>
      </c>
      <c r="C791" s="193" t="s">
        <v>2084</v>
      </c>
      <c r="D791" s="195" t="s">
        <v>5352</v>
      </c>
      <c r="E791" s="193" t="s">
        <v>8378</v>
      </c>
      <c r="F791" s="193" t="s">
        <v>59</v>
      </c>
      <c r="G791" s="195" t="s">
        <v>10158</v>
      </c>
      <c r="H791" s="166" t="s">
        <v>13436</v>
      </c>
      <c r="I791" s="193" t="s">
        <v>12838</v>
      </c>
      <c r="J791" s="193" t="s">
        <v>146</v>
      </c>
      <c r="K791" s="170"/>
      <c r="L791" s="193"/>
    </row>
    <row r="792" spans="1:12" ht="30">
      <c r="A792" s="67">
        <f t="shared" si="12"/>
        <v>790</v>
      </c>
      <c r="B792" s="164">
        <v>790</v>
      </c>
      <c r="C792" s="193" t="s">
        <v>2085</v>
      </c>
      <c r="D792" s="195" t="s">
        <v>5353</v>
      </c>
      <c r="E792" s="193" t="s">
        <v>8379</v>
      </c>
      <c r="F792" s="193" t="s">
        <v>59</v>
      </c>
      <c r="G792" s="195" t="s">
        <v>10592</v>
      </c>
      <c r="H792" s="166" t="s">
        <v>13436</v>
      </c>
      <c r="I792" s="193" t="s">
        <v>12838</v>
      </c>
      <c r="J792" s="193" t="s">
        <v>12254</v>
      </c>
      <c r="K792" s="170"/>
      <c r="L792" s="193"/>
    </row>
    <row r="793" spans="1:12" ht="15.75">
      <c r="A793" s="67">
        <f t="shared" si="12"/>
        <v>791</v>
      </c>
      <c r="B793" s="164">
        <v>791</v>
      </c>
      <c r="C793" s="193" t="s">
        <v>2086</v>
      </c>
      <c r="D793" s="195" t="s">
        <v>5354</v>
      </c>
      <c r="E793" s="193" t="s">
        <v>8380</v>
      </c>
      <c r="F793" s="193" t="s">
        <v>59</v>
      </c>
      <c r="G793" s="195" t="s">
        <v>10593</v>
      </c>
      <c r="H793" s="166" t="s">
        <v>13436</v>
      </c>
      <c r="I793" s="193" t="s">
        <v>12838</v>
      </c>
      <c r="J793" s="193" t="s">
        <v>147</v>
      </c>
      <c r="K793" s="170"/>
      <c r="L793" s="193"/>
    </row>
    <row r="794" spans="1:12" ht="15.75">
      <c r="A794" s="67">
        <f t="shared" si="12"/>
        <v>792</v>
      </c>
      <c r="B794" s="164">
        <v>792</v>
      </c>
      <c r="C794" s="193" t="s">
        <v>2087</v>
      </c>
      <c r="D794" s="195" t="s">
        <v>5355</v>
      </c>
      <c r="E794" s="193" t="s">
        <v>508</v>
      </c>
      <c r="F794" s="193" t="s">
        <v>59</v>
      </c>
      <c r="G794" s="195" t="s">
        <v>10594</v>
      </c>
      <c r="H794" s="166" t="s">
        <v>13436</v>
      </c>
      <c r="I794" s="193" t="s">
        <v>12838</v>
      </c>
      <c r="J794" s="193" t="s">
        <v>146</v>
      </c>
      <c r="K794" s="170"/>
      <c r="L794" s="193"/>
    </row>
    <row r="795" spans="1:12" ht="30">
      <c r="A795" s="67">
        <f t="shared" si="12"/>
        <v>793</v>
      </c>
      <c r="B795" s="164">
        <v>793</v>
      </c>
      <c r="C795" s="193" t="s">
        <v>2088</v>
      </c>
      <c r="D795" s="195" t="s">
        <v>5356</v>
      </c>
      <c r="E795" s="193" t="s">
        <v>8381</v>
      </c>
      <c r="F795" s="193" t="s">
        <v>59</v>
      </c>
      <c r="G795" s="195" t="s">
        <v>10595</v>
      </c>
      <c r="H795" s="166" t="s">
        <v>13436</v>
      </c>
      <c r="I795" s="193" t="s">
        <v>12838</v>
      </c>
      <c r="J795" s="193" t="s">
        <v>12255</v>
      </c>
      <c r="K795" s="170"/>
      <c r="L795" s="193"/>
    </row>
    <row r="796" spans="1:12" ht="15.75">
      <c r="A796" s="67">
        <f t="shared" si="12"/>
        <v>794</v>
      </c>
      <c r="B796" s="164">
        <v>794</v>
      </c>
      <c r="C796" s="193" t="s">
        <v>2089</v>
      </c>
      <c r="D796" s="195" t="s">
        <v>5357</v>
      </c>
      <c r="E796" s="193" t="s">
        <v>8382</v>
      </c>
      <c r="F796" s="193" t="s">
        <v>59</v>
      </c>
      <c r="G796" s="195" t="s">
        <v>10596</v>
      </c>
      <c r="H796" s="166" t="s">
        <v>13436</v>
      </c>
      <c r="I796" s="193" t="s">
        <v>12814</v>
      </c>
      <c r="J796" s="219" t="s">
        <v>146</v>
      </c>
      <c r="K796" s="170"/>
      <c r="L796" s="193"/>
    </row>
    <row r="797" spans="1:12" ht="15.75">
      <c r="A797" s="67">
        <f t="shared" si="12"/>
        <v>795</v>
      </c>
      <c r="B797" s="164">
        <v>795</v>
      </c>
      <c r="C797" s="193" t="s">
        <v>2090</v>
      </c>
      <c r="D797" s="195" t="s">
        <v>5358</v>
      </c>
      <c r="E797" s="193" t="s">
        <v>222</v>
      </c>
      <c r="F797" s="193" t="s">
        <v>114</v>
      </c>
      <c r="G797" s="195" t="s">
        <v>10597</v>
      </c>
      <c r="H797" s="166" t="s">
        <v>13436</v>
      </c>
      <c r="I797" s="193" t="s">
        <v>12838</v>
      </c>
      <c r="J797" s="193" t="s">
        <v>148</v>
      </c>
      <c r="K797" s="170"/>
      <c r="L797" s="193" t="s">
        <v>146</v>
      </c>
    </row>
    <row r="798" spans="1:12" ht="15.75">
      <c r="A798" s="67">
        <f t="shared" si="12"/>
        <v>796</v>
      </c>
      <c r="B798" s="164">
        <v>796</v>
      </c>
      <c r="C798" s="193" t="s">
        <v>2091</v>
      </c>
      <c r="D798" s="195" t="s">
        <v>5359</v>
      </c>
      <c r="E798" s="193" t="s">
        <v>403</v>
      </c>
      <c r="F798" s="193" t="s">
        <v>114</v>
      </c>
      <c r="G798" s="195" t="s">
        <v>10598</v>
      </c>
      <c r="H798" s="166" t="s">
        <v>13436</v>
      </c>
      <c r="I798" s="193" t="s">
        <v>12814</v>
      </c>
      <c r="J798" s="193" t="s">
        <v>146</v>
      </c>
      <c r="K798" s="170"/>
      <c r="L798" s="193" t="s">
        <v>146</v>
      </c>
    </row>
    <row r="799" spans="1:12" ht="15.75">
      <c r="A799" s="67">
        <f t="shared" si="12"/>
        <v>797</v>
      </c>
      <c r="B799" s="164">
        <v>797</v>
      </c>
      <c r="C799" s="193" t="s">
        <v>2092</v>
      </c>
      <c r="D799" s="195" t="s">
        <v>5360</v>
      </c>
      <c r="E799" s="193" t="s">
        <v>660</v>
      </c>
      <c r="F799" s="193" t="s">
        <v>114</v>
      </c>
      <c r="G799" s="195" t="s">
        <v>10321</v>
      </c>
      <c r="H799" s="166" t="s">
        <v>13436</v>
      </c>
      <c r="I799" s="193" t="s">
        <v>12838</v>
      </c>
      <c r="J799" s="193" t="s">
        <v>146</v>
      </c>
      <c r="K799" s="170"/>
      <c r="L799" s="193" t="s">
        <v>146</v>
      </c>
    </row>
    <row r="800" spans="1:12" ht="60">
      <c r="A800" s="67">
        <f t="shared" si="12"/>
        <v>798</v>
      </c>
      <c r="B800" s="164">
        <v>798</v>
      </c>
      <c r="C800" s="193" t="s">
        <v>2093</v>
      </c>
      <c r="D800" s="195" t="s">
        <v>5361</v>
      </c>
      <c r="E800" s="193" t="s">
        <v>8336</v>
      </c>
      <c r="F800" s="193" t="s">
        <v>114</v>
      </c>
      <c r="G800" s="195" t="s">
        <v>779</v>
      </c>
      <c r="H800" s="166" t="s">
        <v>13436</v>
      </c>
      <c r="I800" s="193" t="s">
        <v>12814</v>
      </c>
      <c r="J800" s="193" t="s">
        <v>146</v>
      </c>
      <c r="K800" s="170"/>
      <c r="L800" s="193" t="s">
        <v>13058</v>
      </c>
    </row>
    <row r="801" spans="1:12" ht="15.75">
      <c r="A801" s="67">
        <f t="shared" si="12"/>
        <v>799</v>
      </c>
      <c r="B801" s="164">
        <v>799</v>
      </c>
      <c r="C801" s="193" t="s">
        <v>2094</v>
      </c>
      <c r="D801" s="195" t="s">
        <v>5362</v>
      </c>
      <c r="E801" s="193" t="s">
        <v>8383</v>
      </c>
      <c r="F801" s="193" t="s">
        <v>114</v>
      </c>
      <c r="G801" s="195" t="s">
        <v>10599</v>
      </c>
      <c r="H801" s="166" t="s">
        <v>13436</v>
      </c>
      <c r="I801" s="193" t="s">
        <v>12838</v>
      </c>
      <c r="J801" s="193" t="s">
        <v>146</v>
      </c>
      <c r="K801" s="170"/>
      <c r="L801" s="193" t="s">
        <v>146</v>
      </c>
    </row>
    <row r="802" spans="1:12" ht="30">
      <c r="A802" s="67">
        <f t="shared" si="12"/>
        <v>800</v>
      </c>
      <c r="B802" s="164">
        <v>800</v>
      </c>
      <c r="C802" s="193" t="s">
        <v>2095</v>
      </c>
      <c r="D802" s="195" t="s">
        <v>5363</v>
      </c>
      <c r="E802" s="193" t="s">
        <v>166</v>
      </c>
      <c r="F802" s="193" t="s">
        <v>114</v>
      </c>
      <c r="G802" s="195" t="s">
        <v>10600</v>
      </c>
      <c r="H802" s="166" t="s">
        <v>13436</v>
      </c>
      <c r="I802" s="193" t="s">
        <v>12838</v>
      </c>
      <c r="J802" s="193" t="s">
        <v>146</v>
      </c>
      <c r="K802" s="170"/>
      <c r="L802" s="193" t="s">
        <v>13059</v>
      </c>
    </row>
    <row r="803" spans="1:12" ht="15.75">
      <c r="A803" s="67">
        <f t="shared" si="12"/>
        <v>801</v>
      </c>
      <c r="B803" s="164">
        <v>801</v>
      </c>
      <c r="C803" s="193" t="s">
        <v>2096</v>
      </c>
      <c r="D803" s="195" t="s">
        <v>5364</v>
      </c>
      <c r="E803" s="193" t="s">
        <v>8384</v>
      </c>
      <c r="F803" s="193" t="s">
        <v>59</v>
      </c>
      <c r="G803" s="195" t="s">
        <v>10601</v>
      </c>
      <c r="H803" s="166" t="s">
        <v>13436</v>
      </c>
      <c r="I803" s="193" t="s">
        <v>12809</v>
      </c>
      <c r="J803" s="193" t="s">
        <v>146</v>
      </c>
      <c r="K803" s="170"/>
      <c r="L803" s="193"/>
    </row>
    <row r="804" spans="1:12" ht="15.75">
      <c r="A804" s="67">
        <f t="shared" si="12"/>
        <v>802</v>
      </c>
      <c r="B804" s="164">
        <v>802</v>
      </c>
      <c r="C804" s="193" t="s">
        <v>2097</v>
      </c>
      <c r="D804" s="195" t="s">
        <v>5365</v>
      </c>
      <c r="E804" s="193" t="s">
        <v>581</v>
      </c>
      <c r="F804" s="193" t="s">
        <v>114</v>
      </c>
      <c r="G804" s="195" t="s">
        <v>10602</v>
      </c>
      <c r="H804" s="166" t="s">
        <v>13436</v>
      </c>
      <c r="I804" s="193" t="s">
        <v>12814</v>
      </c>
      <c r="J804" s="193" t="s">
        <v>146</v>
      </c>
      <c r="K804" s="170"/>
      <c r="L804" s="193" t="s">
        <v>146</v>
      </c>
    </row>
    <row r="805" spans="1:12" ht="15.75">
      <c r="A805" s="67">
        <f t="shared" si="12"/>
        <v>803</v>
      </c>
      <c r="B805" s="164">
        <v>803</v>
      </c>
      <c r="C805" s="193" t="s">
        <v>2098</v>
      </c>
      <c r="D805" s="195" t="s">
        <v>5366</v>
      </c>
      <c r="E805" s="193" t="s">
        <v>8385</v>
      </c>
      <c r="F805" s="193" t="s">
        <v>114</v>
      </c>
      <c r="G805" s="195" t="s">
        <v>10142</v>
      </c>
      <c r="H805" s="166" t="s">
        <v>13436</v>
      </c>
      <c r="I805" s="193" t="s">
        <v>12838</v>
      </c>
      <c r="J805" s="193" t="s">
        <v>146</v>
      </c>
      <c r="K805" s="170"/>
      <c r="L805" s="193" t="s">
        <v>146</v>
      </c>
    </row>
    <row r="806" spans="1:12" ht="15.75">
      <c r="A806" s="67">
        <f t="shared" si="12"/>
        <v>804</v>
      </c>
      <c r="B806" s="164">
        <v>804</v>
      </c>
      <c r="C806" s="193" t="s">
        <v>2099</v>
      </c>
      <c r="D806" s="195" t="s">
        <v>5367</v>
      </c>
      <c r="E806" s="193" t="s">
        <v>8386</v>
      </c>
      <c r="F806" s="193" t="s">
        <v>114</v>
      </c>
      <c r="G806" s="195" t="s">
        <v>10603</v>
      </c>
      <c r="H806" s="166" t="s">
        <v>13436</v>
      </c>
      <c r="I806" s="193" t="s">
        <v>12838</v>
      </c>
      <c r="J806" s="193" t="s">
        <v>12256</v>
      </c>
      <c r="K806" s="170"/>
      <c r="L806" s="193" t="s">
        <v>146</v>
      </c>
    </row>
    <row r="807" spans="1:12" ht="30">
      <c r="A807" s="67">
        <f t="shared" si="12"/>
        <v>805</v>
      </c>
      <c r="B807" s="164">
        <v>805</v>
      </c>
      <c r="C807" s="193" t="s">
        <v>2100</v>
      </c>
      <c r="D807" s="195" t="s">
        <v>5368</v>
      </c>
      <c r="E807" s="193" t="s">
        <v>379</v>
      </c>
      <c r="F807" s="193" t="s">
        <v>114</v>
      </c>
      <c r="G807" s="195" t="s">
        <v>726</v>
      </c>
      <c r="H807" s="166" t="s">
        <v>13436</v>
      </c>
      <c r="I807" s="193" t="s">
        <v>12838</v>
      </c>
      <c r="J807" s="193" t="s">
        <v>12257</v>
      </c>
      <c r="K807" s="170"/>
      <c r="L807" s="193" t="s">
        <v>146</v>
      </c>
    </row>
    <row r="808" spans="1:12" ht="30">
      <c r="A808" s="67">
        <f t="shared" si="12"/>
        <v>806</v>
      </c>
      <c r="B808" s="164">
        <v>806</v>
      </c>
      <c r="C808" s="193" t="s">
        <v>2101</v>
      </c>
      <c r="D808" s="195" t="s">
        <v>5369</v>
      </c>
      <c r="E808" s="193" t="s">
        <v>178</v>
      </c>
      <c r="F808" s="193" t="s">
        <v>114</v>
      </c>
      <c r="G808" s="195" t="s">
        <v>10604</v>
      </c>
      <c r="H808" s="166" t="s">
        <v>13436</v>
      </c>
      <c r="I808" s="193" t="s">
        <v>12838</v>
      </c>
      <c r="J808" s="193" t="s">
        <v>12258</v>
      </c>
      <c r="K808" s="170"/>
      <c r="L808" s="193" t="s">
        <v>146</v>
      </c>
    </row>
    <row r="809" spans="1:12" ht="15.75">
      <c r="A809" s="67">
        <f t="shared" si="12"/>
        <v>807</v>
      </c>
      <c r="B809" s="164">
        <v>807</v>
      </c>
      <c r="C809" s="193" t="s">
        <v>2102</v>
      </c>
      <c r="D809" s="195" t="s">
        <v>5370</v>
      </c>
      <c r="E809" s="193" t="s">
        <v>8387</v>
      </c>
      <c r="F809" s="193" t="s">
        <v>114</v>
      </c>
      <c r="G809" s="195" t="s">
        <v>10605</v>
      </c>
      <c r="H809" s="166" t="s">
        <v>13436</v>
      </c>
      <c r="I809" s="193" t="s">
        <v>12814</v>
      </c>
      <c r="J809" s="193" t="s">
        <v>146</v>
      </c>
      <c r="K809" s="170"/>
      <c r="L809" s="193" t="s">
        <v>146</v>
      </c>
    </row>
    <row r="810" spans="1:12" ht="15.75">
      <c r="A810" s="67">
        <f t="shared" si="12"/>
        <v>808</v>
      </c>
      <c r="B810" s="164">
        <v>808</v>
      </c>
      <c r="C810" s="193" t="s">
        <v>2103</v>
      </c>
      <c r="D810" s="195" t="s">
        <v>5371</v>
      </c>
      <c r="E810" s="193" t="s">
        <v>8388</v>
      </c>
      <c r="F810" s="193" t="s">
        <v>59</v>
      </c>
      <c r="G810" s="195" t="s">
        <v>10606</v>
      </c>
      <c r="H810" s="166" t="s">
        <v>13436</v>
      </c>
      <c r="I810" s="193" t="s">
        <v>12838</v>
      </c>
      <c r="J810" s="193" t="s">
        <v>12259</v>
      </c>
      <c r="K810" s="170"/>
      <c r="L810" s="193"/>
    </row>
    <row r="811" spans="1:12" ht="30">
      <c r="A811" s="67">
        <f t="shared" si="12"/>
        <v>809</v>
      </c>
      <c r="B811" s="164">
        <v>809</v>
      </c>
      <c r="C811" s="193" t="s">
        <v>2104</v>
      </c>
      <c r="D811" s="195" t="s">
        <v>5372</v>
      </c>
      <c r="E811" s="193" t="s">
        <v>8389</v>
      </c>
      <c r="F811" s="193" t="s">
        <v>59</v>
      </c>
      <c r="G811" s="195" t="s">
        <v>10607</v>
      </c>
      <c r="H811" s="166" t="s">
        <v>13436</v>
      </c>
      <c r="I811" s="193" t="s">
        <v>12838</v>
      </c>
      <c r="J811" s="193" t="s">
        <v>12260</v>
      </c>
      <c r="K811" s="170"/>
      <c r="L811" s="193"/>
    </row>
    <row r="812" spans="1:12" ht="30">
      <c r="A812" s="67">
        <f t="shared" si="12"/>
        <v>810</v>
      </c>
      <c r="B812" s="164">
        <v>810</v>
      </c>
      <c r="C812" s="193" t="s">
        <v>2105</v>
      </c>
      <c r="D812" s="195" t="s">
        <v>5373</v>
      </c>
      <c r="E812" s="193" t="s">
        <v>449</v>
      </c>
      <c r="F812" s="193" t="s">
        <v>114</v>
      </c>
      <c r="G812" s="195" t="s">
        <v>10608</v>
      </c>
      <c r="H812" s="166" t="s">
        <v>13436</v>
      </c>
      <c r="I812" s="193" t="s">
        <v>12838</v>
      </c>
      <c r="J812" s="193" t="s">
        <v>12261</v>
      </c>
      <c r="K812" s="170"/>
      <c r="L812" s="193" t="s">
        <v>146</v>
      </c>
    </row>
    <row r="813" spans="1:12" ht="30">
      <c r="A813" s="67">
        <f t="shared" si="12"/>
        <v>811</v>
      </c>
      <c r="B813" s="164">
        <v>811</v>
      </c>
      <c r="C813" s="193" t="s">
        <v>2106</v>
      </c>
      <c r="D813" s="195" t="s">
        <v>5374</v>
      </c>
      <c r="E813" s="193" t="s">
        <v>8390</v>
      </c>
      <c r="F813" s="193" t="s">
        <v>59</v>
      </c>
      <c r="G813" s="195" t="s">
        <v>10609</v>
      </c>
      <c r="H813" s="166" t="s">
        <v>13436</v>
      </c>
      <c r="I813" s="193" t="s">
        <v>12825</v>
      </c>
      <c r="J813" s="193" t="s">
        <v>12262</v>
      </c>
      <c r="K813" s="170"/>
      <c r="L813" s="193"/>
    </row>
    <row r="814" spans="1:12" ht="15.75">
      <c r="A814" s="67">
        <f t="shared" si="12"/>
        <v>812</v>
      </c>
      <c r="B814" s="164">
        <v>812</v>
      </c>
      <c r="C814" s="193" t="s">
        <v>2107</v>
      </c>
      <c r="D814" s="195" t="s">
        <v>5375</v>
      </c>
      <c r="E814" s="193" t="s">
        <v>8391</v>
      </c>
      <c r="F814" s="193" t="s">
        <v>59</v>
      </c>
      <c r="G814" s="195" t="s">
        <v>10610</v>
      </c>
      <c r="H814" s="166" t="s">
        <v>13436</v>
      </c>
      <c r="I814" s="193" t="s">
        <v>12817</v>
      </c>
      <c r="J814" s="193" t="s">
        <v>164</v>
      </c>
      <c r="K814" s="170"/>
      <c r="L814" s="193"/>
    </row>
    <row r="815" spans="1:12" ht="15.75">
      <c r="A815" s="67">
        <f t="shared" si="12"/>
        <v>813</v>
      </c>
      <c r="B815" s="164">
        <v>813</v>
      </c>
      <c r="C815" s="193" t="s">
        <v>2108</v>
      </c>
      <c r="D815" s="195" t="s">
        <v>5376</v>
      </c>
      <c r="E815" s="193" t="s">
        <v>8392</v>
      </c>
      <c r="F815" s="193" t="s">
        <v>59</v>
      </c>
      <c r="G815" s="195" t="s">
        <v>10611</v>
      </c>
      <c r="H815" s="166" t="s">
        <v>13436</v>
      </c>
      <c r="I815" s="193" t="s">
        <v>12817</v>
      </c>
      <c r="J815" s="193" t="s">
        <v>146</v>
      </c>
      <c r="K815" s="170"/>
      <c r="L815" s="193"/>
    </row>
    <row r="816" spans="1:12" ht="60">
      <c r="A816" s="67">
        <f t="shared" si="12"/>
        <v>814</v>
      </c>
      <c r="B816" s="164">
        <v>814</v>
      </c>
      <c r="C816" s="193" t="s">
        <v>2109</v>
      </c>
      <c r="D816" s="195" t="s">
        <v>5377</v>
      </c>
      <c r="E816" s="193" t="s">
        <v>8393</v>
      </c>
      <c r="F816" s="193" t="s">
        <v>59</v>
      </c>
      <c r="G816" s="195" t="s">
        <v>10612</v>
      </c>
      <c r="H816" s="166" t="s">
        <v>13436</v>
      </c>
      <c r="I816" s="193" t="s">
        <v>12817</v>
      </c>
      <c r="J816" s="193" t="s">
        <v>12263</v>
      </c>
      <c r="K816" s="170"/>
      <c r="L816" s="193"/>
    </row>
    <row r="817" spans="1:12" ht="15.75">
      <c r="A817" s="67">
        <f t="shared" si="12"/>
        <v>815</v>
      </c>
      <c r="B817" s="164">
        <v>815</v>
      </c>
      <c r="C817" s="193" t="s">
        <v>2110</v>
      </c>
      <c r="D817" s="195" t="s">
        <v>5378</v>
      </c>
      <c r="E817" s="193" t="s">
        <v>8394</v>
      </c>
      <c r="F817" s="193" t="s">
        <v>59</v>
      </c>
      <c r="G817" s="195" t="s">
        <v>10613</v>
      </c>
      <c r="H817" s="166" t="s">
        <v>13436</v>
      </c>
      <c r="I817" s="193" t="s">
        <v>12817</v>
      </c>
      <c r="J817" s="193" t="s">
        <v>164</v>
      </c>
      <c r="K817" s="170"/>
      <c r="L817" s="193"/>
    </row>
    <row r="818" spans="1:12" ht="75">
      <c r="A818" s="67">
        <f t="shared" si="12"/>
        <v>816</v>
      </c>
      <c r="B818" s="164">
        <v>816</v>
      </c>
      <c r="C818" s="193" t="s">
        <v>2111</v>
      </c>
      <c r="D818" s="195" t="s">
        <v>5379</v>
      </c>
      <c r="E818" s="193" t="s">
        <v>7816</v>
      </c>
      <c r="F818" s="193" t="s">
        <v>114</v>
      </c>
      <c r="G818" s="195" t="s">
        <v>10614</v>
      </c>
      <c r="H818" s="166" t="s">
        <v>13436</v>
      </c>
      <c r="I818" s="193" t="s">
        <v>12817</v>
      </c>
      <c r="J818" s="193" t="s">
        <v>12264</v>
      </c>
      <c r="K818" s="170"/>
      <c r="L818" s="193" t="s">
        <v>13060</v>
      </c>
    </row>
    <row r="819" spans="1:12" ht="60">
      <c r="A819" s="67">
        <f t="shared" si="12"/>
        <v>817</v>
      </c>
      <c r="B819" s="164">
        <v>817</v>
      </c>
      <c r="C819" s="193" t="s">
        <v>2112</v>
      </c>
      <c r="D819" s="195" t="s">
        <v>5380</v>
      </c>
      <c r="E819" s="193" t="s">
        <v>318</v>
      </c>
      <c r="F819" s="193" t="s">
        <v>114</v>
      </c>
      <c r="G819" s="195" t="s">
        <v>10615</v>
      </c>
      <c r="H819" s="166" t="s">
        <v>13436</v>
      </c>
      <c r="I819" s="193" t="s">
        <v>12817</v>
      </c>
      <c r="J819" s="193" t="s">
        <v>12265</v>
      </c>
      <c r="K819" s="170"/>
      <c r="L819" s="193" t="s">
        <v>13061</v>
      </c>
    </row>
    <row r="820" spans="1:12" ht="15.75">
      <c r="A820" s="67">
        <f t="shared" si="12"/>
        <v>818</v>
      </c>
      <c r="B820" s="164">
        <v>818</v>
      </c>
      <c r="C820" s="193" t="s">
        <v>2113</v>
      </c>
      <c r="D820" s="195" t="s">
        <v>5381</v>
      </c>
      <c r="E820" s="193" t="s">
        <v>8395</v>
      </c>
      <c r="F820" s="193" t="s">
        <v>114</v>
      </c>
      <c r="G820" s="195" t="s">
        <v>10616</v>
      </c>
      <c r="H820" s="166" t="s">
        <v>13436</v>
      </c>
      <c r="I820" s="193" t="s">
        <v>12817</v>
      </c>
      <c r="J820" s="193" t="s">
        <v>146</v>
      </c>
      <c r="K820" s="170"/>
      <c r="L820" s="193" t="s">
        <v>1270</v>
      </c>
    </row>
    <row r="821" spans="1:12" ht="45">
      <c r="A821" s="67">
        <f t="shared" si="12"/>
        <v>819</v>
      </c>
      <c r="B821" s="164">
        <v>819</v>
      </c>
      <c r="C821" s="193" t="s">
        <v>2114</v>
      </c>
      <c r="D821" s="195" t="s">
        <v>5382</v>
      </c>
      <c r="E821" s="193" t="s">
        <v>8396</v>
      </c>
      <c r="F821" s="193" t="s">
        <v>59</v>
      </c>
      <c r="G821" s="195" t="s">
        <v>10617</v>
      </c>
      <c r="H821" s="166" t="s">
        <v>13436</v>
      </c>
      <c r="I821" s="193" t="s">
        <v>12817</v>
      </c>
      <c r="J821" s="193" t="s">
        <v>12266</v>
      </c>
      <c r="K821" s="170"/>
      <c r="L821" s="193"/>
    </row>
    <row r="822" spans="1:12" ht="30">
      <c r="A822" s="67">
        <f t="shared" si="12"/>
        <v>820</v>
      </c>
      <c r="B822" s="164">
        <v>820</v>
      </c>
      <c r="C822" s="193" t="s">
        <v>2115</v>
      </c>
      <c r="D822" s="195" t="s">
        <v>5383</v>
      </c>
      <c r="E822" s="193" t="s">
        <v>8397</v>
      </c>
      <c r="F822" s="193" t="s">
        <v>59</v>
      </c>
      <c r="G822" s="195" t="s">
        <v>10618</v>
      </c>
      <c r="H822" s="166" t="s">
        <v>13436</v>
      </c>
      <c r="I822" s="193" t="s">
        <v>12818</v>
      </c>
      <c r="J822" s="193" t="s">
        <v>12267</v>
      </c>
      <c r="K822" s="170"/>
      <c r="L822" s="193"/>
    </row>
    <row r="823" spans="1:12" ht="30">
      <c r="A823" s="67">
        <f t="shared" si="12"/>
        <v>821</v>
      </c>
      <c r="B823" s="164">
        <v>821</v>
      </c>
      <c r="C823" s="193" t="s">
        <v>2116</v>
      </c>
      <c r="D823" s="195" t="s">
        <v>5384</v>
      </c>
      <c r="E823" s="193" t="s">
        <v>8398</v>
      </c>
      <c r="F823" s="193" t="s">
        <v>114</v>
      </c>
      <c r="G823" s="195" t="s">
        <v>10619</v>
      </c>
      <c r="H823" s="166" t="s">
        <v>13436</v>
      </c>
      <c r="I823" s="193" t="s">
        <v>12817</v>
      </c>
      <c r="J823" s="193" t="s">
        <v>147</v>
      </c>
      <c r="K823" s="170"/>
      <c r="L823" s="193" t="s">
        <v>13062</v>
      </c>
    </row>
    <row r="824" spans="1:12" ht="75">
      <c r="A824" s="67">
        <f t="shared" si="12"/>
        <v>822</v>
      </c>
      <c r="B824" s="164">
        <v>822</v>
      </c>
      <c r="C824" s="193" t="s">
        <v>2117</v>
      </c>
      <c r="D824" s="195" t="s">
        <v>5385</v>
      </c>
      <c r="E824" s="193" t="s">
        <v>8399</v>
      </c>
      <c r="F824" s="193" t="s">
        <v>114</v>
      </c>
      <c r="G824" s="195" t="s">
        <v>10620</v>
      </c>
      <c r="H824" s="166" t="s">
        <v>13436</v>
      </c>
      <c r="I824" s="193" t="s">
        <v>12817</v>
      </c>
      <c r="J824" s="193" t="s">
        <v>12268</v>
      </c>
      <c r="K824" s="170"/>
      <c r="L824" s="193" t="s">
        <v>13063</v>
      </c>
    </row>
    <row r="825" spans="1:12" ht="75">
      <c r="A825" s="67">
        <f t="shared" si="12"/>
        <v>823</v>
      </c>
      <c r="B825" s="164">
        <v>823</v>
      </c>
      <c r="C825" s="193" t="s">
        <v>2118</v>
      </c>
      <c r="D825" s="195" t="s">
        <v>5386</v>
      </c>
      <c r="E825" s="193" t="s">
        <v>568</v>
      </c>
      <c r="F825" s="193" t="s">
        <v>114</v>
      </c>
      <c r="G825" s="195" t="s">
        <v>10621</v>
      </c>
      <c r="H825" s="166" t="s">
        <v>13436</v>
      </c>
      <c r="I825" s="193" t="s">
        <v>12817</v>
      </c>
      <c r="J825" s="193" t="s">
        <v>164</v>
      </c>
      <c r="K825" s="170"/>
      <c r="L825" s="193" t="s">
        <v>13064</v>
      </c>
    </row>
    <row r="826" spans="1:12" ht="15.75">
      <c r="A826" s="67">
        <f t="shared" si="12"/>
        <v>824</v>
      </c>
      <c r="B826" s="164">
        <v>824</v>
      </c>
      <c r="C826" s="193" t="s">
        <v>2119</v>
      </c>
      <c r="D826" s="195" t="s">
        <v>5387</v>
      </c>
      <c r="E826" s="193" t="s">
        <v>8400</v>
      </c>
      <c r="F826" s="193" t="s">
        <v>114</v>
      </c>
      <c r="G826" s="195" t="s">
        <v>10622</v>
      </c>
      <c r="H826" s="166" t="s">
        <v>13436</v>
      </c>
      <c r="I826" s="193" t="s">
        <v>12817</v>
      </c>
      <c r="J826" s="219" t="s">
        <v>146</v>
      </c>
      <c r="K826" s="170"/>
      <c r="L826" s="219" t="s">
        <v>146</v>
      </c>
    </row>
    <row r="827" spans="1:12" ht="90">
      <c r="A827" s="67">
        <f t="shared" si="12"/>
        <v>825</v>
      </c>
      <c r="B827" s="164">
        <v>825</v>
      </c>
      <c r="C827" s="193" t="s">
        <v>2120</v>
      </c>
      <c r="D827" s="195" t="s">
        <v>5388</v>
      </c>
      <c r="E827" s="193" t="s">
        <v>8401</v>
      </c>
      <c r="F827" s="193" t="s">
        <v>114</v>
      </c>
      <c r="G827" s="195" t="s">
        <v>10623</v>
      </c>
      <c r="H827" s="166" t="s">
        <v>13436</v>
      </c>
      <c r="I827" s="193" t="s">
        <v>12817</v>
      </c>
      <c r="J827" s="193" t="s">
        <v>146</v>
      </c>
      <c r="K827" s="170"/>
      <c r="L827" s="193" t="s">
        <v>13065</v>
      </c>
    </row>
    <row r="828" spans="1:12" ht="15.75">
      <c r="A828" s="67">
        <f t="shared" si="12"/>
        <v>826</v>
      </c>
      <c r="B828" s="164">
        <v>826</v>
      </c>
      <c r="C828" s="193" t="s">
        <v>2121</v>
      </c>
      <c r="D828" s="195" t="s">
        <v>5389</v>
      </c>
      <c r="E828" s="193" t="s">
        <v>8402</v>
      </c>
      <c r="F828" s="193" t="s">
        <v>114</v>
      </c>
      <c r="G828" s="195" t="s">
        <v>10624</v>
      </c>
      <c r="H828" s="166" t="s">
        <v>13436</v>
      </c>
      <c r="I828" s="193" t="s">
        <v>12817</v>
      </c>
      <c r="J828" s="193" t="s">
        <v>146</v>
      </c>
      <c r="K828" s="170"/>
      <c r="L828" s="193" t="s">
        <v>146</v>
      </c>
    </row>
    <row r="829" spans="1:12" ht="30">
      <c r="A829" s="67">
        <f t="shared" si="12"/>
        <v>827</v>
      </c>
      <c r="B829" s="164">
        <v>827</v>
      </c>
      <c r="C829" s="193" t="s">
        <v>2122</v>
      </c>
      <c r="D829" s="195" t="s">
        <v>5390</v>
      </c>
      <c r="E829" s="193" t="s">
        <v>8403</v>
      </c>
      <c r="F829" s="193" t="s">
        <v>114</v>
      </c>
      <c r="G829" s="195" t="s">
        <v>10625</v>
      </c>
      <c r="H829" s="166" t="s">
        <v>13436</v>
      </c>
      <c r="I829" s="193" t="s">
        <v>12817</v>
      </c>
      <c r="J829" s="193" t="s">
        <v>12269</v>
      </c>
      <c r="K829" s="170"/>
      <c r="L829" s="193" t="s">
        <v>146</v>
      </c>
    </row>
    <row r="830" spans="1:12" ht="120">
      <c r="A830" s="67">
        <f t="shared" si="12"/>
        <v>828</v>
      </c>
      <c r="B830" s="164">
        <v>828</v>
      </c>
      <c r="C830" s="193" t="s">
        <v>2123</v>
      </c>
      <c r="D830" s="195" t="s">
        <v>5391</v>
      </c>
      <c r="E830" s="193" t="s">
        <v>8404</v>
      </c>
      <c r="F830" s="193" t="s">
        <v>114</v>
      </c>
      <c r="G830" s="195" t="s">
        <v>10626</v>
      </c>
      <c r="H830" s="166" t="s">
        <v>13436</v>
      </c>
      <c r="I830" s="193" t="s">
        <v>12826</v>
      </c>
      <c r="J830" s="193" t="s">
        <v>146</v>
      </c>
      <c r="K830" s="170"/>
      <c r="L830" s="193" t="s">
        <v>13066</v>
      </c>
    </row>
    <row r="831" spans="1:12" ht="30">
      <c r="A831" s="67">
        <f t="shared" si="12"/>
        <v>829</v>
      </c>
      <c r="B831" s="164">
        <v>829</v>
      </c>
      <c r="C831" s="193" t="s">
        <v>2124</v>
      </c>
      <c r="D831" s="195" t="s">
        <v>5392</v>
      </c>
      <c r="E831" s="193" t="s">
        <v>511</v>
      </c>
      <c r="F831" s="193" t="s">
        <v>114</v>
      </c>
      <c r="G831" s="195" t="s">
        <v>10627</v>
      </c>
      <c r="H831" s="166" t="s">
        <v>13436</v>
      </c>
      <c r="I831" s="193" t="s">
        <v>12817</v>
      </c>
      <c r="J831" s="193" t="s">
        <v>146</v>
      </c>
      <c r="K831" s="170"/>
      <c r="L831" s="193" t="s">
        <v>13067</v>
      </c>
    </row>
    <row r="832" spans="1:12" ht="15.75">
      <c r="A832" s="67">
        <f t="shared" si="12"/>
        <v>830</v>
      </c>
      <c r="B832" s="164">
        <v>830</v>
      </c>
      <c r="C832" s="193" t="s">
        <v>2125</v>
      </c>
      <c r="D832" s="195" t="s">
        <v>5393</v>
      </c>
      <c r="E832" s="193" t="s">
        <v>665</v>
      </c>
      <c r="F832" s="193" t="s">
        <v>59</v>
      </c>
      <c r="G832" s="195" t="s">
        <v>10628</v>
      </c>
      <c r="H832" s="166" t="s">
        <v>13436</v>
      </c>
      <c r="I832" s="193" t="s">
        <v>12817</v>
      </c>
      <c r="J832" s="193" t="s">
        <v>146</v>
      </c>
      <c r="K832" s="170"/>
      <c r="L832" s="193"/>
    </row>
    <row r="833" spans="1:12" ht="15.75">
      <c r="A833" s="67">
        <f t="shared" si="12"/>
        <v>831</v>
      </c>
      <c r="B833" s="164">
        <v>831</v>
      </c>
      <c r="C833" s="193" t="s">
        <v>2126</v>
      </c>
      <c r="D833" s="195" t="s">
        <v>5394</v>
      </c>
      <c r="E833" s="193" t="s">
        <v>8405</v>
      </c>
      <c r="F833" s="193" t="s">
        <v>59</v>
      </c>
      <c r="G833" s="195" t="s">
        <v>10629</v>
      </c>
      <c r="H833" s="166" t="s">
        <v>13436</v>
      </c>
      <c r="I833" s="193" t="s">
        <v>12817</v>
      </c>
      <c r="J833" s="193" t="s">
        <v>164</v>
      </c>
      <c r="K833" s="170"/>
      <c r="L833" s="193"/>
    </row>
    <row r="834" spans="1:12" ht="15.75">
      <c r="A834" s="67">
        <f t="shared" si="12"/>
        <v>832</v>
      </c>
      <c r="B834" s="164">
        <v>832</v>
      </c>
      <c r="C834" s="193" t="s">
        <v>2127</v>
      </c>
      <c r="D834" s="195" t="s">
        <v>5395</v>
      </c>
      <c r="E834" s="193" t="s">
        <v>8406</v>
      </c>
      <c r="F834" s="193" t="s">
        <v>59</v>
      </c>
      <c r="G834" s="195" t="s">
        <v>10630</v>
      </c>
      <c r="H834" s="166" t="s">
        <v>13436</v>
      </c>
      <c r="I834" s="193" t="s">
        <v>12817</v>
      </c>
      <c r="J834" s="193" t="s">
        <v>164</v>
      </c>
      <c r="K834" s="170"/>
      <c r="L834" s="193"/>
    </row>
    <row r="835" spans="1:12" ht="75">
      <c r="A835" s="67">
        <f t="shared" ref="A835:A898" si="13">IFERROR(VALUE(RIGHT(C835,4)),"")</f>
        <v>833</v>
      </c>
      <c r="B835" s="164">
        <v>833</v>
      </c>
      <c r="C835" s="193" t="s">
        <v>2128</v>
      </c>
      <c r="D835" s="195" t="s">
        <v>5396</v>
      </c>
      <c r="E835" s="193" t="s">
        <v>8407</v>
      </c>
      <c r="F835" s="193" t="s">
        <v>59</v>
      </c>
      <c r="G835" s="195" t="s">
        <v>10631</v>
      </c>
      <c r="H835" s="166" t="s">
        <v>13436</v>
      </c>
      <c r="I835" s="193" t="s">
        <v>12825</v>
      </c>
      <c r="J835" s="193" t="s">
        <v>12270</v>
      </c>
      <c r="K835" s="170"/>
      <c r="L835" s="193"/>
    </row>
    <row r="836" spans="1:12" ht="15.75">
      <c r="A836" s="67">
        <f t="shared" si="13"/>
        <v>834</v>
      </c>
      <c r="B836" s="164">
        <v>834</v>
      </c>
      <c r="C836" s="193" t="s">
        <v>2129</v>
      </c>
      <c r="D836" s="195" t="s">
        <v>5397</v>
      </c>
      <c r="E836" s="193" t="s">
        <v>8404</v>
      </c>
      <c r="F836" s="193" t="s">
        <v>114</v>
      </c>
      <c r="G836" s="195" t="s">
        <v>10632</v>
      </c>
      <c r="H836" s="166" t="s">
        <v>13436</v>
      </c>
      <c r="I836" s="193" t="s">
        <v>1249</v>
      </c>
      <c r="J836" s="193" t="s">
        <v>146</v>
      </c>
      <c r="K836" s="170"/>
      <c r="L836" s="193" t="s">
        <v>146</v>
      </c>
    </row>
    <row r="837" spans="1:12" ht="45">
      <c r="A837" s="67">
        <f t="shared" si="13"/>
        <v>835</v>
      </c>
      <c r="B837" s="164">
        <v>835</v>
      </c>
      <c r="C837" s="193" t="s">
        <v>2130</v>
      </c>
      <c r="D837" s="195" t="s">
        <v>5398</v>
      </c>
      <c r="E837" s="193" t="s">
        <v>8408</v>
      </c>
      <c r="F837" s="193" t="s">
        <v>114</v>
      </c>
      <c r="G837" s="195" t="s">
        <v>10024</v>
      </c>
      <c r="H837" s="166" t="s">
        <v>13436</v>
      </c>
      <c r="I837" s="193" t="s">
        <v>12817</v>
      </c>
      <c r="J837" s="193" t="s">
        <v>12271</v>
      </c>
      <c r="K837" s="170"/>
      <c r="L837" s="193" t="s">
        <v>146</v>
      </c>
    </row>
    <row r="838" spans="1:12" ht="15.75">
      <c r="A838" s="67">
        <f t="shared" si="13"/>
        <v>836</v>
      </c>
      <c r="B838" s="164">
        <v>836</v>
      </c>
      <c r="C838" s="193" t="s">
        <v>2131</v>
      </c>
      <c r="D838" s="195" t="s">
        <v>5399</v>
      </c>
      <c r="E838" s="193" t="s">
        <v>8409</v>
      </c>
      <c r="F838" s="193" t="s">
        <v>59</v>
      </c>
      <c r="G838" s="195" t="s">
        <v>10633</v>
      </c>
      <c r="H838" s="166" t="s">
        <v>13436</v>
      </c>
      <c r="I838" s="193" t="s">
        <v>12813</v>
      </c>
      <c r="J838" s="193" t="s">
        <v>164</v>
      </c>
      <c r="K838" s="170"/>
      <c r="L838" s="193"/>
    </row>
    <row r="839" spans="1:12" ht="30">
      <c r="A839" s="67">
        <f t="shared" si="13"/>
        <v>837</v>
      </c>
      <c r="B839" s="164">
        <v>837</v>
      </c>
      <c r="C839" s="193" t="s">
        <v>2132</v>
      </c>
      <c r="D839" s="195" t="s">
        <v>5400</v>
      </c>
      <c r="E839" s="193" t="s">
        <v>8410</v>
      </c>
      <c r="F839" s="193" t="s">
        <v>59</v>
      </c>
      <c r="G839" s="195" t="s">
        <v>681</v>
      </c>
      <c r="H839" s="166" t="s">
        <v>13436</v>
      </c>
      <c r="I839" s="193" t="s">
        <v>12818</v>
      </c>
      <c r="J839" s="193" t="s">
        <v>12272</v>
      </c>
      <c r="K839" s="170"/>
      <c r="L839" s="193"/>
    </row>
    <row r="840" spans="1:12" ht="15.75">
      <c r="A840" s="67">
        <f t="shared" si="13"/>
        <v>838</v>
      </c>
      <c r="B840" s="164">
        <v>838</v>
      </c>
      <c r="C840" s="193" t="s">
        <v>2133</v>
      </c>
      <c r="D840" s="195" t="s">
        <v>5401</v>
      </c>
      <c r="E840" s="193" t="s">
        <v>8411</v>
      </c>
      <c r="F840" s="193" t="s">
        <v>114</v>
      </c>
      <c r="G840" s="195" t="s">
        <v>10634</v>
      </c>
      <c r="H840" s="166" t="s">
        <v>13436</v>
      </c>
      <c r="I840" s="193" t="s">
        <v>12817</v>
      </c>
      <c r="J840" s="193" t="s">
        <v>146</v>
      </c>
      <c r="K840" s="170"/>
      <c r="L840" s="193" t="s">
        <v>146</v>
      </c>
    </row>
    <row r="841" spans="1:12" ht="15.75">
      <c r="A841" s="67">
        <f t="shared" si="13"/>
        <v>839</v>
      </c>
      <c r="B841" s="164">
        <v>839</v>
      </c>
      <c r="C841" s="193" t="s">
        <v>2134</v>
      </c>
      <c r="D841" s="195" t="s">
        <v>5402</v>
      </c>
      <c r="E841" s="193" t="s">
        <v>550</v>
      </c>
      <c r="F841" s="193" t="s">
        <v>114</v>
      </c>
      <c r="G841" s="195" t="s">
        <v>10635</v>
      </c>
      <c r="H841" s="166" t="s">
        <v>13436</v>
      </c>
      <c r="I841" s="193" t="s">
        <v>12817</v>
      </c>
      <c r="J841" s="219" t="s">
        <v>146</v>
      </c>
      <c r="K841" s="170"/>
      <c r="L841" s="193" t="s">
        <v>146</v>
      </c>
    </row>
    <row r="842" spans="1:12" ht="15.75">
      <c r="A842" s="67">
        <f t="shared" si="13"/>
        <v>840</v>
      </c>
      <c r="B842" s="164">
        <v>840</v>
      </c>
      <c r="C842" s="193" t="s">
        <v>2135</v>
      </c>
      <c r="D842" s="195" t="s">
        <v>5403</v>
      </c>
      <c r="E842" s="193" t="s">
        <v>8412</v>
      </c>
      <c r="F842" s="193" t="s">
        <v>114</v>
      </c>
      <c r="G842" s="195" t="s">
        <v>10636</v>
      </c>
      <c r="H842" s="166" t="s">
        <v>13436</v>
      </c>
      <c r="I842" s="193" t="s">
        <v>12818</v>
      </c>
      <c r="J842" s="193" t="s">
        <v>146</v>
      </c>
      <c r="K842" s="170"/>
      <c r="L842" s="193" t="s">
        <v>146</v>
      </c>
    </row>
    <row r="843" spans="1:12" ht="15.75">
      <c r="A843" s="67">
        <f t="shared" si="13"/>
        <v>841</v>
      </c>
      <c r="B843" s="164">
        <v>841</v>
      </c>
      <c r="C843" s="193" t="s">
        <v>2136</v>
      </c>
      <c r="D843" s="195" t="s">
        <v>5404</v>
      </c>
      <c r="E843" s="193" t="s">
        <v>8413</v>
      </c>
      <c r="F843" s="193" t="s">
        <v>114</v>
      </c>
      <c r="G843" s="195" t="s">
        <v>10637</v>
      </c>
      <c r="H843" s="166" t="s">
        <v>13436</v>
      </c>
      <c r="I843" s="193" t="s">
        <v>12817</v>
      </c>
      <c r="J843" s="193" t="s">
        <v>146</v>
      </c>
      <c r="K843" s="170"/>
      <c r="L843" s="193" t="s">
        <v>146</v>
      </c>
    </row>
    <row r="844" spans="1:12" ht="45">
      <c r="A844" s="67">
        <f t="shared" si="13"/>
        <v>842</v>
      </c>
      <c r="B844" s="164">
        <v>842</v>
      </c>
      <c r="C844" s="193" t="s">
        <v>2137</v>
      </c>
      <c r="D844" s="195" t="s">
        <v>5405</v>
      </c>
      <c r="E844" s="193" t="s">
        <v>8307</v>
      </c>
      <c r="F844" s="193" t="s">
        <v>114</v>
      </c>
      <c r="G844" s="195" t="s">
        <v>10638</v>
      </c>
      <c r="H844" s="166" t="s">
        <v>13436</v>
      </c>
      <c r="I844" s="193" t="s">
        <v>12817</v>
      </c>
      <c r="J844" s="219" t="s">
        <v>12273</v>
      </c>
      <c r="K844" s="170"/>
      <c r="L844" s="193" t="s">
        <v>13068</v>
      </c>
    </row>
    <row r="845" spans="1:12" ht="15.75">
      <c r="A845" s="67">
        <f t="shared" si="13"/>
        <v>843</v>
      </c>
      <c r="B845" s="164">
        <v>843</v>
      </c>
      <c r="C845" s="193" t="s">
        <v>2138</v>
      </c>
      <c r="D845" s="195" t="s">
        <v>5406</v>
      </c>
      <c r="E845" s="193" t="s">
        <v>8414</v>
      </c>
      <c r="F845" s="193" t="s">
        <v>59</v>
      </c>
      <c r="G845" s="195" t="s">
        <v>10639</v>
      </c>
      <c r="H845" s="166" t="s">
        <v>13436</v>
      </c>
      <c r="I845" s="193" t="s">
        <v>12817</v>
      </c>
      <c r="J845" s="193" t="s">
        <v>146</v>
      </c>
      <c r="K845" s="170"/>
      <c r="L845" s="193"/>
    </row>
    <row r="846" spans="1:12" ht="15.75">
      <c r="A846" s="67">
        <f t="shared" si="13"/>
        <v>844</v>
      </c>
      <c r="B846" s="164">
        <v>844</v>
      </c>
      <c r="C846" s="193" t="s">
        <v>2139</v>
      </c>
      <c r="D846" s="195" t="s">
        <v>5407</v>
      </c>
      <c r="E846" s="193" t="s">
        <v>8415</v>
      </c>
      <c r="F846" s="193" t="s">
        <v>59</v>
      </c>
      <c r="G846" s="195" t="s">
        <v>1160</v>
      </c>
      <c r="H846" s="166" t="s">
        <v>13436</v>
      </c>
      <c r="I846" s="193" t="s">
        <v>12817</v>
      </c>
      <c r="J846" s="193" t="s">
        <v>147</v>
      </c>
      <c r="K846" s="170"/>
      <c r="L846" s="193"/>
    </row>
    <row r="847" spans="1:12" ht="15.75">
      <c r="A847" s="67">
        <f t="shared" si="13"/>
        <v>845</v>
      </c>
      <c r="B847" s="164">
        <v>845</v>
      </c>
      <c r="C847" s="193" t="s">
        <v>2140</v>
      </c>
      <c r="D847" s="195" t="s">
        <v>5408</v>
      </c>
      <c r="E847" s="193" t="s">
        <v>8416</v>
      </c>
      <c r="F847" s="193" t="s">
        <v>59</v>
      </c>
      <c r="G847" s="195" t="s">
        <v>10247</v>
      </c>
      <c r="H847" s="166" t="s">
        <v>13436</v>
      </c>
      <c r="I847" s="193" t="s">
        <v>12817</v>
      </c>
      <c r="J847" s="219" t="s">
        <v>146</v>
      </c>
      <c r="K847" s="170"/>
      <c r="L847" s="193"/>
    </row>
    <row r="848" spans="1:12" ht="15.75">
      <c r="A848" s="67">
        <f t="shared" si="13"/>
        <v>846</v>
      </c>
      <c r="B848" s="164">
        <v>846</v>
      </c>
      <c r="C848" s="193" t="s">
        <v>2141</v>
      </c>
      <c r="D848" s="195" t="s">
        <v>5409</v>
      </c>
      <c r="E848" s="193" t="s">
        <v>8417</v>
      </c>
      <c r="F848" s="193" t="s">
        <v>59</v>
      </c>
      <c r="G848" s="195" t="s">
        <v>10399</v>
      </c>
      <c r="H848" s="166" t="s">
        <v>13436</v>
      </c>
      <c r="I848" s="193" t="s">
        <v>12817</v>
      </c>
      <c r="J848" s="193" t="s">
        <v>146</v>
      </c>
      <c r="K848" s="170"/>
      <c r="L848" s="193"/>
    </row>
    <row r="849" spans="1:12" ht="15.75">
      <c r="A849" s="67">
        <f t="shared" si="13"/>
        <v>847</v>
      </c>
      <c r="B849" s="164">
        <v>847</v>
      </c>
      <c r="C849" s="193" t="s">
        <v>2142</v>
      </c>
      <c r="D849" s="195" t="s">
        <v>5410</v>
      </c>
      <c r="E849" s="193" t="s">
        <v>8418</v>
      </c>
      <c r="F849" s="193" t="s">
        <v>114</v>
      </c>
      <c r="G849" s="195" t="s">
        <v>10640</v>
      </c>
      <c r="H849" s="166" t="s">
        <v>13436</v>
      </c>
      <c r="I849" s="193" t="s">
        <v>12817</v>
      </c>
      <c r="J849" s="193" t="s">
        <v>146</v>
      </c>
      <c r="K849" s="170"/>
      <c r="L849" s="193" t="s">
        <v>146</v>
      </c>
    </row>
    <row r="850" spans="1:12" ht="15.75">
      <c r="A850" s="67">
        <f t="shared" si="13"/>
        <v>848</v>
      </c>
      <c r="B850" s="164">
        <v>848</v>
      </c>
      <c r="C850" s="193" t="s">
        <v>2143</v>
      </c>
      <c r="D850" s="195" t="s">
        <v>5411</v>
      </c>
      <c r="E850" s="193" t="s">
        <v>313</v>
      </c>
      <c r="F850" s="193" t="s">
        <v>114</v>
      </c>
      <c r="G850" s="195" t="s">
        <v>10641</v>
      </c>
      <c r="H850" s="166" t="s">
        <v>13436</v>
      </c>
      <c r="I850" s="193" t="s">
        <v>12817</v>
      </c>
      <c r="J850" s="193" t="s">
        <v>12274</v>
      </c>
      <c r="K850" s="170"/>
      <c r="L850" s="193" t="s">
        <v>146</v>
      </c>
    </row>
    <row r="851" spans="1:12" ht="15.75">
      <c r="A851" s="67">
        <f t="shared" si="13"/>
        <v>849</v>
      </c>
      <c r="B851" s="164">
        <v>849</v>
      </c>
      <c r="C851" s="193" t="s">
        <v>2144</v>
      </c>
      <c r="D851" s="195" t="s">
        <v>5412</v>
      </c>
      <c r="E851" s="193" t="s">
        <v>8419</v>
      </c>
      <c r="F851" s="193" t="s">
        <v>59</v>
      </c>
      <c r="G851" s="195" t="s">
        <v>10642</v>
      </c>
      <c r="H851" s="166" t="s">
        <v>13436</v>
      </c>
      <c r="I851" s="193" t="s">
        <v>12817</v>
      </c>
      <c r="J851" s="193" t="s">
        <v>12275</v>
      </c>
      <c r="K851" s="170"/>
      <c r="L851" s="193"/>
    </row>
    <row r="852" spans="1:12" ht="90">
      <c r="A852" s="67">
        <f t="shared" si="13"/>
        <v>850</v>
      </c>
      <c r="B852" s="164">
        <v>850</v>
      </c>
      <c r="C852" s="193" t="s">
        <v>2145</v>
      </c>
      <c r="D852" s="195" t="s">
        <v>5413</v>
      </c>
      <c r="E852" s="193" t="s">
        <v>8420</v>
      </c>
      <c r="F852" s="193" t="s">
        <v>114</v>
      </c>
      <c r="G852" s="195" t="s">
        <v>10643</v>
      </c>
      <c r="H852" s="166" t="s">
        <v>13436</v>
      </c>
      <c r="I852" s="193" t="s">
        <v>12825</v>
      </c>
      <c r="J852" s="193" t="s">
        <v>146</v>
      </c>
      <c r="K852" s="170"/>
      <c r="L852" s="193" t="s">
        <v>13069</v>
      </c>
    </row>
    <row r="853" spans="1:12" ht="15.75">
      <c r="A853" s="67">
        <f t="shared" si="13"/>
        <v>851</v>
      </c>
      <c r="B853" s="164">
        <v>851</v>
      </c>
      <c r="C853" s="193" t="s">
        <v>2146</v>
      </c>
      <c r="D853" s="195" t="s">
        <v>5414</v>
      </c>
      <c r="E853" s="193" t="s">
        <v>633</v>
      </c>
      <c r="F853" s="193" t="s">
        <v>114</v>
      </c>
      <c r="G853" s="195" t="s">
        <v>10644</v>
      </c>
      <c r="H853" s="166" t="s">
        <v>13436</v>
      </c>
      <c r="I853" s="193" t="s">
        <v>12817</v>
      </c>
      <c r="J853" s="193" t="s">
        <v>146</v>
      </c>
      <c r="K853" s="170"/>
      <c r="L853" s="193" t="s">
        <v>146</v>
      </c>
    </row>
    <row r="854" spans="1:12" ht="15.75">
      <c r="A854" s="67">
        <f t="shared" si="13"/>
        <v>852</v>
      </c>
      <c r="B854" s="164">
        <v>852</v>
      </c>
      <c r="C854" s="193" t="s">
        <v>2147</v>
      </c>
      <c r="D854" s="195" t="s">
        <v>5415</v>
      </c>
      <c r="E854" s="193" t="s">
        <v>8421</v>
      </c>
      <c r="F854" s="193" t="s">
        <v>114</v>
      </c>
      <c r="G854" s="195" t="s">
        <v>787</v>
      </c>
      <c r="H854" s="166" t="s">
        <v>13436</v>
      </c>
      <c r="I854" s="193" t="s">
        <v>12817</v>
      </c>
      <c r="J854" s="193" t="s">
        <v>146</v>
      </c>
      <c r="K854" s="170"/>
      <c r="L854" s="193" t="s">
        <v>146</v>
      </c>
    </row>
    <row r="855" spans="1:12" ht="15.75">
      <c r="A855" s="67">
        <f t="shared" si="13"/>
        <v>853</v>
      </c>
      <c r="B855" s="164">
        <v>853</v>
      </c>
      <c r="C855" s="193" t="s">
        <v>2148</v>
      </c>
      <c r="D855" s="195" t="s">
        <v>5416</v>
      </c>
      <c r="E855" s="193" t="s">
        <v>321</v>
      </c>
      <c r="F855" s="193" t="s">
        <v>114</v>
      </c>
      <c r="G855" s="195" t="s">
        <v>689</v>
      </c>
      <c r="H855" s="166" t="s">
        <v>13436</v>
      </c>
      <c r="I855" s="193" t="s">
        <v>12817</v>
      </c>
      <c r="J855" s="193" t="s">
        <v>146</v>
      </c>
      <c r="K855" s="170"/>
      <c r="L855" s="193" t="s">
        <v>146</v>
      </c>
    </row>
    <row r="856" spans="1:12" ht="90">
      <c r="A856" s="67">
        <f t="shared" si="13"/>
        <v>854</v>
      </c>
      <c r="B856" s="164">
        <v>854</v>
      </c>
      <c r="C856" s="193" t="s">
        <v>2149</v>
      </c>
      <c r="D856" s="195" t="s">
        <v>5417</v>
      </c>
      <c r="E856" s="193" t="s">
        <v>8422</v>
      </c>
      <c r="F856" s="193" t="s">
        <v>114</v>
      </c>
      <c r="G856" s="195" t="s">
        <v>10645</v>
      </c>
      <c r="H856" s="166" t="s">
        <v>13436</v>
      </c>
      <c r="I856" s="193" t="s">
        <v>12817</v>
      </c>
      <c r="J856" s="193" t="s">
        <v>146</v>
      </c>
      <c r="K856" s="170"/>
      <c r="L856" s="193" t="s">
        <v>13070</v>
      </c>
    </row>
    <row r="857" spans="1:12" ht="150">
      <c r="A857" s="67">
        <f t="shared" si="13"/>
        <v>855</v>
      </c>
      <c r="B857" s="164">
        <v>855</v>
      </c>
      <c r="C857" s="193" t="s">
        <v>2150</v>
      </c>
      <c r="D857" s="195" t="s">
        <v>5418</v>
      </c>
      <c r="E857" s="193" t="s">
        <v>8423</v>
      </c>
      <c r="F857" s="193" t="s">
        <v>114</v>
      </c>
      <c r="G857" s="195" t="s">
        <v>706</v>
      </c>
      <c r="H857" s="166" t="s">
        <v>13436</v>
      </c>
      <c r="I857" s="193" t="s">
        <v>12813</v>
      </c>
      <c r="J857" s="193" t="s">
        <v>146</v>
      </c>
      <c r="K857" s="170"/>
      <c r="L857" s="193" t="s">
        <v>13071</v>
      </c>
    </row>
    <row r="858" spans="1:12" ht="30">
      <c r="A858" s="67">
        <f t="shared" si="13"/>
        <v>856</v>
      </c>
      <c r="B858" s="164">
        <v>856</v>
      </c>
      <c r="C858" s="193" t="s">
        <v>2151</v>
      </c>
      <c r="D858" s="195" t="s">
        <v>5419</v>
      </c>
      <c r="E858" s="193" t="s">
        <v>8424</v>
      </c>
      <c r="F858" s="193" t="s">
        <v>114</v>
      </c>
      <c r="G858" s="195" t="s">
        <v>10646</v>
      </c>
      <c r="H858" s="166" t="s">
        <v>13436</v>
      </c>
      <c r="I858" s="193" t="s">
        <v>12817</v>
      </c>
      <c r="J858" s="193" t="s">
        <v>12276</v>
      </c>
      <c r="K858" s="170"/>
      <c r="L858" s="193" t="s">
        <v>146</v>
      </c>
    </row>
    <row r="859" spans="1:12" ht="30">
      <c r="A859" s="67">
        <f t="shared" si="13"/>
        <v>857</v>
      </c>
      <c r="B859" s="164">
        <v>857</v>
      </c>
      <c r="C859" s="193" t="s">
        <v>2152</v>
      </c>
      <c r="D859" s="195" t="s">
        <v>5420</v>
      </c>
      <c r="E859" s="193" t="s">
        <v>8425</v>
      </c>
      <c r="F859" s="193" t="s">
        <v>114</v>
      </c>
      <c r="G859" s="195" t="s">
        <v>10566</v>
      </c>
      <c r="H859" s="166" t="s">
        <v>13436</v>
      </c>
      <c r="I859" s="193" t="s">
        <v>12817</v>
      </c>
      <c r="J859" s="219" t="s">
        <v>12037</v>
      </c>
      <c r="K859" s="170"/>
      <c r="L859" s="193" t="s">
        <v>146</v>
      </c>
    </row>
    <row r="860" spans="1:12" ht="75">
      <c r="A860" s="67">
        <f t="shared" si="13"/>
        <v>858</v>
      </c>
      <c r="B860" s="164">
        <v>858</v>
      </c>
      <c r="C860" s="193" t="s">
        <v>2153</v>
      </c>
      <c r="D860" s="195" t="s">
        <v>5421</v>
      </c>
      <c r="E860" s="193" t="s">
        <v>417</v>
      </c>
      <c r="F860" s="193" t="s">
        <v>114</v>
      </c>
      <c r="G860" s="195" t="s">
        <v>10647</v>
      </c>
      <c r="H860" s="166" t="s">
        <v>13436</v>
      </c>
      <c r="I860" s="193" t="s">
        <v>12817</v>
      </c>
      <c r="J860" s="219" t="s">
        <v>146</v>
      </c>
      <c r="K860" s="170"/>
      <c r="L860" s="193" t="s">
        <v>13072</v>
      </c>
    </row>
    <row r="861" spans="1:12" ht="45">
      <c r="A861" s="67">
        <f t="shared" si="13"/>
        <v>859</v>
      </c>
      <c r="B861" s="164">
        <v>859</v>
      </c>
      <c r="C861" s="193" t="s">
        <v>2154</v>
      </c>
      <c r="D861" s="195" t="s">
        <v>5422</v>
      </c>
      <c r="E861" s="193" t="s">
        <v>417</v>
      </c>
      <c r="F861" s="193" t="s">
        <v>114</v>
      </c>
      <c r="G861" s="195" t="s">
        <v>10648</v>
      </c>
      <c r="H861" s="166" t="s">
        <v>13436</v>
      </c>
      <c r="I861" s="193" t="s">
        <v>12817</v>
      </c>
      <c r="J861" s="193" t="s">
        <v>146</v>
      </c>
      <c r="K861" s="170"/>
      <c r="L861" s="193" t="s">
        <v>13073</v>
      </c>
    </row>
    <row r="862" spans="1:12" ht="45">
      <c r="A862" s="67">
        <f t="shared" si="13"/>
        <v>860</v>
      </c>
      <c r="B862" s="164">
        <v>860</v>
      </c>
      <c r="C862" s="193" t="s">
        <v>2155</v>
      </c>
      <c r="D862" s="195" t="s">
        <v>5423</v>
      </c>
      <c r="E862" s="193" t="s">
        <v>8426</v>
      </c>
      <c r="F862" s="193" t="s">
        <v>114</v>
      </c>
      <c r="G862" s="195" t="s">
        <v>10649</v>
      </c>
      <c r="H862" s="166" t="s">
        <v>13436</v>
      </c>
      <c r="I862" s="193" t="s">
        <v>12817</v>
      </c>
      <c r="J862" s="193" t="s">
        <v>146</v>
      </c>
      <c r="K862" s="170"/>
      <c r="L862" s="193" t="s">
        <v>13074</v>
      </c>
    </row>
    <row r="863" spans="1:12" ht="15.75">
      <c r="A863" s="67">
        <f t="shared" si="13"/>
        <v>861</v>
      </c>
      <c r="B863" s="164">
        <v>861</v>
      </c>
      <c r="C863" s="193" t="s">
        <v>2156</v>
      </c>
      <c r="D863" s="195" t="s">
        <v>5424</v>
      </c>
      <c r="E863" s="193" t="s">
        <v>8427</v>
      </c>
      <c r="F863" s="193" t="s">
        <v>114</v>
      </c>
      <c r="G863" s="195" t="s">
        <v>10650</v>
      </c>
      <c r="H863" s="166" t="s">
        <v>13436</v>
      </c>
      <c r="I863" s="193" t="s">
        <v>12819</v>
      </c>
      <c r="J863" s="193" t="s">
        <v>146</v>
      </c>
      <c r="K863" s="170"/>
      <c r="L863" s="193" t="s">
        <v>146</v>
      </c>
    </row>
    <row r="864" spans="1:12" ht="15.75">
      <c r="A864" s="67">
        <f t="shared" si="13"/>
        <v>862</v>
      </c>
      <c r="B864" s="164">
        <v>862</v>
      </c>
      <c r="C864" s="193" t="s">
        <v>2157</v>
      </c>
      <c r="D864" s="195" t="s">
        <v>5425</v>
      </c>
      <c r="E864" s="193" t="s">
        <v>8428</v>
      </c>
      <c r="F864" s="193" t="s">
        <v>59</v>
      </c>
      <c r="G864" s="195" t="s">
        <v>10651</v>
      </c>
      <c r="H864" s="166" t="s">
        <v>13436</v>
      </c>
      <c r="I864" s="193" t="s">
        <v>12817</v>
      </c>
      <c r="J864" s="219" t="s">
        <v>147</v>
      </c>
      <c r="K864" s="170"/>
      <c r="L864" s="193"/>
    </row>
    <row r="865" spans="1:12" ht="15.75">
      <c r="A865" s="67">
        <f t="shared" si="13"/>
        <v>863</v>
      </c>
      <c r="B865" s="164">
        <v>863</v>
      </c>
      <c r="C865" s="193" t="s">
        <v>2158</v>
      </c>
      <c r="D865" s="195" t="s">
        <v>5426</v>
      </c>
      <c r="E865" s="193" t="s">
        <v>8429</v>
      </c>
      <c r="F865" s="193" t="s">
        <v>59</v>
      </c>
      <c r="G865" s="195" t="s">
        <v>10652</v>
      </c>
      <c r="H865" s="166" t="s">
        <v>13436</v>
      </c>
      <c r="I865" s="193" t="s">
        <v>12819</v>
      </c>
      <c r="J865" s="193" t="s">
        <v>147</v>
      </c>
      <c r="K865" s="170"/>
      <c r="L865" s="193"/>
    </row>
    <row r="866" spans="1:12" ht="15.75">
      <c r="A866" s="67">
        <f t="shared" si="13"/>
        <v>864</v>
      </c>
      <c r="B866" s="164">
        <v>864</v>
      </c>
      <c r="C866" s="193" t="s">
        <v>2159</v>
      </c>
      <c r="D866" s="208" t="s">
        <v>5427</v>
      </c>
      <c r="E866" s="193" t="s">
        <v>8430</v>
      </c>
      <c r="F866" s="193" t="s">
        <v>59</v>
      </c>
      <c r="G866" s="195" t="s">
        <v>10653</v>
      </c>
      <c r="H866" s="166" t="s">
        <v>13436</v>
      </c>
      <c r="I866" s="193" t="s">
        <v>12816</v>
      </c>
      <c r="J866" s="193" t="s">
        <v>146</v>
      </c>
      <c r="K866" s="170"/>
      <c r="L866" s="193"/>
    </row>
    <row r="867" spans="1:12" ht="15.75">
      <c r="A867" s="67">
        <f t="shared" si="13"/>
        <v>865</v>
      </c>
      <c r="B867" s="164">
        <v>865</v>
      </c>
      <c r="C867" s="193" t="s">
        <v>2160</v>
      </c>
      <c r="D867" s="195" t="s">
        <v>5428</v>
      </c>
      <c r="E867" s="193" t="s">
        <v>594</v>
      </c>
      <c r="F867" s="193" t="s">
        <v>59</v>
      </c>
      <c r="G867" s="195" t="s">
        <v>10654</v>
      </c>
      <c r="H867" s="166" t="s">
        <v>13436</v>
      </c>
      <c r="I867" s="193" t="s">
        <v>12817</v>
      </c>
      <c r="J867" s="193" t="s">
        <v>148</v>
      </c>
      <c r="K867" s="170"/>
      <c r="L867" s="193"/>
    </row>
    <row r="868" spans="1:12" ht="15.75">
      <c r="A868" s="67">
        <f t="shared" si="13"/>
        <v>866</v>
      </c>
      <c r="B868" s="164">
        <v>866</v>
      </c>
      <c r="C868" s="193" t="s">
        <v>2161</v>
      </c>
      <c r="D868" s="195" t="s">
        <v>5429</v>
      </c>
      <c r="E868" s="193" t="s">
        <v>8431</v>
      </c>
      <c r="F868" s="193" t="s">
        <v>59</v>
      </c>
      <c r="G868" s="195" t="s">
        <v>10041</v>
      </c>
      <c r="H868" s="166" t="s">
        <v>13436</v>
      </c>
      <c r="I868" s="193" t="s">
        <v>12832</v>
      </c>
      <c r="J868" s="193" t="s">
        <v>146</v>
      </c>
      <c r="K868" s="170"/>
      <c r="L868" s="193"/>
    </row>
    <row r="869" spans="1:12" ht="30">
      <c r="A869" s="67">
        <f t="shared" si="13"/>
        <v>867</v>
      </c>
      <c r="B869" s="164">
        <v>867</v>
      </c>
      <c r="C869" s="193" t="s">
        <v>2162</v>
      </c>
      <c r="D869" s="195" t="s">
        <v>5430</v>
      </c>
      <c r="E869" s="193" t="s">
        <v>8432</v>
      </c>
      <c r="F869" s="193" t="s">
        <v>114</v>
      </c>
      <c r="G869" s="195" t="s">
        <v>10568</v>
      </c>
      <c r="H869" s="166" t="s">
        <v>13436</v>
      </c>
      <c r="I869" s="193" t="s">
        <v>12819</v>
      </c>
      <c r="J869" s="193" t="s">
        <v>12277</v>
      </c>
      <c r="K869" s="170"/>
      <c r="L869" s="193" t="s">
        <v>13075</v>
      </c>
    </row>
    <row r="870" spans="1:12" ht="15.75">
      <c r="A870" s="67">
        <f t="shared" si="13"/>
        <v>868</v>
      </c>
      <c r="B870" s="164">
        <v>868</v>
      </c>
      <c r="C870" s="193" t="s">
        <v>2163</v>
      </c>
      <c r="D870" s="195" t="s">
        <v>5431</v>
      </c>
      <c r="E870" s="193" t="s">
        <v>310</v>
      </c>
      <c r="F870" s="193" t="s">
        <v>114</v>
      </c>
      <c r="G870" s="195" t="s">
        <v>10443</v>
      </c>
      <c r="H870" s="166" t="s">
        <v>13436</v>
      </c>
      <c r="I870" s="193" t="s">
        <v>12817</v>
      </c>
      <c r="J870" s="193" t="s">
        <v>12278</v>
      </c>
      <c r="K870" s="170"/>
      <c r="L870" s="193" t="s">
        <v>146</v>
      </c>
    </row>
    <row r="871" spans="1:12" ht="15.75">
      <c r="A871" s="67">
        <f t="shared" si="13"/>
        <v>869</v>
      </c>
      <c r="B871" s="164">
        <v>869</v>
      </c>
      <c r="C871" s="193" t="s">
        <v>2164</v>
      </c>
      <c r="D871" s="195" t="s">
        <v>5432</v>
      </c>
      <c r="E871" s="193" t="s">
        <v>8433</v>
      </c>
      <c r="F871" s="193" t="s">
        <v>59</v>
      </c>
      <c r="G871" s="195" t="s">
        <v>10655</v>
      </c>
      <c r="H871" s="166" t="s">
        <v>13436</v>
      </c>
      <c r="I871" s="193" t="s">
        <v>12817</v>
      </c>
      <c r="J871" s="193" t="s">
        <v>146</v>
      </c>
      <c r="K871" s="170"/>
      <c r="L871" s="193"/>
    </row>
    <row r="872" spans="1:12" ht="15.75">
      <c r="A872" s="67">
        <f t="shared" si="13"/>
        <v>870</v>
      </c>
      <c r="B872" s="164">
        <v>870</v>
      </c>
      <c r="C872" s="193" t="s">
        <v>2165</v>
      </c>
      <c r="D872" s="195" t="s">
        <v>5433</v>
      </c>
      <c r="E872" s="193" t="s">
        <v>8434</v>
      </c>
      <c r="F872" s="193" t="s">
        <v>59</v>
      </c>
      <c r="G872" s="195" t="s">
        <v>10656</v>
      </c>
      <c r="H872" s="166" t="s">
        <v>13436</v>
      </c>
      <c r="I872" s="193" t="s">
        <v>12817</v>
      </c>
      <c r="J872" s="193" t="s">
        <v>146</v>
      </c>
      <c r="K872" s="170"/>
      <c r="L872" s="193"/>
    </row>
    <row r="873" spans="1:12" ht="15.75">
      <c r="A873" s="67">
        <f t="shared" si="13"/>
        <v>871</v>
      </c>
      <c r="B873" s="164">
        <v>871</v>
      </c>
      <c r="C873" s="193" t="s">
        <v>2166</v>
      </c>
      <c r="D873" s="195" t="s">
        <v>5434</v>
      </c>
      <c r="E873" s="193" t="s">
        <v>294</v>
      </c>
      <c r="F873" s="193" t="s">
        <v>114</v>
      </c>
      <c r="G873" s="195" t="s">
        <v>876</v>
      </c>
      <c r="H873" s="166" t="s">
        <v>13436</v>
      </c>
      <c r="I873" s="193" t="s">
        <v>12817</v>
      </c>
      <c r="J873" s="193" t="s">
        <v>12279</v>
      </c>
      <c r="K873" s="170"/>
      <c r="L873" s="193" t="s">
        <v>146</v>
      </c>
    </row>
    <row r="874" spans="1:12" ht="15.75">
      <c r="A874" s="67">
        <f t="shared" si="13"/>
        <v>872</v>
      </c>
      <c r="B874" s="164">
        <v>872</v>
      </c>
      <c r="C874" s="193" t="s">
        <v>2167</v>
      </c>
      <c r="D874" s="195" t="s">
        <v>5435</v>
      </c>
      <c r="E874" s="193" t="s">
        <v>8435</v>
      </c>
      <c r="F874" s="193" t="s">
        <v>59</v>
      </c>
      <c r="G874" s="195" t="s">
        <v>10657</v>
      </c>
      <c r="H874" s="166" t="s">
        <v>13436</v>
      </c>
      <c r="I874" s="193" t="s">
        <v>12812</v>
      </c>
      <c r="J874" s="193" t="s">
        <v>147</v>
      </c>
      <c r="K874" s="170"/>
      <c r="L874" s="193"/>
    </row>
    <row r="875" spans="1:12" ht="30">
      <c r="A875" s="67">
        <f t="shared" si="13"/>
        <v>873</v>
      </c>
      <c r="B875" s="164">
        <v>873</v>
      </c>
      <c r="C875" s="193" t="s">
        <v>2168</v>
      </c>
      <c r="D875" s="195" t="s">
        <v>5436</v>
      </c>
      <c r="E875" s="193" t="s">
        <v>8436</v>
      </c>
      <c r="F875" s="193" t="s">
        <v>114</v>
      </c>
      <c r="G875" s="195" t="s">
        <v>10658</v>
      </c>
      <c r="H875" s="166" t="s">
        <v>13436</v>
      </c>
      <c r="I875" s="193" t="s">
        <v>12812</v>
      </c>
      <c r="J875" s="193" t="s">
        <v>12280</v>
      </c>
      <c r="K875" s="170"/>
      <c r="L875" s="193" t="s">
        <v>146</v>
      </c>
    </row>
    <row r="876" spans="1:12" ht="30">
      <c r="A876" s="67">
        <f t="shared" si="13"/>
        <v>874</v>
      </c>
      <c r="B876" s="164">
        <v>874</v>
      </c>
      <c r="C876" s="193" t="s">
        <v>2169</v>
      </c>
      <c r="D876" s="195" t="s">
        <v>5437</v>
      </c>
      <c r="E876" s="193" t="s">
        <v>8066</v>
      </c>
      <c r="F876" s="193" t="s">
        <v>114</v>
      </c>
      <c r="G876" s="195" t="s">
        <v>10659</v>
      </c>
      <c r="H876" s="166" t="s">
        <v>13436</v>
      </c>
      <c r="I876" s="193" t="s">
        <v>12820</v>
      </c>
      <c r="J876" s="193" t="s">
        <v>146</v>
      </c>
      <c r="K876" s="170"/>
      <c r="L876" s="193" t="s">
        <v>13076</v>
      </c>
    </row>
    <row r="877" spans="1:12" ht="30">
      <c r="A877" s="67">
        <f t="shared" si="13"/>
        <v>875</v>
      </c>
      <c r="B877" s="164">
        <v>875</v>
      </c>
      <c r="C877" s="193" t="s">
        <v>2170</v>
      </c>
      <c r="D877" s="195" t="s">
        <v>5438</v>
      </c>
      <c r="E877" s="193" t="s">
        <v>8437</v>
      </c>
      <c r="F877" s="193" t="s">
        <v>59</v>
      </c>
      <c r="G877" s="195" t="s">
        <v>10660</v>
      </c>
      <c r="H877" s="166" t="s">
        <v>13436</v>
      </c>
      <c r="I877" s="193" t="s">
        <v>12812</v>
      </c>
      <c r="J877" s="193" t="s">
        <v>12281</v>
      </c>
      <c r="K877" s="170"/>
      <c r="L877" s="193"/>
    </row>
    <row r="878" spans="1:12" ht="30">
      <c r="A878" s="67">
        <f t="shared" si="13"/>
        <v>876</v>
      </c>
      <c r="B878" s="164">
        <v>876</v>
      </c>
      <c r="C878" s="193" t="s">
        <v>2171</v>
      </c>
      <c r="D878" s="195" t="s">
        <v>5439</v>
      </c>
      <c r="E878" s="193" t="s">
        <v>8438</v>
      </c>
      <c r="F878" s="193" t="s">
        <v>114</v>
      </c>
      <c r="G878" s="195" t="s">
        <v>10661</v>
      </c>
      <c r="H878" s="166" t="s">
        <v>13436</v>
      </c>
      <c r="I878" s="193" t="s">
        <v>12835</v>
      </c>
      <c r="J878" s="193" t="s">
        <v>146</v>
      </c>
      <c r="K878" s="170"/>
      <c r="L878" s="193" t="s">
        <v>13077</v>
      </c>
    </row>
    <row r="879" spans="1:12" ht="15.75">
      <c r="A879" s="67">
        <f t="shared" si="13"/>
        <v>877</v>
      </c>
      <c r="B879" s="164">
        <v>877</v>
      </c>
      <c r="C879" s="193" t="s">
        <v>2172</v>
      </c>
      <c r="D879" s="195" t="s">
        <v>5440</v>
      </c>
      <c r="E879" s="193" t="s">
        <v>8439</v>
      </c>
      <c r="F879" s="193" t="s">
        <v>114</v>
      </c>
      <c r="G879" s="195" t="s">
        <v>10662</v>
      </c>
      <c r="H879" s="166" t="s">
        <v>13436</v>
      </c>
      <c r="I879" s="193" t="s">
        <v>12812</v>
      </c>
      <c r="J879" s="219" t="s">
        <v>146</v>
      </c>
      <c r="K879" s="170"/>
      <c r="L879" s="193" t="s">
        <v>146</v>
      </c>
    </row>
    <row r="880" spans="1:12" ht="60">
      <c r="A880" s="67">
        <f t="shared" si="13"/>
        <v>878</v>
      </c>
      <c r="B880" s="164">
        <v>878</v>
      </c>
      <c r="C880" s="193" t="s">
        <v>2173</v>
      </c>
      <c r="D880" s="195" t="s">
        <v>5441</v>
      </c>
      <c r="E880" s="193" t="s">
        <v>559</v>
      </c>
      <c r="F880" s="193" t="s">
        <v>114</v>
      </c>
      <c r="G880" s="195" t="s">
        <v>10663</v>
      </c>
      <c r="H880" s="166" t="s">
        <v>13436</v>
      </c>
      <c r="I880" s="193" t="s">
        <v>12812</v>
      </c>
      <c r="J880" s="193" t="s">
        <v>12282</v>
      </c>
      <c r="K880" s="170"/>
      <c r="L880" s="193" t="s">
        <v>13078</v>
      </c>
    </row>
    <row r="881" spans="1:12" ht="75">
      <c r="A881" s="67">
        <f t="shared" si="13"/>
        <v>879</v>
      </c>
      <c r="B881" s="164">
        <v>879</v>
      </c>
      <c r="C881" s="193" t="s">
        <v>2174</v>
      </c>
      <c r="D881" s="195" t="s">
        <v>5442</v>
      </c>
      <c r="E881" s="193" t="s">
        <v>8440</v>
      </c>
      <c r="F881" s="193" t="s">
        <v>114</v>
      </c>
      <c r="G881" s="195" t="s">
        <v>10664</v>
      </c>
      <c r="H881" s="166" t="s">
        <v>13436</v>
      </c>
      <c r="I881" s="193" t="s">
        <v>12812</v>
      </c>
      <c r="J881" s="193" t="s">
        <v>12283</v>
      </c>
      <c r="K881" s="170"/>
      <c r="L881" s="193" t="s">
        <v>13079</v>
      </c>
    </row>
    <row r="882" spans="1:12" ht="15.75">
      <c r="A882" s="67">
        <f t="shared" si="13"/>
        <v>880</v>
      </c>
      <c r="B882" s="164">
        <v>880</v>
      </c>
      <c r="C882" s="193" t="s">
        <v>2175</v>
      </c>
      <c r="D882" s="195" t="s">
        <v>5443</v>
      </c>
      <c r="E882" s="193" t="s">
        <v>8441</v>
      </c>
      <c r="F882" s="193" t="s">
        <v>59</v>
      </c>
      <c r="G882" s="195" t="s">
        <v>10665</v>
      </c>
      <c r="H882" s="166" t="s">
        <v>13436</v>
      </c>
      <c r="I882" s="193" t="s">
        <v>12812</v>
      </c>
      <c r="J882" s="193" t="s">
        <v>12284</v>
      </c>
      <c r="K882" s="170"/>
      <c r="L882" s="193"/>
    </row>
    <row r="883" spans="1:12" ht="15.75">
      <c r="A883" s="67">
        <f t="shared" si="13"/>
        <v>881</v>
      </c>
      <c r="B883" s="164">
        <v>881</v>
      </c>
      <c r="C883" s="193" t="s">
        <v>2176</v>
      </c>
      <c r="D883" s="201" t="s">
        <v>5444</v>
      </c>
      <c r="E883" s="193" t="s">
        <v>8442</v>
      </c>
      <c r="F883" s="193" t="s">
        <v>59</v>
      </c>
      <c r="G883" s="195" t="s">
        <v>10666</v>
      </c>
      <c r="H883" s="166" t="s">
        <v>13436</v>
      </c>
      <c r="I883" s="193" t="s">
        <v>12834</v>
      </c>
      <c r="J883" s="219" t="s">
        <v>146</v>
      </c>
      <c r="K883" s="170"/>
      <c r="L883" s="193"/>
    </row>
    <row r="884" spans="1:12" ht="15.75">
      <c r="A884" s="67">
        <f t="shared" si="13"/>
        <v>882</v>
      </c>
      <c r="B884" s="164">
        <v>882</v>
      </c>
      <c r="C884" s="193" t="s">
        <v>2177</v>
      </c>
      <c r="D884" s="195" t="s">
        <v>5445</v>
      </c>
      <c r="E884" s="193" t="s">
        <v>8443</v>
      </c>
      <c r="F884" s="193" t="s">
        <v>114</v>
      </c>
      <c r="G884" s="195" t="s">
        <v>10667</v>
      </c>
      <c r="H884" s="166" t="s">
        <v>13436</v>
      </c>
      <c r="I884" s="193" t="s">
        <v>12812</v>
      </c>
      <c r="J884" s="193" t="s">
        <v>146</v>
      </c>
      <c r="K884" s="170"/>
      <c r="L884" s="193" t="s">
        <v>146</v>
      </c>
    </row>
    <row r="885" spans="1:12" ht="15.75">
      <c r="A885" s="67">
        <f t="shared" si="13"/>
        <v>883</v>
      </c>
      <c r="B885" s="164">
        <v>883</v>
      </c>
      <c r="C885" s="193" t="s">
        <v>2178</v>
      </c>
      <c r="D885" s="195" t="s">
        <v>5446</v>
      </c>
      <c r="E885" s="193" t="s">
        <v>8444</v>
      </c>
      <c r="F885" s="193" t="s">
        <v>114</v>
      </c>
      <c r="G885" s="195" t="s">
        <v>10668</v>
      </c>
      <c r="H885" s="166" t="s">
        <v>13436</v>
      </c>
      <c r="I885" s="193" t="s">
        <v>12822</v>
      </c>
      <c r="J885" s="193" t="s">
        <v>146</v>
      </c>
      <c r="K885" s="170"/>
      <c r="L885" s="193" t="s">
        <v>146</v>
      </c>
    </row>
    <row r="886" spans="1:12" ht="15.75">
      <c r="A886" s="67">
        <f t="shared" si="13"/>
        <v>884</v>
      </c>
      <c r="B886" s="164">
        <v>884</v>
      </c>
      <c r="C886" s="193" t="s">
        <v>2179</v>
      </c>
      <c r="D886" s="195" t="s">
        <v>5447</v>
      </c>
      <c r="E886" s="193" t="s">
        <v>649</v>
      </c>
      <c r="F886" s="193" t="s">
        <v>114</v>
      </c>
      <c r="G886" s="195" t="s">
        <v>10669</v>
      </c>
      <c r="H886" s="166" t="s">
        <v>13436</v>
      </c>
      <c r="I886" s="193" t="s">
        <v>12812</v>
      </c>
      <c r="J886" s="193" t="s">
        <v>146</v>
      </c>
      <c r="K886" s="170"/>
      <c r="L886" s="193" t="s">
        <v>146</v>
      </c>
    </row>
    <row r="887" spans="1:12" ht="45">
      <c r="A887" s="67">
        <f t="shared" si="13"/>
        <v>885</v>
      </c>
      <c r="B887" s="164">
        <v>885</v>
      </c>
      <c r="C887" s="193" t="s">
        <v>2180</v>
      </c>
      <c r="D887" s="195" t="s">
        <v>5448</v>
      </c>
      <c r="E887" s="193" t="s">
        <v>8445</v>
      </c>
      <c r="F887" s="193" t="s">
        <v>114</v>
      </c>
      <c r="G887" s="195" t="s">
        <v>10670</v>
      </c>
      <c r="H887" s="166" t="s">
        <v>13436</v>
      </c>
      <c r="I887" s="193" t="s">
        <v>12812</v>
      </c>
      <c r="J887" s="193" t="s">
        <v>146</v>
      </c>
      <c r="K887" s="170"/>
      <c r="L887" s="193" t="s">
        <v>13080</v>
      </c>
    </row>
    <row r="888" spans="1:12" ht="15.75">
      <c r="A888" s="67">
        <f t="shared" si="13"/>
        <v>886</v>
      </c>
      <c r="B888" s="164">
        <v>886</v>
      </c>
      <c r="C888" s="193" t="s">
        <v>2181</v>
      </c>
      <c r="D888" s="195" t="s">
        <v>5449</v>
      </c>
      <c r="E888" s="193" t="s">
        <v>8446</v>
      </c>
      <c r="F888" s="193" t="s">
        <v>114</v>
      </c>
      <c r="G888" s="195" t="s">
        <v>10671</v>
      </c>
      <c r="H888" s="166" t="s">
        <v>13436</v>
      </c>
      <c r="I888" s="193" t="s">
        <v>12812</v>
      </c>
      <c r="J888" s="219" t="s">
        <v>146</v>
      </c>
      <c r="K888" s="170"/>
      <c r="L888" s="193" t="s">
        <v>146</v>
      </c>
    </row>
    <row r="889" spans="1:12" ht="15.75">
      <c r="A889" s="67">
        <f t="shared" si="13"/>
        <v>887</v>
      </c>
      <c r="B889" s="164">
        <v>887</v>
      </c>
      <c r="C889" s="193" t="s">
        <v>2182</v>
      </c>
      <c r="D889" s="204" t="s">
        <v>5450</v>
      </c>
      <c r="E889" s="193" t="s">
        <v>8447</v>
      </c>
      <c r="F889" s="193" t="s">
        <v>59</v>
      </c>
      <c r="G889" s="195" t="s">
        <v>10672</v>
      </c>
      <c r="H889" s="166" t="s">
        <v>13436</v>
      </c>
      <c r="I889" s="193" t="s">
        <v>12816</v>
      </c>
      <c r="J889" s="193" t="s">
        <v>147</v>
      </c>
      <c r="K889" s="170"/>
      <c r="L889" s="193"/>
    </row>
    <row r="890" spans="1:12" ht="30">
      <c r="A890" s="67">
        <f t="shared" si="13"/>
        <v>888</v>
      </c>
      <c r="B890" s="164">
        <v>888</v>
      </c>
      <c r="C890" s="193" t="s">
        <v>2183</v>
      </c>
      <c r="D890" s="195" t="s">
        <v>5451</v>
      </c>
      <c r="E890" s="193" t="s">
        <v>8448</v>
      </c>
      <c r="F890" s="193" t="s">
        <v>59</v>
      </c>
      <c r="G890" s="195" t="s">
        <v>10673</v>
      </c>
      <c r="H890" s="166" t="s">
        <v>13436</v>
      </c>
      <c r="I890" s="193" t="s">
        <v>12812</v>
      </c>
      <c r="J890" s="193" t="s">
        <v>12285</v>
      </c>
      <c r="K890" s="170"/>
      <c r="L890" s="193"/>
    </row>
    <row r="891" spans="1:12" ht="15.75">
      <c r="A891" s="67">
        <f t="shared" si="13"/>
        <v>889</v>
      </c>
      <c r="B891" s="164">
        <v>889</v>
      </c>
      <c r="C891" s="193" t="s">
        <v>2184</v>
      </c>
      <c r="D891" s="195" t="s">
        <v>5452</v>
      </c>
      <c r="E891" s="193" t="s">
        <v>8449</v>
      </c>
      <c r="F891" s="193" t="s">
        <v>59</v>
      </c>
      <c r="G891" s="195" t="s">
        <v>10674</v>
      </c>
      <c r="H891" s="166" t="s">
        <v>13436</v>
      </c>
      <c r="I891" s="193" t="s">
        <v>12812</v>
      </c>
      <c r="J891" s="193" t="s">
        <v>146</v>
      </c>
      <c r="K891" s="170"/>
      <c r="L891" s="193"/>
    </row>
    <row r="892" spans="1:12" ht="15.75">
      <c r="A892" s="67">
        <f t="shared" si="13"/>
        <v>890</v>
      </c>
      <c r="B892" s="164">
        <v>890</v>
      </c>
      <c r="C892" s="193" t="s">
        <v>2185</v>
      </c>
      <c r="D892" s="195" t="s">
        <v>5453</v>
      </c>
      <c r="E892" s="193" t="s">
        <v>8450</v>
      </c>
      <c r="F892" s="193" t="s">
        <v>114</v>
      </c>
      <c r="G892" s="195" t="s">
        <v>10675</v>
      </c>
      <c r="H892" s="166" t="s">
        <v>13436</v>
      </c>
      <c r="I892" s="193" t="s">
        <v>12812</v>
      </c>
      <c r="J892" s="193" t="s">
        <v>146</v>
      </c>
      <c r="K892" s="170"/>
      <c r="L892" s="193" t="s">
        <v>146</v>
      </c>
    </row>
    <row r="893" spans="1:12" ht="30">
      <c r="A893" s="67">
        <f t="shared" si="13"/>
        <v>891</v>
      </c>
      <c r="B893" s="164">
        <v>891</v>
      </c>
      <c r="C893" s="193" t="s">
        <v>2186</v>
      </c>
      <c r="D893" s="195" t="s">
        <v>5454</v>
      </c>
      <c r="E893" s="193" t="s">
        <v>8451</v>
      </c>
      <c r="F893" s="193" t="s">
        <v>114</v>
      </c>
      <c r="G893" s="195" t="s">
        <v>10676</v>
      </c>
      <c r="H893" s="166" t="s">
        <v>13436</v>
      </c>
      <c r="I893" s="193" t="s">
        <v>12835</v>
      </c>
      <c r="J893" s="219" t="s">
        <v>12286</v>
      </c>
      <c r="K893" s="170"/>
      <c r="L893" s="219" t="s">
        <v>146</v>
      </c>
    </row>
    <row r="894" spans="1:12" ht="30">
      <c r="A894" s="67">
        <f t="shared" si="13"/>
        <v>892</v>
      </c>
      <c r="B894" s="164">
        <v>892</v>
      </c>
      <c r="C894" s="193" t="s">
        <v>2187</v>
      </c>
      <c r="D894" s="195" t="s">
        <v>5455</v>
      </c>
      <c r="E894" s="193" t="s">
        <v>606</v>
      </c>
      <c r="F894" s="193" t="s">
        <v>114</v>
      </c>
      <c r="G894" s="195" t="s">
        <v>10677</v>
      </c>
      <c r="H894" s="166" t="s">
        <v>13436</v>
      </c>
      <c r="I894" s="193" t="s">
        <v>12812</v>
      </c>
      <c r="J894" s="193" t="s">
        <v>12287</v>
      </c>
      <c r="K894" s="170"/>
      <c r="L894" s="193" t="s">
        <v>146</v>
      </c>
    </row>
    <row r="895" spans="1:12" ht="15.75">
      <c r="A895" s="67">
        <f t="shared" si="13"/>
        <v>893</v>
      </c>
      <c r="B895" s="164">
        <v>893</v>
      </c>
      <c r="C895" s="193" t="s">
        <v>2188</v>
      </c>
      <c r="D895" s="195" t="s">
        <v>5456</v>
      </c>
      <c r="E895" s="193" t="s">
        <v>8452</v>
      </c>
      <c r="F895" s="193" t="s">
        <v>114</v>
      </c>
      <c r="G895" s="195" t="s">
        <v>10678</v>
      </c>
      <c r="H895" s="166" t="s">
        <v>13436</v>
      </c>
      <c r="I895" s="193" t="s">
        <v>12835</v>
      </c>
      <c r="J895" s="193" t="s">
        <v>146</v>
      </c>
      <c r="K895" s="170"/>
      <c r="L895" s="193" t="s">
        <v>146</v>
      </c>
    </row>
    <row r="896" spans="1:12" ht="15.75">
      <c r="A896" s="67">
        <f t="shared" si="13"/>
        <v>894</v>
      </c>
      <c r="B896" s="164">
        <v>894</v>
      </c>
      <c r="C896" s="193" t="s">
        <v>2189</v>
      </c>
      <c r="D896" s="195" t="s">
        <v>5457</v>
      </c>
      <c r="E896" s="193" t="s">
        <v>289</v>
      </c>
      <c r="F896" s="193" t="s">
        <v>59</v>
      </c>
      <c r="G896" s="195" t="s">
        <v>10679</v>
      </c>
      <c r="H896" s="166" t="s">
        <v>13436</v>
      </c>
      <c r="I896" s="193" t="s">
        <v>12812</v>
      </c>
      <c r="J896" s="193" t="s">
        <v>147</v>
      </c>
      <c r="K896" s="170"/>
      <c r="L896" s="193"/>
    </row>
    <row r="897" spans="1:12" ht="30">
      <c r="A897" s="67">
        <f t="shared" si="13"/>
        <v>895</v>
      </c>
      <c r="B897" s="164">
        <v>895</v>
      </c>
      <c r="C897" s="193" t="s">
        <v>2190</v>
      </c>
      <c r="D897" s="195" t="s">
        <v>5458</v>
      </c>
      <c r="E897" s="193" t="s">
        <v>8453</v>
      </c>
      <c r="F897" s="193" t="s">
        <v>59</v>
      </c>
      <c r="G897" s="195" t="s">
        <v>10680</v>
      </c>
      <c r="H897" s="166" t="s">
        <v>13436</v>
      </c>
      <c r="I897" s="193" t="s">
        <v>12812</v>
      </c>
      <c r="J897" s="219" t="s">
        <v>12288</v>
      </c>
      <c r="K897" s="170"/>
      <c r="L897" s="193"/>
    </row>
    <row r="898" spans="1:12" ht="30">
      <c r="A898" s="67">
        <f t="shared" si="13"/>
        <v>896</v>
      </c>
      <c r="B898" s="164">
        <v>896</v>
      </c>
      <c r="C898" s="193" t="s">
        <v>2191</v>
      </c>
      <c r="D898" s="195" t="s">
        <v>5459</v>
      </c>
      <c r="E898" s="193" t="s">
        <v>8454</v>
      </c>
      <c r="F898" s="193" t="s">
        <v>59</v>
      </c>
      <c r="G898" s="195" t="s">
        <v>10681</v>
      </c>
      <c r="H898" s="166" t="s">
        <v>13436</v>
      </c>
      <c r="I898" s="193" t="s">
        <v>12812</v>
      </c>
      <c r="J898" s="219" t="s">
        <v>12289</v>
      </c>
      <c r="K898" s="170"/>
      <c r="L898" s="193"/>
    </row>
    <row r="899" spans="1:12" ht="15.75">
      <c r="A899" s="67">
        <f t="shared" ref="A899:A962" si="14">IFERROR(VALUE(RIGHT(C899,4)),"")</f>
        <v>897</v>
      </c>
      <c r="B899" s="164">
        <v>897</v>
      </c>
      <c r="C899" s="193" t="s">
        <v>2192</v>
      </c>
      <c r="D899" s="195" t="s">
        <v>5460</v>
      </c>
      <c r="E899" s="193" t="s">
        <v>470</v>
      </c>
      <c r="F899" s="193" t="s">
        <v>59</v>
      </c>
      <c r="G899" s="195" t="s">
        <v>10682</v>
      </c>
      <c r="H899" s="166" t="s">
        <v>13436</v>
      </c>
      <c r="I899" s="193" t="s">
        <v>12812</v>
      </c>
      <c r="J899" s="193" t="s">
        <v>147</v>
      </c>
      <c r="K899" s="170"/>
      <c r="L899" s="193"/>
    </row>
    <row r="900" spans="1:12" ht="15.75">
      <c r="A900" s="67">
        <f t="shared" si="14"/>
        <v>898</v>
      </c>
      <c r="B900" s="164">
        <v>898</v>
      </c>
      <c r="C900" s="193" t="s">
        <v>2193</v>
      </c>
      <c r="D900" s="195" t="s">
        <v>5461</v>
      </c>
      <c r="E900" s="193" t="s">
        <v>8455</v>
      </c>
      <c r="F900" s="193" t="s">
        <v>59</v>
      </c>
      <c r="G900" s="195" t="s">
        <v>10683</v>
      </c>
      <c r="H900" s="166" t="s">
        <v>13436</v>
      </c>
      <c r="I900" s="193" t="s">
        <v>12812</v>
      </c>
      <c r="J900" s="219" t="s">
        <v>164</v>
      </c>
      <c r="K900" s="170"/>
      <c r="L900" s="193"/>
    </row>
    <row r="901" spans="1:12" ht="15.75">
      <c r="A901" s="67">
        <f t="shared" si="14"/>
        <v>899</v>
      </c>
      <c r="B901" s="164">
        <v>899</v>
      </c>
      <c r="C901" s="193" t="s">
        <v>2194</v>
      </c>
      <c r="D901" s="195" t="s">
        <v>5462</v>
      </c>
      <c r="E901" s="193" t="s">
        <v>8456</v>
      </c>
      <c r="F901" s="193" t="s">
        <v>59</v>
      </c>
      <c r="G901" s="195" t="s">
        <v>10684</v>
      </c>
      <c r="H901" s="166" t="s">
        <v>13436</v>
      </c>
      <c r="I901" s="193" t="s">
        <v>12812</v>
      </c>
      <c r="J901" s="219" t="s">
        <v>146</v>
      </c>
      <c r="K901" s="170"/>
      <c r="L901" s="193"/>
    </row>
    <row r="902" spans="1:12" ht="15.75">
      <c r="A902" s="67">
        <f t="shared" si="14"/>
        <v>900</v>
      </c>
      <c r="B902" s="164">
        <v>900</v>
      </c>
      <c r="C902" s="193" t="s">
        <v>2195</v>
      </c>
      <c r="D902" s="195" t="s">
        <v>5463</v>
      </c>
      <c r="E902" s="193" t="s">
        <v>8457</v>
      </c>
      <c r="F902" s="193" t="s">
        <v>59</v>
      </c>
      <c r="G902" s="195" t="s">
        <v>9978</v>
      </c>
      <c r="H902" s="166" t="s">
        <v>13436</v>
      </c>
      <c r="I902" s="193" t="s">
        <v>12821</v>
      </c>
      <c r="J902" s="193" t="s">
        <v>146</v>
      </c>
      <c r="K902" s="170"/>
      <c r="L902" s="193"/>
    </row>
    <row r="903" spans="1:12" ht="15.75">
      <c r="A903" s="67">
        <f t="shared" si="14"/>
        <v>901</v>
      </c>
      <c r="B903" s="164">
        <v>901</v>
      </c>
      <c r="C903" s="193" t="s">
        <v>2196</v>
      </c>
      <c r="D903" s="195" t="s">
        <v>5464</v>
      </c>
      <c r="E903" s="193" t="s">
        <v>8458</v>
      </c>
      <c r="F903" s="193" t="s">
        <v>59</v>
      </c>
      <c r="G903" s="195" t="s">
        <v>10685</v>
      </c>
      <c r="H903" s="166" t="s">
        <v>13436</v>
      </c>
      <c r="I903" s="193" t="s">
        <v>12819</v>
      </c>
      <c r="J903" s="193" t="s">
        <v>147</v>
      </c>
      <c r="K903" s="170"/>
      <c r="L903" s="193"/>
    </row>
    <row r="904" spans="1:12" ht="15.75">
      <c r="A904" s="67">
        <f t="shared" si="14"/>
        <v>902</v>
      </c>
      <c r="B904" s="164">
        <v>902</v>
      </c>
      <c r="C904" s="193" t="s">
        <v>2197</v>
      </c>
      <c r="D904" s="195" t="s">
        <v>5465</v>
      </c>
      <c r="E904" s="193" t="s">
        <v>419</v>
      </c>
      <c r="F904" s="193" t="s">
        <v>114</v>
      </c>
      <c r="G904" s="195" t="s">
        <v>10686</v>
      </c>
      <c r="H904" s="166" t="s">
        <v>13436</v>
      </c>
      <c r="I904" s="193" t="s">
        <v>12812</v>
      </c>
      <c r="J904" s="193" t="s">
        <v>146</v>
      </c>
      <c r="K904" s="170"/>
      <c r="L904" s="193" t="s">
        <v>146</v>
      </c>
    </row>
    <row r="905" spans="1:12" ht="15.75">
      <c r="A905" s="67">
        <f t="shared" si="14"/>
        <v>903</v>
      </c>
      <c r="B905" s="164">
        <v>903</v>
      </c>
      <c r="C905" s="193" t="s">
        <v>2198</v>
      </c>
      <c r="D905" s="195" t="s">
        <v>5466</v>
      </c>
      <c r="E905" s="193" t="s">
        <v>8459</v>
      </c>
      <c r="F905" s="193" t="s">
        <v>114</v>
      </c>
      <c r="G905" s="195" t="s">
        <v>701</v>
      </c>
      <c r="H905" s="166" t="s">
        <v>13436</v>
      </c>
      <c r="I905" s="193" t="s">
        <v>12835</v>
      </c>
      <c r="J905" s="193" t="s">
        <v>146</v>
      </c>
      <c r="K905" s="170"/>
      <c r="L905" s="193" t="s">
        <v>146</v>
      </c>
    </row>
    <row r="906" spans="1:12" ht="30">
      <c r="A906" s="67">
        <f t="shared" si="14"/>
        <v>904</v>
      </c>
      <c r="B906" s="164">
        <v>904</v>
      </c>
      <c r="C906" s="193" t="s">
        <v>2199</v>
      </c>
      <c r="D906" s="195" t="s">
        <v>5467</v>
      </c>
      <c r="E906" s="193" t="s">
        <v>8460</v>
      </c>
      <c r="F906" s="193" t="s">
        <v>114</v>
      </c>
      <c r="G906" s="195" t="s">
        <v>10687</v>
      </c>
      <c r="H906" s="166" t="s">
        <v>13436</v>
      </c>
      <c r="I906" s="193" t="s">
        <v>12812</v>
      </c>
      <c r="J906" s="193" t="s">
        <v>12290</v>
      </c>
      <c r="K906" s="170"/>
      <c r="L906" s="193" t="s">
        <v>13081</v>
      </c>
    </row>
    <row r="907" spans="1:12" ht="15.75">
      <c r="A907" s="67">
        <f t="shared" si="14"/>
        <v>905</v>
      </c>
      <c r="B907" s="164">
        <v>905</v>
      </c>
      <c r="C907" s="193" t="s">
        <v>2200</v>
      </c>
      <c r="D907" s="195" t="s">
        <v>5468</v>
      </c>
      <c r="E907" s="193" t="s">
        <v>8461</v>
      </c>
      <c r="F907" s="193" t="s">
        <v>114</v>
      </c>
      <c r="G907" s="195" t="s">
        <v>720</v>
      </c>
      <c r="H907" s="166" t="s">
        <v>13436</v>
      </c>
      <c r="I907" s="193" t="s">
        <v>12818</v>
      </c>
      <c r="J907" s="193" t="s">
        <v>146</v>
      </c>
      <c r="K907" s="170"/>
      <c r="L907" s="193" t="s">
        <v>146</v>
      </c>
    </row>
    <row r="908" spans="1:12" ht="90">
      <c r="A908" s="67">
        <f t="shared" si="14"/>
        <v>906</v>
      </c>
      <c r="B908" s="164">
        <v>906</v>
      </c>
      <c r="C908" s="193" t="s">
        <v>2201</v>
      </c>
      <c r="D908" s="195" t="s">
        <v>5469</v>
      </c>
      <c r="E908" s="193" t="s">
        <v>8462</v>
      </c>
      <c r="F908" s="193" t="s">
        <v>114</v>
      </c>
      <c r="G908" s="195" t="s">
        <v>10000</v>
      </c>
      <c r="H908" s="166" t="s">
        <v>13436</v>
      </c>
      <c r="I908" s="193" t="s">
        <v>12812</v>
      </c>
      <c r="J908" s="193" t="s">
        <v>164</v>
      </c>
      <c r="K908" s="170"/>
      <c r="L908" s="193" t="s">
        <v>13082</v>
      </c>
    </row>
    <row r="909" spans="1:12" ht="30">
      <c r="A909" s="67">
        <f t="shared" si="14"/>
        <v>907</v>
      </c>
      <c r="B909" s="164">
        <v>907</v>
      </c>
      <c r="C909" s="193" t="s">
        <v>2202</v>
      </c>
      <c r="D909" s="195" t="s">
        <v>5470</v>
      </c>
      <c r="E909" s="193" t="s">
        <v>8463</v>
      </c>
      <c r="F909" s="193" t="s">
        <v>114</v>
      </c>
      <c r="G909" s="195" t="s">
        <v>10688</v>
      </c>
      <c r="H909" s="166" t="s">
        <v>13436</v>
      </c>
      <c r="I909" s="193" t="s">
        <v>12835</v>
      </c>
      <c r="J909" s="193" t="s">
        <v>1252</v>
      </c>
      <c r="K909" s="170"/>
      <c r="L909" s="193" t="s">
        <v>13083</v>
      </c>
    </row>
    <row r="910" spans="1:12" ht="90">
      <c r="A910" s="67">
        <f t="shared" si="14"/>
        <v>908</v>
      </c>
      <c r="B910" s="164">
        <v>908</v>
      </c>
      <c r="C910" s="193" t="s">
        <v>2203</v>
      </c>
      <c r="D910" s="195" t="s">
        <v>5471</v>
      </c>
      <c r="E910" s="193" t="s">
        <v>8464</v>
      </c>
      <c r="F910" s="193" t="s">
        <v>114</v>
      </c>
      <c r="G910" s="195" t="s">
        <v>10689</v>
      </c>
      <c r="H910" s="166" t="s">
        <v>13436</v>
      </c>
      <c r="I910" s="193" t="s">
        <v>12812</v>
      </c>
      <c r="J910" s="219" t="s">
        <v>146</v>
      </c>
      <c r="K910" s="170"/>
      <c r="L910" s="193" t="s">
        <v>13084</v>
      </c>
    </row>
    <row r="911" spans="1:12" ht="15.75">
      <c r="A911" s="67">
        <f t="shared" si="14"/>
        <v>909</v>
      </c>
      <c r="B911" s="164">
        <v>909</v>
      </c>
      <c r="C911" s="193" t="s">
        <v>2204</v>
      </c>
      <c r="D911" s="195" t="s">
        <v>5472</v>
      </c>
      <c r="E911" s="193" t="s">
        <v>8465</v>
      </c>
      <c r="F911" s="193" t="s">
        <v>114</v>
      </c>
      <c r="G911" s="195" t="s">
        <v>10282</v>
      </c>
      <c r="H911" s="166" t="s">
        <v>13436</v>
      </c>
      <c r="I911" s="193" t="s">
        <v>12812</v>
      </c>
      <c r="J911" s="219" t="s">
        <v>146</v>
      </c>
      <c r="K911" s="170"/>
      <c r="L911" s="219" t="s">
        <v>146</v>
      </c>
    </row>
    <row r="912" spans="1:12" ht="30">
      <c r="A912" s="67">
        <f t="shared" si="14"/>
        <v>910</v>
      </c>
      <c r="B912" s="164">
        <v>910</v>
      </c>
      <c r="C912" s="193" t="s">
        <v>2205</v>
      </c>
      <c r="D912" s="195" t="s">
        <v>5473</v>
      </c>
      <c r="E912" s="193" t="s">
        <v>8466</v>
      </c>
      <c r="F912" s="193" t="s">
        <v>114</v>
      </c>
      <c r="G912" s="195" t="s">
        <v>10690</v>
      </c>
      <c r="H912" s="166" t="s">
        <v>13436</v>
      </c>
      <c r="I912" s="193" t="s">
        <v>12812</v>
      </c>
      <c r="J912" s="193" t="s">
        <v>12291</v>
      </c>
      <c r="K912" s="170"/>
      <c r="L912" s="193" t="s">
        <v>146</v>
      </c>
    </row>
    <row r="913" spans="1:12" ht="15.75">
      <c r="A913" s="67">
        <f t="shared" si="14"/>
        <v>911</v>
      </c>
      <c r="B913" s="164">
        <v>911</v>
      </c>
      <c r="C913" s="193" t="s">
        <v>2206</v>
      </c>
      <c r="D913" s="195" t="s">
        <v>5474</v>
      </c>
      <c r="E913" s="193" t="s">
        <v>8467</v>
      </c>
      <c r="F913" s="193" t="s">
        <v>114</v>
      </c>
      <c r="G913" s="195" t="s">
        <v>10691</v>
      </c>
      <c r="H913" s="166" t="s">
        <v>13436</v>
      </c>
      <c r="I913" s="193" t="s">
        <v>12822</v>
      </c>
      <c r="J913" s="193" t="s">
        <v>12292</v>
      </c>
      <c r="K913" s="170"/>
      <c r="L913" s="193" t="s">
        <v>146</v>
      </c>
    </row>
    <row r="914" spans="1:12" ht="15.75">
      <c r="A914" s="67">
        <f t="shared" si="14"/>
        <v>912</v>
      </c>
      <c r="B914" s="164">
        <v>912</v>
      </c>
      <c r="C914" s="193" t="s">
        <v>2207</v>
      </c>
      <c r="D914" s="195" t="s">
        <v>5475</v>
      </c>
      <c r="E914" s="193" t="s">
        <v>485</v>
      </c>
      <c r="F914" s="193" t="s">
        <v>59</v>
      </c>
      <c r="G914" s="195" t="s">
        <v>10052</v>
      </c>
      <c r="H914" s="166" t="s">
        <v>13436</v>
      </c>
      <c r="I914" s="193" t="s">
        <v>12812</v>
      </c>
      <c r="J914" s="193" t="s">
        <v>147</v>
      </c>
      <c r="K914" s="170"/>
      <c r="L914" s="193"/>
    </row>
    <row r="915" spans="1:12" ht="60">
      <c r="A915" s="67">
        <f t="shared" si="14"/>
        <v>913</v>
      </c>
      <c r="B915" s="164">
        <v>913</v>
      </c>
      <c r="C915" s="193" t="s">
        <v>2208</v>
      </c>
      <c r="D915" s="195" t="s">
        <v>5476</v>
      </c>
      <c r="E915" s="193" t="s">
        <v>8468</v>
      </c>
      <c r="F915" s="193" t="s">
        <v>59</v>
      </c>
      <c r="G915" s="195" t="s">
        <v>10692</v>
      </c>
      <c r="H915" s="166" t="s">
        <v>13436</v>
      </c>
      <c r="I915" s="193" t="s">
        <v>12835</v>
      </c>
      <c r="J915" s="193" t="s">
        <v>12293</v>
      </c>
      <c r="K915" s="170"/>
      <c r="L915" s="193"/>
    </row>
    <row r="916" spans="1:12" ht="15.75">
      <c r="A916" s="67">
        <f t="shared" si="14"/>
        <v>914</v>
      </c>
      <c r="B916" s="164">
        <v>914</v>
      </c>
      <c r="C916" s="193" t="s">
        <v>2209</v>
      </c>
      <c r="D916" s="195" t="s">
        <v>5477</v>
      </c>
      <c r="E916" s="193" t="s">
        <v>564</v>
      </c>
      <c r="F916" s="193" t="s">
        <v>114</v>
      </c>
      <c r="G916" s="195" t="s">
        <v>10693</v>
      </c>
      <c r="H916" s="166" t="s">
        <v>13436</v>
      </c>
      <c r="I916" s="193" t="s">
        <v>12835</v>
      </c>
      <c r="J916" s="193" t="s">
        <v>146</v>
      </c>
      <c r="K916" s="170"/>
      <c r="L916" s="193" t="s">
        <v>146</v>
      </c>
    </row>
    <row r="917" spans="1:12" ht="30">
      <c r="A917" s="67">
        <f t="shared" si="14"/>
        <v>915</v>
      </c>
      <c r="B917" s="164">
        <v>915</v>
      </c>
      <c r="C917" s="193" t="s">
        <v>2210</v>
      </c>
      <c r="D917" s="195" t="s">
        <v>5478</v>
      </c>
      <c r="E917" s="193" t="s">
        <v>8469</v>
      </c>
      <c r="F917" s="193" t="s">
        <v>59</v>
      </c>
      <c r="G917" s="195" t="s">
        <v>10694</v>
      </c>
      <c r="H917" s="166" t="s">
        <v>13436</v>
      </c>
      <c r="I917" s="193" t="s">
        <v>12835</v>
      </c>
      <c r="J917" s="193" t="s">
        <v>12294</v>
      </c>
      <c r="K917" s="170"/>
      <c r="L917" s="193"/>
    </row>
    <row r="918" spans="1:12" ht="30">
      <c r="A918" s="67">
        <f t="shared" si="14"/>
        <v>916</v>
      </c>
      <c r="B918" s="164">
        <v>916</v>
      </c>
      <c r="C918" s="193" t="s">
        <v>2211</v>
      </c>
      <c r="D918" s="195" t="s">
        <v>5479</v>
      </c>
      <c r="E918" s="193" t="s">
        <v>8470</v>
      </c>
      <c r="F918" s="193" t="s">
        <v>114</v>
      </c>
      <c r="G918" s="195" t="s">
        <v>10695</v>
      </c>
      <c r="H918" s="166" t="s">
        <v>13436</v>
      </c>
      <c r="I918" s="193" t="s">
        <v>12827</v>
      </c>
      <c r="J918" s="193" t="s">
        <v>12295</v>
      </c>
      <c r="K918" s="170"/>
      <c r="L918" s="193" t="s">
        <v>146</v>
      </c>
    </row>
    <row r="919" spans="1:12" ht="30">
      <c r="A919" s="67">
        <f t="shared" si="14"/>
        <v>917</v>
      </c>
      <c r="B919" s="164">
        <v>917</v>
      </c>
      <c r="C919" s="193" t="s">
        <v>2212</v>
      </c>
      <c r="D919" s="195" t="s">
        <v>5480</v>
      </c>
      <c r="E919" s="193" t="s">
        <v>8471</v>
      </c>
      <c r="F919" s="193" t="s">
        <v>114</v>
      </c>
      <c r="G919" s="195" t="s">
        <v>10696</v>
      </c>
      <c r="H919" s="166" t="s">
        <v>13436</v>
      </c>
      <c r="I919" s="193" t="s">
        <v>12835</v>
      </c>
      <c r="J919" s="193" t="s">
        <v>12296</v>
      </c>
      <c r="K919" s="170"/>
      <c r="L919" s="193" t="s">
        <v>13085</v>
      </c>
    </row>
    <row r="920" spans="1:12" ht="30">
      <c r="A920" s="67">
        <f t="shared" si="14"/>
        <v>918</v>
      </c>
      <c r="B920" s="164">
        <v>918</v>
      </c>
      <c r="C920" s="193" t="s">
        <v>2213</v>
      </c>
      <c r="D920" s="195" t="s">
        <v>5481</v>
      </c>
      <c r="E920" s="193" t="s">
        <v>8472</v>
      </c>
      <c r="F920" s="193" t="s">
        <v>59</v>
      </c>
      <c r="G920" s="195" t="s">
        <v>10697</v>
      </c>
      <c r="H920" s="166" t="s">
        <v>13436</v>
      </c>
      <c r="I920" s="193" t="s">
        <v>12835</v>
      </c>
      <c r="J920" s="193" t="s">
        <v>12297</v>
      </c>
      <c r="K920" s="170"/>
      <c r="L920" s="193"/>
    </row>
    <row r="921" spans="1:12" ht="15.75">
      <c r="A921" s="67">
        <f t="shared" si="14"/>
        <v>919</v>
      </c>
      <c r="B921" s="164">
        <v>919</v>
      </c>
      <c r="C921" s="193" t="s">
        <v>2214</v>
      </c>
      <c r="D921" s="195" t="s">
        <v>5482</v>
      </c>
      <c r="E921" s="193" t="s">
        <v>8473</v>
      </c>
      <c r="F921" s="193" t="s">
        <v>59</v>
      </c>
      <c r="G921" s="195" t="s">
        <v>10698</v>
      </c>
      <c r="H921" s="166" t="s">
        <v>13436</v>
      </c>
      <c r="I921" s="193" t="s">
        <v>12835</v>
      </c>
      <c r="J921" s="219" t="s">
        <v>286</v>
      </c>
      <c r="K921" s="170"/>
      <c r="L921" s="193"/>
    </row>
    <row r="922" spans="1:12" ht="60">
      <c r="A922" s="67">
        <f t="shared" si="14"/>
        <v>920</v>
      </c>
      <c r="B922" s="164">
        <v>920</v>
      </c>
      <c r="C922" s="193" t="s">
        <v>2215</v>
      </c>
      <c r="D922" s="195" t="s">
        <v>5483</v>
      </c>
      <c r="E922" s="193" t="s">
        <v>8474</v>
      </c>
      <c r="F922" s="193" t="s">
        <v>114</v>
      </c>
      <c r="G922" s="195" t="s">
        <v>10699</v>
      </c>
      <c r="H922" s="166" t="s">
        <v>13436</v>
      </c>
      <c r="I922" s="193" t="s">
        <v>12835</v>
      </c>
      <c r="J922" s="193" t="s">
        <v>12298</v>
      </c>
      <c r="K922" s="170"/>
      <c r="L922" s="193" t="s">
        <v>13086</v>
      </c>
    </row>
    <row r="923" spans="1:12" ht="30">
      <c r="A923" s="67">
        <f t="shared" si="14"/>
        <v>921</v>
      </c>
      <c r="B923" s="164">
        <v>921</v>
      </c>
      <c r="C923" s="193" t="s">
        <v>2216</v>
      </c>
      <c r="D923" s="195" t="s">
        <v>5484</v>
      </c>
      <c r="E923" s="193" t="s">
        <v>8242</v>
      </c>
      <c r="F923" s="193" t="s">
        <v>114</v>
      </c>
      <c r="G923" s="195" t="s">
        <v>10700</v>
      </c>
      <c r="H923" s="166" t="s">
        <v>13436</v>
      </c>
      <c r="I923" s="193" t="s">
        <v>12814</v>
      </c>
      <c r="J923" s="219" t="s">
        <v>12299</v>
      </c>
      <c r="K923" s="170"/>
      <c r="L923" s="193" t="s">
        <v>13087</v>
      </c>
    </row>
    <row r="924" spans="1:12" ht="75">
      <c r="A924" s="67">
        <f t="shared" si="14"/>
        <v>922</v>
      </c>
      <c r="B924" s="164">
        <v>922</v>
      </c>
      <c r="C924" s="193" t="s">
        <v>2217</v>
      </c>
      <c r="D924" s="195" t="s">
        <v>5485</v>
      </c>
      <c r="E924" s="193" t="s">
        <v>8475</v>
      </c>
      <c r="F924" s="193" t="s">
        <v>114</v>
      </c>
      <c r="G924" s="195" t="s">
        <v>10031</v>
      </c>
      <c r="H924" s="166" t="s">
        <v>13436</v>
      </c>
      <c r="I924" s="193" t="s">
        <v>12835</v>
      </c>
      <c r="J924" s="193" t="s">
        <v>12300</v>
      </c>
      <c r="K924" s="170"/>
      <c r="L924" s="193" t="s">
        <v>13088</v>
      </c>
    </row>
    <row r="925" spans="1:12" ht="75">
      <c r="A925" s="67">
        <f t="shared" si="14"/>
        <v>923</v>
      </c>
      <c r="B925" s="164">
        <v>923</v>
      </c>
      <c r="C925" s="193" t="s">
        <v>2218</v>
      </c>
      <c r="D925" s="195" t="s">
        <v>5486</v>
      </c>
      <c r="E925" s="193" t="s">
        <v>8476</v>
      </c>
      <c r="F925" s="193" t="s">
        <v>114</v>
      </c>
      <c r="G925" s="195" t="s">
        <v>10701</v>
      </c>
      <c r="H925" s="166" t="s">
        <v>13436</v>
      </c>
      <c r="I925" s="193" t="s">
        <v>12835</v>
      </c>
      <c r="J925" s="193" t="s">
        <v>146</v>
      </c>
      <c r="K925" s="170"/>
      <c r="L925" s="193" t="s">
        <v>13089</v>
      </c>
    </row>
    <row r="926" spans="1:12" ht="15.75">
      <c r="A926" s="67">
        <f t="shared" si="14"/>
        <v>924</v>
      </c>
      <c r="B926" s="164">
        <v>924</v>
      </c>
      <c r="C926" s="193" t="s">
        <v>2219</v>
      </c>
      <c r="D926" s="195" t="s">
        <v>5487</v>
      </c>
      <c r="E926" s="193" t="s">
        <v>8477</v>
      </c>
      <c r="F926" s="193" t="s">
        <v>114</v>
      </c>
      <c r="G926" s="195" t="s">
        <v>711</v>
      </c>
      <c r="H926" s="166" t="s">
        <v>13436</v>
      </c>
      <c r="I926" s="193" t="s">
        <v>12836</v>
      </c>
      <c r="J926" s="193" t="s">
        <v>146</v>
      </c>
      <c r="K926" s="170"/>
      <c r="L926" s="193" t="s">
        <v>146</v>
      </c>
    </row>
    <row r="927" spans="1:12" ht="15.75">
      <c r="A927" s="67">
        <f t="shared" si="14"/>
        <v>925</v>
      </c>
      <c r="B927" s="164">
        <v>925</v>
      </c>
      <c r="C927" s="193" t="s">
        <v>2220</v>
      </c>
      <c r="D927" s="195" t="s">
        <v>5488</v>
      </c>
      <c r="E927" s="193" t="s">
        <v>8478</v>
      </c>
      <c r="F927" s="193" t="s">
        <v>114</v>
      </c>
      <c r="G927" s="195" t="s">
        <v>10702</v>
      </c>
      <c r="H927" s="166" t="s">
        <v>13436</v>
      </c>
      <c r="I927" s="193" t="s">
        <v>12814</v>
      </c>
      <c r="J927" s="193" t="s">
        <v>146</v>
      </c>
      <c r="K927" s="170"/>
      <c r="L927" s="193" t="s">
        <v>146</v>
      </c>
    </row>
    <row r="928" spans="1:12" ht="15.75">
      <c r="A928" s="67">
        <f t="shared" si="14"/>
        <v>926</v>
      </c>
      <c r="B928" s="164">
        <v>926</v>
      </c>
      <c r="C928" s="193" t="s">
        <v>2221</v>
      </c>
      <c r="D928" s="195" t="s">
        <v>5489</v>
      </c>
      <c r="E928" s="193" t="s">
        <v>178</v>
      </c>
      <c r="F928" s="193" t="s">
        <v>114</v>
      </c>
      <c r="G928" s="195" t="s">
        <v>10703</v>
      </c>
      <c r="H928" s="166" t="s">
        <v>13436</v>
      </c>
      <c r="I928" s="193" t="s">
        <v>12835</v>
      </c>
      <c r="J928" s="193" t="s">
        <v>146</v>
      </c>
      <c r="K928" s="170"/>
      <c r="L928" s="193" t="s">
        <v>146</v>
      </c>
    </row>
    <row r="929" spans="1:12" ht="30">
      <c r="A929" s="67">
        <f t="shared" si="14"/>
        <v>927</v>
      </c>
      <c r="B929" s="164">
        <v>927</v>
      </c>
      <c r="C929" s="193" t="s">
        <v>2222</v>
      </c>
      <c r="D929" s="195" t="s">
        <v>5490</v>
      </c>
      <c r="E929" s="193" t="s">
        <v>167</v>
      </c>
      <c r="F929" s="193" t="s">
        <v>114</v>
      </c>
      <c r="G929" s="195" t="s">
        <v>10704</v>
      </c>
      <c r="H929" s="166" t="s">
        <v>13436</v>
      </c>
      <c r="I929" s="193" t="s">
        <v>12835</v>
      </c>
      <c r="J929" s="219" t="s">
        <v>146</v>
      </c>
      <c r="K929" s="170"/>
      <c r="L929" s="193" t="s">
        <v>13090</v>
      </c>
    </row>
    <row r="930" spans="1:12" ht="45">
      <c r="A930" s="67">
        <f t="shared" si="14"/>
        <v>928</v>
      </c>
      <c r="B930" s="164">
        <v>928</v>
      </c>
      <c r="C930" s="193" t="s">
        <v>2223</v>
      </c>
      <c r="D930" s="199" t="s">
        <v>5491</v>
      </c>
      <c r="E930" s="193" t="s">
        <v>8479</v>
      </c>
      <c r="F930" s="193" t="s">
        <v>59</v>
      </c>
      <c r="G930" s="195" t="s">
        <v>10705</v>
      </c>
      <c r="H930" s="166" t="s">
        <v>13436</v>
      </c>
      <c r="I930" s="193" t="s">
        <v>12839</v>
      </c>
      <c r="J930" s="193" t="s">
        <v>12301</v>
      </c>
      <c r="K930" s="170"/>
      <c r="L930" s="193"/>
    </row>
    <row r="931" spans="1:12" ht="15.75">
      <c r="A931" s="67">
        <f t="shared" si="14"/>
        <v>929</v>
      </c>
      <c r="B931" s="164">
        <v>929</v>
      </c>
      <c r="C931" s="193" t="s">
        <v>2224</v>
      </c>
      <c r="D931" s="196" t="s">
        <v>5492</v>
      </c>
      <c r="E931" s="193" t="s">
        <v>8480</v>
      </c>
      <c r="F931" s="193" t="s">
        <v>59</v>
      </c>
      <c r="G931" s="195" t="s">
        <v>9961</v>
      </c>
      <c r="H931" s="166" t="s">
        <v>13436</v>
      </c>
      <c r="I931" s="193" t="s">
        <v>12839</v>
      </c>
      <c r="J931" s="193" t="s">
        <v>146</v>
      </c>
      <c r="K931" s="170"/>
      <c r="L931" s="193"/>
    </row>
    <row r="932" spans="1:12" ht="15.75">
      <c r="A932" s="67">
        <f t="shared" si="14"/>
        <v>930</v>
      </c>
      <c r="B932" s="164">
        <v>930</v>
      </c>
      <c r="C932" s="193" t="s">
        <v>2225</v>
      </c>
      <c r="D932" s="196" t="s">
        <v>5493</v>
      </c>
      <c r="E932" s="193" t="s">
        <v>8481</v>
      </c>
      <c r="F932" s="193" t="s">
        <v>59</v>
      </c>
      <c r="G932" s="195" t="s">
        <v>10706</v>
      </c>
      <c r="H932" s="166" t="s">
        <v>13436</v>
      </c>
      <c r="I932" s="193" t="s">
        <v>12839</v>
      </c>
      <c r="J932" s="219" t="s">
        <v>146</v>
      </c>
      <c r="K932" s="170"/>
      <c r="L932" s="193"/>
    </row>
    <row r="933" spans="1:12" ht="15.75">
      <c r="A933" s="67">
        <f t="shared" si="14"/>
        <v>931</v>
      </c>
      <c r="B933" s="164">
        <v>931</v>
      </c>
      <c r="C933" s="193" t="s">
        <v>2226</v>
      </c>
      <c r="D933" s="195" t="s">
        <v>5494</v>
      </c>
      <c r="E933" s="193" t="s">
        <v>8482</v>
      </c>
      <c r="F933" s="193" t="s">
        <v>114</v>
      </c>
      <c r="G933" s="195" t="s">
        <v>10707</v>
      </c>
      <c r="H933" s="166" t="s">
        <v>13436</v>
      </c>
      <c r="I933" s="193" t="s">
        <v>12821</v>
      </c>
      <c r="J933" s="193" t="s">
        <v>12302</v>
      </c>
      <c r="K933" s="170"/>
      <c r="L933" s="193" t="s">
        <v>146</v>
      </c>
    </row>
    <row r="934" spans="1:12" ht="60">
      <c r="A934" s="67">
        <f t="shared" si="14"/>
        <v>932</v>
      </c>
      <c r="B934" s="164">
        <v>932</v>
      </c>
      <c r="C934" s="193" t="s">
        <v>2227</v>
      </c>
      <c r="D934" s="195" t="s">
        <v>5495</v>
      </c>
      <c r="E934" s="193" t="s">
        <v>8483</v>
      </c>
      <c r="F934" s="193" t="s">
        <v>114</v>
      </c>
      <c r="G934" s="195" t="s">
        <v>10708</v>
      </c>
      <c r="H934" s="166" t="s">
        <v>13436</v>
      </c>
      <c r="I934" s="193" t="s">
        <v>12821</v>
      </c>
      <c r="J934" s="193" t="s">
        <v>146</v>
      </c>
      <c r="K934" s="170"/>
      <c r="L934" s="193" t="s">
        <v>13091</v>
      </c>
    </row>
    <row r="935" spans="1:12" ht="15.75">
      <c r="A935" s="67">
        <f t="shared" si="14"/>
        <v>933</v>
      </c>
      <c r="B935" s="164">
        <v>933</v>
      </c>
      <c r="C935" s="193" t="s">
        <v>2228</v>
      </c>
      <c r="D935" s="195" t="s">
        <v>5496</v>
      </c>
      <c r="E935" s="193" t="s">
        <v>386</v>
      </c>
      <c r="F935" s="193" t="s">
        <v>59</v>
      </c>
      <c r="G935" s="195" t="s">
        <v>10259</v>
      </c>
      <c r="H935" s="166" t="s">
        <v>13436</v>
      </c>
      <c r="I935" s="193" t="s">
        <v>12821</v>
      </c>
      <c r="J935" s="193" t="s">
        <v>147</v>
      </c>
      <c r="K935" s="170"/>
      <c r="L935" s="193"/>
    </row>
    <row r="936" spans="1:12" ht="15.75">
      <c r="A936" s="67">
        <f t="shared" si="14"/>
        <v>934</v>
      </c>
      <c r="B936" s="164">
        <v>934</v>
      </c>
      <c r="C936" s="193" t="s">
        <v>2229</v>
      </c>
      <c r="D936" s="195" t="s">
        <v>5497</v>
      </c>
      <c r="E936" s="193" t="s">
        <v>8484</v>
      </c>
      <c r="F936" s="193" t="s">
        <v>59</v>
      </c>
      <c r="G936" s="195" t="s">
        <v>10709</v>
      </c>
      <c r="H936" s="166" t="s">
        <v>13436</v>
      </c>
      <c r="I936" s="193" t="s">
        <v>12821</v>
      </c>
      <c r="J936" s="193" t="s">
        <v>146</v>
      </c>
      <c r="K936" s="170"/>
      <c r="L936" s="193"/>
    </row>
    <row r="937" spans="1:12" ht="15.75">
      <c r="A937" s="67">
        <f t="shared" si="14"/>
        <v>935</v>
      </c>
      <c r="B937" s="164">
        <v>935</v>
      </c>
      <c r="C937" s="193" t="s">
        <v>2230</v>
      </c>
      <c r="D937" s="195" t="s">
        <v>5498</v>
      </c>
      <c r="E937" s="193" t="s">
        <v>8052</v>
      </c>
      <c r="F937" s="193" t="s">
        <v>59</v>
      </c>
      <c r="G937" s="195" t="s">
        <v>10710</v>
      </c>
      <c r="H937" s="166" t="s">
        <v>13436</v>
      </c>
      <c r="I937" s="193" t="s">
        <v>12821</v>
      </c>
      <c r="J937" s="193" t="s">
        <v>164</v>
      </c>
      <c r="K937" s="170"/>
      <c r="L937" s="193"/>
    </row>
    <row r="938" spans="1:12" ht="15.75">
      <c r="A938" s="67">
        <f t="shared" si="14"/>
        <v>936</v>
      </c>
      <c r="B938" s="164">
        <v>936</v>
      </c>
      <c r="C938" s="193" t="s">
        <v>2231</v>
      </c>
      <c r="D938" s="195" t="s">
        <v>5499</v>
      </c>
      <c r="E938" s="193" t="s">
        <v>8485</v>
      </c>
      <c r="F938" s="193" t="s">
        <v>59</v>
      </c>
      <c r="G938" s="195" t="s">
        <v>10711</v>
      </c>
      <c r="H938" s="166" t="s">
        <v>13436</v>
      </c>
      <c r="I938" s="193" t="s">
        <v>12821</v>
      </c>
      <c r="J938" s="219" t="s">
        <v>146</v>
      </c>
      <c r="K938" s="170"/>
      <c r="L938" s="193"/>
    </row>
    <row r="939" spans="1:12" ht="15.75">
      <c r="A939" s="67">
        <f t="shared" si="14"/>
        <v>937</v>
      </c>
      <c r="B939" s="164">
        <v>937</v>
      </c>
      <c r="C939" s="193" t="s">
        <v>2232</v>
      </c>
      <c r="D939" s="199" t="s">
        <v>5500</v>
      </c>
      <c r="E939" s="193" t="s">
        <v>547</v>
      </c>
      <c r="F939" s="193" t="s">
        <v>114</v>
      </c>
      <c r="G939" s="195" t="s">
        <v>10712</v>
      </c>
      <c r="H939" s="166" t="s">
        <v>13436</v>
      </c>
      <c r="I939" s="193" t="s">
        <v>12828</v>
      </c>
      <c r="J939" s="193" t="s">
        <v>1260</v>
      </c>
      <c r="K939" s="170"/>
      <c r="L939" s="193" t="s">
        <v>146</v>
      </c>
    </row>
    <row r="940" spans="1:12" ht="60">
      <c r="A940" s="67">
        <f t="shared" si="14"/>
        <v>938</v>
      </c>
      <c r="B940" s="164">
        <v>938</v>
      </c>
      <c r="C940" s="193" t="s">
        <v>2233</v>
      </c>
      <c r="D940" s="195" t="s">
        <v>5501</v>
      </c>
      <c r="E940" s="193" t="s">
        <v>8486</v>
      </c>
      <c r="F940" s="193" t="s">
        <v>59</v>
      </c>
      <c r="G940" s="195" t="s">
        <v>10599</v>
      </c>
      <c r="H940" s="166" t="s">
        <v>13436</v>
      </c>
      <c r="I940" s="193" t="s">
        <v>12836</v>
      </c>
      <c r="J940" s="193" t="s">
        <v>12303</v>
      </c>
      <c r="K940" s="170"/>
      <c r="L940" s="193"/>
    </row>
    <row r="941" spans="1:12" ht="30">
      <c r="A941" s="67">
        <f t="shared" si="14"/>
        <v>939</v>
      </c>
      <c r="B941" s="164">
        <v>939</v>
      </c>
      <c r="C941" s="193" t="s">
        <v>2234</v>
      </c>
      <c r="D941" s="195" t="s">
        <v>5502</v>
      </c>
      <c r="E941" s="193" t="s">
        <v>155</v>
      </c>
      <c r="F941" s="193" t="s">
        <v>114</v>
      </c>
      <c r="G941" s="195" t="s">
        <v>10713</v>
      </c>
      <c r="H941" s="166" t="s">
        <v>13436</v>
      </c>
      <c r="I941" s="193" t="s">
        <v>12827</v>
      </c>
      <c r="J941" s="193" t="s">
        <v>12304</v>
      </c>
      <c r="K941" s="170"/>
      <c r="L941" s="193" t="s">
        <v>146</v>
      </c>
    </row>
    <row r="942" spans="1:12" ht="15.75">
      <c r="A942" s="67">
        <f t="shared" si="14"/>
        <v>940</v>
      </c>
      <c r="B942" s="164">
        <v>940</v>
      </c>
      <c r="C942" s="193" t="s">
        <v>2235</v>
      </c>
      <c r="D942" s="195" t="s">
        <v>5503</v>
      </c>
      <c r="E942" s="193" t="s">
        <v>8487</v>
      </c>
      <c r="F942" s="193" t="s">
        <v>114</v>
      </c>
      <c r="G942" s="195" t="s">
        <v>10699</v>
      </c>
      <c r="H942" s="166" t="s">
        <v>13436</v>
      </c>
      <c r="I942" s="193" t="s">
        <v>12829</v>
      </c>
      <c r="J942" s="193" t="s">
        <v>146</v>
      </c>
      <c r="K942" s="170"/>
      <c r="L942" s="193" t="s">
        <v>146</v>
      </c>
    </row>
    <row r="943" spans="1:12" ht="15.75">
      <c r="A943" s="67">
        <f t="shared" si="14"/>
        <v>941</v>
      </c>
      <c r="B943" s="164">
        <v>941</v>
      </c>
      <c r="C943" s="193" t="s">
        <v>2236</v>
      </c>
      <c r="D943" s="195" t="s">
        <v>5504</v>
      </c>
      <c r="E943" s="193" t="s">
        <v>8488</v>
      </c>
      <c r="F943" s="193" t="s">
        <v>114</v>
      </c>
      <c r="G943" s="195" t="s">
        <v>10714</v>
      </c>
      <c r="H943" s="166" t="s">
        <v>13436</v>
      </c>
      <c r="I943" s="193" t="s">
        <v>12817</v>
      </c>
      <c r="J943" s="193" t="s">
        <v>146</v>
      </c>
      <c r="K943" s="170"/>
      <c r="L943" s="193" t="s">
        <v>146</v>
      </c>
    </row>
    <row r="944" spans="1:12" ht="75">
      <c r="A944" s="67">
        <f t="shared" si="14"/>
        <v>942</v>
      </c>
      <c r="B944" s="164">
        <v>942</v>
      </c>
      <c r="C944" s="193" t="s">
        <v>2237</v>
      </c>
      <c r="D944" s="195" t="s">
        <v>5505</v>
      </c>
      <c r="E944" s="193" t="s">
        <v>8489</v>
      </c>
      <c r="F944" s="193" t="s">
        <v>114</v>
      </c>
      <c r="G944" s="195" t="s">
        <v>10715</v>
      </c>
      <c r="H944" s="166" t="s">
        <v>13436</v>
      </c>
      <c r="I944" s="193" t="s">
        <v>12826</v>
      </c>
      <c r="J944" s="193" t="s">
        <v>146</v>
      </c>
      <c r="K944" s="170"/>
      <c r="L944" s="193" t="s">
        <v>13092</v>
      </c>
    </row>
    <row r="945" spans="1:12" ht="30">
      <c r="A945" s="67">
        <f t="shared" si="14"/>
        <v>943</v>
      </c>
      <c r="B945" s="164">
        <v>943</v>
      </c>
      <c r="C945" s="193" t="s">
        <v>2238</v>
      </c>
      <c r="D945" s="196" t="s">
        <v>5506</v>
      </c>
      <c r="E945" s="193" t="s">
        <v>8490</v>
      </c>
      <c r="F945" s="193" t="s">
        <v>59</v>
      </c>
      <c r="G945" s="195" t="s">
        <v>10716</v>
      </c>
      <c r="H945" s="166" t="s">
        <v>13436</v>
      </c>
      <c r="I945" s="193" t="s">
        <v>12823</v>
      </c>
      <c r="J945" s="193" t="s">
        <v>12305</v>
      </c>
      <c r="K945" s="170"/>
      <c r="L945" s="193"/>
    </row>
    <row r="946" spans="1:12" ht="15.75">
      <c r="A946" s="67">
        <f t="shared" si="14"/>
        <v>944</v>
      </c>
      <c r="B946" s="164">
        <v>944</v>
      </c>
      <c r="C946" s="193" t="s">
        <v>2239</v>
      </c>
      <c r="D946" s="195" t="s">
        <v>5507</v>
      </c>
      <c r="E946" s="193" t="s">
        <v>8491</v>
      </c>
      <c r="F946" s="193" t="s">
        <v>59</v>
      </c>
      <c r="G946" s="195" t="s">
        <v>1208</v>
      </c>
      <c r="H946" s="166" t="s">
        <v>13436</v>
      </c>
      <c r="I946" s="193" t="s">
        <v>12808</v>
      </c>
      <c r="J946" s="193" t="s">
        <v>146</v>
      </c>
      <c r="K946" s="170"/>
      <c r="L946" s="193"/>
    </row>
    <row r="947" spans="1:12" ht="45">
      <c r="A947" s="67">
        <f t="shared" si="14"/>
        <v>945</v>
      </c>
      <c r="B947" s="164">
        <v>945</v>
      </c>
      <c r="C947" s="193" t="s">
        <v>2240</v>
      </c>
      <c r="D947" s="195" t="s">
        <v>5508</v>
      </c>
      <c r="E947" s="193" t="s">
        <v>8492</v>
      </c>
      <c r="F947" s="193" t="s">
        <v>114</v>
      </c>
      <c r="G947" s="195" t="s">
        <v>10717</v>
      </c>
      <c r="H947" s="166" t="s">
        <v>13436</v>
      </c>
      <c r="I947" s="193" t="s">
        <v>12819</v>
      </c>
      <c r="J947" s="193" t="s">
        <v>12306</v>
      </c>
      <c r="K947" s="170"/>
      <c r="L947" s="193" t="s">
        <v>13093</v>
      </c>
    </row>
    <row r="948" spans="1:12" ht="15.75">
      <c r="A948" s="67">
        <f t="shared" si="14"/>
        <v>946</v>
      </c>
      <c r="B948" s="164">
        <v>946</v>
      </c>
      <c r="C948" s="193" t="s">
        <v>2241</v>
      </c>
      <c r="D948" s="198" t="s">
        <v>5509</v>
      </c>
      <c r="E948" s="193" t="s">
        <v>8493</v>
      </c>
      <c r="F948" s="193" t="s">
        <v>114</v>
      </c>
      <c r="G948" s="195" t="s">
        <v>10718</v>
      </c>
      <c r="H948" s="166" t="s">
        <v>13436</v>
      </c>
      <c r="I948" s="193" t="s">
        <v>1247</v>
      </c>
      <c r="J948" s="193" t="s">
        <v>146</v>
      </c>
      <c r="K948" s="170"/>
      <c r="L948" s="193" t="s">
        <v>146</v>
      </c>
    </row>
    <row r="949" spans="1:12" ht="45">
      <c r="A949" s="67">
        <f t="shared" si="14"/>
        <v>947</v>
      </c>
      <c r="B949" s="164">
        <v>947</v>
      </c>
      <c r="C949" s="193" t="s">
        <v>2242</v>
      </c>
      <c r="D949" s="195" t="s">
        <v>5510</v>
      </c>
      <c r="E949" s="193" t="s">
        <v>8494</v>
      </c>
      <c r="F949" s="193" t="s">
        <v>114</v>
      </c>
      <c r="G949" s="195" t="s">
        <v>10719</v>
      </c>
      <c r="H949" s="166" t="s">
        <v>13436</v>
      </c>
      <c r="I949" s="193" t="s">
        <v>12813</v>
      </c>
      <c r="J949" s="193" t="s">
        <v>12307</v>
      </c>
      <c r="K949" s="170"/>
      <c r="L949" s="193" t="s">
        <v>13094</v>
      </c>
    </row>
    <row r="950" spans="1:12" ht="75">
      <c r="A950" s="67">
        <f t="shared" si="14"/>
        <v>948</v>
      </c>
      <c r="B950" s="164">
        <v>948</v>
      </c>
      <c r="C950" s="193" t="s">
        <v>2243</v>
      </c>
      <c r="D950" s="195" t="s">
        <v>5511</v>
      </c>
      <c r="E950" s="193" t="s">
        <v>8091</v>
      </c>
      <c r="F950" s="193" t="s">
        <v>114</v>
      </c>
      <c r="G950" s="195" t="s">
        <v>10720</v>
      </c>
      <c r="H950" s="166" t="s">
        <v>13436</v>
      </c>
      <c r="I950" s="193" t="s">
        <v>12832</v>
      </c>
      <c r="J950" s="193" t="s">
        <v>146</v>
      </c>
      <c r="K950" s="170"/>
      <c r="L950" s="193" t="s">
        <v>13095</v>
      </c>
    </row>
    <row r="951" spans="1:12" ht="75">
      <c r="A951" s="67">
        <f t="shared" si="14"/>
        <v>949</v>
      </c>
      <c r="B951" s="164">
        <v>949</v>
      </c>
      <c r="C951" s="193" t="s">
        <v>2244</v>
      </c>
      <c r="D951" s="195" t="s">
        <v>5512</v>
      </c>
      <c r="E951" s="193" t="s">
        <v>8495</v>
      </c>
      <c r="F951" s="193" t="s">
        <v>114</v>
      </c>
      <c r="G951" s="195" t="s">
        <v>10721</v>
      </c>
      <c r="H951" s="166" t="s">
        <v>13436</v>
      </c>
      <c r="I951" s="193" t="s">
        <v>12820</v>
      </c>
      <c r="J951" s="193" t="s">
        <v>164</v>
      </c>
      <c r="K951" s="170"/>
      <c r="L951" s="193" t="s">
        <v>13096</v>
      </c>
    </row>
    <row r="952" spans="1:12" ht="30">
      <c r="A952" s="67">
        <f t="shared" si="14"/>
        <v>950</v>
      </c>
      <c r="B952" s="164">
        <v>950</v>
      </c>
      <c r="C952" s="193" t="s">
        <v>2245</v>
      </c>
      <c r="D952" s="195" t="s">
        <v>5513</v>
      </c>
      <c r="E952" s="193" t="s">
        <v>8496</v>
      </c>
      <c r="F952" s="193" t="s">
        <v>114</v>
      </c>
      <c r="G952" s="195" t="s">
        <v>10722</v>
      </c>
      <c r="H952" s="166" t="s">
        <v>13436</v>
      </c>
      <c r="I952" s="193" t="s">
        <v>12820</v>
      </c>
      <c r="J952" s="193" t="s">
        <v>12308</v>
      </c>
      <c r="K952" s="170"/>
      <c r="L952" s="193" t="s">
        <v>146</v>
      </c>
    </row>
    <row r="953" spans="1:12" ht="60">
      <c r="A953" s="67">
        <f t="shared" si="14"/>
        <v>951</v>
      </c>
      <c r="B953" s="164">
        <v>951</v>
      </c>
      <c r="C953" s="193" t="s">
        <v>2246</v>
      </c>
      <c r="D953" s="195" t="s">
        <v>5514</v>
      </c>
      <c r="E953" s="193" t="s">
        <v>8497</v>
      </c>
      <c r="F953" s="193" t="s">
        <v>59</v>
      </c>
      <c r="G953" s="195" t="s">
        <v>10723</v>
      </c>
      <c r="H953" s="166" t="s">
        <v>13436</v>
      </c>
      <c r="I953" s="193" t="s">
        <v>12820</v>
      </c>
      <c r="J953" s="193" t="s">
        <v>12309</v>
      </c>
      <c r="K953" s="170"/>
      <c r="L953" s="193"/>
    </row>
    <row r="954" spans="1:12" ht="45">
      <c r="A954" s="67">
        <f t="shared" si="14"/>
        <v>952</v>
      </c>
      <c r="B954" s="164">
        <v>952</v>
      </c>
      <c r="C954" s="193" t="s">
        <v>2247</v>
      </c>
      <c r="D954" s="195" t="s">
        <v>5515</v>
      </c>
      <c r="E954" s="193" t="s">
        <v>499</v>
      </c>
      <c r="F954" s="193" t="s">
        <v>114</v>
      </c>
      <c r="G954" s="195" t="s">
        <v>10724</v>
      </c>
      <c r="H954" s="166" t="s">
        <v>13436</v>
      </c>
      <c r="I954" s="193" t="s">
        <v>12817</v>
      </c>
      <c r="J954" s="193" t="s">
        <v>12310</v>
      </c>
      <c r="K954" s="170"/>
      <c r="L954" s="193" t="s">
        <v>13097</v>
      </c>
    </row>
    <row r="955" spans="1:12" ht="15.75">
      <c r="A955" s="67">
        <f t="shared" si="14"/>
        <v>953</v>
      </c>
      <c r="B955" s="164">
        <v>953</v>
      </c>
      <c r="C955" s="193" t="s">
        <v>2248</v>
      </c>
      <c r="D955" s="195" t="s">
        <v>5516</v>
      </c>
      <c r="E955" s="193" t="s">
        <v>414</v>
      </c>
      <c r="F955" s="193" t="s">
        <v>114</v>
      </c>
      <c r="G955" s="195" t="s">
        <v>10725</v>
      </c>
      <c r="H955" s="166" t="s">
        <v>13436</v>
      </c>
      <c r="I955" s="193" t="s">
        <v>12820</v>
      </c>
      <c r="J955" s="193" t="s">
        <v>146</v>
      </c>
      <c r="K955" s="170"/>
      <c r="L955" s="193" t="s">
        <v>146</v>
      </c>
    </row>
    <row r="956" spans="1:12" ht="15.75">
      <c r="A956" s="67">
        <f t="shared" si="14"/>
        <v>954</v>
      </c>
      <c r="B956" s="164">
        <v>954</v>
      </c>
      <c r="C956" s="193" t="s">
        <v>2249</v>
      </c>
      <c r="D956" s="195" t="s">
        <v>5517</v>
      </c>
      <c r="E956" s="193" t="s">
        <v>8498</v>
      </c>
      <c r="F956" s="193" t="s">
        <v>114</v>
      </c>
      <c r="G956" s="195" t="s">
        <v>10726</v>
      </c>
      <c r="H956" s="166" t="s">
        <v>13436</v>
      </c>
      <c r="I956" s="193" t="s">
        <v>12832</v>
      </c>
      <c r="J956" s="193" t="s">
        <v>12192</v>
      </c>
      <c r="K956" s="170"/>
      <c r="L956" s="193" t="s">
        <v>146</v>
      </c>
    </row>
    <row r="957" spans="1:12" ht="30">
      <c r="A957" s="67">
        <f t="shared" si="14"/>
        <v>955</v>
      </c>
      <c r="B957" s="164">
        <v>955</v>
      </c>
      <c r="C957" s="193" t="s">
        <v>2250</v>
      </c>
      <c r="D957" s="195" t="s">
        <v>5518</v>
      </c>
      <c r="E957" s="193" t="s">
        <v>8499</v>
      </c>
      <c r="F957" s="193" t="s">
        <v>114</v>
      </c>
      <c r="G957" s="195" t="s">
        <v>10727</v>
      </c>
      <c r="H957" s="166" t="s">
        <v>13436</v>
      </c>
      <c r="I957" s="193" t="s">
        <v>12820</v>
      </c>
      <c r="J957" s="193" t="s">
        <v>146</v>
      </c>
      <c r="K957" s="170"/>
      <c r="L957" s="193" t="s">
        <v>13098</v>
      </c>
    </row>
    <row r="958" spans="1:12" ht="15.75">
      <c r="A958" s="67">
        <f t="shared" si="14"/>
        <v>956</v>
      </c>
      <c r="B958" s="164">
        <v>956</v>
      </c>
      <c r="C958" s="193" t="s">
        <v>2251</v>
      </c>
      <c r="D958" s="195" t="s">
        <v>5519</v>
      </c>
      <c r="E958" s="193" t="s">
        <v>8500</v>
      </c>
      <c r="F958" s="193" t="s">
        <v>114</v>
      </c>
      <c r="G958" s="195" t="s">
        <v>10728</v>
      </c>
      <c r="H958" s="166" t="s">
        <v>13436</v>
      </c>
      <c r="I958" s="193" t="s">
        <v>12820</v>
      </c>
      <c r="J958" s="193" t="s">
        <v>12311</v>
      </c>
      <c r="K958" s="170"/>
      <c r="L958" s="193" t="s">
        <v>146</v>
      </c>
    </row>
    <row r="959" spans="1:12" ht="15.75">
      <c r="A959" s="67">
        <f t="shared" si="14"/>
        <v>957</v>
      </c>
      <c r="B959" s="164">
        <v>957</v>
      </c>
      <c r="C959" s="193" t="s">
        <v>2252</v>
      </c>
      <c r="D959" s="195" t="s">
        <v>5520</v>
      </c>
      <c r="E959" s="193" t="s">
        <v>650</v>
      </c>
      <c r="F959" s="193" t="s">
        <v>114</v>
      </c>
      <c r="G959" s="195" t="s">
        <v>10729</v>
      </c>
      <c r="H959" s="166" t="s">
        <v>13436</v>
      </c>
      <c r="I959" s="193" t="s">
        <v>12820</v>
      </c>
      <c r="J959" s="193" t="s">
        <v>146</v>
      </c>
      <c r="K959" s="170"/>
      <c r="L959" s="193" t="s">
        <v>146</v>
      </c>
    </row>
    <row r="960" spans="1:12" ht="90">
      <c r="A960" s="67">
        <f t="shared" si="14"/>
        <v>958</v>
      </c>
      <c r="B960" s="164">
        <v>958</v>
      </c>
      <c r="C960" s="193" t="s">
        <v>2253</v>
      </c>
      <c r="D960" s="195" t="s">
        <v>5521</v>
      </c>
      <c r="E960" s="193" t="s">
        <v>8501</v>
      </c>
      <c r="F960" s="193" t="s">
        <v>114</v>
      </c>
      <c r="G960" s="195" t="s">
        <v>10730</v>
      </c>
      <c r="H960" s="166" t="s">
        <v>13436</v>
      </c>
      <c r="I960" s="193" t="s">
        <v>12820</v>
      </c>
      <c r="J960" s="193" t="s">
        <v>146</v>
      </c>
      <c r="K960" s="170"/>
      <c r="L960" s="193" t="s">
        <v>13099</v>
      </c>
    </row>
    <row r="961" spans="1:12" ht="15.75">
      <c r="A961" s="67">
        <f t="shared" si="14"/>
        <v>959</v>
      </c>
      <c r="B961" s="164">
        <v>959</v>
      </c>
      <c r="C961" s="193" t="s">
        <v>2254</v>
      </c>
      <c r="D961" s="195" t="s">
        <v>5522</v>
      </c>
      <c r="E961" s="193" t="s">
        <v>543</v>
      </c>
      <c r="F961" s="193" t="s">
        <v>114</v>
      </c>
      <c r="G961" s="195" t="s">
        <v>10731</v>
      </c>
      <c r="H961" s="166" t="s">
        <v>13436</v>
      </c>
      <c r="I961" s="193" t="s">
        <v>12820</v>
      </c>
      <c r="J961" s="193" t="s">
        <v>146</v>
      </c>
      <c r="K961" s="170"/>
      <c r="L961" s="193" t="s">
        <v>146</v>
      </c>
    </row>
    <row r="962" spans="1:12" ht="45">
      <c r="A962" s="67">
        <f t="shared" si="14"/>
        <v>960</v>
      </c>
      <c r="B962" s="164">
        <v>960</v>
      </c>
      <c r="C962" s="193" t="s">
        <v>2255</v>
      </c>
      <c r="D962" s="195" t="s">
        <v>5523</v>
      </c>
      <c r="E962" s="193" t="s">
        <v>8502</v>
      </c>
      <c r="F962" s="193" t="s">
        <v>114</v>
      </c>
      <c r="G962" s="195" t="s">
        <v>10732</v>
      </c>
      <c r="H962" s="166" t="s">
        <v>13436</v>
      </c>
      <c r="I962" s="193" t="s">
        <v>12820</v>
      </c>
      <c r="J962" s="219" t="s">
        <v>146</v>
      </c>
      <c r="K962" s="170"/>
      <c r="L962" s="219" t="s">
        <v>13100</v>
      </c>
    </row>
    <row r="963" spans="1:12" ht="15.75">
      <c r="A963" s="67">
        <f t="shared" ref="A963:A1026" si="15">IFERROR(VALUE(RIGHT(C963,4)),"")</f>
        <v>961</v>
      </c>
      <c r="B963" s="164">
        <v>961</v>
      </c>
      <c r="C963" s="193" t="s">
        <v>2256</v>
      </c>
      <c r="D963" s="195" t="s">
        <v>5524</v>
      </c>
      <c r="E963" s="193" t="s">
        <v>8503</v>
      </c>
      <c r="F963" s="193" t="s">
        <v>114</v>
      </c>
      <c r="G963" s="195" t="s">
        <v>10733</v>
      </c>
      <c r="H963" s="166" t="s">
        <v>13436</v>
      </c>
      <c r="I963" s="193" t="s">
        <v>12820</v>
      </c>
      <c r="J963" s="193" t="s">
        <v>146</v>
      </c>
      <c r="K963" s="170"/>
      <c r="L963" s="193" t="s">
        <v>146</v>
      </c>
    </row>
    <row r="964" spans="1:12" ht="30">
      <c r="A964" s="67">
        <f t="shared" si="15"/>
        <v>962</v>
      </c>
      <c r="B964" s="164">
        <v>962</v>
      </c>
      <c r="C964" s="193" t="s">
        <v>2257</v>
      </c>
      <c r="D964" s="195" t="s">
        <v>5525</v>
      </c>
      <c r="E964" s="193" t="s">
        <v>8504</v>
      </c>
      <c r="F964" s="193" t="s">
        <v>114</v>
      </c>
      <c r="G964" s="195" t="s">
        <v>10734</v>
      </c>
      <c r="H964" s="166" t="s">
        <v>13436</v>
      </c>
      <c r="I964" s="193" t="s">
        <v>12820</v>
      </c>
      <c r="J964" s="193" t="s">
        <v>12312</v>
      </c>
      <c r="K964" s="170"/>
      <c r="L964" s="193" t="s">
        <v>146</v>
      </c>
    </row>
    <row r="965" spans="1:12" ht="30">
      <c r="A965" s="67">
        <f t="shared" si="15"/>
        <v>963</v>
      </c>
      <c r="B965" s="164">
        <v>963</v>
      </c>
      <c r="C965" s="193" t="s">
        <v>2258</v>
      </c>
      <c r="D965" s="195" t="s">
        <v>5526</v>
      </c>
      <c r="E965" s="193" t="s">
        <v>8505</v>
      </c>
      <c r="F965" s="193" t="s">
        <v>114</v>
      </c>
      <c r="G965" s="195" t="s">
        <v>10735</v>
      </c>
      <c r="H965" s="166" t="s">
        <v>13436</v>
      </c>
      <c r="I965" s="193" t="s">
        <v>12820</v>
      </c>
      <c r="J965" s="193" t="s">
        <v>12313</v>
      </c>
      <c r="K965" s="170"/>
      <c r="L965" s="193" t="s">
        <v>146</v>
      </c>
    </row>
    <row r="966" spans="1:12" ht="15.75">
      <c r="A966" s="67">
        <f t="shared" si="15"/>
        <v>964</v>
      </c>
      <c r="B966" s="164">
        <v>964</v>
      </c>
      <c r="C966" s="193" t="s">
        <v>2259</v>
      </c>
      <c r="D966" s="195" t="s">
        <v>5527</v>
      </c>
      <c r="E966" s="193" t="s">
        <v>8506</v>
      </c>
      <c r="F966" s="193" t="s">
        <v>114</v>
      </c>
      <c r="G966" s="195" t="s">
        <v>10736</v>
      </c>
      <c r="H966" s="166" t="s">
        <v>13436</v>
      </c>
      <c r="I966" s="193" t="s">
        <v>12820</v>
      </c>
      <c r="J966" s="193" t="s">
        <v>146</v>
      </c>
      <c r="K966" s="170"/>
      <c r="L966" s="193" t="s">
        <v>146</v>
      </c>
    </row>
    <row r="967" spans="1:12" ht="15.75">
      <c r="A967" s="67">
        <f t="shared" si="15"/>
        <v>965</v>
      </c>
      <c r="B967" s="164">
        <v>965</v>
      </c>
      <c r="C967" s="193" t="s">
        <v>2260</v>
      </c>
      <c r="D967" s="195" t="s">
        <v>5528</v>
      </c>
      <c r="E967" s="193" t="s">
        <v>8507</v>
      </c>
      <c r="F967" s="193" t="s">
        <v>114</v>
      </c>
      <c r="G967" s="195" t="s">
        <v>10737</v>
      </c>
      <c r="H967" s="166" t="s">
        <v>13436</v>
      </c>
      <c r="I967" s="193" t="s">
        <v>12814</v>
      </c>
      <c r="J967" s="193" t="s">
        <v>1252</v>
      </c>
      <c r="K967" s="170"/>
      <c r="L967" s="193" t="s">
        <v>146</v>
      </c>
    </row>
    <row r="968" spans="1:12" ht="30">
      <c r="A968" s="67">
        <f t="shared" si="15"/>
        <v>966</v>
      </c>
      <c r="B968" s="164">
        <v>966</v>
      </c>
      <c r="C968" s="193" t="s">
        <v>2261</v>
      </c>
      <c r="D968" s="195" t="s">
        <v>5529</v>
      </c>
      <c r="E968" s="193" t="s">
        <v>8508</v>
      </c>
      <c r="F968" s="193" t="s">
        <v>114</v>
      </c>
      <c r="G968" s="195" t="s">
        <v>10738</v>
      </c>
      <c r="H968" s="166" t="s">
        <v>13436</v>
      </c>
      <c r="I968" s="193" t="s">
        <v>12820</v>
      </c>
      <c r="J968" s="193" t="s">
        <v>12314</v>
      </c>
      <c r="K968" s="170"/>
      <c r="L968" s="193" t="s">
        <v>146</v>
      </c>
    </row>
    <row r="969" spans="1:12" ht="30">
      <c r="A969" s="67">
        <f t="shared" si="15"/>
        <v>967</v>
      </c>
      <c r="B969" s="164">
        <v>967</v>
      </c>
      <c r="C969" s="193" t="s">
        <v>2262</v>
      </c>
      <c r="D969" s="195" t="s">
        <v>5530</v>
      </c>
      <c r="E969" s="193" t="s">
        <v>8509</v>
      </c>
      <c r="F969" s="193" t="s">
        <v>114</v>
      </c>
      <c r="G969" s="195" t="s">
        <v>10060</v>
      </c>
      <c r="H969" s="166" t="s">
        <v>13436</v>
      </c>
      <c r="I969" s="193" t="s">
        <v>12820</v>
      </c>
      <c r="J969" s="193" t="s">
        <v>146</v>
      </c>
      <c r="K969" s="170"/>
      <c r="L969" s="193" t="s">
        <v>13101</v>
      </c>
    </row>
    <row r="970" spans="1:12" ht="15.75">
      <c r="A970" s="67">
        <f t="shared" si="15"/>
        <v>968</v>
      </c>
      <c r="B970" s="164">
        <v>968</v>
      </c>
      <c r="C970" s="193" t="s">
        <v>2263</v>
      </c>
      <c r="D970" s="195" t="s">
        <v>5531</v>
      </c>
      <c r="E970" s="193" t="s">
        <v>8510</v>
      </c>
      <c r="F970" s="193" t="s">
        <v>114</v>
      </c>
      <c r="G970" s="195" t="s">
        <v>10739</v>
      </c>
      <c r="H970" s="166" t="s">
        <v>13436</v>
      </c>
      <c r="I970" s="193" t="s">
        <v>12820</v>
      </c>
      <c r="J970" s="193" t="s">
        <v>146</v>
      </c>
      <c r="K970" s="170"/>
      <c r="L970" s="193" t="s">
        <v>146</v>
      </c>
    </row>
    <row r="971" spans="1:12" ht="30">
      <c r="A971" s="67">
        <f t="shared" si="15"/>
        <v>969</v>
      </c>
      <c r="B971" s="164">
        <v>969</v>
      </c>
      <c r="C971" s="193" t="s">
        <v>2264</v>
      </c>
      <c r="D971" s="195" t="s">
        <v>5532</v>
      </c>
      <c r="E971" s="193" t="s">
        <v>8511</v>
      </c>
      <c r="F971" s="193" t="s">
        <v>114</v>
      </c>
      <c r="G971" s="195" t="s">
        <v>795</v>
      </c>
      <c r="H971" s="166" t="s">
        <v>13436</v>
      </c>
      <c r="I971" s="193" t="s">
        <v>12820</v>
      </c>
      <c r="J971" s="193" t="s">
        <v>12315</v>
      </c>
      <c r="K971" s="170"/>
      <c r="L971" s="193" t="s">
        <v>146</v>
      </c>
    </row>
    <row r="972" spans="1:12" ht="15.75">
      <c r="A972" s="67">
        <f t="shared" si="15"/>
        <v>970</v>
      </c>
      <c r="B972" s="164">
        <v>970</v>
      </c>
      <c r="C972" s="193" t="s">
        <v>2265</v>
      </c>
      <c r="D972" s="195" t="s">
        <v>5533</v>
      </c>
      <c r="E972" s="193" t="s">
        <v>8512</v>
      </c>
      <c r="F972" s="193" t="s">
        <v>114</v>
      </c>
      <c r="G972" s="195" t="s">
        <v>10098</v>
      </c>
      <c r="H972" s="166" t="s">
        <v>13436</v>
      </c>
      <c r="I972" s="193" t="s">
        <v>12820</v>
      </c>
      <c r="J972" s="193" t="s">
        <v>12316</v>
      </c>
      <c r="K972" s="170"/>
      <c r="L972" s="193" t="s">
        <v>146</v>
      </c>
    </row>
    <row r="973" spans="1:12" ht="30">
      <c r="A973" s="67">
        <f t="shared" si="15"/>
        <v>971</v>
      </c>
      <c r="B973" s="164">
        <v>971</v>
      </c>
      <c r="C973" s="193" t="s">
        <v>2266</v>
      </c>
      <c r="D973" s="195" t="s">
        <v>5534</v>
      </c>
      <c r="E973" s="193" t="s">
        <v>8513</v>
      </c>
      <c r="F973" s="193" t="s">
        <v>114</v>
      </c>
      <c r="G973" s="195" t="s">
        <v>10740</v>
      </c>
      <c r="H973" s="166" t="s">
        <v>13436</v>
      </c>
      <c r="I973" s="193" t="s">
        <v>12820</v>
      </c>
      <c r="J973" s="193" t="s">
        <v>12317</v>
      </c>
      <c r="K973" s="170"/>
      <c r="L973" s="193" t="s">
        <v>146</v>
      </c>
    </row>
    <row r="974" spans="1:12" ht="15.75">
      <c r="A974" s="67">
        <f t="shared" si="15"/>
        <v>972</v>
      </c>
      <c r="B974" s="164">
        <v>972</v>
      </c>
      <c r="C974" s="193" t="s">
        <v>2267</v>
      </c>
      <c r="D974" s="195" t="s">
        <v>5535</v>
      </c>
      <c r="E974" s="193" t="s">
        <v>8514</v>
      </c>
      <c r="F974" s="193" t="s">
        <v>114</v>
      </c>
      <c r="G974" s="195" t="s">
        <v>10126</v>
      </c>
      <c r="H974" s="166" t="s">
        <v>13436</v>
      </c>
      <c r="I974" s="193" t="s">
        <v>12820</v>
      </c>
      <c r="J974" s="193" t="s">
        <v>12318</v>
      </c>
      <c r="K974" s="170"/>
      <c r="L974" s="193" t="s">
        <v>146</v>
      </c>
    </row>
    <row r="975" spans="1:12" ht="60">
      <c r="A975" s="67">
        <f t="shared" si="15"/>
        <v>973</v>
      </c>
      <c r="B975" s="164">
        <v>973</v>
      </c>
      <c r="C975" s="193" t="s">
        <v>2268</v>
      </c>
      <c r="D975" s="195" t="s">
        <v>5536</v>
      </c>
      <c r="E975" s="193" t="s">
        <v>423</v>
      </c>
      <c r="F975" s="193" t="s">
        <v>114</v>
      </c>
      <c r="G975" s="195" t="s">
        <v>10222</v>
      </c>
      <c r="H975" s="166" t="s">
        <v>13436</v>
      </c>
      <c r="I975" s="193" t="s">
        <v>12820</v>
      </c>
      <c r="J975" s="193" t="s">
        <v>12319</v>
      </c>
      <c r="K975" s="170"/>
      <c r="L975" s="193" t="s">
        <v>13102</v>
      </c>
    </row>
    <row r="976" spans="1:12" ht="30">
      <c r="A976" s="67">
        <f t="shared" si="15"/>
        <v>974</v>
      </c>
      <c r="B976" s="164">
        <v>974</v>
      </c>
      <c r="C976" s="193" t="s">
        <v>2269</v>
      </c>
      <c r="D976" s="195" t="s">
        <v>5537</v>
      </c>
      <c r="E976" s="193" t="s">
        <v>427</v>
      </c>
      <c r="F976" s="193" t="s">
        <v>114</v>
      </c>
      <c r="G976" s="195" t="s">
        <v>722</v>
      </c>
      <c r="H976" s="166" t="s">
        <v>13436</v>
      </c>
      <c r="I976" s="193" t="s">
        <v>12820</v>
      </c>
      <c r="J976" s="219" t="s">
        <v>146</v>
      </c>
      <c r="K976" s="170"/>
      <c r="L976" s="193" t="s">
        <v>13103</v>
      </c>
    </row>
    <row r="977" spans="1:12" ht="15.75">
      <c r="A977" s="67">
        <f t="shared" si="15"/>
        <v>975</v>
      </c>
      <c r="B977" s="164">
        <v>975</v>
      </c>
      <c r="C977" s="193" t="s">
        <v>2270</v>
      </c>
      <c r="D977" s="195" t="s">
        <v>5538</v>
      </c>
      <c r="E977" s="193" t="s">
        <v>343</v>
      </c>
      <c r="F977" s="193" t="s">
        <v>114</v>
      </c>
      <c r="G977" s="195" t="s">
        <v>10688</v>
      </c>
      <c r="H977" s="166" t="s">
        <v>13436</v>
      </c>
      <c r="I977" s="193" t="s">
        <v>12820</v>
      </c>
      <c r="J977" s="193" t="s">
        <v>146</v>
      </c>
      <c r="K977" s="170"/>
      <c r="L977" s="193" t="s">
        <v>146</v>
      </c>
    </row>
    <row r="978" spans="1:12" ht="30">
      <c r="A978" s="67">
        <f t="shared" si="15"/>
        <v>976</v>
      </c>
      <c r="B978" s="164">
        <v>976</v>
      </c>
      <c r="C978" s="193" t="s">
        <v>2271</v>
      </c>
      <c r="D978" s="195" t="s">
        <v>5539</v>
      </c>
      <c r="E978" s="193" t="s">
        <v>389</v>
      </c>
      <c r="F978" s="193" t="s">
        <v>114</v>
      </c>
      <c r="G978" s="195" t="s">
        <v>1143</v>
      </c>
      <c r="H978" s="166" t="s">
        <v>13436</v>
      </c>
      <c r="I978" s="193" t="s">
        <v>12820</v>
      </c>
      <c r="J978" s="219" t="s">
        <v>12320</v>
      </c>
      <c r="K978" s="170"/>
      <c r="L978" s="193" t="s">
        <v>146</v>
      </c>
    </row>
    <row r="979" spans="1:12" ht="30">
      <c r="A979" s="67">
        <f t="shared" si="15"/>
        <v>977</v>
      </c>
      <c r="B979" s="164">
        <v>977</v>
      </c>
      <c r="C979" s="193" t="s">
        <v>2272</v>
      </c>
      <c r="D979" s="195" t="s">
        <v>5540</v>
      </c>
      <c r="E979" s="193" t="s">
        <v>8515</v>
      </c>
      <c r="F979" s="193" t="s">
        <v>114</v>
      </c>
      <c r="G979" s="195" t="s">
        <v>10272</v>
      </c>
      <c r="H979" s="166" t="s">
        <v>13436</v>
      </c>
      <c r="I979" s="193" t="s">
        <v>12820</v>
      </c>
      <c r="J979" s="193" t="s">
        <v>164</v>
      </c>
      <c r="K979" s="170"/>
      <c r="L979" s="193" t="s">
        <v>13104</v>
      </c>
    </row>
    <row r="980" spans="1:12" ht="15.75">
      <c r="A980" s="67">
        <f t="shared" si="15"/>
        <v>978</v>
      </c>
      <c r="B980" s="164">
        <v>978</v>
      </c>
      <c r="C980" s="193" t="s">
        <v>2273</v>
      </c>
      <c r="D980" s="195" t="s">
        <v>5541</v>
      </c>
      <c r="E980" s="193" t="s">
        <v>8516</v>
      </c>
      <c r="F980" s="193" t="s">
        <v>114</v>
      </c>
      <c r="G980" s="195" t="s">
        <v>10741</v>
      </c>
      <c r="H980" s="166" t="s">
        <v>13436</v>
      </c>
      <c r="I980" s="193" t="s">
        <v>12820</v>
      </c>
      <c r="J980" s="193" t="s">
        <v>146</v>
      </c>
      <c r="K980" s="170"/>
      <c r="L980" s="193" t="s">
        <v>146</v>
      </c>
    </row>
    <row r="981" spans="1:12" ht="30">
      <c r="A981" s="67">
        <f t="shared" si="15"/>
        <v>979</v>
      </c>
      <c r="B981" s="164">
        <v>979</v>
      </c>
      <c r="C981" s="193" t="s">
        <v>2274</v>
      </c>
      <c r="D981" s="195" t="s">
        <v>5542</v>
      </c>
      <c r="E981" s="193" t="s">
        <v>8517</v>
      </c>
      <c r="F981" s="193" t="s">
        <v>114</v>
      </c>
      <c r="G981" s="195" t="s">
        <v>10742</v>
      </c>
      <c r="H981" s="166" t="s">
        <v>13436</v>
      </c>
      <c r="I981" s="193" t="s">
        <v>12820</v>
      </c>
      <c r="J981" s="193" t="s">
        <v>12321</v>
      </c>
      <c r="K981" s="170"/>
      <c r="L981" s="193" t="s">
        <v>13105</v>
      </c>
    </row>
    <row r="982" spans="1:12" ht="60">
      <c r="A982" s="67">
        <f t="shared" si="15"/>
        <v>980</v>
      </c>
      <c r="B982" s="164">
        <v>980</v>
      </c>
      <c r="C982" s="193" t="s">
        <v>2275</v>
      </c>
      <c r="D982" s="195" t="s">
        <v>5543</v>
      </c>
      <c r="E982" s="193" t="s">
        <v>420</v>
      </c>
      <c r="F982" s="193" t="s">
        <v>114</v>
      </c>
      <c r="G982" s="195" t="s">
        <v>702</v>
      </c>
      <c r="H982" s="166" t="s">
        <v>13436</v>
      </c>
      <c r="I982" s="193" t="s">
        <v>12820</v>
      </c>
      <c r="J982" s="219" t="s">
        <v>12322</v>
      </c>
      <c r="K982" s="170"/>
      <c r="L982" s="193" t="s">
        <v>146</v>
      </c>
    </row>
    <row r="983" spans="1:12" ht="60">
      <c r="A983" s="67">
        <f t="shared" si="15"/>
        <v>981</v>
      </c>
      <c r="B983" s="164">
        <v>981</v>
      </c>
      <c r="C983" s="193" t="s">
        <v>2276</v>
      </c>
      <c r="D983" s="195" t="s">
        <v>5544</v>
      </c>
      <c r="E983" s="193" t="s">
        <v>8518</v>
      </c>
      <c r="F983" s="193" t="s">
        <v>114</v>
      </c>
      <c r="G983" s="195" t="s">
        <v>10743</v>
      </c>
      <c r="H983" s="166" t="s">
        <v>13436</v>
      </c>
      <c r="I983" s="193" t="s">
        <v>12820</v>
      </c>
      <c r="J983" s="193" t="s">
        <v>146</v>
      </c>
      <c r="K983" s="170"/>
      <c r="L983" s="193" t="s">
        <v>13106</v>
      </c>
    </row>
    <row r="984" spans="1:12" ht="30">
      <c r="A984" s="67">
        <f t="shared" si="15"/>
        <v>982</v>
      </c>
      <c r="B984" s="164">
        <v>982</v>
      </c>
      <c r="C984" s="193" t="s">
        <v>2277</v>
      </c>
      <c r="D984" s="195" t="s">
        <v>5545</v>
      </c>
      <c r="E984" s="193" t="s">
        <v>163</v>
      </c>
      <c r="F984" s="193" t="s">
        <v>114</v>
      </c>
      <c r="G984" s="195" t="s">
        <v>10744</v>
      </c>
      <c r="H984" s="166" t="s">
        <v>13436</v>
      </c>
      <c r="I984" s="193" t="s">
        <v>12832</v>
      </c>
      <c r="J984" s="193" t="s">
        <v>12323</v>
      </c>
      <c r="K984" s="170"/>
      <c r="L984" s="193" t="s">
        <v>13107</v>
      </c>
    </row>
    <row r="985" spans="1:12" ht="15.75">
      <c r="A985" s="67">
        <f t="shared" si="15"/>
        <v>983</v>
      </c>
      <c r="B985" s="164">
        <v>983</v>
      </c>
      <c r="C985" s="193" t="s">
        <v>2278</v>
      </c>
      <c r="D985" s="195" t="s">
        <v>5546</v>
      </c>
      <c r="E985" s="193" t="s">
        <v>8519</v>
      </c>
      <c r="F985" s="193" t="s">
        <v>114</v>
      </c>
      <c r="G985" s="195" t="s">
        <v>10438</v>
      </c>
      <c r="H985" s="166" t="s">
        <v>13436</v>
      </c>
      <c r="I985" s="193" t="s">
        <v>12820</v>
      </c>
      <c r="J985" s="193" t="s">
        <v>146</v>
      </c>
      <c r="K985" s="170"/>
      <c r="L985" s="193" t="s">
        <v>146</v>
      </c>
    </row>
    <row r="986" spans="1:12" ht="15.75">
      <c r="A986" s="67">
        <f t="shared" si="15"/>
        <v>984</v>
      </c>
      <c r="B986" s="164">
        <v>984</v>
      </c>
      <c r="C986" s="193" t="s">
        <v>2279</v>
      </c>
      <c r="D986" s="195" t="s">
        <v>5547</v>
      </c>
      <c r="E986" s="193" t="s">
        <v>350</v>
      </c>
      <c r="F986" s="193" t="s">
        <v>114</v>
      </c>
      <c r="G986" s="195" t="s">
        <v>10745</v>
      </c>
      <c r="H986" s="166" t="s">
        <v>13436</v>
      </c>
      <c r="I986" s="193" t="s">
        <v>12820</v>
      </c>
      <c r="J986" s="193" t="s">
        <v>146</v>
      </c>
      <c r="K986" s="170"/>
      <c r="L986" s="193" t="s">
        <v>146</v>
      </c>
    </row>
    <row r="987" spans="1:12" ht="60">
      <c r="A987" s="67">
        <f t="shared" si="15"/>
        <v>985</v>
      </c>
      <c r="B987" s="164">
        <v>985</v>
      </c>
      <c r="C987" s="193" t="s">
        <v>2280</v>
      </c>
      <c r="D987" s="195" t="s">
        <v>5548</v>
      </c>
      <c r="E987" s="193" t="s">
        <v>8520</v>
      </c>
      <c r="F987" s="193" t="s">
        <v>114</v>
      </c>
      <c r="G987" s="195" t="s">
        <v>10746</v>
      </c>
      <c r="H987" s="166" t="s">
        <v>13436</v>
      </c>
      <c r="I987" s="193" t="s">
        <v>12820</v>
      </c>
      <c r="J987" s="193" t="s">
        <v>146</v>
      </c>
      <c r="K987" s="170"/>
      <c r="L987" s="193" t="s">
        <v>13108</v>
      </c>
    </row>
    <row r="988" spans="1:12" ht="15.75">
      <c r="A988" s="67">
        <f t="shared" si="15"/>
        <v>986</v>
      </c>
      <c r="B988" s="164">
        <v>986</v>
      </c>
      <c r="C988" s="193" t="s">
        <v>2281</v>
      </c>
      <c r="D988" s="195" t="s">
        <v>5549</v>
      </c>
      <c r="E988" s="193" t="s">
        <v>8521</v>
      </c>
      <c r="F988" s="193" t="s">
        <v>114</v>
      </c>
      <c r="G988" s="195" t="s">
        <v>10747</v>
      </c>
      <c r="H988" s="166" t="s">
        <v>13436</v>
      </c>
      <c r="I988" s="193" t="s">
        <v>12820</v>
      </c>
      <c r="J988" s="219" t="s">
        <v>146</v>
      </c>
      <c r="K988" s="170"/>
      <c r="L988" s="193" t="s">
        <v>146</v>
      </c>
    </row>
    <row r="989" spans="1:12" ht="15.75">
      <c r="A989" s="67">
        <f t="shared" si="15"/>
        <v>987</v>
      </c>
      <c r="B989" s="164">
        <v>987</v>
      </c>
      <c r="C989" s="193" t="s">
        <v>2282</v>
      </c>
      <c r="D989" s="195" t="s">
        <v>5550</v>
      </c>
      <c r="E989" s="193" t="s">
        <v>152</v>
      </c>
      <c r="F989" s="193" t="s">
        <v>114</v>
      </c>
      <c r="G989" s="195" t="s">
        <v>10748</v>
      </c>
      <c r="H989" s="166" t="s">
        <v>13436</v>
      </c>
      <c r="I989" s="193" t="s">
        <v>12820</v>
      </c>
      <c r="J989" s="193" t="s">
        <v>146</v>
      </c>
      <c r="K989" s="170"/>
      <c r="L989" s="193" t="s">
        <v>146</v>
      </c>
    </row>
    <row r="990" spans="1:12" ht="15.75">
      <c r="A990" s="67">
        <f t="shared" si="15"/>
        <v>988</v>
      </c>
      <c r="B990" s="164">
        <v>988</v>
      </c>
      <c r="C990" s="193" t="s">
        <v>2283</v>
      </c>
      <c r="D990" s="195" t="s">
        <v>5551</v>
      </c>
      <c r="E990" s="193" t="s">
        <v>8522</v>
      </c>
      <c r="F990" s="193" t="s">
        <v>59</v>
      </c>
      <c r="G990" s="195" t="s">
        <v>10749</v>
      </c>
      <c r="H990" s="166" t="s">
        <v>13436</v>
      </c>
      <c r="I990" s="193" t="s">
        <v>12836</v>
      </c>
      <c r="J990" s="193" t="s">
        <v>147</v>
      </c>
      <c r="K990" s="170"/>
      <c r="L990" s="193"/>
    </row>
    <row r="991" spans="1:12" ht="60">
      <c r="A991" s="67">
        <f t="shared" si="15"/>
        <v>989</v>
      </c>
      <c r="B991" s="164">
        <v>989</v>
      </c>
      <c r="C991" s="193" t="s">
        <v>2284</v>
      </c>
      <c r="D991" s="195" t="s">
        <v>5552</v>
      </c>
      <c r="E991" s="193" t="s">
        <v>8523</v>
      </c>
      <c r="F991" s="193" t="s">
        <v>114</v>
      </c>
      <c r="G991" s="195" t="s">
        <v>10750</v>
      </c>
      <c r="H991" s="166" t="s">
        <v>13436</v>
      </c>
      <c r="I991" s="193" t="s">
        <v>12817</v>
      </c>
      <c r="J991" s="193" t="s">
        <v>12324</v>
      </c>
      <c r="K991" s="170"/>
      <c r="L991" s="193" t="s">
        <v>146</v>
      </c>
    </row>
    <row r="992" spans="1:12" ht="15.75">
      <c r="A992" s="67">
        <f t="shared" si="15"/>
        <v>990</v>
      </c>
      <c r="B992" s="164">
        <v>990</v>
      </c>
      <c r="C992" s="193" t="s">
        <v>2285</v>
      </c>
      <c r="D992" s="195" t="s">
        <v>5553</v>
      </c>
      <c r="E992" s="193" t="s">
        <v>8524</v>
      </c>
      <c r="F992" s="193" t="s">
        <v>59</v>
      </c>
      <c r="G992" s="195" t="s">
        <v>10751</v>
      </c>
      <c r="H992" s="166" t="s">
        <v>13436</v>
      </c>
      <c r="I992" s="193" t="s">
        <v>12821</v>
      </c>
      <c r="J992" s="193" t="s">
        <v>146</v>
      </c>
      <c r="K992" s="170"/>
      <c r="L992" s="193"/>
    </row>
    <row r="993" spans="1:12" ht="45">
      <c r="A993" s="67">
        <f t="shared" si="15"/>
        <v>991</v>
      </c>
      <c r="B993" s="164">
        <v>991</v>
      </c>
      <c r="C993" s="193" t="s">
        <v>2286</v>
      </c>
      <c r="D993" s="195" t="s">
        <v>5554</v>
      </c>
      <c r="E993" s="193" t="s">
        <v>8525</v>
      </c>
      <c r="F993" s="193" t="s">
        <v>59</v>
      </c>
      <c r="G993" s="195" t="s">
        <v>10752</v>
      </c>
      <c r="H993" s="166" t="s">
        <v>13436</v>
      </c>
      <c r="I993" s="193" t="s">
        <v>12836</v>
      </c>
      <c r="J993" s="219" t="s">
        <v>12325</v>
      </c>
      <c r="K993" s="170"/>
      <c r="L993" s="193"/>
    </row>
    <row r="994" spans="1:12" ht="75">
      <c r="A994" s="67">
        <f t="shared" si="15"/>
        <v>992</v>
      </c>
      <c r="B994" s="164">
        <v>992</v>
      </c>
      <c r="C994" s="193" t="s">
        <v>2287</v>
      </c>
      <c r="D994" s="195" t="s">
        <v>5555</v>
      </c>
      <c r="E994" s="193" t="s">
        <v>8526</v>
      </c>
      <c r="F994" s="193" t="s">
        <v>114</v>
      </c>
      <c r="G994" s="195" t="s">
        <v>10099</v>
      </c>
      <c r="H994" s="166" t="s">
        <v>13436</v>
      </c>
      <c r="I994" s="193" t="s">
        <v>12836</v>
      </c>
      <c r="J994" s="193" t="s">
        <v>12326</v>
      </c>
      <c r="K994" s="170"/>
      <c r="L994" s="193" t="s">
        <v>13109</v>
      </c>
    </row>
    <row r="995" spans="1:12" ht="15.75">
      <c r="A995" s="67">
        <f t="shared" si="15"/>
        <v>993</v>
      </c>
      <c r="B995" s="164">
        <v>993</v>
      </c>
      <c r="C995" s="193" t="s">
        <v>2288</v>
      </c>
      <c r="D995" s="195" t="s">
        <v>5556</v>
      </c>
      <c r="E995" s="193" t="s">
        <v>8527</v>
      </c>
      <c r="F995" s="193" t="s">
        <v>59</v>
      </c>
      <c r="G995" s="195" t="s">
        <v>10753</v>
      </c>
      <c r="H995" s="166" t="s">
        <v>13436</v>
      </c>
      <c r="I995" s="193" t="s">
        <v>12824</v>
      </c>
      <c r="J995" s="193" t="s">
        <v>146</v>
      </c>
      <c r="K995" s="170"/>
      <c r="L995" s="193"/>
    </row>
    <row r="996" spans="1:12" ht="15.75">
      <c r="A996" s="67">
        <f t="shared" si="15"/>
        <v>994</v>
      </c>
      <c r="B996" s="164">
        <v>994</v>
      </c>
      <c r="C996" s="193" t="s">
        <v>2289</v>
      </c>
      <c r="D996" s="195" t="s">
        <v>5557</v>
      </c>
      <c r="E996" s="193" t="s">
        <v>8528</v>
      </c>
      <c r="F996" s="193" t="s">
        <v>114</v>
      </c>
      <c r="G996" s="195" t="s">
        <v>10473</v>
      </c>
      <c r="H996" s="166" t="s">
        <v>13436</v>
      </c>
      <c r="I996" s="193" t="s">
        <v>12825</v>
      </c>
      <c r="J996" s="193" t="s">
        <v>146</v>
      </c>
      <c r="K996" s="170"/>
      <c r="L996" s="193" t="s">
        <v>146</v>
      </c>
    </row>
    <row r="997" spans="1:12" ht="15.75">
      <c r="A997" s="67">
        <f t="shared" si="15"/>
        <v>995</v>
      </c>
      <c r="B997" s="164">
        <v>995</v>
      </c>
      <c r="C997" s="193" t="s">
        <v>2290</v>
      </c>
      <c r="D997" s="195" t="s">
        <v>5558</v>
      </c>
      <c r="E997" s="193" t="s">
        <v>8529</v>
      </c>
      <c r="F997" s="193" t="s">
        <v>114</v>
      </c>
      <c r="G997" s="195" t="s">
        <v>10754</v>
      </c>
      <c r="H997" s="166" t="s">
        <v>13436</v>
      </c>
      <c r="I997" s="193" t="s">
        <v>12826</v>
      </c>
      <c r="J997" s="193" t="s">
        <v>12327</v>
      </c>
      <c r="K997" s="170"/>
      <c r="L997" s="193" t="s">
        <v>146</v>
      </c>
    </row>
    <row r="998" spans="1:12" ht="45">
      <c r="A998" s="67">
        <f t="shared" si="15"/>
        <v>996</v>
      </c>
      <c r="B998" s="164">
        <v>996</v>
      </c>
      <c r="C998" s="193" t="s">
        <v>2291</v>
      </c>
      <c r="D998" s="195" t="s">
        <v>5559</v>
      </c>
      <c r="E998" s="193" t="s">
        <v>8530</v>
      </c>
      <c r="F998" s="193" t="s">
        <v>114</v>
      </c>
      <c r="G998" s="195" t="s">
        <v>10755</v>
      </c>
      <c r="H998" s="166" t="s">
        <v>13436</v>
      </c>
      <c r="I998" s="193" t="s">
        <v>12826</v>
      </c>
      <c r="J998" s="193" t="s">
        <v>146</v>
      </c>
      <c r="K998" s="170"/>
      <c r="L998" s="193" t="s">
        <v>13110</v>
      </c>
    </row>
    <row r="999" spans="1:12" ht="15.75">
      <c r="A999" s="67">
        <f t="shared" si="15"/>
        <v>997</v>
      </c>
      <c r="B999" s="164">
        <v>997</v>
      </c>
      <c r="C999" s="193" t="s">
        <v>2292</v>
      </c>
      <c r="D999" s="195" t="s">
        <v>5560</v>
      </c>
      <c r="E999" s="193" t="s">
        <v>653</v>
      </c>
      <c r="F999" s="193" t="s">
        <v>114</v>
      </c>
      <c r="G999" s="195" t="s">
        <v>10756</v>
      </c>
      <c r="H999" s="166" t="s">
        <v>13436</v>
      </c>
      <c r="I999" s="193" t="s">
        <v>12826</v>
      </c>
      <c r="J999" s="219" t="s">
        <v>146</v>
      </c>
      <c r="K999" s="170"/>
      <c r="L999" s="193" t="s">
        <v>146</v>
      </c>
    </row>
    <row r="1000" spans="1:12" ht="15.75">
      <c r="A1000" s="67">
        <f t="shared" si="15"/>
        <v>998</v>
      </c>
      <c r="B1000" s="164">
        <v>998</v>
      </c>
      <c r="C1000" s="193" t="s">
        <v>2293</v>
      </c>
      <c r="D1000" s="195" t="s">
        <v>5561</v>
      </c>
      <c r="E1000" s="193" t="s">
        <v>399</v>
      </c>
      <c r="F1000" s="193" t="s">
        <v>114</v>
      </c>
      <c r="G1000" s="195" t="s">
        <v>10757</v>
      </c>
      <c r="H1000" s="166" t="s">
        <v>13436</v>
      </c>
      <c r="I1000" s="193" t="s">
        <v>12826</v>
      </c>
      <c r="J1000" s="193" t="s">
        <v>146</v>
      </c>
      <c r="K1000" s="170"/>
      <c r="L1000" s="193" t="s">
        <v>146</v>
      </c>
    </row>
    <row r="1001" spans="1:12" ht="15.75">
      <c r="A1001" s="67">
        <f t="shared" si="15"/>
        <v>999</v>
      </c>
      <c r="B1001" s="164">
        <v>999</v>
      </c>
      <c r="C1001" s="193" t="s">
        <v>2294</v>
      </c>
      <c r="D1001" s="195" t="s">
        <v>5562</v>
      </c>
      <c r="E1001" s="193" t="s">
        <v>8531</v>
      </c>
      <c r="F1001" s="193" t="s">
        <v>114</v>
      </c>
      <c r="G1001" s="195" t="s">
        <v>10758</v>
      </c>
      <c r="H1001" s="166" t="s">
        <v>13436</v>
      </c>
      <c r="I1001" s="193" t="s">
        <v>12826</v>
      </c>
      <c r="J1001" s="193" t="s">
        <v>146</v>
      </c>
      <c r="K1001" s="170"/>
      <c r="L1001" s="193" t="s">
        <v>146</v>
      </c>
    </row>
    <row r="1002" spans="1:12" ht="105">
      <c r="A1002" s="67">
        <f t="shared" si="15"/>
        <v>1000</v>
      </c>
      <c r="B1002" s="164">
        <v>1000</v>
      </c>
      <c r="C1002" s="193" t="s">
        <v>2295</v>
      </c>
      <c r="D1002" s="205" t="s">
        <v>5563</v>
      </c>
      <c r="E1002" s="193" t="s">
        <v>8532</v>
      </c>
      <c r="F1002" s="193" t="s">
        <v>114</v>
      </c>
      <c r="G1002" s="195" t="s">
        <v>10759</v>
      </c>
      <c r="H1002" s="166" t="s">
        <v>13436</v>
      </c>
      <c r="I1002" s="193" t="s">
        <v>12816</v>
      </c>
      <c r="J1002" s="193" t="s">
        <v>146</v>
      </c>
      <c r="K1002" s="170"/>
      <c r="L1002" s="193" t="s">
        <v>13111</v>
      </c>
    </row>
    <row r="1003" spans="1:12" ht="15.75">
      <c r="A1003" s="67">
        <f t="shared" si="15"/>
        <v>1001</v>
      </c>
      <c r="B1003" s="164">
        <v>1001</v>
      </c>
      <c r="C1003" s="193" t="s">
        <v>2296</v>
      </c>
      <c r="D1003" s="209" t="s">
        <v>5564</v>
      </c>
      <c r="E1003" s="193" t="s">
        <v>8533</v>
      </c>
      <c r="F1003" s="193" t="s">
        <v>114</v>
      </c>
      <c r="G1003" s="195" t="s">
        <v>10760</v>
      </c>
      <c r="H1003" s="166" t="s">
        <v>13436</v>
      </c>
      <c r="I1003" s="193" t="s">
        <v>12816</v>
      </c>
      <c r="J1003" s="193" t="s">
        <v>147</v>
      </c>
      <c r="K1003" s="170"/>
      <c r="L1003" s="193" t="s">
        <v>146</v>
      </c>
    </row>
    <row r="1004" spans="1:12" ht="75">
      <c r="A1004" s="67">
        <f t="shared" si="15"/>
        <v>1002</v>
      </c>
      <c r="B1004" s="164">
        <v>1002</v>
      </c>
      <c r="C1004" s="193" t="s">
        <v>2297</v>
      </c>
      <c r="D1004" s="197" t="s">
        <v>5565</v>
      </c>
      <c r="E1004" s="193" t="s">
        <v>8534</v>
      </c>
      <c r="F1004" s="193" t="s">
        <v>114</v>
      </c>
      <c r="G1004" s="195" t="s">
        <v>10761</v>
      </c>
      <c r="H1004" s="166" t="s">
        <v>13436</v>
      </c>
      <c r="I1004" s="193" t="s">
        <v>12816</v>
      </c>
      <c r="J1004" s="193" t="s">
        <v>12328</v>
      </c>
      <c r="K1004" s="170"/>
      <c r="L1004" s="193" t="s">
        <v>13112</v>
      </c>
    </row>
    <row r="1005" spans="1:12" ht="15.75">
      <c r="A1005" s="67">
        <f t="shared" si="15"/>
        <v>1003</v>
      </c>
      <c r="B1005" s="164">
        <v>1003</v>
      </c>
      <c r="C1005" s="193" t="s">
        <v>2298</v>
      </c>
      <c r="D1005" s="197" t="s">
        <v>5566</v>
      </c>
      <c r="E1005" s="193" t="s">
        <v>8535</v>
      </c>
      <c r="F1005" s="193" t="s">
        <v>114</v>
      </c>
      <c r="G1005" s="195" t="s">
        <v>10762</v>
      </c>
      <c r="H1005" s="166" t="s">
        <v>13436</v>
      </c>
      <c r="I1005" s="193" t="s">
        <v>12816</v>
      </c>
      <c r="J1005" s="193" t="s">
        <v>1270</v>
      </c>
      <c r="K1005" s="170"/>
      <c r="L1005" s="193" t="s">
        <v>146</v>
      </c>
    </row>
    <row r="1006" spans="1:12" ht="150">
      <c r="A1006" s="67">
        <f t="shared" si="15"/>
        <v>1004</v>
      </c>
      <c r="B1006" s="164">
        <v>1004</v>
      </c>
      <c r="C1006" s="193" t="s">
        <v>2299</v>
      </c>
      <c r="D1006" s="195" t="s">
        <v>5567</v>
      </c>
      <c r="E1006" s="193" t="s">
        <v>8536</v>
      </c>
      <c r="F1006" s="193" t="s">
        <v>114</v>
      </c>
      <c r="G1006" s="195" t="s">
        <v>10763</v>
      </c>
      <c r="H1006" s="166" t="s">
        <v>13436</v>
      </c>
      <c r="I1006" s="193" t="s">
        <v>12819</v>
      </c>
      <c r="J1006" s="219" t="s">
        <v>146</v>
      </c>
      <c r="K1006" s="170"/>
      <c r="L1006" s="193" t="s">
        <v>13113</v>
      </c>
    </row>
    <row r="1007" spans="1:12" ht="15.75">
      <c r="A1007" s="67">
        <f t="shared" si="15"/>
        <v>1005</v>
      </c>
      <c r="B1007" s="164">
        <v>1005</v>
      </c>
      <c r="C1007" s="193" t="s">
        <v>2300</v>
      </c>
      <c r="D1007" s="195" t="s">
        <v>5568</v>
      </c>
      <c r="E1007" s="193" t="s">
        <v>8537</v>
      </c>
      <c r="F1007" s="193" t="s">
        <v>114</v>
      </c>
      <c r="G1007" s="195" t="s">
        <v>10764</v>
      </c>
      <c r="H1007" s="166" t="s">
        <v>13436</v>
      </c>
      <c r="I1007" s="193" t="s">
        <v>12827</v>
      </c>
      <c r="J1007" s="193" t="s">
        <v>12329</v>
      </c>
      <c r="K1007" s="170"/>
      <c r="L1007" s="193" t="s">
        <v>146</v>
      </c>
    </row>
    <row r="1008" spans="1:12" ht="15.75">
      <c r="A1008" s="67">
        <f t="shared" si="15"/>
        <v>1006</v>
      </c>
      <c r="B1008" s="164">
        <v>1006</v>
      </c>
      <c r="C1008" s="193" t="s">
        <v>2301</v>
      </c>
      <c r="D1008" s="195" t="s">
        <v>5569</v>
      </c>
      <c r="E1008" s="193" t="s">
        <v>150</v>
      </c>
      <c r="F1008" s="193" t="s">
        <v>114</v>
      </c>
      <c r="G1008" s="195" t="s">
        <v>10765</v>
      </c>
      <c r="H1008" s="166" t="s">
        <v>13436</v>
      </c>
      <c r="I1008" s="193" t="s">
        <v>12818</v>
      </c>
      <c r="J1008" s="193" t="s">
        <v>12330</v>
      </c>
      <c r="K1008" s="170"/>
      <c r="L1008" s="193" t="s">
        <v>146</v>
      </c>
    </row>
    <row r="1009" spans="1:12" ht="15.75">
      <c r="A1009" s="67">
        <f t="shared" si="15"/>
        <v>1007</v>
      </c>
      <c r="B1009" s="164">
        <v>1007</v>
      </c>
      <c r="C1009" s="193" t="s">
        <v>2302</v>
      </c>
      <c r="D1009" s="195" t="s">
        <v>5570</v>
      </c>
      <c r="E1009" s="193" t="s">
        <v>8538</v>
      </c>
      <c r="F1009" s="193" t="s">
        <v>114</v>
      </c>
      <c r="G1009" s="195" t="s">
        <v>10766</v>
      </c>
      <c r="H1009" s="166" t="s">
        <v>13436</v>
      </c>
      <c r="I1009" s="193" t="s">
        <v>12818</v>
      </c>
      <c r="J1009" s="193" t="s">
        <v>146</v>
      </c>
      <c r="K1009" s="170"/>
      <c r="L1009" s="193" t="s">
        <v>146</v>
      </c>
    </row>
    <row r="1010" spans="1:12" ht="15.75">
      <c r="A1010" s="67">
        <f t="shared" si="15"/>
        <v>1008</v>
      </c>
      <c r="B1010" s="164">
        <v>1008</v>
      </c>
      <c r="C1010" s="193" t="s">
        <v>2303</v>
      </c>
      <c r="D1010" s="195" t="s">
        <v>5571</v>
      </c>
      <c r="E1010" s="193" t="s">
        <v>8539</v>
      </c>
      <c r="F1010" s="193" t="s">
        <v>114</v>
      </c>
      <c r="G1010" s="195" t="s">
        <v>1143</v>
      </c>
      <c r="H1010" s="166" t="s">
        <v>13436</v>
      </c>
      <c r="I1010" s="193" t="s">
        <v>12818</v>
      </c>
      <c r="J1010" s="193" t="s">
        <v>12331</v>
      </c>
      <c r="K1010" s="170"/>
      <c r="L1010" s="193" t="s">
        <v>146</v>
      </c>
    </row>
    <row r="1011" spans="1:12" ht="75">
      <c r="A1011" s="67">
        <f t="shared" si="15"/>
        <v>1009</v>
      </c>
      <c r="B1011" s="164">
        <v>1009</v>
      </c>
      <c r="C1011" s="193" t="s">
        <v>2304</v>
      </c>
      <c r="D1011" s="195" t="s">
        <v>5572</v>
      </c>
      <c r="E1011" s="193" t="s">
        <v>8540</v>
      </c>
      <c r="F1011" s="193" t="s">
        <v>114</v>
      </c>
      <c r="G1011" s="195" t="s">
        <v>10121</v>
      </c>
      <c r="H1011" s="166" t="s">
        <v>13436</v>
      </c>
      <c r="I1011" s="193" t="s">
        <v>12814</v>
      </c>
      <c r="J1011" s="219" t="s">
        <v>147</v>
      </c>
      <c r="K1011" s="170"/>
      <c r="L1011" s="193" t="s">
        <v>13114</v>
      </c>
    </row>
    <row r="1012" spans="1:12" ht="15.75">
      <c r="A1012" s="67">
        <f t="shared" si="15"/>
        <v>1010</v>
      </c>
      <c r="B1012" s="164">
        <v>1010</v>
      </c>
      <c r="C1012" s="193" t="s">
        <v>2305</v>
      </c>
      <c r="D1012" s="195" t="s">
        <v>5573</v>
      </c>
      <c r="E1012" s="193" t="s">
        <v>8541</v>
      </c>
      <c r="F1012" s="193" t="s">
        <v>114</v>
      </c>
      <c r="G1012" s="195" t="s">
        <v>669</v>
      </c>
      <c r="H1012" s="166" t="s">
        <v>13436</v>
      </c>
      <c r="I1012" s="193" t="s">
        <v>12814</v>
      </c>
      <c r="J1012" s="193" t="s">
        <v>146</v>
      </c>
      <c r="K1012" s="170"/>
      <c r="L1012" s="193" t="s">
        <v>146</v>
      </c>
    </row>
    <row r="1013" spans="1:12" ht="15.75">
      <c r="A1013" s="67">
        <f t="shared" si="15"/>
        <v>1011</v>
      </c>
      <c r="B1013" s="164">
        <v>1011</v>
      </c>
      <c r="C1013" s="193" t="s">
        <v>2306</v>
      </c>
      <c r="D1013" s="195" t="s">
        <v>5574</v>
      </c>
      <c r="E1013" s="193" t="s">
        <v>8542</v>
      </c>
      <c r="F1013" s="193" t="s">
        <v>114</v>
      </c>
      <c r="G1013" s="195" t="s">
        <v>10767</v>
      </c>
      <c r="H1013" s="166" t="s">
        <v>13436</v>
      </c>
      <c r="I1013" s="193" t="s">
        <v>12814</v>
      </c>
      <c r="J1013" s="193" t="s">
        <v>12332</v>
      </c>
      <c r="K1013" s="170"/>
      <c r="L1013" s="193" t="s">
        <v>146</v>
      </c>
    </row>
    <row r="1014" spans="1:12" ht="15.75">
      <c r="A1014" s="67">
        <f t="shared" si="15"/>
        <v>1012</v>
      </c>
      <c r="B1014" s="164">
        <v>1012</v>
      </c>
      <c r="C1014" s="193" t="s">
        <v>2307</v>
      </c>
      <c r="D1014" s="195" t="s">
        <v>5575</v>
      </c>
      <c r="E1014" s="193" t="s">
        <v>8543</v>
      </c>
      <c r="F1014" s="193" t="s">
        <v>114</v>
      </c>
      <c r="G1014" s="195" t="s">
        <v>10768</v>
      </c>
      <c r="H1014" s="166" t="s">
        <v>13436</v>
      </c>
      <c r="I1014" s="193" t="s">
        <v>12814</v>
      </c>
      <c r="J1014" s="219" t="s">
        <v>146</v>
      </c>
      <c r="K1014" s="170"/>
      <c r="L1014" s="193" t="s">
        <v>146</v>
      </c>
    </row>
    <row r="1015" spans="1:12" ht="60">
      <c r="A1015" s="67">
        <f t="shared" si="15"/>
        <v>1013</v>
      </c>
      <c r="B1015" s="164">
        <v>1013</v>
      </c>
      <c r="C1015" s="193" t="s">
        <v>2308</v>
      </c>
      <c r="D1015" s="195" t="s">
        <v>5576</v>
      </c>
      <c r="E1015" s="193" t="s">
        <v>8544</v>
      </c>
      <c r="F1015" s="193" t="s">
        <v>114</v>
      </c>
      <c r="G1015" s="195" t="s">
        <v>10769</v>
      </c>
      <c r="H1015" s="166" t="s">
        <v>13436</v>
      </c>
      <c r="I1015" s="193" t="s">
        <v>12825</v>
      </c>
      <c r="J1015" s="193" t="s">
        <v>12333</v>
      </c>
      <c r="K1015" s="170"/>
      <c r="L1015" s="193" t="s">
        <v>13115</v>
      </c>
    </row>
    <row r="1016" spans="1:12" ht="30">
      <c r="A1016" s="67">
        <f t="shared" si="15"/>
        <v>1014</v>
      </c>
      <c r="B1016" s="164">
        <v>1014</v>
      </c>
      <c r="C1016" s="193" t="s">
        <v>2309</v>
      </c>
      <c r="D1016" s="195" t="s">
        <v>5577</v>
      </c>
      <c r="E1016" s="193" t="s">
        <v>438</v>
      </c>
      <c r="F1016" s="193" t="s">
        <v>114</v>
      </c>
      <c r="G1016" s="195" t="s">
        <v>10770</v>
      </c>
      <c r="H1016" s="166" t="s">
        <v>13436</v>
      </c>
      <c r="I1016" s="193" t="s">
        <v>12819</v>
      </c>
      <c r="J1016" s="193" t="s">
        <v>12334</v>
      </c>
      <c r="K1016" s="170"/>
      <c r="L1016" s="193" t="s">
        <v>146</v>
      </c>
    </row>
    <row r="1017" spans="1:12" ht="30">
      <c r="A1017" s="67">
        <f t="shared" si="15"/>
        <v>1015</v>
      </c>
      <c r="B1017" s="164">
        <v>1015</v>
      </c>
      <c r="C1017" s="193" t="s">
        <v>2310</v>
      </c>
      <c r="D1017" s="195" t="s">
        <v>5578</v>
      </c>
      <c r="E1017" s="193" t="s">
        <v>8545</v>
      </c>
      <c r="F1017" s="193" t="s">
        <v>114</v>
      </c>
      <c r="G1017" s="195" t="s">
        <v>10771</v>
      </c>
      <c r="H1017" s="166" t="s">
        <v>13436</v>
      </c>
      <c r="I1017" s="193" t="s">
        <v>12819</v>
      </c>
      <c r="J1017" s="219" t="s">
        <v>12335</v>
      </c>
      <c r="K1017" s="170"/>
      <c r="L1017" s="193" t="s">
        <v>146</v>
      </c>
    </row>
    <row r="1018" spans="1:12" ht="60">
      <c r="A1018" s="67">
        <f t="shared" si="15"/>
        <v>1016</v>
      </c>
      <c r="B1018" s="164">
        <v>1016</v>
      </c>
      <c r="C1018" s="193" t="s">
        <v>2311</v>
      </c>
      <c r="D1018" s="195" t="s">
        <v>5579</v>
      </c>
      <c r="E1018" s="193" t="s">
        <v>8546</v>
      </c>
      <c r="F1018" s="193" t="s">
        <v>114</v>
      </c>
      <c r="G1018" s="195" t="s">
        <v>10122</v>
      </c>
      <c r="H1018" s="166" t="s">
        <v>13436</v>
      </c>
      <c r="I1018" s="193" t="s">
        <v>12819</v>
      </c>
      <c r="J1018" s="219" t="s">
        <v>146</v>
      </c>
      <c r="K1018" s="170"/>
      <c r="L1018" s="193" t="s">
        <v>13116</v>
      </c>
    </row>
    <row r="1019" spans="1:12" ht="15.75">
      <c r="A1019" s="67">
        <f t="shared" si="15"/>
        <v>1017</v>
      </c>
      <c r="B1019" s="164">
        <v>1017</v>
      </c>
      <c r="C1019" s="193" t="s">
        <v>2312</v>
      </c>
      <c r="D1019" s="195" t="s">
        <v>5580</v>
      </c>
      <c r="E1019" s="193" t="s">
        <v>8547</v>
      </c>
      <c r="F1019" s="193" t="s">
        <v>114</v>
      </c>
      <c r="G1019" s="195" t="s">
        <v>10772</v>
      </c>
      <c r="H1019" s="166" t="s">
        <v>13436</v>
      </c>
      <c r="I1019" s="193" t="s">
        <v>12819</v>
      </c>
      <c r="J1019" s="219" t="s">
        <v>146</v>
      </c>
      <c r="K1019" s="170"/>
      <c r="L1019" s="193" t="s">
        <v>146</v>
      </c>
    </row>
    <row r="1020" spans="1:12" ht="30">
      <c r="A1020" s="67">
        <f t="shared" si="15"/>
        <v>1018</v>
      </c>
      <c r="B1020" s="164">
        <v>1018</v>
      </c>
      <c r="C1020" s="193" t="s">
        <v>2313</v>
      </c>
      <c r="D1020" s="195" t="s">
        <v>5581</v>
      </c>
      <c r="E1020" s="193" t="s">
        <v>8548</v>
      </c>
      <c r="F1020" s="193" t="s">
        <v>114</v>
      </c>
      <c r="G1020" s="195" t="s">
        <v>10187</v>
      </c>
      <c r="H1020" s="166" t="s">
        <v>13436</v>
      </c>
      <c r="I1020" s="193" t="s">
        <v>12819</v>
      </c>
      <c r="J1020" s="193" t="s">
        <v>1252</v>
      </c>
      <c r="K1020" s="170"/>
      <c r="L1020" s="193" t="s">
        <v>13117</v>
      </c>
    </row>
    <row r="1021" spans="1:12" ht="15.75">
      <c r="A1021" s="67">
        <f t="shared" si="15"/>
        <v>1019</v>
      </c>
      <c r="B1021" s="164">
        <v>1019</v>
      </c>
      <c r="C1021" s="193" t="s">
        <v>2314</v>
      </c>
      <c r="D1021" s="204" t="s">
        <v>5582</v>
      </c>
      <c r="E1021" s="193" t="s">
        <v>8549</v>
      </c>
      <c r="F1021" s="193" t="s">
        <v>114</v>
      </c>
      <c r="G1021" s="195" t="s">
        <v>10773</v>
      </c>
      <c r="H1021" s="166" t="s">
        <v>13436</v>
      </c>
      <c r="I1021" s="193" t="s">
        <v>1247</v>
      </c>
      <c r="J1021" s="219" t="s">
        <v>146</v>
      </c>
      <c r="K1021" s="170"/>
      <c r="L1021" s="193" t="s">
        <v>146</v>
      </c>
    </row>
    <row r="1022" spans="1:12" ht="15.75">
      <c r="A1022" s="67">
        <f t="shared" si="15"/>
        <v>1020</v>
      </c>
      <c r="B1022" s="164">
        <v>1020</v>
      </c>
      <c r="C1022" s="193" t="s">
        <v>2315</v>
      </c>
      <c r="D1022" s="195" t="s">
        <v>5583</v>
      </c>
      <c r="E1022" s="193" t="s">
        <v>411</v>
      </c>
      <c r="F1022" s="193" t="s">
        <v>114</v>
      </c>
      <c r="G1022" s="195" t="s">
        <v>10235</v>
      </c>
      <c r="H1022" s="166" t="s">
        <v>13436</v>
      </c>
      <c r="I1022" s="193" t="s">
        <v>12812</v>
      </c>
      <c r="J1022" s="193" t="s">
        <v>146</v>
      </c>
      <c r="K1022" s="170"/>
      <c r="L1022" s="193" t="s">
        <v>146</v>
      </c>
    </row>
    <row r="1023" spans="1:12" ht="15.75">
      <c r="A1023" s="67">
        <f t="shared" si="15"/>
        <v>1021</v>
      </c>
      <c r="B1023" s="164">
        <v>1021</v>
      </c>
      <c r="C1023" s="193" t="s">
        <v>2316</v>
      </c>
      <c r="D1023" s="195" t="s">
        <v>5584</v>
      </c>
      <c r="E1023" s="193" t="s">
        <v>150</v>
      </c>
      <c r="F1023" s="193" t="s">
        <v>114</v>
      </c>
      <c r="G1023" s="195" t="s">
        <v>10774</v>
      </c>
      <c r="H1023" s="166" t="s">
        <v>13436</v>
      </c>
      <c r="I1023" s="193" t="s">
        <v>12838</v>
      </c>
      <c r="J1023" s="193" t="s">
        <v>146</v>
      </c>
      <c r="K1023" s="170"/>
      <c r="L1023" s="193" t="s">
        <v>146</v>
      </c>
    </row>
    <row r="1024" spans="1:12" ht="30">
      <c r="A1024" s="67">
        <f t="shared" si="15"/>
        <v>1022</v>
      </c>
      <c r="B1024" s="164">
        <v>1022</v>
      </c>
      <c r="C1024" s="193" t="s">
        <v>2317</v>
      </c>
      <c r="D1024" s="195" t="s">
        <v>5585</v>
      </c>
      <c r="E1024" s="193" t="s">
        <v>8051</v>
      </c>
      <c r="F1024" s="193" t="s">
        <v>114</v>
      </c>
      <c r="G1024" s="195" t="s">
        <v>10257</v>
      </c>
      <c r="H1024" s="166" t="s">
        <v>13436</v>
      </c>
      <c r="I1024" s="193" t="s">
        <v>12838</v>
      </c>
      <c r="J1024" s="193" t="s">
        <v>146</v>
      </c>
      <c r="K1024" s="170"/>
      <c r="L1024" s="193" t="s">
        <v>13118</v>
      </c>
    </row>
    <row r="1025" spans="1:12" ht="15.75">
      <c r="A1025" s="67">
        <f t="shared" si="15"/>
        <v>1023</v>
      </c>
      <c r="B1025" s="164">
        <v>1023</v>
      </c>
      <c r="C1025" s="193" t="s">
        <v>2318</v>
      </c>
      <c r="D1025" s="195" t="s">
        <v>5586</v>
      </c>
      <c r="E1025" s="193" t="s">
        <v>8550</v>
      </c>
      <c r="F1025" s="193" t="s">
        <v>114</v>
      </c>
      <c r="G1025" s="195" t="s">
        <v>10166</v>
      </c>
      <c r="H1025" s="166" t="s">
        <v>13436</v>
      </c>
      <c r="I1025" s="193" t="s">
        <v>12827</v>
      </c>
      <c r="J1025" s="193" t="s">
        <v>148</v>
      </c>
      <c r="K1025" s="170"/>
      <c r="L1025" s="193" t="s">
        <v>146</v>
      </c>
    </row>
    <row r="1026" spans="1:12" ht="15.75">
      <c r="A1026" s="67">
        <f t="shared" si="15"/>
        <v>1024</v>
      </c>
      <c r="B1026" s="164">
        <v>1024</v>
      </c>
      <c r="C1026" s="193" t="s">
        <v>2319</v>
      </c>
      <c r="D1026" s="195" t="s">
        <v>5587</v>
      </c>
      <c r="E1026" s="193" t="s">
        <v>172</v>
      </c>
      <c r="F1026" s="193" t="s">
        <v>114</v>
      </c>
      <c r="G1026" s="195" t="s">
        <v>10226</v>
      </c>
      <c r="H1026" s="166" t="s">
        <v>13436</v>
      </c>
      <c r="I1026" s="193" t="s">
        <v>12838</v>
      </c>
      <c r="J1026" s="193" t="s">
        <v>146</v>
      </c>
      <c r="K1026" s="170"/>
      <c r="L1026" s="193" t="s">
        <v>146</v>
      </c>
    </row>
    <row r="1027" spans="1:12" ht="60">
      <c r="A1027" s="67">
        <f t="shared" ref="A1027:A1090" si="16">IFERROR(VALUE(RIGHT(C1027,4)),"")</f>
        <v>1025</v>
      </c>
      <c r="B1027" s="164">
        <v>1025</v>
      </c>
      <c r="C1027" s="193" t="s">
        <v>2320</v>
      </c>
      <c r="D1027" s="195" t="s">
        <v>5588</v>
      </c>
      <c r="E1027" s="193" t="s">
        <v>374</v>
      </c>
      <c r="F1027" s="193" t="s">
        <v>114</v>
      </c>
      <c r="G1027" s="195" t="s">
        <v>10411</v>
      </c>
      <c r="H1027" s="166" t="s">
        <v>13436</v>
      </c>
      <c r="I1027" s="193" t="s">
        <v>12838</v>
      </c>
      <c r="J1027" s="193" t="s">
        <v>146</v>
      </c>
      <c r="K1027" s="170"/>
      <c r="L1027" s="193" t="s">
        <v>13119</v>
      </c>
    </row>
    <row r="1028" spans="1:12" ht="30">
      <c r="A1028" s="67">
        <f t="shared" si="16"/>
        <v>1026</v>
      </c>
      <c r="B1028" s="164">
        <v>1026</v>
      </c>
      <c r="C1028" s="193" t="s">
        <v>2321</v>
      </c>
      <c r="D1028" s="195" t="s">
        <v>5589</v>
      </c>
      <c r="E1028" s="193" t="s">
        <v>8551</v>
      </c>
      <c r="F1028" s="193" t="s">
        <v>59</v>
      </c>
      <c r="G1028" s="195" t="s">
        <v>10775</v>
      </c>
      <c r="H1028" s="166" t="s">
        <v>13436</v>
      </c>
      <c r="I1028" s="193" t="s">
        <v>12817</v>
      </c>
      <c r="J1028" s="219" t="s">
        <v>12336</v>
      </c>
      <c r="K1028" s="170"/>
      <c r="L1028" s="193"/>
    </row>
    <row r="1029" spans="1:12" ht="15.75">
      <c r="A1029" s="67">
        <f t="shared" si="16"/>
        <v>1027</v>
      </c>
      <c r="B1029" s="164">
        <v>1027</v>
      </c>
      <c r="C1029" s="193" t="s">
        <v>2322</v>
      </c>
      <c r="D1029" s="195" t="s">
        <v>5590</v>
      </c>
      <c r="E1029" s="193" t="s">
        <v>8552</v>
      </c>
      <c r="F1029" s="193" t="s">
        <v>59</v>
      </c>
      <c r="G1029" s="195" t="s">
        <v>10776</v>
      </c>
      <c r="H1029" s="166" t="s">
        <v>13436</v>
      </c>
      <c r="I1029" s="193" t="s">
        <v>12812</v>
      </c>
      <c r="J1029" s="219" t="s">
        <v>148</v>
      </c>
      <c r="K1029" s="170"/>
      <c r="L1029" s="193"/>
    </row>
    <row r="1030" spans="1:12" ht="15.75">
      <c r="A1030" s="67">
        <f t="shared" si="16"/>
        <v>1028</v>
      </c>
      <c r="B1030" s="164">
        <v>1028</v>
      </c>
      <c r="C1030" s="193" t="s">
        <v>2323</v>
      </c>
      <c r="D1030" s="195" t="s">
        <v>5591</v>
      </c>
      <c r="E1030" s="193" t="s">
        <v>8553</v>
      </c>
      <c r="F1030" s="193" t="s">
        <v>114</v>
      </c>
      <c r="G1030" s="195" t="s">
        <v>762</v>
      </c>
      <c r="H1030" s="166" t="s">
        <v>13436</v>
      </c>
      <c r="I1030" s="193" t="s">
        <v>12836</v>
      </c>
      <c r="J1030" s="193" t="s">
        <v>146</v>
      </c>
      <c r="K1030" s="170"/>
      <c r="L1030" s="193" t="s">
        <v>146</v>
      </c>
    </row>
    <row r="1031" spans="1:12" ht="15.75">
      <c r="A1031" s="67">
        <f t="shared" si="16"/>
        <v>1029</v>
      </c>
      <c r="B1031" s="164">
        <v>1029</v>
      </c>
      <c r="C1031" s="193" t="s">
        <v>2324</v>
      </c>
      <c r="D1031" s="195" t="s">
        <v>5592</v>
      </c>
      <c r="E1031" s="193" t="s">
        <v>343</v>
      </c>
      <c r="F1031" s="193" t="s">
        <v>114</v>
      </c>
      <c r="G1031" s="195" t="s">
        <v>10777</v>
      </c>
      <c r="H1031" s="166" t="s">
        <v>13436</v>
      </c>
      <c r="I1031" s="193" t="s">
        <v>12836</v>
      </c>
      <c r="J1031" s="193" t="s">
        <v>146</v>
      </c>
      <c r="K1031" s="170"/>
      <c r="L1031" s="193" t="s">
        <v>146</v>
      </c>
    </row>
    <row r="1032" spans="1:12" ht="15.75">
      <c r="A1032" s="67">
        <f t="shared" si="16"/>
        <v>1030</v>
      </c>
      <c r="B1032" s="164">
        <v>1030</v>
      </c>
      <c r="C1032" s="193" t="s">
        <v>2325</v>
      </c>
      <c r="D1032" s="195" t="s">
        <v>5593</v>
      </c>
      <c r="E1032" s="193" t="s">
        <v>8554</v>
      </c>
      <c r="F1032" s="193" t="s">
        <v>114</v>
      </c>
      <c r="G1032" s="195" t="s">
        <v>10778</v>
      </c>
      <c r="H1032" s="166" t="s">
        <v>13436</v>
      </c>
      <c r="I1032" s="193" t="s">
        <v>12819</v>
      </c>
      <c r="J1032" s="193" t="s">
        <v>146</v>
      </c>
      <c r="K1032" s="170"/>
      <c r="L1032" s="193" t="s">
        <v>146</v>
      </c>
    </row>
    <row r="1033" spans="1:12" ht="15.75">
      <c r="A1033" s="67">
        <f t="shared" si="16"/>
        <v>1031</v>
      </c>
      <c r="B1033" s="164">
        <v>1031</v>
      </c>
      <c r="C1033" s="193" t="s">
        <v>2326</v>
      </c>
      <c r="D1033" s="195" t="s">
        <v>5594</v>
      </c>
      <c r="E1033" s="193" t="s">
        <v>436</v>
      </c>
      <c r="F1033" s="193" t="s">
        <v>114</v>
      </c>
      <c r="G1033" s="195" t="s">
        <v>10458</v>
      </c>
      <c r="H1033" s="166" t="s">
        <v>13436</v>
      </c>
      <c r="I1033" s="193" t="s">
        <v>12836</v>
      </c>
      <c r="J1033" s="193" t="s">
        <v>146</v>
      </c>
      <c r="K1033" s="170"/>
      <c r="L1033" s="193" t="s">
        <v>146</v>
      </c>
    </row>
    <row r="1034" spans="1:12" ht="15.75">
      <c r="A1034" s="67">
        <f t="shared" si="16"/>
        <v>1032</v>
      </c>
      <c r="B1034" s="164">
        <v>1032</v>
      </c>
      <c r="C1034" s="193" t="s">
        <v>2327</v>
      </c>
      <c r="D1034" s="195" t="s">
        <v>5595</v>
      </c>
      <c r="E1034" s="193" t="s">
        <v>332</v>
      </c>
      <c r="F1034" s="193" t="s">
        <v>114</v>
      </c>
      <c r="G1034" s="195" t="s">
        <v>739</v>
      </c>
      <c r="H1034" s="166" t="s">
        <v>13436</v>
      </c>
      <c r="I1034" s="193" t="s">
        <v>12836</v>
      </c>
      <c r="J1034" s="193" t="s">
        <v>1265</v>
      </c>
      <c r="K1034" s="170"/>
      <c r="L1034" s="193" t="s">
        <v>146</v>
      </c>
    </row>
    <row r="1035" spans="1:12" ht="15.75">
      <c r="A1035" s="67">
        <f t="shared" si="16"/>
        <v>1033</v>
      </c>
      <c r="B1035" s="164">
        <v>1033</v>
      </c>
      <c r="C1035" s="193" t="s">
        <v>2328</v>
      </c>
      <c r="D1035" s="195" t="s">
        <v>5596</v>
      </c>
      <c r="E1035" s="193" t="s">
        <v>8555</v>
      </c>
      <c r="F1035" s="193" t="s">
        <v>114</v>
      </c>
      <c r="G1035" s="195" t="s">
        <v>10779</v>
      </c>
      <c r="H1035" s="166" t="s">
        <v>13436</v>
      </c>
      <c r="I1035" s="193" t="s">
        <v>12824</v>
      </c>
      <c r="J1035" s="193" t="s">
        <v>146</v>
      </c>
      <c r="K1035" s="170"/>
      <c r="L1035" s="193" t="s">
        <v>146</v>
      </c>
    </row>
    <row r="1036" spans="1:12" ht="75">
      <c r="A1036" s="67">
        <f t="shared" si="16"/>
        <v>1034</v>
      </c>
      <c r="B1036" s="164">
        <v>1034</v>
      </c>
      <c r="C1036" s="193" t="s">
        <v>2329</v>
      </c>
      <c r="D1036" s="195" t="s">
        <v>5597</v>
      </c>
      <c r="E1036" s="193" t="s">
        <v>8556</v>
      </c>
      <c r="F1036" s="193" t="s">
        <v>114</v>
      </c>
      <c r="G1036" s="195" t="s">
        <v>10047</v>
      </c>
      <c r="H1036" s="166" t="s">
        <v>13436</v>
      </c>
      <c r="I1036" s="193" t="s">
        <v>12836</v>
      </c>
      <c r="J1036" s="193" t="s">
        <v>1252</v>
      </c>
      <c r="K1036" s="170"/>
      <c r="L1036" s="193" t="s">
        <v>13120</v>
      </c>
    </row>
    <row r="1037" spans="1:12" ht="30">
      <c r="A1037" s="67">
        <f t="shared" si="16"/>
        <v>1035</v>
      </c>
      <c r="B1037" s="164">
        <v>1035</v>
      </c>
      <c r="C1037" s="193" t="s">
        <v>2330</v>
      </c>
      <c r="D1037" s="195" t="s">
        <v>5598</v>
      </c>
      <c r="E1037" s="193" t="s">
        <v>7821</v>
      </c>
      <c r="F1037" s="193" t="s">
        <v>114</v>
      </c>
      <c r="G1037" s="195" t="s">
        <v>10780</v>
      </c>
      <c r="H1037" s="166" t="s">
        <v>13436</v>
      </c>
      <c r="I1037" s="193" t="s">
        <v>12825</v>
      </c>
      <c r="J1037" s="193" t="s">
        <v>12337</v>
      </c>
      <c r="K1037" s="170"/>
      <c r="L1037" s="193" t="s">
        <v>13121</v>
      </c>
    </row>
    <row r="1038" spans="1:12" ht="15.75">
      <c r="A1038" s="67">
        <f t="shared" si="16"/>
        <v>1036</v>
      </c>
      <c r="B1038" s="164">
        <v>1036</v>
      </c>
      <c r="C1038" s="193" t="s">
        <v>2331</v>
      </c>
      <c r="D1038" s="195" t="s">
        <v>5599</v>
      </c>
      <c r="E1038" s="193" t="s">
        <v>8557</v>
      </c>
      <c r="F1038" s="193" t="s">
        <v>59</v>
      </c>
      <c r="G1038" s="195" t="s">
        <v>10545</v>
      </c>
      <c r="H1038" s="166" t="s">
        <v>13436</v>
      </c>
      <c r="I1038" s="193" t="s">
        <v>12812</v>
      </c>
      <c r="J1038" s="193" t="s">
        <v>146</v>
      </c>
      <c r="K1038" s="170"/>
      <c r="L1038" s="193"/>
    </row>
    <row r="1039" spans="1:12" ht="15.75">
      <c r="A1039" s="67">
        <f t="shared" si="16"/>
        <v>1037</v>
      </c>
      <c r="B1039" s="164">
        <v>1037</v>
      </c>
      <c r="C1039" s="193" t="s">
        <v>2332</v>
      </c>
      <c r="D1039" s="195" t="s">
        <v>5600</v>
      </c>
      <c r="E1039" s="193" t="s">
        <v>8558</v>
      </c>
      <c r="F1039" s="193" t="s">
        <v>59</v>
      </c>
      <c r="G1039" s="195" t="s">
        <v>10394</v>
      </c>
      <c r="H1039" s="166" t="s">
        <v>13436</v>
      </c>
      <c r="I1039" s="193" t="s">
        <v>12825</v>
      </c>
      <c r="J1039" s="219" t="s">
        <v>147</v>
      </c>
      <c r="K1039" s="170"/>
      <c r="L1039" s="193"/>
    </row>
    <row r="1040" spans="1:12" ht="15.75">
      <c r="A1040" s="67">
        <f t="shared" si="16"/>
        <v>1038</v>
      </c>
      <c r="B1040" s="164">
        <v>1038</v>
      </c>
      <c r="C1040" s="193" t="s">
        <v>2333</v>
      </c>
      <c r="D1040" s="195" t="s">
        <v>5601</v>
      </c>
      <c r="E1040" s="193" t="s">
        <v>160</v>
      </c>
      <c r="F1040" s="193" t="s">
        <v>114</v>
      </c>
      <c r="G1040" s="195" t="s">
        <v>10423</v>
      </c>
      <c r="H1040" s="166" t="s">
        <v>13436</v>
      </c>
      <c r="I1040" s="193" t="s">
        <v>12825</v>
      </c>
      <c r="J1040" s="193" t="s">
        <v>146</v>
      </c>
      <c r="K1040" s="170"/>
      <c r="L1040" s="193" t="s">
        <v>146</v>
      </c>
    </row>
    <row r="1041" spans="1:12" ht="15.75">
      <c r="A1041" s="67">
        <f t="shared" si="16"/>
        <v>1039</v>
      </c>
      <c r="B1041" s="164">
        <v>1039</v>
      </c>
      <c r="C1041" s="193" t="s">
        <v>2334</v>
      </c>
      <c r="D1041" s="195" t="s">
        <v>5602</v>
      </c>
      <c r="E1041" s="193" t="s">
        <v>8559</v>
      </c>
      <c r="F1041" s="193" t="s">
        <v>114</v>
      </c>
      <c r="G1041" s="195" t="s">
        <v>784</v>
      </c>
      <c r="H1041" s="166" t="s">
        <v>13436</v>
      </c>
      <c r="I1041" s="193" t="s">
        <v>12824</v>
      </c>
      <c r="J1041" s="193" t="s">
        <v>146</v>
      </c>
      <c r="K1041" s="170"/>
      <c r="L1041" s="193" t="s">
        <v>146</v>
      </c>
    </row>
    <row r="1042" spans="1:12" ht="15.75">
      <c r="A1042" s="67">
        <f t="shared" si="16"/>
        <v>1040</v>
      </c>
      <c r="B1042" s="164">
        <v>1040</v>
      </c>
      <c r="C1042" s="193" t="s">
        <v>2335</v>
      </c>
      <c r="D1042" s="195" t="s">
        <v>5603</v>
      </c>
      <c r="E1042" s="193" t="s">
        <v>8560</v>
      </c>
      <c r="F1042" s="193" t="s">
        <v>114</v>
      </c>
      <c r="G1042" s="195" t="s">
        <v>10781</v>
      </c>
      <c r="H1042" s="166" t="s">
        <v>13436</v>
      </c>
      <c r="I1042" s="193" t="s">
        <v>12824</v>
      </c>
      <c r="J1042" s="193" t="s">
        <v>146</v>
      </c>
      <c r="K1042" s="170"/>
      <c r="L1042" s="193" t="s">
        <v>146</v>
      </c>
    </row>
    <row r="1043" spans="1:12" ht="15.75">
      <c r="A1043" s="67">
        <f t="shared" si="16"/>
        <v>1041</v>
      </c>
      <c r="B1043" s="164">
        <v>1041</v>
      </c>
      <c r="C1043" s="193" t="s">
        <v>2336</v>
      </c>
      <c r="D1043" s="195" t="s">
        <v>5604</v>
      </c>
      <c r="E1043" s="193" t="s">
        <v>8561</v>
      </c>
      <c r="F1043" s="193" t="s">
        <v>114</v>
      </c>
      <c r="G1043" s="195" t="s">
        <v>10782</v>
      </c>
      <c r="H1043" s="166" t="s">
        <v>13436</v>
      </c>
      <c r="I1043" s="193" t="s">
        <v>12826</v>
      </c>
      <c r="J1043" s="193" t="s">
        <v>1252</v>
      </c>
      <c r="K1043" s="170"/>
      <c r="L1043" s="193" t="s">
        <v>146</v>
      </c>
    </row>
    <row r="1044" spans="1:12" ht="30">
      <c r="A1044" s="67">
        <f t="shared" si="16"/>
        <v>1042</v>
      </c>
      <c r="B1044" s="164">
        <v>1042</v>
      </c>
      <c r="C1044" s="193" t="s">
        <v>2337</v>
      </c>
      <c r="D1044" s="205" t="s">
        <v>5605</v>
      </c>
      <c r="E1044" s="193" t="s">
        <v>8562</v>
      </c>
      <c r="F1044" s="193" t="s">
        <v>114</v>
      </c>
      <c r="G1044" s="195" t="s">
        <v>749</v>
      </c>
      <c r="H1044" s="166" t="s">
        <v>13436</v>
      </c>
      <c r="I1044" s="193" t="s">
        <v>12816</v>
      </c>
      <c r="J1044" s="193" t="s">
        <v>146</v>
      </c>
      <c r="K1044" s="170"/>
      <c r="L1044" s="193" t="s">
        <v>13122</v>
      </c>
    </row>
    <row r="1045" spans="1:12" ht="30">
      <c r="A1045" s="67">
        <f t="shared" si="16"/>
        <v>1043</v>
      </c>
      <c r="B1045" s="164">
        <v>1043</v>
      </c>
      <c r="C1045" s="193" t="s">
        <v>2338</v>
      </c>
      <c r="D1045" s="197" t="s">
        <v>5606</v>
      </c>
      <c r="E1045" s="193" t="s">
        <v>152</v>
      </c>
      <c r="F1045" s="193" t="s">
        <v>114</v>
      </c>
      <c r="G1045" s="195" t="s">
        <v>10783</v>
      </c>
      <c r="H1045" s="166" t="s">
        <v>13436</v>
      </c>
      <c r="I1045" s="193" t="s">
        <v>12816</v>
      </c>
      <c r="J1045" s="193" t="s">
        <v>12338</v>
      </c>
      <c r="K1045" s="170"/>
      <c r="L1045" s="193" t="s">
        <v>146</v>
      </c>
    </row>
    <row r="1046" spans="1:12" ht="75">
      <c r="A1046" s="67">
        <f t="shared" si="16"/>
        <v>1044</v>
      </c>
      <c r="B1046" s="164">
        <v>1044</v>
      </c>
      <c r="C1046" s="193" t="s">
        <v>2339</v>
      </c>
      <c r="D1046" s="204" t="s">
        <v>5607</v>
      </c>
      <c r="E1046" s="193" t="s">
        <v>172</v>
      </c>
      <c r="F1046" s="193" t="s">
        <v>114</v>
      </c>
      <c r="G1046" s="195" t="s">
        <v>10784</v>
      </c>
      <c r="H1046" s="166" t="s">
        <v>13436</v>
      </c>
      <c r="I1046" s="193" t="s">
        <v>12816</v>
      </c>
      <c r="J1046" s="193" t="s">
        <v>146</v>
      </c>
      <c r="K1046" s="170"/>
      <c r="L1046" s="193" t="s">
        <v>13123</v>
      </c>
    </row>
    <row r="1047" spans="1:12" ht="30">
      <c r="A1047" s="67">
        <f t="shared" si="16"/>
        <v>1045</v>
      </c>
      <c r="B1047" s="164">
        <v>1045</v>
      </c>
      <c r="C1047" s="193" t="s">
        <v>2340</v>
      </c>
      <c r="D1047" s="197" t="s">
        <v>5608</v>
      </c>
      <c r="E1047" s="193" t="s">
        <v>8563</v>
      </c>
      <c r="F1047" s="193" t="s">
        <v>114</v>
      </c>
      <c r="G1047" s="195" t="s">
        <v>10785</v>
      </c>
      <c r="H1047" s="166" t="s">
        <v>13436</v>
      </c>
      <c r="I1047" s="193" t="s">
        <v>12816</v>
      </c>
      <c r="J1047" s="193" t="s">
        <v>12339</v>
      </c>
      <c r="K1047" s="170"/>
      <c r="L1047" s="193" t="s">
        <v>146</v>
      </c>
    </row>
    <row r="1048" spans="1:12" ht="45">
      <c r="A1048" s="67">
        <f t="shared" si="16"/>
        <v>1046</v>
      </c>
      <c r="B1048" s="164">
        <v>1046</v>
      </c>
      <c r="C1048" s="193" t="s">
        <v>2341</v>
      </c>
      <c r="D1048" s="195" t="s">
        <v>5609</v>
      </c>
      <c r="E1048" s="193" t="s">
        <v>653</v>
      </c>
      <c r="F1048" s="193" t="s">
        <v>114</v>
      </c>
      <c r="G1048" s="195" t="s">
        <v>10445</v>
      </c>
      <c r="H1048" s="166" t="s">
        <v>13436</v>
      </c>
      <c r="I1048" s="193" t="s">
        <v>12818</v>
      </c>
      <c r="J1048" s="219" t="s">
        <v>12340</v>
      </c>
      <c r="K1048" s="170"/>
      <c r="L1048" s="219" t="s">
        <v>146</v>
      </c>
    </row>
    <row r="1049" spans="1:12" ht="45">
      <c r="A1049" s="67">
        <f t="shared" si="16"/>
        <v>1047</v>
      </c>
      <c r="B1049" s="164">
        <v>1047</v>
      </c>
      <c r="C1049" s="193" t="s">
        <v>2342</v>
      </c>
      <c r="D1049" s="195" t="s">
        <v>5610</v>
      </c>
      <c r="E1049" s="193" t="s">
        <v>8564</v>
      </c>
      <c r="F1049" s="193" t="s">
        <v>114</v>
      </c>
      <c r="G1049" s="195" t="s">
        <v>10786</v>
      </c>
      <c r="H1049" s="166" t="s">
        <v>13436</v>
      </c>
      <c r="I1049" s="193" t="s">
        <v>12818</v>
      </c>
      <c r="J1049" s="193" t="s">
        <v>12341</v>
      </c>
      <c r="K1049" s="170"/>
      <c r="L1049" s="193" t="s">
        <v>146</v>
      </c>
    </row>
    <row r="1050" spans="1:12" ht="30">
      <c r="A1050" s="67">
        <f t="shared" si="16"/>
        <v>1048</v>
      </c>
      <c r="B1050" s="164">
        <v>1048</v>
      </c>
      <c r="C1050" s="193" t="s">
        <v>2343</v>
      </c>
      <c r="D1050" s="195" t="s">
        <v>5611</v>
      </c>
      <c r="E1050" s="193" t="s">
        <v>8565</v>
      </c>
      <c r="F1050" s="193" t="s">
        <v>59</v>
      </c>
      <c r="G1050" s="195" t="s">
        <v>10787</v>
      </c>
      <c r="H1050" s="166" t="s">
        <v>13436</v>
      </c>
      <c r="I1050" s="193" t="s">
        <v>12818</v>
      </c>
      <c r="J1050" s="193" t="s">
        <v>12342</v>
      </c>
      <c r="K1050" s="170"/>
      <c r="L1050" s="193"/>
    </row>
    <row r="1051" spans="1:12" ht="15.75">
      <c r="A1051" s="67">
        <f t="shared" si="16"/>
        <v>1049</v>
      </c>
      <c r="B1051" s="164">
        <v>1049</v>
      </c>
      <c r="C1051" s="193" t="s">
        <v>2344</v>
      </c>
      <c r="D1051" s="195" t="s">
        <v>5612</v>
      </c>
      <c r="E1051" s="193" t="s">
        <v>8566</v>
      </c>
      <c r="F1051" s="193" t="s">
        <v>59</v>
      </c>
      <c r="G1051" s="195" t="s">
        <v>10788</v>
      </c>
      <c r="H1051" s="166" t="s">
        <v>13436</v>
      </c>
      <c r="I1051" s="193" t="s">
        <v>12818</v>
      </c>
      <c r="J1051" s="193" t="s">
        <v>146</v>
      </c>
      <c r="K1051" s="170"/>
      <c r="L1051" s="193"/>
    </row>
    <row r="1052" spans="1:12" ht="15.75">
      <c r="A1052" s="67">
        <f t="shared" si="16"/>
        <v>1050</v>
      </c>
      <c r="B1052" s="164">
        <v>1050</v>
      </c>
      <c r="C1052" s="193" t="s">
        <v>2345</v>
      </c>
      <c r="D1052" s="195" t="s">
        <v>5613</v>
      </c>
      <c r="E1052" s="193" t="s">
        <v>8567</v>
      </c>
      <c r="F1052" s="193" t="s">
        <v>114</v>
      </c>
      <c r="G1052" s="195" t="s">
        <v>10789</v>
      </c>
      <c r="H1052" s="166" t="s">
        <v>13436</v>
      </c>
      <c r="I1052" s="193" t="s">
        <v>12814</v>
      </c>
      <c r="J1052" s="193" t="s">
        <v>147</v>
      </c>
      <c r="K1052" s="170"/>
      <c r="L1052" s="193" t="s">
        <v>146</v>
      </c>
    </row>
    <row r="1053" spans="1:12" ht="30">
      <c r="A1053" s="67">
        <f t="shared" si="16"/>
        <v>1051</v>
      </c>
      <c r="B1053" s="164">
        <v>1051</v>
      </c>
      <c r="C1053" s="193" t="s">
        <v>2346</v>
      </c>
      <c r="D1053" s="195" t="s">
        <v>5614</v>
      </c>
      <c r="E1053" s="193" t="s">
        <v>8568</v>
      </c>
      <c r="F1053" s="193" t="s">
        <v>114</v>
      </c>
      <c r="G1053" s="195" t="s">
        <v>10310</v>
      </c>
      <c r="H1053" s="166" t="s">
        <v>13436</v>
      </c>
      <c r="I1053" s="193" t="s">
        <v>12814</v>
      </c>
      <c r="J1053" s="193" t="s">
        <v>12343</v>
      </c>
      <c r="K1053" s="170"/>
      <c r="L1053" s="193" t="s">
        <v>146</v>
      </c>
    </row>
    <row r="1054" spans="1:12" ht="15.75">
      <c r="A1054" s="67">
        <f t="shared" si="16"/>
        <v>1052</v>
      </c>
      <c r="B1054" s="164">
        <v>1052</v>
      </c>
      <c r="C1054" s="193" t="s">
        <v>2347</v>
      </c>
      <c r="D1054" s="195" t="s">
        <v>5615</v>
      </c>
      <c r="E1054" s="193" t="s">
        <v>8569</v>
      </c>
      <c r="F1054" s="193" t="s">
        <v>114</v>
      </c>
      <c r="G1054" s="195" t="s">
        <v>10790</v>
      </c>
      <c r="H1054" s="166" t="s">
        <v>13436</v>
      </c>
      <c r="I1054" s="193" t="s">
        <v>12814</v>
      </c>
      <c r="J1054" s="219" t="s">
        <v>146</v>
      </c>
      <c r="K1054" s="170"/>
      <c r="L1054" s="193" t="s">
        <v>146</v>
      </c>
    </row>
    <row r="1055" spans="1:12" ht="30">
      <c r="A1055" s="67">
        <f t="shared" si="16"/>
        <v>1053</v>
      </c>
      <c r="B1055" s="164">
        <v>1053</v>
      </c>
      <c r="C1055" s="193" t="s">
        <v>2348</v>
      </c>
      <c r="D1055" s="195" t="s">
        <v>5616</v>
      </c>
      <c r="E1055" s="193" t="s">
        <v>8570</v>
      </c>
      <c r="F1055" s="193" t="s">
        <v>114</v>
      </c>
      <c r="G1055" s="195" t="s">
        <v>1160</v>
      </c>
      <c r="H1055" s="166" t="s">
        <v>13436</v>
      </c>
      <c r="I1055" s="193" t="s">
        <v>12838</v>
      </c>
      <c r="J1055" s="193" t="s">
        <v>146</v>
      </c>
      <c r="K1055" s="170"/>
      <c r="L1055" s="193" t="s">
        <v>13124</v>
      </c>
    </row>
    <row r="1056" spans="1:12" ht="15.75">
      <c r="A1056" s="67">
        <f t="shared" si="16"/>
        <v>1054</v>
      </c>
      <c r="B1056" s="164">
        <v>1054</v>
      </c>
      <c r="C1056" s="193" t="s">
        <v>2349</v>
      </c>
      <c r="D1056" s="197" t="s">
        <v>5617</v>
      </c>
      <c r="E1056" s="193" t="s">
        <v>8531</v>
      </c>
      <c r="F1056" s="193" t="s">
        <v>114</v>
      </c>
      <c r="G1056" s="195" t="s">
        <v>10791</v>
      </c>
      <c r="H1056" s="166" t="s">
        <v>13436</v>
      </c>
      <c r="I1056" s="193" t="s">
        <v>12816</v>
      </c>
      <c r="J1056" s="193" t="s">
        <v>146</v>
      </c>
      <c r="K1056" s="170"/>
      <c r="L1056" s="193" t="s">
        <v>146</v>
      </c>
    </row>
    <row r="1057" spans="1:12" ht="15.75">
      <c r="A1057" s="67">
        <f t="shared" si="16"/>
        <v>1055</v>
      </c>
      <c r="B1057" s="164">
        <v>1055</v>
      </c>
      <c r="C1057" s="193" t="s">
        <v>2350</v>
      </c>
      <c r="D1057" s="195" t="s">
        <v>5618</v>
      </c>
      <c r="E1057" s="193" t="s">
        <v>446</v>
      </c>
      <c r="F1057" s="193" t="s">
        <v>114</v>
      </c>
      <c r="G1057" s="195" t="s">
        <v>10792</v>
      </c>
      <c r="H1057" s="166" t="s">
        <v>13436</v>
      </c>
      <c r="I1057" s="193" t="s">
        <v>12814</v>
      </c>
      <c r="J1057" s="193" t="s">
        <v>146</v>
      </c>
      <c r="K1057" s="170"/>
      <c r="L1057" s="193" t="s">
        <v>146</v>
      </c>
    </row>
    <row r="1058" spans="1:12" ht="30">
      <c r="A1058" s="67">
        <f t="shared" si="16"/>
        <v>1056</v>
      </c>
      <c r="B1058" s="164">
        <v>1056</v>
      </c>
      <c r="C1058" s="193" t="s">
        <v>2351</v>
      </c>
      <c r="D1058" s="195" t="s">
        <v>5619</v>
      </c>
      <c r="E1058" s="193" t="s">
        <v>8571</v>
      </c>
      <c r="F1058" s="193" t="s">
        <v>114</v>
      </c>
      <c r="G1058" s="195" t="s">
        <v>10793</v>
      </c>
      <c r="H1058" s="166" t="s">
        <v>13436</v>
      </c>
      <c r="I1058" s="193" t="s">
        <v>12814</v>
      </c>
      <c r="J1058" s="219" t="s">
        <v>146</v>
      </c>
      <c r="K1058" s="170"/>
      <c r="L1058" s="193" t="s">
        <v>13125</v>
      </c>
    </row>
    <row r="1059" spans="1:12" ht="30">
      <c r="A1059" s="67">
        <f t="shared" si="16"/>
        <v>1057</v>
      </c>
      <c r="B1059" s="164">
        <v>1057</v>
      </c>
      <c r="C1059" s="193" t="s">
        <v>2352</v>
      </c>
      <c r="D1059" s="197" t="s">
        <v>5620</v>
      </c>
      <c r="E1059" s="193" t="s">
        <v>8572</v>
      </c>
      <c r="F1059" s="193" t="s">
        <v>114</v>
      </c>
      <c r="G1059" s="195" t="s">
        <v>10794</v>
      </c>
      <c r="H1059" s="166" t="s">
        <v>13436</v>
      </c>
      <c r="I1059" s="193" t="s">
        <v>12816</v>
      </c>
      <c r="J1059" s="193" t="s">
        <v>146</v>
      </c>
      <c r="K1059" s="170"/>
      <c r="L1059" s="193" t="s">
        <v>13126</v>
      </c>
    </row>
    <row r="1060" spans="1:12" ht="30">
      <c r="A1060" s="67">
        <f t="shared" si="16"/>
        <v>1058</v>
      </c>
      <c r="B1060" s="164">
        <v>1058</v>
      </c>
      <c r="C1060" s="193" t="s">
        <v>2353</v>
      </c>
      <c r="D1060" s="195" t="s">
        <v>5621</v>
      </c>
      <c r="E1060" s="193" t="s">
        <v>7893</v>
      </c>
      <c r="F1060" s="193" t="s">
        <v>114</v>
      </c>
      <c r="G1060" s="195" t="s">
        <v>815</v>
      </c>
      <c r="H1060" s="166" t="s">
        <v>13436</v>
      </c>
      <c r="I1060" s="193" t="s">
        <v>12814</v>
      </c>
      <c r="J1060" s="219" t="s">
        <v>268</v>
      </c>
      <c r="K1060" s="170"/>
      <c r="L1060" s="193" t="s">
        <v>13127</v>
      </c>
    </row>
    <row r="1061" spans="1:12" ht="30">
      <c r="A1061" s="67">
        <f t="shared" si="16"/>
        <v>1059</v>
      </c>
      <c r="B1061" s="164">
        <v>1059</v>
      </c>
      <c r="C1061" s="193" t="s">
        <v>2354</v>
      </c>
      <c r="D1061" s="195" t="s">
        <v>5622</v>
      </c>
      <c r="E1061" s="193" t="s">
        <v>8573</v>
      </c>
      <c r="F1061" s="193" t="s">
        <v>114</v>
      </c>
      <c r="G1061" s="195" t="s">
        <v>10795</v>
      </c>
      <c r="H1061" s="166" t="s">
        <v>13436</v>
      </c>
      <c r="I1061" s="193" t="s">
        <v>12813</v>
      </c>
      <c r="J1061" s="193" t="s">
        <v>146</v>
      </c>
      <c r="K1061" s="170"/>
      <c r="L1061" s="193" t="s">
        <v>13128</v>
      </c>
    </row>
    <row r="1062" spans="1:12" ht="75">
      <c r="A1062" s="67">
        <f t="shared" si="16"/>
        <v>1060</v>
      </c>
      <c r="B1062" s="164">
        <v>1060</v>
      </c>
      <c r="C1062" s="193" t="s">
        <v>2355</v>
      </c>
      <c r="D1062" s="195" t="s">
        <v>5623</v>
      </c>
      <c r="E1062" s="193" t="s">
        <v>8574</v>
      </c>
      <c r="F1062" s="193" t="s">
        <v>114</v>
      </c>
      <c r="G1062" s="195" t="s">
        <v>10796</v>
      </c>
      <c r="H1062" s="166" t="s">
        <v>13436</v>
      </c>
      <c r="I1062" s="193" t="s">
        <v>12814</v>
      </c>
      <c r="J1062" s="219" t="s">
        <v>146</v>
      </c>
      <c r="K1062" s="170"/>
      <c r="L1062" s="193" t="s">
        <v>13129</v>
      </c>
    </row>
    <row r="1063" spans="1:12" ht="30">
      <c r="A1063" s="67">
        <f t="shared" si="16"/>
        <v>1061</v>
      </c>
      <c r="B1063" s="164">
        <v>1061</v>
      </c>
      <c r="C1063" s="193" t="s">
        <v>2356</v>
      </c>
      <c r="D1063" s="195" t="s">
        <v>5624</v>
      </c>
      <c r="E1063" s="193" t="s">
        <v>8575</v>
      </c>
      <c r="F1063" s="193" t="s">
        <v>114</v>
      </c>
      <c r="G1063" s="195" t="s">
        <v>10797</v>
      </c>
      <c r="H1063" s="166" t="s">
        <v>13436</v>
      </c>
      <c r="I1063" s="193" t="s">
        <v>12819</v>
      </c>
      <c r="J1063" s="193" t="s">
        <v>146</v>
      </c>
      <c r="K1063" s="170"/>
      <c r="L1063" s="193" t="s">
        <v>13130</v>
      </c>
    </row>
    <row r="1064" spans="1:12" ht="105">
      <c r="A1064" s="67">
        <f t="shared" si="16"/>
        <v>1062</v>
      </c>
      <c r="B1064" s="164">
        <v>1062</v>
      </c>
      <c r="C1064" s="193" t="s">
        <v>2357</v>
      </c>
      <c r="D1064" s="195" t="s">
        <v>5625</v>
      </c>
      <c r="E1064" s="193" t="s">
        <v>8089</v>
      </c>
      <c r="F1064" s="193" t="s">
        <v>114</v>
      </c>
      <c r="G1064" s="195" t="s">
        <v>10798</v>
      </c>
      <c r="H1064" s="166" t="s">
        <v>13436</v>
      </c>
      <c r="I1064" s="193" t="s">
        <v>12819</v>
      </c>
      <c r="J1064" s="193" t="s">
        <v>12344</v>
      </c>
      <c r="K1064" s="170"/>
      <c r="L1064" s="193" t="s">
        <v>13131</v>
      </c>
    </row>
    <row r="1065" spans="1:12" ht="15.75">
      <c r="A1065" s="67">
        <f t="shared" si="16"/>
        <v>1063</v>
      </c>
      <c r="B1065" s="164">
        <v>1063</v>
      </c>
      <c r="C1065" s="193" t="s">
        <v>2358</v>
      </c>
      <c r="D1065" s="195" t="s">
        <v>5626</v>
      </c>
      <c r="E1065" s="193" t="s">
        <v>8576</v>
      </c>
      <c r="F1065" s="193" t="s">
        <v>114</v>
      </c>
      <c r="G1065" s="195" t="s">
        <v>10799</v>
      </c>
      <c r="H1065" s="166" t="s">
        <v>13436</v>
      </c>
      <c r="I1065" s="193" t="s">
        <v>12824</v>
      </c>
      <c r="J1065" s="193" t="s">
        <v>146</v>
      </c>
      <c r="K1065" s="170"/>
      <c r="L1065" s="193" t="s">
        <v>146</v>
      </c>
    </row>
    <row r="1066" spans="1:12" ht="15.75">
      <c r="A1066" s="67">
        <f t="shared" si="16"/>
        <v>1064</v>
      </c>
      <c r="B1066" s="164">
        <v>1064</v>
      </c>
      <c r="C1066" s="193" t="s">
        <v>2359</v>
      </c>
      <c r="D1066" s="195" t="s">
        <v>5627</v>
      </c>
      <c r="E1066" s="193" t="s">
        <v>440</v>
      </c>
      <c r="F1066" s="193" t="s">
        <v>114</v>
      </c>
      <c r="G1066" s="195" t="s">
        <v>10800</v>
      </c>
      <c r="H1066" s="166" t="s">
        <v>13436</v>
      </c>
      <c r="I1066" s="193" t="s">
        <v>12819</v>
      </c>
      <c r="J1066" s="193" t="s">
        <v>1252</v>
      </c>
      <c r="K1066" s="170"/>
      <c r="L1066" s="193" t="s">
        <v>146</v>
      </c>
    </row>
    <row r="1067" spans="1:12" ht="15.75">
      <c r="A1067" s="67">
        <f t="shared" si="16"/>
        <v>1065</v>
      </c>
      <c r="B1067" s="164">
        <v>1065</v>
      </c>
      <c r="C1067" s="193" t="s">
        <v>2360</v>
      </c>
      <c r="D1067" s="195" t="s">
        <v>5628</v>
      </c>
      <c r="E1067" s="193" t="s">
        <v>8577</v>
      </c>
      <c r="F1067" s="193" t="s">
        <v>59</v>
      </c>
      <c r="G1067" s="195" t="s">
        <v>10801</v>
      </c>
      <c r="H1067" s="166" t="s">
        <v>13436</v>
      </c>
      <c r="I1067" s="193" t="s">
        <v>12838</v>
      </c>
      <c r="J1067" s="193" t="s">
        <v>12345</v>
      </c>
      <c r="K1067" s="170"/>
      <c r="L1067" s="193"/>
    </row>
    <row r="1068" spans="1:12" ht="30">
      <c r="A1068" s="67">
        <f t="shared" si="16"/>
        <v>1066</v>
      </c>
      <c r="B1068" s="164">
        <v>1066</v>
      </c>
      <c r="C1068" s="193" t="s">
        <v>2361</v>
      </c>
      <c r="D1068" s="199" t="s">
        <v>5629</v>
      </c>
      <c r="E1068" s="193" t="s">
        <v>8578</v>
      </c>
      <c r="F1068" s="193" t="s">
        <v>114</v>
      </c>
      <c r="G1068" s="195" t="s">
        <v>10802</v>
      </c>
      <c r="H1068" s="166" t="s">
        <v>13436</v>
      </c>
      <c r="I1068" s="193" t="s">
        <v>12839</v>
      </c>
      <c r="J1068" s="193" t="s">
        <v>146</v>
      </c>
      <c r="K1068" s="170"/>
      <c r="L1068" s="193" t="s">
        <v>13132</v>
      </c>
    </row>
    <row r="1069" spans="1:12" ht="15.75">
      <c r="A1069" s="67">
        <f t="shared" si="16"/>
        <v>1067</v>
      </c>
      <c r="B1069" s="164">
        <v>1067</v>
      </c>
      <c r="C1069" s="193" t="s">
        <v>2362</v>
      </c>
      <c r="D1069" s="195" t="s">
        <v>5630</v>
      </c>
      <c r="E1069" s="193" t="s">
        <v>8579</v>
      </c>
      <c r="F1069" s="193" t="s">
        <v>114</v>
      </c>
      <c r="G1069" s="195" t="s">
        <v>10803</v>
      </c>
      <c r="H1069" s="166" t="s">
        <v>13436</v>
      </c>
      <c r="I1069" s="193" t="s">
        <v>12821</v>
      </c>
      <c r="J1069" s="193" t="s">
        <v>1256</v>
      </c>
      <c r="K1069" s="170"/>
      <c r="L1069" s="193" t="s">
        <v>146</v>
      </c>
    </row>
    <row r="1070" spans="1:12" ht="15.75">
      <c r="A1070" s="67">
        <f t="shared" si="16"/>
        <v>1068</v>
      </c>
      <c r="B1070" s="164">
        <v>1068</v>
      </c>
      <c r="C1070" s="193" t="s">
        <v>2363</v>
      </c>
      <c r="D1070" s="195" t="s">
        <v>5631</v>
      </c>
      <c r="E1070" s="193" t="s">
        <v>8580</v>
      </c>
      <c r="F1070" s="193" t="s">
        <v>59</v>
      </c>
      <c r="G1070" s="195" t="s">
        <v>10804</v>
      </c>
      <c r="H1070" s="166" t="s">
        <v>13436</v>
      </c>
      <c r="I1070" s="193" t="s">
        <v>12812</v>
      </c>
      <c r="J1070" s="193" t="s">
        <v>146</v>
      </c>
      <c r="K1070" s="170"/>
      <c r="L1070" s="193"/>
    </row>
    <row r="1071" spans="1:12" ht="15.75">
      <c r="A1071" s="67">
        <f t="shared" si="16"/>
        <v>1069</v>
      </c>
      <c r="B1071" s="164">
        <v>1069</v>
      </c>
      <c r="C1071" s="193" t="s">
        <v>2364</v>
      </c>
      <c r="D1071" s="196" t="s">
        <v>5632</v>
      </c>
      <c r="E1071" s="193" t="s">
        <v>8125</v>
      </c>
      <c r="F1071" s="193" t="s">
        <v>114</v>
      </c>
      <c r="G1071" s="195" t="s">
        <v>10805</v>
      </c>
      <c r="H1071" s="166" t="s">
        <v>13436</v>
      </c>
      <c r="I1071" s="193" t="s">
        <v>1248</v>
      </c>
      <c r="J1071" s="219" t="s">
        <v>146</v>
      </c>
      <c r="K1071" s="170"/>
      <c r="L1071" s="193" t="s">
        <v>146</v>
      </c>
    </row>
    <row r="1072" spans="1:12" ht="15.75">
      <c r="A1072" s="67">
        <f t="shared" si="16"/>
        <v>1070</v>
      </c>
      <c r="B1072" s="164">
        <v>1070</v>
      </c>
      <c r="C1072" s="193" t="s">
        <v>2365</v>
      </c>
      <c r="D1072" s="210" t="s">
        <v>5633</v>
      </c>
      <c r="E1072" s="193" t="s">
        <v>8581</v>
      </c>
      <c r="F1072" s="193" t="s">
        <v>59</v>
      </c>
      <c r="G1072" s="195" t="s">
        <v>10806</v>
      </c>
      <c r="H1072" s="166" t="s">
        <v>13436</v>
      </c>
      <c r="I1072" s="193" t="s">
        <v>1247</v>
      </c>
      <c r="J1072" s="219" t="s">
        <v>147</v>
      </c>
      <c r="K1072" s="170"/>
      <c r="L1072" s="193"/>
    </row>
    <row r="1073" spans="1:12" ht="15.75">
      <c r="A1073" s="67">
        <f t="shared" si="16"/>
        <v>1071</v>
      </c>
      <c r="B1073" s="164">
        <v>1071</v>
      </c>
      <c r="C1073" s="193" t="s">
        <v>2366</v>
      </c>
      <c r="D1073" s="195" t="s">
        <v>5634</v>
      </c>
      <c r="E1073" s="193" t="s">
        <v>8582</v>
      </c>
      <c r="F1073" s="193" t="s">
        <v>114</v>
      </c>
      <c r="G1073" s="195" t="s">
        <v>10807</v>
      </c>
      <c r="H1073" s="166" t="s">
        <v>13436</v>
      </c>
      <c r="I1073" s="193" t="s">
        <v>12826</v>
      </c>
      <c r="J1073" s="193" t="s">
        <v>164</v>
      </c>
      <c r="K1073" s="170"/>
      <c r="L1073" s="193" t="s">
        <v>146</v>
      </c>
    </row>
    <row r="1074" spans="1:12" ht="15.75">
      <c r="A1074" s="67">
        <f t="shared" si="16"/>
        <v>1072</v>
      </c>
      <c r="B1074" s="164">
        <v>1072</v>
      </c>
      <c r="C1074" s="193" t="s">
        <v>2367</v>
      </c>
      <c r="D1074" s="195" t="s">
        <v>5635</v>
      </c>
      <c r="E1074" s="193" t="s">
        <v>8583</v>
      </c>
      <c r="F1074" s="193" t="s">
        <v>114</v>
      </c>
      <c r="G1074" s="195" t="s">
        <v>10808</v>
      </c>
      <c r="H1074" s="166" t="s">
        <v>13436</v>
      </c>
      <c r="I1074" s="193" t="s">
        <v>12814</v>
      </c>
      <c r="J1074" s="219" t="s">
        <v>146</v>
      </c>
      <c r="K1074" s="170"/>
      <c r="L1074" s="219" t="s">
        <v>146</v>
      </c>
    </row>
    <row r="1075" spans="1:12" ht="15.75">
      <c r="A1075" s="67">
        <f t="shared" si="16"/>
        <v>1073</v>
      </c>
      <c r="B1075" s="164">
        <v>1073</v>
      </c>
      <c r="C1075" s="193" t="s">
        <v>2368</v>
      </c>
      <c r="D1075" s="195" t="s">
        <v>5636</v>
      </c>
      <c r="E1075" s="193" t="s">
        <v>444</v>
      </c>
      <c r="F1075" s="193" t="s">
        <v>114</v>
      </c>
      <c r="G1075" s="195" t="s">
        <v>10809</v>
      </c>
      <c r="H1075" s="166" t="s">
        <v>13436</v>
      </c>
      <c r="I1075" s="193" t="s">
        <v>12825</v>
      </c>
      <c r="J1075" s="193" t="s">
        <v>146</v>
      </c>
      <c r="K1075" s="170"/>
      <c r="L1075" s="193" t="s">
        <v>146</v>
      </c>
    </row>
    <row r="1076" spans="1:12" ht="30">
      <c r="A1076" s="67">
        <f t="shared" si="16"/>
        <v>1074</v>
      </c>
      <c r="B1076" s="164">
        <v>1074</v>
      </c>
      <c r="C1076" s="193" t="s">
        <v>2369</v>
      </c>
      <c r="D1076" s="195" t="s">
        <v>5637</v>
      </c>
      <c r="E1076" s="193" t="s">
        <v>186</v>
      </c>
      <c r="F1076" s="193" t="s">
        <v>114</v>
      </c>
      <c r="G1076" s="195" t="s">
        <v>10810</v>
      </c>
      <c r="H1076" s="166" t="s">
        <v>13436</v>
      </c>
      <c r="I1076" s="193" t="s">
        <v>12825</v>
      </c>
      <c r="J1076" s="193" t="s">
        <v>12346</v>
      </c>
      <c r="K1076" s="170"/>
      <c r="L1076" s="193" t="s">
        <v>146</v>
      </c>
    </row>
    <row r="1077" spans="1:12" ht="15.75">
      <c r="A1077" s="67">
        <f t="shared" si="16"/>
        <v>1075</v>
      </c>
      <c r="B1077" s="164">
        <v>1075</v>
      </c>
      <c r="C1077" s="193" t="s">
        <v>2370</v>
      </c>
      <c r="D1077" s="195" t="s">
        <v>5638</v>
      </c>
      <c r="E1077" s="193" t="s">
        <v>8584</v>
      </c>
      <c r="F1077" s="193" t="s">
        <v>114</v>
      </c>
      <c r="G1077" s="195" t="s">
        <v>10811</v>
      </c>
      <c r="H1077" s="166" t="s">
        <v>13436</v>
      </c>
      <c r="I1077" s="193" t="s">
        <v>12826</v>
      </c>
      <c r="J1077" s="193" t="s">
        <v>146</v>
      </c>
      <c r="K1077" s="170"/>
      <c r="L1077" s="193" t="s">
        <v>146</v>
      </c>
    </row>
    <row r="1078" spans="1:12" ht="75">
      <c r="A1078" s="67">
        <f t="shared" si="16"/>
        <v>1076</v>
      </c>
      <c r="B1078" s="164">
        <v>1076</v>
      </c>
      <c r="C1078" s="193" t="s">
        <v>2371</v>
      </c>
      <c r="D1078" s="195" t="s">
        <v>5639</v>
      </c>
      <c r="E1078" s="193" t="s">
        <v>8585</v>
      </c>
      <c r="F1078" s="193" t="s">
        <v>114</v>
      </c>
      <c r="G1078" s="195" t="s">
        <v>678</v>
      </c>
      <c r="H1078" s="166" t="s">
        <v>13436</v>
      </c>
      <c r="I1078" s="193" t="s">
        <v>12826</v>
      </c>
      <c r="J1078" s="193" t="s">
        <v>146</v>
      </c>
      <c r="K1078" s="170"/>
      <c r="L1078" s="193" t="s">
        <v>13133</v>
      </c>
    </row>
    <row r="1079" spans="1:12" ht="30">
      <c r="A1079" s="67">
        <f t="shared" si="16"/>
        <v>1077</v>
      </c>
      <c r="B1079" s="164">
        <v>1077</v>
      </c>
      <c r="C1079" s="193" t="s">
        <v>2372</v>
      </c>
      <c r="D1079" s="195" t="s">
        <v>5640</v>
      </c>
      <c r="E1079" s="193" t="s">
        <v>8586</v>
      </c>
      <c r="F1079" s="193" t="s">
        <v>114</v>
      </c>
      <c r="G1079" s="195" t="s">
        <v>10812</v>
      </c>
      <c r="H1079" s="166" t="s">
        <v>13436</v>
      </c>
      <c r="I1079" s="193" t="s">
        <v>12826</v>
      </c>
      <c r="J1079" s="193" t="s">
        <v>146</v>
      </c>
      <c r="K1079" s="170"/>
      <c r="L1079" s="193" t="s">
        <v>13134</v>
      </c>
    </row>
    <row r="1080" spans="1:12" ht="30">
      <c r="A1080" s="67">
        <f t="shared" si="16"/>
        <v>1078</v>
      </c>
      <c r="B1080" s="164">
        <v>1078</v>
      </c>
      <c r="C1080" s="193" t="s">
        <v>2373</v>
      </c>
      <c r="D1080" s="195" t="s">
        <v>5641</v>
      </c>
      <c r="E1080" s="193" t="s">
        <v>360</v>
      </c>
      <c r="F1080" s="193" t="s">
        <v>114</v>
      </c>
      <c r="G1080" s="195" t="s">
        <v>718</v>
      </c>
      <c r="H1080" s="166" t="s">
        <v>13436</v>
      </c>
      <c r="I1080" s="193" t="s">
        <v>12837</v>
      </c>
      <c r="J1080" s="219" t="s">
        <v>12347</v>
      </c>
      <c r="K1080" s="170"/>
      <c r="L1080" s="193" t="s">
        <v>146</v>
      </c>
    </row>
    <row r="1081" spans="1:12" ht="15.75">
      <c r="A1081" s="67">
        <f t="shared" si="16"/>
        <v>1079</v>
      </c>
      <c r="B1081" s="164">
        <v>1079</v>
      </c>
      <c r="C1081" s="193" t="s">
        <v>2374</v>
      </c>
      <c r="D1081" s="195" t="s">
        <v>5642</v>
      </c>
      <c r="E1081" s="193" t="s">
        <v>419</v>
      </c>
      <c r="F1081" s="193" t="s">
        <v>114</v>
      </c>
      <c r="G1081" s="195" t="s">
        <v>676</v>
      </c>
      <c r="H1081" s="166" t="s">
        <v>13436</v>
      </c>
      <c r="I1081" s="193" t="s">
        <v>12826</v>
      </c>
      <c r="J1081" s="193" t="s">
        <v>12348</v>
      </c>
      <c r="K1081" s="170"/>
      <c r="L1081" s="193" t="s">
        <v>146</v>
      </c>
    </row>
    <row r="1082" spans="1:12" ht="45">
      <c r="A1082" s="67">
        <f t="shared" si="16"/>
        <v>1080</v>
      </c>
      <c r="B1082" s="164">
        <v>1080</v>
      </c>
      <c r="C1082" s="193" t="s">
        <v>2375</v>
      </c>
      <c r="D1082" s="195" t="s">
        <v>5643</v>
      </c>
      <c r="E1082" s="193" t="s">
        <v>8587</v>
      </c>
      <c r="F1082" s="193" t="s">
        <v>114</v>
      </c>
      <c r="G1082" s="195" t="s">
        <v>10813</v>
      </c>
      <c r="H1082" s="166" t="s">
        <v>13436</v>
      </c>
      <c r="I1082" s="193" t="s">
        <v>12826</v>
      </c>
      <c r="J1082" s="193" t="s">
        <v>146</v>
      </c>
      <c r="K1082" s="170"/>
      <c r="L1082" s="193" t="s">
        <v>13135</v>
      </c>
    </row>
    <row r="1083" spans="1:12" ht="45">
      <c r="A1083" s="67">
        <f t="shared" si="16"/>
        <v>1081</v>
      </c>
      <c r="B1083" s="164">
        <v>1081</v>
      </c>
      <c r="C1083" s="193" t="s">
        <v>2376</v>
      </c>
      <c r="D1083" s="195" t="s">
        <v>5644</v>
      </c>
      <c r="E1083" s="193" t="s">
        <v>327</v>
      </c>
      <c r="F1083" s="193" t="s">
        <v>114</v>
      </c>
      <c r="G1083" s="195" t="s">
        <v>833</v>
      </c>
      <c r="H1083" s="166" t="s">
        <v>13436</v>
      </c>
      <c r="I1083" s="193" t="s">
        <v>12826</v>
      </c>
      <c r="J1083" s="193" t="s">
        <v>12349</v>
      </c>
      <c r="K1083" s="170"/>
      <c r="L1083" s="193" t="s">
        <v>146</v>
      </c>
    </row>
    <row r="1084" spans="1:12" ht="15.75">
      <c r="A1084" s="67">
        <f t="shared" si="16"/>
        <v>1082</v>
      </c>
      <c r="B1084" s="164">
        <v>1082</v>
      </c>
      <c r="C1084" s="193" t="s">
        <v>2377</v>
      </c>
      <c r="D1084" s="195" t="s">
        <v>5645</v>
      </c>
      <c r="E1084" s="193" t="s">
        <v>8588</v>
      </c>
      <c r="F1084" s="193" t="s">
        <v>114</v>
      </c>
      <c r="G1084" s="195" t="s">
        <v>10814</v>
      </c>
      <c r="H1084" s="166" t="s">
        <v>13436</v>
      </c>
      <c r="I1084" s="193" t="s">
        <v>12826</v>
      </c>
      <c r="J1084" s="193" t="s">
        <v>146</v>
      </c>
      <c r="K1084" s="170"/>
      <c r="L1084" s="193" t="s">
        <v>146</v>
      </c>
    </row>
    <row r="1085" spans="1:12" ht="15.75">
      <c r="A1085" s="67">
        <f t="shared" si="16"/>
        <v>1083</v>
      </c>
      <c r="B1085" s="164">
        <v>1083</v>
      </c>
      <c r="C1085" s="193" t="s">
        <v>2378</v>
      </c>
      <c r="D1085" s="195" t="s">
        <v>5646</v>
      </c>
      <c r="E1085" s="193" t="s">
        <v>8589</v>
      </c>
      <c r="F1085" s="193" t="s">
        <v>114</v>
      </c>
      <c r="G1085" s="195" t="s">
        <v>10815</v>
      </c>
      <c r="H1085" s="166" t="s">
        <v>13436</v>
      </c>
      <c r="I1085" s="193" t="s">
        <v>12826</v>
      </c>
      <c r="J1085" s="193" t="s">
        <v>146</v>
      </c>
      <c r="K1085" s="170"/>
      <c r="L1085" s="193" t="s">
        <v>146</v>
      </c>
    </row>
    <row r="1086" spans="1:12" ht="15.75">
      <c r="A1086" s="67">
        <f t="shared" si="16"/>
        <v>1084</v>
      </c>
      <c r="B1086" s="164">
        <v>1084</v>
      </c>
      <c r="C1086" s="193" t="s">
        <v>2379</v>
      </c>
      <c r="D1086" s="195" t="s">
        <v>5647</v>
      </c>
      <c r="E1086" s="193" t="s">
        <v>8590</v>
      </c>
      <c r="F1086" s="193" t="s">
        <v>114</v>
      </c>
      <c r="G1086" s="195" t="s">
        <v>10816</v>
      </c>
      <c r="H1086" s="166" t="s">
        <v>13436</v>
      </c>
      <c r="I1086" s="193" t="s">
        <v>12826</v>
      </c>
      <c r="J1086" s="193" t="s">
        <v>146</v>
      </c>
      <c r="K1086" s="170"/>
      <c r="L1086" s="193" t="s">
        <v>146</v>
      </c>
    </row>
    <row r="1087" spans="1:12" ht="30">
      <c r="A1087" s="67">
        <f t="shared" si="16"/>
        <v>1085</v>
      </c>
      <c r="B1087" s="164">
        <v>1085</v>
      </c>
      <c r="C1087" s="193" t="s">
        <v>2380</v>
      </c>
      <c r="D1087" s="195" t="s">
        <v>5648</v>
      </c>
      <c r="E1087" s="193" t="s">
        <v>8591</v>
      </c>
      <c r="F1087" s="193" t="s">
        <v>114</v>
      </c>
      <c r="G1087" s="195" t="s">
        <v>826</v>
      </c>
      <c r="H1087" s="166" t="s">
        <v>13436</v>
      </c>
      <c r="I1087" s="193" t="s">
        <v>12826</v>
      </c>
      <c r="J1087" s="193" t="s">
        <v>1273</v>
      </c>
      <c r="K1087" s="170"/>
      <c r="L1087" s="193" t="s">
        <v>146</v>
      </c>
    </row>
    <row r="1088" spans="1:12" ht="15.75">
      <c r="A1088" s="67">
        <f t="shared" si="16"/>
        <v>1086</v>
      </c>
      <c r="B1088" s="164">
        <v>1086</v>
      </c>
      <c r="C1088" s="193" t="s">
        <v>2381</v>
      </c>
      <c r="D1088" s="197" t="s">
        <v>5649</v>
      </c>
      <c r="E1088" s="193" t="s">
        <v>308</v>
      </c>
      <c r="F1088" s="193" t="s">
        <v>114</v>
      </c>
      <c r="G1088" s="195" t="s">
        <v>10161</v>
      </c>
      <c r="H1088" s="166" t="s">
        <v>13436</v>
      </c>
      <c r="I1088" s="193" t="s">
        <v>12816</v>
      </c>
      <c r="J1088" s="193" t="s">
        <v>1252</v>
      </c>
      <c r="K1088" s="170"/>
      <c r="L1088" s="193" t="s">
        <v>146</v>
      </c>
    </row>
    <row r="1089" spans="1:12" ht="45">
      <c r="A1089" s="67">
        <f t="shared" si="16"/>
        <v>1087</v>
      </c>
      <c r="B1089" s="164">
        <v>1087</v>
      </c>
      <c r="C1089" s="193" t="s">
        <v>2382</v>
      </c>
      <c r="D1089" s="197" t="s">
        <v>5650</v>
      </c>
      <c r="E1089" s="193" t="s">
        <v>8592</v>
      </c>
      <c r="F1089" s="193" t="s">
        <v>114</v>
      </c>
      <c r="G1089" s="195" t="s">
        <v>10817</v>
      </c>
      <c r="H1089" s="166" t="s">
        <v>13436</v>
      </c>
      <c r="I1089" s="193" t="s">
        <v>12816</v>
      </c>
      <c r="J1089" s="193" t="s">
        <v>146</v>
      </c>
      <c r="K1089" s="170"/>
      <c r="L1089" s="193" t="s">
        <v>13136</v>
      </c>
    </row>
    <row r="1090" spans="1:12" ht="30">
      <c r="A1090" s="67">
        <f t="shared" si="16"/>
        <v>1088</v>
      </c>
      <c r="B1090" s="164">
        <v>1088</v>
      </c>
      <c r="C1090" s="193" t="s">
        <v>2383</v>
      </c>
      <c r="D1090" s="204" t="s">
        <v>5651</v>
      </c>
      <c r="E1090" s="193" t="s">
        <v>8593</v>
      </c>
      <c r="F1090" s="193" t="s">
        <v>114</v>
      </c>
      <c r="G1090" s="195" t="s">
        <v>10818</v>
      </c>
      <c r="H1090" s="166" t="s">
        <v>13436</v>
      </c>
      <c r="I1090" s="193" t="s">
        <v>12816</v>
      </c>
      <c r="J1090" s="193" t="s">
        <v>146</v>
      </c>
      <c r="K1090" s="170"/>
      <c r="L1090" s="193" t="s">
        <v>13137</v>
      </c>
    </row>
    <row r="1091" spans="1:12" ht="30">
      <c r="A1091" s="67">
        <f t="shared" ref="A1091:A1154" si="17">IFERROR(VALUE(RIGHT(C1091,4)),"")</f>
        <v>1089</v>
      </c>
      <c r="B1091" s="164">
        <v>1089</v>
      </c>
      <c r="C1091" s="193" t="s">
        <v>2384</v>
      </c>
      <c r="D1091" s="195" t="s">
        <v>5652</v>
      </c>
      <c r="E1091" s="193" t="s">
        <v>180</v>
      </c>
      <c r="F1091" s="193" t="s">
        <v>114</v>
      </c>
      <c r="G1091" s="195" t="s">
        <v>10267</v>
      </c>
      <c r="H1091" s="166" t="s">
        <v>13436</v>
      </c>
      <c r="I1091" s="193" t="s">
        <v>12820</v>
      </c>
      <c r="J1091" s="193" t="s">
        <v>12350</v>
      </c>
      <c r="K1091" s="170"/>
      <c r="L1091" s="193" t="s">
        <v>13138</v>
      </c>
    </row>
    <row r="1092" spans="1:12" ht="30">
      <c r="A1092" s="67">
        <f t="shared" si="17"/>
        <v>1090</v>
      </c>
      <c r="B1092" s="164">
        <v>1090</v>
      </c>
      <c r="C1092" s="193" t="s">
        <v>2385</v>
      </c>
      <c r="D1092" s="195" t="s">
        <v>5653</v>
      </c>
      <c r="E1092" s="193" t="s">
        <v>8594</v>
      </c>
      <c r="F1092" s="193" t="s">
        <v>114</v>
      </c>
      <c r="G1092" s="195" t="s">
        <v>10182</v>
      </c>
      <c r="H1092" s="166" t="s">
        <v>13436</v>
      </c>
      <c r="I1092" s="193" t="s">
        <v>12818</v>
      </c>
      <c r="J1092" s="193" t="s">
        <v>12351</v>
      </c>
      <c r="K1092" s="170"/>
      <c r="L1092" s="193" t="s">
        <v>146</v>
      </c>
    </row>
    <row r="1093" spans="1:12" ht="30">
      <c r="A1093" s="67">
        <f t="shared" si="17"/>
        <v>1091</v>
      </c>
      <c r="B1093" s="164">
        <v>1091</v>
      </c>
      <c r="C1093" s="193" t="s">
        <v>2386</v>
      </c>
      <c r="D1093" s="195" t="s">
        <v>5654</v>
      </c>
      <c r="E1093" s="193" t="s">
        <v>584</v>
      </c>
      <c r="F1093" s="193" t="s">
        <v>114</v>
      </c>
      <c r="G1093" s="195" t="s">
        <v>10819</v>
      </c>
      <c r="H1093" s="166" t="s">
        <v>13436</v>
      </c>
      <c r="I1093" s="193" t="s">
        <v>12818</v>
      </c>
      <c r="J1093" s="193" t="s">
        <v>146</v>
      </c>
      <c r="K1093" s="170"/>
      <c r="L1093" s="193" t="s">
        <v>13139</v>
      </c>
    </row>
    <row r="1094" spans="1:12" ht="15.75">
      <c r="A1094" s="67">
        <f t="shared" si="17"/>
        <v>1092</v>
      </c>
      <c r="B1094" s="164">
        <v>1092</v>
      </c>
      <c r="C1094" s="193" t="s">
        <v>2387</v>
      </c>
      <c r="D1094" s="195" t="s">
        <v>5655</v>
      </c>
      <c r="E1094" s="193" t="s">
        <v>8595</v>
      </c>
      <c r="F1094" s="193" t="s">
        <v>114</v>
      </c>
      <c r="G1094" s="195" t="s">
        <v>10538</v>
      </c>
      <c r="H1094" s="166" t="s">
        <v>13436</v>
      </c>
      <c r="I1094" s="193" t="s">
        <v>12825</v>
      </c>
      <c r="J1094" s="219" t="s">
        <v>146</v>
      </c>
      <c r="K1094" s="170"/>
      <c r="L1094" s="193" t="s">
        <v>146</v>
      </c>
    </row>
    <row r="1095" spans="1:12" ht="45">
      <c r="A1095" s="67">
        <f t="shared" si="17"/>
        <v>1093</v>
      </c>
      <c r="B1095" s="164">
        <v>1093</v>
      </c>
      <c r="C1095" s="193" t="s">
        <v>2388</v>
      </c>
      <c r="D1095" s="195" t="s">
        <v>5656</v>
      </c>
      <c r="E1095" s="193" t="s">
        <v>646</v>
      </c>
      <c r="F1095" s="193" t="s">
        <v>114</v>
      </c>
      <c r="G1095" s="195" t="s">
        <v>210</v>
      </c>
      <c r="H1095" s="166" t="s">
        <v>13436</v>
      </c>
      <c r="I1095" s="193" t="s">
        <v>12818</v>
      </c>
      <c r="J1095" s="193" t="s">
        <v>12352</v>
      </c>
      <c r="K1095" s="170"/>
      <c r="L1095" s="193" t="s">
        <v>146</v>
      </c>
    </row>
    <row r="1096" spans="1:12" ht="15.75">
      <c r="A1096" s="67">
        <f t="shared" si="17"/>
        <v>1094</v>
      </c>
      <c r="B1096" s="164">
        <v>1094</v>
      </c>
      <c r="C1096" s="193" t="s">
        <v>2389</v>
      </c>
      <c r="D1096" s="195" t="s">
        <v>5657</v>
      </c>
      <c r="E1096" s="193" t="s">
        <v>8596</v>
      </c>
      <c r="F1096" s="193" t="s">
        <v>114</v>
      </c>
      <c r="G1096" s="195" t="s">
        <v>10820</v>
      </c>
      <c r="H1096" s="166" t="s">
        <v>13436</v>
      </c>
      <c r="I1096" s="193" t="s">
        <v>12818</v>
      </c>
      <c r="J1096" s="193" t="s">
        <v>146</v>
      </c>
      <c r="K1096" s="170"/>
      <c r="L1096" s="193" t="s">
        <v>146</v>
      </c>
    </row>
    <row r="1097" spans="1:12" ht="30">
      <c r="A1097" s="67">
        <f t="shared" si="17"/>
        <v>1095</v>
      </c>
      <c r="B1097" s="164">
        <v>1095</v>
      </c>
      <c r="C1097" s="193" t="s">
        <v>2390</v>
      </c>
      <c r="D1097" s="195" t="s">
        <v>5658</v>
      </c>
      <c r="E1097" s="193" t="s">
        <v>662</v>
      </c>
      <c r="F1097" s="193" t="s">
        <v>114</v>
      </c>
      <c r="G1097" s="195" t="s">
        <v>10821</v>
      </c>
      <c r="H1097" s="166" t="s">
        <v>13436</v>
      </c>
      <c r="I1097" s="193" t="s">
        <v>12836</v>
      </c>
      <c r="J1097" s="219" t="s">
        <v>146</v>
      </c>
      <c r="K1097" s="170"/>
      <c r="L1097" s="193" t="s">
        <v>13140</v>
      </c>
    </row>
    <row r="1098" spans="1:12" ht="15.75">
      <c r="A1098" s="67">
        <f t="shared" si="17"/>
        <v>1096</v>
      </c>
      <c r="B1098" s="164">
        <v>1096</v>
      </c>
      <c r="C1098" s="193" t="s">
        <v>2391</v>
      </c>
      <c r="D1098" s="195" t="s">
        <v>5659</v>
      </c>
      <c r="E1098" s="193" t="s">
        <v>8597</v>
      </c>
      <c r="F1098" s="193" t="s">
        <v>114</v>
      </c>
      <c r="G1098" s="195" t="s">
        <v>10822</v>
      </c>
      <c r="H1098" s="166" t="s">
        <v>13436</v>
      </c>
      <c r="I1098" s="193" t="s">
        <v>12814</v>
      </c>
      <c r="J1098" s="193" t="s">
        <v>146</v>
      </c>
      <c r="K1098" s="170"/>
      <c r="L1098" s="193" t="s">
        <v>146</v>
      </c>
    </row>
    <row r="1099" spans="1:12" ht="60">
      <c r="A1099" s="67">
        <f t="shared" si="17"/>
        <v>1097</v>
      </c>
      <c r="B1099" s="164">
        <v>1097</v>
      </c>
      <c r="C1099" s="193" t="s">
        <v>2392</v>
      </c>
      <c r="D1099" s="195" t="s">
        <v>5660</v>
      </c>
      <c r="E1099" s="193" t="s">
        <v>8598</v>
      </c>
      <c r="F1099" s="193" t="s">
        <v>114</v>
      </c>
      <c r="G1099" s="195" t="s">
        <v>10823</v>
      </c>
      <c r="H1099" s="166" t="s">
        <v>13436</v>
      </c>
      <c r="I1099" s="193" t="s">
        <v>12814</v>
      </c>
      <c r="J1099" s="193" t="s">
        <v>146</v>
      </c>
      <c r="K1099" s="170"/>
      <c r="L1099" s="193" t="s">
        <v>13141</v>
      </c>
    </row>
    <row r="1100" spans="1:12" ht="75">
      <c r="A1100" s="67">
        <f t="shared" si="17"/>
        <v>1098</v>
      </c>
      <c r="B1100" s="164">
        <v>1098</v>
      </c>
      <c r="C1100" s="193" t="s">
        <v>2393</v>
      </c>
      <c r="D1100" s="195" t="s">
        <v>5661</v>
      </c>
      <c r="E1100" s="193" t="s">
        <v>354</v>
      </c>
      <c r="F1100" s="193" t="s">
        <v>114</v>
      </c>
      <c r="G1100" s="195" t="s">
        <v>10824</v>
      </c>
      <c r="H1100" s="166" t="s">
        <v>13436</v>
      </c>
      <c r="I1100" s="193" t="s">
        <v>12814</v>
      </c>
      <c r="J1100" s="193" t="s">
        <v>12353</v>
      </c>
      <c r="K1100" s="170"/>
      <c r="L1100" s="193" t="s">
        <v>146</v>
      </c>
    </row>
    <row r="1101" spans="1:12" ht="30">
      <c r="A1101" s="67">
        <f t="shared" si="17"/>
        <v>1099</v>
      </c>
      <c r="B1101" s="164">
        <v>1099</v>
      </c>
      <c r="C1101" s="193" t="s">
        <v>2394</v>
      </c>
      <c r="D1101" s="195" t="s">
        <v>5662</v>
      </c>
      <c r="E1101" s="193" t="s">
        <v>8599</v>
      </c>
      <c r="F1101" s="193" t="s">
        <v>114</v>
      </c>
      <c r="G1101" s="195" t="s">
        <v>10825</v>
      </c>
      <c r="H1101" s="166" t="s">
        <v>13436</v>
      </c>
      <c r="I1101" s="193" t="s">
        <v>12825</v>
      </c>
      <c r="J1101" s="193" t="s">
        <v>12354</v>
      </c>
      <c r="K1101" s="170"/>
      <c r="L1101" s="193" t="s">
        <v>146</v>
      </c>
    </row>
    <row r="1102" spans="1:12" ht="30">
      <c r="A1102" s="67">
        <f t="shared" si="17"/>
        <v>1100</v>
      </c>
      <c r="B1102" s="164">
        <v>1100</v>
      </c>
      <c r="C1102" s="193" t="s">
        <v>2395</v>
      </c>
      <c r="D1102" s="195" t="s">
        <v>5663</v>
      </c>
      <c r="E1102" s="193" t="s">
        <v>8600</v>
      </c>
      <c r="F1102" s="193" t="s">
        <v>114</v>
      </c>
      <c r="G1102" s="195" t="s">
        <v>10779</v>
      </c>
      <c r="H1102" s="166" t="s">
        <v>13436</v>
      </c>
      <c r="I1102" s="193" t="s">
        <v>12814</v>
      </c>
      <c r="J1102" s="193" t="s">
        <v>12355</v>
      </c>
      <c r="K1102" s="170"/>
      <c r="L1102" s="193" t="s">
        <v>146</v>
      </c>
    </row>
    <row r="1103" spans="1:12" ht="30">
      <c r="A1103" s="67">
        <f t="shared" si="17"/>
        <v>1101</v>
      </c>
      <c r="B1103" s="164">
        <v>1101</v>
      </c>
      <c r="C1103" s="193" t="s">
        <v>2396</v>
      </c>
      <c r="D1103" s="195" t="s">
        <v>5664</v>
      </c>
      <c r="E1103" s="193" t="s">
        <v>8601</v>
      </c>
      <c r="F1103" s="193" t="s">
        <v>114</v>
      </c>
      <c r="G1103" s="195" t="s">
        <v>10826</v>
      </c>
      <c r="H1103" s="166" t="s">
        <v>13436</v>
      </c>
      <c r="I1103" s="193" t="s">
        <v>12814</v>
      </c>
      <c r="J1103" s="219" t="s">
        <v>146</v>
      </c>
      <c r="K1103" s="170"/>
      <c r="L1103" s="193" t="s">
        <v>13142</v>
      </c>
    </row>
    <row r="1104" spans="1:12" ht="30">
      <c r="A1104" s="67">
        <f t="shared" si="17"/>
        <v>1102</v>
      </c>
      <c r="B1104" s="164">
        <v>1102</v>
      </c>
      <c r="C1104" s="193" t="s">
        <v>2397</v>
      </c>
      <c r="D1104" s="195" t="s">
        <v>5665</v>
      </c>
      <c r="E1104" s="193" t="s">
        <v>8602</v>
      </c>
      <c r="F1104" s="193" t="s">
        <v>114</v>
      </c>
      <c r="G1104" s="195" t="s">
        <v>10827</v>
      </c>
      <c r="H1104" s="166" t="s">
        <v>13436</v>
      </c>
      <c r="I1104" s="193" t="s">
        <v>12814</v>
      </c>
      <c r="J1104" s="193" t="s">
        <v>12356</v>
      </c>
      <c r="K1104" s="170"/>
      <c r="L1104" s="193" t="s">
        <v>146</v>
      </c>
    </row>
    <row r="1105" spans="1:12" ht="15.75">
      <c r="A1105" s="67">
        <f t="shared" si="17"/>
        <v>1103</v>
      </c>
      <c r="B1105" s="164">
        <v>1103</v>
      </c>
      <c r="C1105" s="193" t="s">
        <v>2398</v>
      </c>
      <c r="D1105" s="195" t="s">
        <v>5666</v>
      </c>
      <c r="E1105" s="193" t="s">
        <v>8603</v>
      </c>
      <c r="F1105" s="193" t="s">
        <v>114</v>
      </c>
      <c r="G1105" s="195" t="s">
        <v>10828</v>
      </c>
      <c r="H1105" s="166" t="s">
        <v>13436</v>
      </c>
      <c r="I1105" s="193" t="s">
        <v>12819</v>
      </c>
      <c r="J1105" s="193" t="s">
        <v>12357</v>
      </c>
      <c r="K1105" s="170"/>
      <c r="L1105" s="193" t="s">
        <v>146</v>
      </c>
    </row>
    <row r="1106" spans="1:12" ht="30">
      <c r="A1106" s="67">
        <f t="shared" si="17"/>
        <v>1104</v>
      </c>
      <c r="B1106" s="164">
        <v>1104</v>
      </c>
      <c r="C1106" s="193" t="s">
        <v>2399</v>
      </c>
      <c r="D1106" s="195" t="s">
        <v>5667</v>
      </c>
      <c r="E1106" s="193" t="s">
        <v>8604</v>
      </c>
      <c r="F1106" s="193" t="s">
        <v>114</v>
      </c>
      <c r="G1106" s="195" t="s">
        <v>717</v>
      </c>
      <c r="H1106" s="166" t="s">
        <v>13436</v>
      </c>
      <c r="I1106" s="193" t="s">
        <v>12819</v>
      </c>
      <c r="J1106" s="193" t="s">
        <v>12358</v>
      </c>
      <c r="K1106" s="170"/>
      <c r="L1106" s="193" t="s">
        <v>146</v>
      </c>
    </row>
    <row r="1107" spans="1:12" ht="15.75">
      <c r="A1107" s="67">
        <f t="shared" si="17"/>
        <v>1105</v>
      </c>
      <c r="B1107" s="164">
        <v>1105</v>
      </c>
      <c r="C1107" s="193" t="s">
        <v>2400</v>
      </c>
      <c r="D1107" s="195" t="s">
        <v>5668</v>
      </c>
      <c r="E1107" s="193" t="s">
        <v>8605</v>
      </c>
      <c r="F1107" s="193" t="s">
        <v>114</v>
      </c>
      <c r="G1107" s="195" t="s">
        <v>10829</v>
      </c>
      <c r="H1107" s="166" t="s">
        <v>13436</v>
      </c>
      <c r="I1107" s="193" t="s">
        <v>12817</v>
      </c>
      <c r="J1107" s="193" t="s">
        <v>146</v>
      </c>
      <c r="K1107" s="170"/>
      <c r="L1107" s="193" t="s">
        <v>13143</v>
      </c>
    </row>
    <row r="1108" spans="1:12" ht="15.75">
      <c r="A1108" s="67">
        <f t="shared" si="17"/>
        <v>1106</v>
      </c>
      <c r="B1108" s="164">
        <v>1106</v>
      </c>
      <c r="C1108" s="193" t="s">
        <v>2401</v>
      </c>
      <c r="D1108" s="195" t="s">
        <v>5669</v>
      </c>
      <c r="E1108" s="193" t="s">
        <v>7877</v>
      </c>
      <c r="F1108" s="193" t="s">
        <v>114</v>
      </c>
      <c r="G1108" s="195" t="s">
        <v>10830</v>
      </c>
      <c r="H1108" s="166" t="s">
        <v>13436</v>
      </c>
      <c r="I1108" s="193" t="s">
        <v>12817</v>
      </c>
      <c r="J1108" s="193" t="s">
        <v>147</v>
      </c>
      <c r="K1108" s="170"/>
      <c r="L1108" s="193" t="s">
        <v>146</v>
      </c>
    </row>
    <row r="1109" spans="1:12" ht="15.75">
      <c r="A1109" s="67">
        <f t="shared" si="17"/>
        <v>1107</v>
      </c>
      <c r="B1109" s="164">
        <v>1107</v>
      </c>
      <c r="C1109" s="193" t="s">
        <v>2402</v>
      </c>
      <c r="D1109" s="195" t="s">
        <v>5670</v>
      </c>
      <c r="E1109" s="193" t="s">
        <v>8606</v>
      </c>
      <c r="F1109" s="193" t="s">
        <v>114</v>
      </c>
      <c r="G1109" s="195" t="s">
        <v>10288</v>
      </c>
      <c r="H1109" s="166" t="s">
        <v>13436</v>
      </c>
      <c r="I1109" s="193" t="s">
        <v>12817</v>
      </c>
      <c r="J1109" s="193" t="s">
        <v>146</v>
      </c>
      <c r="K1109" s="170"/>
      <c r="L1109" s="193" t="s">
        <v>146</v>
      </c>
    </row>
    <row r="1110" spans="1:12" ht="30">
      <c r="A1110" s="67">
        <f t="shared" si="17"/>
        <v>1108</v>
      </c>
      <c r="B1110" s="164">
        <v>1108</v>
      </c>
      <c r="C1110" s="193" t="s">
        <v>2403</v>
      </c>
      <c r="D1110" s="195" t="s">
        <v>5671</v>
      </c>
      <c r="E1110" s="193" t="s">
        <v>8607</v>
      </c>
      <c r="F1110" s="193" t="s">
        <v>114</v>
      </c>
      <c r="G1110" s="195" t="s">
        <v>10050</v>
      </c>
      <c r="H1110" s="166" t="s">
        <v>13436</v>
      </c>
      <c r="I1110" s="193" t="s">
        <v>12817</v>
      </c>
      <c r="J1110" s="193" t="s">
        <v>147</v>
      </c>
      <c r="K1110" s="170"/>
      <c r="L1110" s="193" t="s">
        <v>13144</v>
      </c>
    </row>
    <row r="1111" spans="1:12" ht="75">
      <c r="A1111" s="67">
        <f t="shared" si="17"/>
        <v>1109</v>
      </c>
      <c r="B1111" s="164">
        <v>1109</v>
      </c>
      <c r="C1111" s="193" t="s">
        <v>2404</v>
      </c>
      <c r="D1111" s="195" t="s">
        <v>5672</v>
      </c>
      <c r="E1111" s="193" t="s">
        <v>8608</v>
      </c>
      <c r="F1111" s="193" t="s">
        <v>114</v>
      </c>
      <c r="G1111" s="195" t="s">
        <v>10831</v>
      </c>
      <c r="H1111" s="166" t="s">
        <v>13436</v>
      </c>
      <c r="I1111" s="193" t="s">
        <v>12812</v>
      </c>
      <c r="J1111" s="193" t="s">
        <v>12359</v>
      </c>
      <c r="K1111" s="170"/>
      <c r="L1111" s="193" t="s">
        <v>13145</v>
      </c>
    </row>
    <row r="1112" spans="1:12" ht="60">
      <c r="A1112" s="67">
        <f t="shared" si="17"/>
        <v>1110</v>
      </c>
      <c r="B1112" s="164">
        <v>1110</v>
      </c>
      <c r="C1112" s="193" t="s">
        <v>2405</v>
      </c>
      <c r="D1112" s="195" t="s">
        <v>5673</v>
      </c>
      <c r="E1112" s="193" t="s">
        <v>8609</v>
      </c>
      <c r="F1112" s="193" t="s">
        <v>114</v>
      </c>
      <c r="G1112" s="195" t="s">
        <v>10832</v>
      </c>
      <c r="H1112" s="166" t="s">
        <v>13436</v>
      </c>
      <c r="I1112" s="193" t="s">
        <v>12808</v>
      </c>
      <c r="J1112" s="193" t="s">
        <v>12360</v>
      </c>
      <c r="K1112" s="170"/>
      <c r="L1112" s="193" t="s">
        <v>146</v>
      </c>
    </row>
    <row r="1113" spans="1:12" ht="15.75">
      <c r="A1113" s="67">
        <f t="shared" si="17"/>
        <v>1111</v>
      </c>
      <c r="B1113" s="164">
        <v>1111</v>
      </c>
      <c r="C1113" s="193" t="s">
        <v>2406</v>
      </c>
      <c r="D1113" s="195" t="s">
        <v>5674</v>
      </c>
      <c r="E1113" s="193" t="s">
        <v>8610</v>
      </c>
      <c r="F1113" s="193" t="s">
        <v>114</v>
      </c>
      <c r="G1113" s="195" t="s">
        <v>10460</v>
      </c>
      <c r="H1113" s="166" t="s">
        <v>13436</v>
      </c>
      <c r="I1113" s="193" t="s">
        <v>12813</v>
      </c>
      <c r="J1113" s="193" t="s">
        <v>146</v>
      </c>
      <c r="K1113" s="170"/>
      <c r="L1113" s="193" t="s">
        <v>146</v>
      </c>
    </row>
    <row r="1114" spans="1:12" ht="30">
      <c r="A1114" s="67">
        <f t="shared" si="17"/>
        <v>1112</v>
      </c>
      <c r="B1114" s="164">
        <v>1112</v>
      </c>
      <c r="C1114" s="193" t="s">
        <v>2407</v>
      </c>
      <c r="D1114" s="195" t="s">
        <v>5675</v>
      </c>
      <c r="E1114" s="193" t="s">
        <v>8611</v>
      </c>
      <c r="F1114" s="193" t="s">
        <v>114</v>
      </c>
      <c r="G1114" s="195" t="s">
        <v>1073</v>
      </c>
      <c r="H1114" s="166" t="s">
        <v>13436</v>
      </c>
      <c r="I1114" s="193" t="s">
        <v>12817</v>
      </c>
      <c r="J1114" s="193" t="s">
        <v>12361</v>
      </c>
      <c r="K1114" s="170"/>
      <c r="L1114" s="193" t="s">
        <v>146</v>
      </c>
    </row>
    <row r="1115" spans="1:12" ht="15.75">
      <c r="A1115" s="67">
        <f t="shared" si="17"/>
        <v>1113</v>
      </c>
      <c r="B1115" s="164">
        <v>1113</v>
      </c>
      <c r="C1115" s="193" t="s">
        <v>2408</v>
      </c>
      <c r="D1115" s="195" t="s">
        <v>5676</v>
      </c>
      <c r="E1115" s="193" t="s">
        <v>483</v>
      </c>
      <c r="F1115" s="193" t="s">
        <v>114</v>
      </c>
      <c r="G1115" s="195" t="s">
        <v>10833</v>
      </c>
      <c r="H1115" s="166" t="s">
        <v>13436</v>
      </c>
      <c r="I1115" s="193" t="s">
        <v>12813</v>
      </c>
      <c r="J1115" s="193" t="s">
        <v>146</v>
      </c>
      <c r="K1115" s="170"/>
      <c r="L1115" s="193" t="s">
        <v>146</v>
      </c>
    </row>
    <row r="1116" spans="1:12" ht="30">
      <c r="A1116" s="67">
        <f t="shared" si="17"/>
        <v>1114</v>
      </c>
      <c r="B1116" s="164">
        <v>1114</v>
      </c>
      <c r="C1116" s="193" t="s">
        <v>2409</v>
      </c>
      <c r="D1116" s="195" t="s">
        <v>5677</v>
      </c>
      <c r="E1116" s="193" t="s">
        <v>8612</v>
      </c>
      <c r="F1116" s="193" t="s">
        <v>114</v>
      </c>
      <c r="G1116" s="195" t="s">
        <v>717</v>
      </c>
      <c r="H1116" s="166" t="s">
        <v>13436</v>
      </c>
      <c r="I1116" s="193" t="s">
        <v>12825</v>
      </c>
      <c r="J1116" s="193" t="s">
        <v>146</v>
      </c>
      <c r="K1116" s="170"/>
      <c r="L1116" s="193" t="s">
        <v>13146</v>
      </c>
    </row>
    <row r="1117" spans="1:12" ht="15.75">
      <c r="A1117" s="67">
        <f t="shared" si="17"/>
        <v>1115</v>
      </c>
      <c r="B1117" s="164">
        <v>1115</v>
      </c>
      <c r="C1117" s="193" t="s">
        <v>2410</v>
      </c>
      <c r="D1117" s="195" t="s">
        <v>5678</v>
      </c>
      <c r="E1117" s="193" t="s">
        <v>8613</v>
      </c>
      <c r="F1117" s="193" t="s">
        <v>114</v>
      </c>
      <c r="G1117" s="195" t="s">
        <v>10834</v>
      </c>
      <c r="H1117" s="166" t="s">
        <v>13436</v>
      </c>
      <c r="I1117" s="193" t="s">
        <v>12813</v>
      </c>
      <c r="J1117" s="193" t="s">
        <v>146</v>
      </c>
      <c r="K1117" s="170"/>
      <c r="L1117" s="193" t="s">
        <v>146</v>
      </c>
    </row>
    <row r="1118" spans="1:12" ht="15.75">
      <c r="A1118" s="67">
        <f t="shared" si="17"/>
        <v>1116</v>
      </c>
      <c r="B1118" s="164">
        <v>1116</v>
      </c>
      <c r="C1118" s="193" t="s">
        <v>2411</v>
      </c>
      <c r="D1118" s="195" t="s">
        <v>5679</v>
      </c>
      <c r="E1118" s="193" t="s">
        <v>194</v>
      </c>
      <c r="F1118" s="193" t="s">
        <v>114</v>
      </c>
      <c r="G1118" s="195" t="s">
        <v>10835</v>
      </c>
      <c r="H1118" s="166" t="s">
        <v>13436</v>
      </c>
      <c r="I1118" s="193" t="s">
        <v>12820</v>
      </c>
      <c r="J1118" s="193" t="s">
        <v>146</v>
      </c>
      <c r="K1118" s="170"/>
      <c r="L1118" s="193" t="s">
        <v>146</v>
      </c>
    </row>
    <row r="1119" spans="1:12" ht="90">
      <c r="A1119" s="67">
        <f t="shared" si="17"/>
        <v>1117</v>
      </c>
      <c r="B1119" s="164">
        <v>1117</v>
      </c>
      <c r="C1119" s="193" t="s">
        <v>2412</v>
      </c>
      <c r="D1119" s="195" t="s">
        <v>5680</v>
      </c>
      <c r="E1119" s="193" t="s">
        <v>593</v>
      </c>
      <c r="F1119" s="193" t="s">
        <v>114</v>
      </c>
      <c r="G1119" s="195" t="s">
        <v>10836</v>
      </c>
      <c r="H1119" s="166" t="s">
        <v>13436</v>
      </c>
      <c r="I1119" s="193" t="s">
        <v>12821</v>
      </c>
      <c r="J1119" s="193" t="s">
        <v>12362</v>
      </c>
      <c r="K1119" s="170"/>
      <c r="L1119" s="193" t="s">
        <v>13147</v>
      </c>
    </row>
    <row r="1120" spans="1:12" ht="30">
      <c r="A1120" s="67">
        <f t="shared" si="17"/>
        <v>1118</v>
      </c>
      <c r="B1120" s="164">
        <v>1118</v>
      </c>
      <c r="C1120" s="193" t="s">
        <v>2413</v>
      </c>
      <c r="D1120" s="195" t="s">
        <v>5681</v>
      </c>
      <c r="E1120" s="193" t="s">
        <v>8614</v>
      </c>
      <c r="F1120" s="193" t="s">
        <v>114</v>
      </c>
      <c r="G1120" s="195" t="s">
        <v>10837</v>
      </c>
      <c r="H1120" s="166" t="s">
        <v>13436</v>
      </c>
      <c r="I1120" s="193" t="s">
        <v>12825</v>
      </c>
      <c r="J1120" s="219" t="s">
        <v>12363</v>
      </c>
      <c r="K1120" s="170"/>
      <c r="L1120" s="219" t="s">
        <v>146</v>
      </c>
    </row>
    <row r="1121" spans="1:12" ht="15.75">
      <c r="A1121" s="67">
        <f t="shared" si="17"/>
        <v>1119</v>
      </c>
      <c r="B1121" s="164">
        <v>1119</v>
      </c>
      <c r="C1121" s="193" t="s">
        <v>2414</v>
      </c>
      <c r="D1121" s="195" t="s">
        <v>5682</v>
      </c>
      <c r="E1121" s="193" t="s">
        <v>8615</v>
      </c>
      <c r="F1121" s="193" t="s">
        <v>114</v>
      </c>
      <c r="G1121" s="195" t="s">
        <v>10838</v>
      </c>
      <c r="H1121" s="166" t="s">
        <v>13436</v>
      </c>
      <c r="I1121" s="193" t="s">
        <v>12825</v>
      </c>
      <c r="J1121" s="193" t="s">
        <v>146</v>
      </c>
      <c r="K1121" s="170"/>
      <c r="L1121" s="193" t="s">
        <v>146</v>
      </c>
    </row>
    <row r="1122" spans="1:12" ht="30">
      <c r="A1122" s="67">
        <f t="shared" si="17"/>
        <v>1120</v>
      </c>
      <c r="B1122" s="164">
        <v>1120</v>
      </c>
      <c r="C1122" s="193" t="s">
        <v>2415</v>
      </c>
      <c r="D1122" s="195" t="s">
        <v>5683</v>
      </c>
      <c r="E1122" s="193" t="s">
        <v>435</v>
      </c>
      <c r="F1122" s="193" t="s">
        <v>114</v>
      </c>
      <c r="G1122" s="195" t="s">
        <v>10839</v>
      </c>
      <c r="H1122" s="166" t="s">
        <v>13436</v>
      </c>
      <c r="I1122" s="193" t="s">
        <v>12826</v>
      </c>
      <c r="J1122" s="193" t="s">
        <v>12364</v>
      </c>
      <c r="K1122" s="170"/>
      <c r="L1122" s="193" t="s">
        <v>13148</v>
      </c>
    </row>
    <row r="1123" spans="1:12" ht="30">
      <c r="A1123" s="67">
        <f t="shared" si="17"/>
        <v>1121</v>
      </c>
      <c r="B1123" s="164">
        <v>1121</v>
      </c>
      <c r="C1123" s="193" t="s">
        <v>2416</v>
      </c>
      <c r="D1123" s="195" t="s">
        <v>5684</v>
      </c>
      <c r="E1123" s="193" t="s">
        <v>180</v>
      </c>
      <c r="F1123" s="193" t="s">
        <v>114</v>
      </c>
      <c r="G1123" s="195" t="s">
        <v>10840</v>
      </c>
      <c r="H1123" s="166" t="s">
        <v>13436</v>
      </c>
      <c r="I1123" s="193" t="s">
        <v>12836</v>
      </c>
      <c r="J1123" s="219" t="s">
        <v>12365</v>
      </c>
      <c r="K1123" s="170"/>
      <c r="L1123" s="219" t="s">
        <v>13149</v>
      </c>
    </row>
    <row r="1124" spans="1:12" ht="30">
      <c r="A1124" s="67">
        <f t="shared" si="17"/>
        <v>1122</v>
      </c>
      <c r="B1124" s="164">
        <v>1122</v>
      </c>
      <c r="C1124" s="193" t="s">
        <v>2417</v>
      </c>
      <c r="D1124" s="195" t="s">
        <v>5685</v>
      </c>
      <c r="E1124" s="193" t="s">
        <v>8616</v>
      </c>
      <c r="F1124" s="193" t="s">
        <v>114</v>
      </c>
      <c r="G1124" s="195" t="s">
        <v>1129</v>
      </c>
      <c r="H1124" s="166" t="s">
        <v>13436</v>
      </c>
      <c r="I1124" s="193" t="s">
        <v>12826</v>
      </c>
      <c r="J1124" s="193" t="s">
        <v>1278</v>
      </c>
      <c r="K1124" s="170"/>
      <c r="L1124" s="193" t="s">
        <v>13150</v>
      </c>
    </row>
    <row r="1125" spans="1:12" ht="15.75">
      <c r="A1125" s="67">
        <f t="shared" si="17"/>
        <v>1123</v>
      </c>
      <c r="B1125" s="164">
        <v>1123</v>
      </c>
      <c r="C1125" s="193" t="s">
        <v>2418</v>
      </c>
      <c r="D1125" s="195" t="s">
        <v>5686</v>
      </c>
      <c r="E1125" s="193" t="s">
        <v>8617</v>
      </c>
      <c r="F1125" s="193" t="s">
        <v>114</v>
      </c>
      <c r="G1125" s="195" t="s">
        <v>10841</v>
      </c>
      <c r="H1125" s="166" t="s">
        <v>13436</v>
      </c>
      <c r="I1125" s="193" t="s">
        <v>12826</v>
      </c>
      <c r="J1125" s="193" t="s">
        <v>146</v>
      </c>
      <c r="K1125" s="170"/>
      <c r="L1125" s="193" t="s">
        <v>1270</v>
      </c>
    </row>
    <row r="1126" spans="1:12" ht="75">
      <c r="A1126" s="67">
        <f t="shared" si="17"/>
        <v>1124</v>
      </c>
      <c r="B1126" s="164">
        <v>1124</v>
      </c>
      <c r="C1126" s="193" t="s">
        <v>2419</v>
      </c>
      <c r="D1126" s="204" t="s">
        <v>5687</v>
      </c>
      <c r="E1126" s="193" t="s">
        <v>8618</v>
      </c>
      <c r="F1126" s="193" t="s">
        <v>114</v>
      </c>
      <c r="G1126" s="195" t="s">
        <v>10842</v>
      </c>
      <c r="H1126" s="166" t="s">
        <v>13436</v>
      </c>
      <c r="I1126" s="193" t="s">
        <v>12816</v>
      </c>
      <c r="J1126" s="193" t="s">
        <v>146</v>
      </c>
      <c r="K1126" s="170"/>
      <c r="L1126" s="193" t="s">
        <v>13151</v>
      </c>
    </row>
    <row r="1127" spans="1:12" ht="75">
      <c r="A1127" s="67">
        <f t="shared" si="17"/>
        <v>1125</v>
      </c>
      <c r="B1127" s="164">
        <v>1125</v>
      </c>
      <c r="C1127" s="193" t="s">
        <v>2420</v>
      </c>
      <c r="D1127" s="209" t="s">
        <v>5688</v>
      </c>
      <c r="E1127" s="193" t="s">
        <v>574</v>
      </c>
      <c r="F1127" s="193" t="s">
        <v>114</v>
      </c>
      <c r="G1127" s="195" t="s">
        <v>10473</v>
      </c>
      <c r="H1127" s="166" t="s">
        <v>13436</v>
      </c>
      <c r="I1127" s="193" t="s">
        <v>12816</v>
      </c>
      <c r="J1127" s="193" t="s">
        <v>146</v>
      </c>
      <c r="K1127" s="170"/>
      <c r="L1127" s="193" t="s">
        <v>13152</v>
      </c>
    </row>
    <row r="1128" spans="1:12" ht="15.75">
      <c r="A1128" s="67">
        <f t="shared" si="17"/>
        <v>1126</v>
      </c>
      <c r="B1128" s="164">
        <v>1126</v>
      </c>
      <c r="C1128" s="193" t="s">
        <v>2421</v>
      </c>
      <c r="D1128" s="197" t="s">
        <v>5689</v>
      </c>
      <c r="E1128" s="193" t="s">
        <v>8619</v>
      </c>
      <c r="F1128" s="193" t="s">
        <v>114</v>
      </c>
      <c r="G1128" s="195" t="s">
        <v>10843</v>
      </c>
      <c r="H1128" s="166" t="s">
        <v>13436</v>
      </c>
      <c r="I1128" s="193" t="s">
        <v>12816</v>
      </c>
      <c r="J1128" s="193" t="s">
        <v>146</v>
      </c>
      <c r="K1128" s="170"/>
      <c r="L1128" s="193" t="s">
        <v>146</v>
      </c>
    </row>
    <row r="1129" spans="1:12" ht="60">
      <c r="A1129" s="67">
        <f t="shared" si="17"/>
        <v>1127</v>
      </c>
      <c r="B1129" s="164">
        <v>1127</v>
      </c>
      <c r="C1129" s="193" t="s">
        <v>2422</v>
      </c>
      <c r="D1129" s="196" t="s">
        <v>5690</v>
      </c>
      <c r="E1129" s="193" t="s">
        <v>465</v>
      </c>
      <c r="F1129" s="193" t="s">
        <v>114</v>
      </c>
      <c r="G1129" s="195" t="s">
        <v>746</v>
      </c>
      <c r="H1129" s="166" t="s">
        <v>13436</v>
      </c>
      <c r="I1129" s="193" t="s">
        <v>12833</v>
      </c>
      <c r="J1129" s="193" t="s">
        <v>146</v>
      </c>
      <c r="K1129" s="170"/>
      <c r="L1129" s="193" t="s">
        <v>13153</v>
      </c>
    </row>
    <row r="1130" spans="1:12" ht="105">
      <c r="A1130" s="67">
        <f t="shared" si="17"/>
        <v>1128</v>
      </c>
      <c r="B1130" s="164">
        <v>1128</v>
      </c>
      <c r="C1130" s="193" t="s">
        <v>2423</v>
      </c>
      <c r="D1130" s="197" t="s">
        <v>5691</v>
      </c>
      <c r="E1130" s="193" t="s">
        <v>515</v>
      </c>
      <c r="F1130" s="193" t="s">
        <v>114</v>
      </c>
      <c r="G1130" s="195" t="s">
        <v>10360</v>
      </c>
      <c r="H1130" s="166" t="s">
        <v>13436</v>
      </c>
      <c r="I1130" s="193" t="s">
        <v>12816</v>
      </c>
      <c r="J1130" s="193" t="s">
        <v>146</v>
      </c>
      <c r="K1130" s="170"/>
      <c r="L1130" s="193" t="s">
        <v>13154</v>
      </c>
    </row>
    <row r="1131" spans="1:12" ht="30">
      <c r="A1131" s="67">
        <f t="shared" si="17"/>
        <v>1129</v>
      </c>
      <c r="B1131" s="164">
        <v>1129</v>
      </c>
      <c r="C1131" s="193" t="s">
        <v>2424</v>
      </c>
      <c r="D1131" s="197" t="s">
        <v>5692</v>
      </c>
      <c r="E1131" s="193" t="s">
        <v>8620</v>
      </c>
      <c r="F1131" s="193" t="s">
        <v>114</v>
      </c>
      <c r="G1131" s="195" t="s">
        <v>10844</v>
      </c>
      <c r="H1131" s="166" t="s">
        <v>13436</v>
      </c>
      <c r="I1131" s="193" t="s">
        <v>12816</v>
      </c>
      <c r="J1131" s="193" t="s">
        <v>146</v>
      </c>
      <c r="K1131" s="170"/>
      <c r="L1131" s="193" t="s">
        <v>13155</v>
      </c>
    </row>
    <row r="1132" spans="1:12" ht="15.75">
      <c r="A1132" s="67">
        <f t="shared" si="17"/>
        <v>1130</v>
      </c>
      <c r="B1132" s="164">
        <v>1130</v>
      </c>
      <c r="C1132" s="193" t="s">
        <v>2425</v>
      </c>
      <c r="D1132" s="197" t="s">
        <v>5693</v>
      </c>
      <c r="E1132" s="193" t="s">
        <v>436</v>
      </c>
      <c r="F1132" s="193" t="s">
        <v>114</v>
      </c>
      <c r="G1132" s="195" t="s">
        <v>773</v>
      </c>
      <c r="H1132" s="166" t="s">
        <v>13436</v>
      </c>
      <c r="I1132" s="193" t="s">
        <v>12816</v>
      </c>
      <c r="J1132" s="193" t="s">
        <v>146</v>
      </c>
      <c r="K1132" s="170"/>
      <c r="L1132" s="193" t="s">
        <v>146</v>
      </c>
    </row>
    <row r="1133" spans="1:12" ht="15.75">
      <c r="A1133" s="67">
        <f t="shared" si="17"/>
        <v>1131</v>
      </c>
      <c r="B1133" s="164">
        <v>1131</v>
      </c>
      <c r="C1133" s="193" t="s">
        <v>2426</v>
      </c>
      <c r="D1133" s="203" t="s">
        <v>5694</v>
      </c>
      <c r="E1133" s="193" t="s">
        <v>372</v>
      </c>
      <c r="F1133" s="193" t="s">
        <v>114</v>
      </c>
      <c r="G1133" s="195" t="s">
        <v>10845</v>
      </c>
      <c r="H1133" s="166" t="s">
        <v>13436</v>
      </c>
      <c r="I1133" s="193" t="s">
        <v>12827</v>
      </c>
      <c r="J1133" s="193" t="s">
        <v>12366</v>
      </c>
      <c r="K1133" s="170"/>
      <c r="L1133" s="193" t="s">
        <v>146</v>
      </c>
    </row>
    <row r="1134" spans="1:12" ht="15.75">
      <c r="A1134" s="67">
        <f t="shared" si="17"/>
        <v>1132</v>
      </c>
      <c r="B1134" s="164">
        <v>1132</v>
      </c>
      <c r="C1134" s="193" t="s">
        <v>2427</v>
      </c>
      <c r="D1134" s="195" t="s">
        <v>5695</v>
      </c>
      <c r="E1134" s="193" t="s">
        <v>8621</v>
      </c>
      <c r="F1134" s="193" t="s">
        <v>114</v>
      </c>
      <c r="G1134" s="195" t="s">
        <v>10846</v>
      </c>
      <c r="H1134" s="166" t="s">
        <v>13436</v>
      </c>
      <c r="I1134" s="193" t="s">
        <v>12818</v>
      </c>
      <c r="J1134" s="193" t="s">
        <v>146</v>
      </c>
      <c r="K1134" s="170"/>
      <c r="L1134" s="193" t="s">
        <v>146</v>
      </c>
    </row>
    <row r="1135" spans="1:12" ht="30">
      <c r="A1135" s="67">
        <f t="shared" si="17"/>
        <v>1133</v>
      </c>
      <c r="B1135" s="164">
        <v>1133</v>
      </c>
      <c r="C1135" s="193" t="s">
        <v>2428</v>
      </c>
      <c r="D1135" s="195" t="s">
        <v>5696</v>
      </c>
      <c r="E1135" s="193" t="s">
        <v>8622</v>
      </c>
      <c r="F1135" s="193" t="s">
        <v>114</v>
      </c>
      <c r="G1135" s="195" t="s">
        <v>10447</v>
      </c>
      <c r="H1135" s="166" t="s">
        <v>13436</v>
      </c>
      <c r="I1135" s="193" t="s">
        <v>12818</v>
      </c>
      <c r="J1135" s="193" t="s">
        <v>12367</v>
      </c>
      <c r="K1135" s="170"/>
      <c r="L1135" s="193" t="s">
        <v>13156</v>
      </c>
    </row>
    <row r="1136" spans="1:12" ht="30">
      <c r="A1136" s="67">
        <f t="shared" si="17"/>
        <v>1134</v>
      </c>
      <c r="B1136" s="164">
        <v>1134</v>
      </c>
      <c r="C1136" s="193" t="s">
        <v>2429</v>
      </c>
      <c r="D1136" s="195" t="s">
        <v>5697</v>
      </c>
      <c r="E1136" s="193" t="s">
        <v>8623</v>
      </c>
      <c r="F1136" s="193" t="s">
        <v>114</v>
      </c>
      <c r="G1136" s="195" t="s">
        <v>10847</v>
      </c>
      <c r="H1136" s="166" t="s">
        <v>13436</v>
      </c>
      <c r="I1136" s="193" t="s">
        <v>12818</v>
      </c>
      <c r="J1136" s="193" t="s">
        <v>146</v>
      </c>
      <c r="K1136" s="170"/>
      <c r="L1136" s="193" t="s">
        <v>13157</v>
      </c>
    </row>
    <row r="1137" spans="1:12" ht="15.75">
      <c r="A1137" s="67">
        <f t="shared" si="17"/>
        <v>1135</v>
      </c>
      <c r="B1137" s="164">
        <v>1135</v>
      </c>
      <c r="C1137" s="193" t="s">
        <v>2430</v>
      </c>
      <c r="D1137" s="199" t="s">
        <v>5698</v>
      </c>
      <c r="E1137" s="193" t="s">
        <v>8624</v>
      </c>
      <c r="F1137" s="193" t="s">
        <v>114</v>
      </c>
      <c r="G1137" s="195" t="s">
        <v>10848</v>
      </c>
      <c r="H1137" s="166" t="s">
        <v>13436</v>
      </c>
      <c r="I1137" s="193" t="s">
        <v>12831</v>
      </c>
      <c r="J1137" s="193" t="s">
        <v>146</v>
      </c>
      <c r="K1137" s="170"/>
      <c r="L1137" s="193" t="s">
        <v>146</v>
      </c>
    </row>
    <row r="1138" spans="1:12" ht="15.75">
      <c r="A1138" s="67">
        <f t="shared" si="17"/>
        <v>1136</v>
      </c>
      <c r="B1138" s="164">
        <v>1136</v>
      </c>
      <c r="C1138" s="193" t="s">
        <v>2431</v>
      </c>
      <c r="D1138" s="195" t="s">
        <v>5699</v>
      </c>
      <c r="E1138" s="193" t="s">
        <v>487</v>
      </c>
      <c r="F1138" s="193" t="s">
        <v>114</v>
      </c>
      <c r="G1138" s="195" t="s">
        <v>755</v>
      </c>
      <c r="H1138" s="166" t="s">
        <v>13436</v>
      </c>
      <c r="I1138" s="193" t="s">
        <v>12824</v>
      </c>
      <c r="J1138" s="193" t="s">
        <v>146</v>
      </c>
      <c r="K1138" s="170"/>
      <c r="L1138" s="193" t="s">
        <v>146</v>
      </c>
    </row>
    <row r="1139" spans="1:12" ht="60">
      <c r="A1139" s="67">
        <f t="shared" si="17"/>
        <v>1137</v>
      </c>
      <c r="B1139" s="164">
        <v>1137</v>
      </c>
      <c r="C1139" s="193" t="s">
        <v>2432</v>
      </c>
      <c r="D1139" s="195" t="s">
        <v>5700</v>
      </c>
      <c r="E1139" s="193" t="s">
        <v>8625</v>
      </c>
      <c r="F1139" s="193" t="s">
        <v>114</v>
      </c>
      <c r="G1139" s="195" t="s">
        <v>195</v>
      </c>
      <c r="H1139" s="166" t="s">
        <v>13436</v>
      </c>
      <c r="I1139" s="193" t="s">
        <v>12814</v>
      </c>
      <c r="J1139" s="193" t="s">
        <v>146</v>
      </c>
      <c r="K1139" s="170"/>
      <c r="L1139" s="193" t="s">
        <v>13158</v>
      </c>
    </row>
    <row r="1140" spans="1:12" ht="30">
      <c r="A1140" s="67">
        <f t="shared" si="17"/>
        <v>1138</v>
      </c>
      <c r="B1140" s="164">
        <v>1138</v>
      </c>
      <c r="C1140" s="193" t="s">
        <v>2433</v>
      </c>
      <c r="D1140" s="195" t="s">
        <v>5701</v>
      </c>
      <c r="E1140" s="193" t="s">
        <v>8626</v>
      </c>
      <c r="F1140" s="193" t="s">
        <v>114</v>
      </c>
      <c r="G1140" s="195" t="s">
        <v>709</v>
      </c>
      <c r="H1140" s="166" t="s">
        <v>13436</v>
      </c>
      <c r="I1140" s="193" t="s">
        <v>12814</v>
      </c>
      <c r="J1140" s="193" t="s">
        <v>12368</v>
      </c>
      <c r="K1140" s="170"/>
      <c r="L1140" s="193" t="s">
        <v>146</v>
      </c>
    </row>
    <row r="1141" spans="1:12" ht="15.75">
      <c r="A1141" s="67">
        <f t="shared" si="17"/>
        <v>1139</v>
      </c>
      <c r="B1141" s="164">
        <v>1139</v>
      </c>
      <c r="C1141" s="193" t="s">
        <v>2434</v>
      </c>
      <c r="D1141" s="195" t="s">
        <v>5702</v>
      </c>
      <c r="E1141" s="193" t="s">
        <v>8627</v>
      </c>
      <c r="F1141" s="193" t="s">
        <v>114</v>
      </c>
      <c r="G1141" s="195" t="s">
        <v>10849</v>
      </c>
      <c r="H1141" s="166" t="s">
        <v>13436</v>
      </c>
      <c r="I1141" s="193" t="s">
        <v>12814</v>
      </c>
      <c r="J1141" s="219" t="s">
        <v>146</v>
      </c>
      <c r="K1141" s="170"/>
      <c r="L1141" s="219" t="s">
        <v>146</v>
      </c>
    </row>
    <row r="1142" spans="1:12" ht="45">
      <c r="A1142" s="67">
        <f t="shared" si="17"/>
        <v>1140</v>
      </c>
      <c r="B1142" s="164">
        <v>1140</v>
      </c>
      <c r="C1142" s="193" t="s">
        <v>2435</v>
      </c>
      <c r="D1142" s="195" t="s">
        <v>5703</v>
      </c>
      <c r="E1142" s="193" t="s">
        <v>8579</v>
      </c>
      <c r="F1142" s="193" t="s">
        <v>114</v>
      </c>
      <c r="G1142" s="195" t="s">
        <v>10850</v>
      </c>
      <c r="H1142" s="166" t="s">
        <v>13436</v>
      </c>
      <c r="I1142" s="193" t="s">
        <v>12814</v>
      </c>
      <c r="J1142" s="193" t="s">
        <v>12369</v>
      </c>
      <c r="K1142" s="170"/>
      <c r="L1142" s="193" t="s">
        <v>146</v>
      </c>
    </row>
    <row r="1143" spans="1:12" ht="15.75">
      <c r="A1143" s="67">
        <f t="shared" si="17"/>
        <v>1141</v>
      </c>
      <c r="B1143" s="164">
        <v>1141</v>
      </c>
      <c r="C1143" s="193" t="s">
        <v>2436</v>
      </c>
      <c r="D1143" s="195" t="s">
        <v>5704</v>
      </c>
      <c r="E1143" s="193" t="s">
        <v>8628</v>
      </c>
      <c r="F1143" s="193" t="s">
        <v>114</v>
      </c>
      <c r="G1143" s="195" t="s">
        <v>10802</v>
      </c>
      <c r="H1143" s="166" t="s">
        <v>13436</v>
      </c>
      <c r="I1143" s="193" t="s">
        <v>12814</v>
      </c>
      <c r="J1143" s="193" t="s">
        <v>146</v>
      </c>
      <c r="K1143" s="170"/>
      <c r="L1143" s="193" t="s">
        <v>146</v>
      </c>
    </row>
    <row r="1144" spans="1:12" ht="30">
      <c r="A1144" s="67">
        <f t="shared" si="17"/>
        <v>1142</v>
      </c>
      <c r="B1144" s="164">
        <v>1142</v>
      </c>
      <c r="C1144" s="193" t="s">
        <v>2437</v>
      </c>
      <c r="D1144" s="195" t="s">
        <v>5705</v>
      </c>
      <c r="E1144" s="193" t="s">
        <v>8051</v>
      </c>
      <c r="F1144" s="193" t="s">
        <v>114</v>
      </c>
      <c r="G1144" s="195" t="s">
        <v>10851</v>
      </c>
      <c r="H1144" s="166" t="s">
        <v>13436</v>
      </c>
      <c r="I1144" s="193" t="s">
        <v>12814</v>
      </c>
      <c r="J1144" s="193" t="s">
        <v>12370</v>
      </c>
      <c r="K1144" s="170"/>
      <c r="L1144" s="193" t="s">
        <v>146</v>
      </c>
    </row>
    <row r="1145" spans="1:12" ht="15.75">
      <c r="A1145" s="67">
        <f t="shared" si="17"/>
        <v>1143</v>
      </c>
      <c r="B1145" s="164">
        <v>1143</v>
      </c>
      <c r="C1145" s="193" t="s">
        <v>2438</v>
      </c>
      <c r="D1145" s="195" t="s">
        <v>5706</v>
      </c>
      <c r="E1145" s="193" t="s">
        <v>8629</v>
      </c>
      <c r="F1145" s="193" t="s">
        <v>114</v>
      </c>
      <c r="G1145" s="195" t="s">
        <v>10852</v>
      </c>
      <c r="H1145" s="166" t="s">
        <v>13436</v>
      </c>
      <c r="I1145" s="193" t="s">
        <v>12814</v>
      </c>
      <c r="J1145" s="219" t="s">
        <v>146</v>
      </c>
      <c r="K1145" s="170"/>
      <c r="L1145" s="193" t="s">
        <v>146</v>
      </c>
    </row>
    <row r="1146" spans="1:12" ht="30">
      <c r="A1146" s="67">
        <f t="shared" si="17"/>
        <v>1144</v>
      </c>
      <c r="B1146" s="164">
        <v>1144</v>
      </c>
      <c r="C1146" s="193" t="s">
        <v>2439</v>
      </c>
      <c r="D1146" s="195" t="s">
        <v>5707</v>
      </c>
      <c r="E1146" s="193" t="s">
        <v>8630</v>
      </c>
      <c r="F1146" s="193" t="s">
        <v>114</v>
      </c>
      <c r="G1146" s="195" t="s">
        <v>10853</v>
      </c>
      <c r="H1146" s="166" t="s">
        <v>13436</v>
      </c>
      <c r="I1146" s="193" t="s">
        <v>12814</v>
      </c>
      <c r="J1146" s="193" t="s">
        <v>12371</v>
      </c>
      <c r="K1146" s="170"/>
      <c r="L1146" s="193" t="s">
        <v>146</v>
      </c>
    </row>
    <row r="1147" spans="1:12" ht="30">
      <c r="A1147" s="67">
        <f t="shared" si="17"/>
        <v>1145</v>
      </c>
      <c r="B1147" s="164">
        <v>1145</v>
      </c>
      <c r="C1147" s="193" t="s">
        <v>2440</v>
      </c>
      <c r="D1147" s="195" t="s">
        <v>5708</v>
      </c>
      <c r="E1147" s="193" t="s">
        <v>8631</v>
      </c>
      <c r="F1147" s="193" t="s">
        <v>114</v>
      </c>
      <c r="G1147" s="195" t="s">
        <v>10854</v>
      </c>
      <c r="H1147" s="166" t="s">
        <v>13436</v>
      </c>
      <c r="I1147" s="193" t="s">
        <v>12822</v>
      </c>
      <c r="J1147" s="219" t="s">
        <v>12372</v>
      </c>
      <c r="K1147" s="170"/>
      <c r="L1147" s="193" t="s">
        <v>146</v>
      </c>
    </row>
    <row r="1148" spans="1:12" ht="15.75">
      <c r="A1148" s="67">
        <f t="shared" si="17"/>
        <v>1146</v>
      </c>
      <c r="B1148" s="164">
        <v>1146</v>
      </c>
      <c r="C1148" s="193" t="s">
        <v>2441</v>
      </c>
      <c r="D1148" s="195" t="s">
        <v>5709</v>
      </c>
      <c r="E1148" s="193" t="s">
        <v>8632</v>
      </c>
      <c r="F1148" s="193" t="s">
        <v>114</v>
      </c>
      <c r="G1148" s="195" t="s">
        <v>10855</v>
      </c>
      <c r="H1148" s="166" t="s">
        <v>13436</v>
      </c>
      <c r="I1148" s="193" t="s">
        <v>12809</v>
      </c>
      <c r="J1148" s="193" t="s">
        <v>146</v>
      </c>
      <c r="K1148" s="170"/>
      <c r="L1148" s="193" t="s">
        <v>146</v>
      </c>
    </row>
    <row r="1149" spans="1:12" ht="30">
      <c r="A1149" s="67">
        <f t="shared" si="17"/>
        <v>1147</v>
      </c>
      <c r="B1149" s="164">
        <v>1147</v>
      </c>
      <c r="C1149" s="193" t="s">
        <v>2442</v>
      </c>
      <c r="D1149" s="195" t="s">
        <v>5710</v>
      </c>
      <c r="E1149" s="193" t="s">
        <v>8633</v>
      </c>
      <c r="F1149" s="193" t="s">
        <v>114</v>
      </c>
      <c r="G1149" s="195" t="s">
        <v>10191</v>
      </c>
      <c r="H1149" s="166" t="s">
        <v>13436</v>
      </c>
      <c r="I1149" s="193" t="s">
        <v>12809</v>
      </c>
      <c r="J1149" s="193" t="s">
        <v>12373</v>
      </c>
      <c r="K1149" s="170"/>
      <c r="L1149" s="193" t="s">
        <v>146</v>
      </c>
    </row>
    <row r="1150" spans="1:12" ht="15.75">
      <c r="A1150" s="67">
        <f t="shared" si="17"/>
        <v>1148</v>
      </c>
      <c r="B1150" s="164">
        <v>1148</v>
      </c>
      <c r="C1150" s="193" t="s">
        <v>2443</v>
      </c>
      <c r="D1150" s="195" t="s">
        <v>5711</v>
      </c>
      <c r="E1150" s="193" t="s">
        <v>8634</v>
      </c>
      <c r="F1150" s="193" t="s">
        <v>114</v>
      </c>
      <c r="G1150" s="195" t="s">
        <v>10856</v>
      </c>
      <c r="H1150" s="166" t="s">
        <v>13436</v>
      </c>
      <c r="I1150" s="193" t="s">
        <v>12817</v>
      </c>
      <c r="J1150" s="193" t="s">
        <v>146</v>
      </c>
      <c r="K1150" s="170"/>
      <c r="L1150" s="193" t="s">
        <v>146</v>
      </c>
    </row>
    <row r="1151" spans="1:12" ht="15.75">
      <c r="A1151" s="67">
        <f t="shared" si="17"/>
        <v>1149</v>
      </c>
      <c r="B1151" s="164">
        <v>1149</v>
      </c>
      <c r="C1151" s="193" t="s">
        <v>2444</v>
      </c>
      <c r="D1151" s="195" t="s">
        <v>5712</v>
      </c>
      <c r="E1151" s="193" t="s">
        <v>8635</v>
      </c>
      <c r="F1151" s="193" t="s">
        <v>114</v>
      </c>
      <c r="G1151" s="195" t="s">
        <v>10322</v>
      </c>
      <c r="H1151" s="166" t="s">
        <v>13436</v>
      </c>
      <c r="I1151" s="193" t="s">
        <v>12812</v>
      </c>
      <c r="J1151" s="219" t="s">
        <v>146</v>
      </c>
      <c r="K1151" s="170"/>
      <c r="L1151" s="219" t="s">
        <v>146</v>
      </c>
    </row>
    <row r="1152" spans="1:12" ht="30">
      <c r="A1152" s="67">
        <f t="shared" si="17"/>
        <v>1150</v>
      </c>
      <c r="B1152" s="164">
        <v>1150</v>
      </c>
      <c r="C1152" s="193" t="s">
        <v>2445</v>
      </c>
      <c r="D1152" s="195" t="s">
        <v>5713</v>
      </c>
      <c r="E1152" s="193" t="s">
        <v>412</v>
      </c>
      <c r="F1152" s="193" t="s">
        <v>114</v>
      </c>
      <c r="G1152" s="195" t="s">
        <v>10857</v>
      </c>
      <c r="H1152" s="166" t="s">
        <v>13436</v>
      </c>
      <c r="I1152" s="193" t="s">
        <v>12814</v>
      </c>
      <c r="J1152" s="193" t="s">
        <v>1252</v>
      </c>
      <c r="K1152" s="170"/>
      <c r="L1152" s="193" t="s">
        <v>13159</v>
      </c>
    </row>
    <row r="1153" spans="1:12" ht="30">
      <c r="A1153" s="67">
        <f t="shared" si="17"/>
        <v>1151</v>
      </c>
      <c r="B1153" s="164">
        <v>1151</v>
      </c>
      <c r="C1153" s="193" t="s">
        <v>2446</v>
      </c>
      <c r="D1153" s="195" t="s">
        <v>5714</v>
      </c>
      <c r="E1153" s="193" t="s">
        <v>8636</v>
      </c>
      <c r="F1153" s="193" t="s">
        <v>114</v>
      </c>
      <c r="G1153" s="195" t="s">
        <v>10858</v>
      </c>
      <c r="H1153" s="166" t="s">
        <v>13436</v>
      </c>
      <c r="I1153" s="193" t="s">
        <v>12835</v>
      </c>
      <c r="J1153" s="193" t="s">
        <v>146</v>
      </c>
      <c r="K1153" s="170"/>
      <c r="L1153" s="193" t="s">
        <v>13160</v>
      </c>
    </row>
    <row r="1154" spans="1:12" ht="30">
      <c r="A1154" s="67">
        <f t="shared" si="17"/>
        <v>1152</v>
      </c>
      <c r="B1154" s="164">
        <v>1152</v>
      </c>
      <c r="C1154" s="193" t="s">
        <v>2447</v>
      </c>
      <c r="D1154" s="195" t="s">
        <v>5715</v>
      </c>
      <c r="E1154" s="193" t="s">
        <v>8637</v>
      </c>
      <c r="F1154" s="193" t="s">
        <v>114</v>
      </c>
      <c r="G1154" s="195" t="s">
        <v>10859</v>
      </c>
      <c r="H1154" s="166" t="s">
        <v>13436</v>
      </c>
      <c r="I1154" s="193" t="s">
        <v>12835</v>
      </c>
      <c r="J1154" s="193" t="s">
        <v>1279</v>
      </c>
      <c r="K1154" s="170"/>
      <c r="L1154" s="193" t="s">
        <v>146</v>
      </c>
    </row>
    <row r="1155" spans="1:12" ht="60">
      <c r="A1155" s="67">
        <f t="shared" ref="A1155:A1218" si="18">IFERROR(VALUE(RIGHT(C1155,4)),"")</f>
        <v>1153</v>
      </c>
      <c r="B1155" s="164">
        <v>1153</v>
      </c>
      <c r="C1155" s="193" t="s">
        <v>2448</v>
      </c>
      <c r="D1155" s="195" t="s">
        <v>5716</v>
      </c>
      <c r="E1155" s="193" t="s">
        <v>8638</v>
      </c>
      <c r="F1155" s="193" t="s">
        <v>114</v>
      </c>
      <c r="G1155" s="195" t="s">
        <v>1160</v>
      </c>
      <c r="H1155" s="166" t="s">
        <v>13436</v>
      </c>
      <c r="I1155" s="193" t="s">
        <v>12835</v>
      </c>
      <c r="J1155" s="193" t="s">
        <v>12374</v>
      </c>
      <c r="K1155" s="170"/>
      <c r="L1155" s="193" t="s">
        <v>13161</v>
      </c>
    </row>
    <row r="1156" spans="1:12" ht="15.75">
      <c r="A1156" s="67">
        <f t="shared" si="18"/>
        <v>1154</v>
      </c>
      <c r="B1156" s="164">
        <v>1154</v>
      </c>
      <c r="C1156" s="193" t="s">
        <v>2449</v>
      </c>
      <c r="D1156" s="195" t="s">
        <v>5717</v>
      </c>
      <c r="E1156" s="193" t="s">
        <v>8639</v>
      </c>
      <c r="F1156" s="193" t="s">
        <v>114</v>
      </c>
      <c r="G1156" s="195" t="s">
        <v>10860</v>
      </c>
      <c r="H1156" s="166" t="s">
        <v>13436</v>
      </c>
      <c r="I1156" s="193" t="s">
        <v>12808</v>
      </c>
      <c r="J1156" s="193" t="s">
        <v>146</v>
      </c>
      <c r="K1156" s="170"/>
      <c r="L1156" s="193" t="s">
        <v>146</v>
      </c>
    </row>
    <row r="1157" spans="1:12" ht="15.75">
      <c r="A1157" s="67">
        <f t="shared" si="18"/>
        <v>1155</v>
      </c>
      <c r="B1157" s="164">
        <v>1155</v>
      </c>
      <c r="C1157" s="193" t="s">
        <v>2450</v>
      </c>
      <c r="D1157" s="195" t="s">
        <v>5718</v>
      </c>
      <c r="E1157" s="193" t="s">
        <v>382</v>
      </c>
      <c r="F1157" s="193" t="s">
        <v>114</v>
      </c>
      <c r="G1157" s="195" t="s">
        <v>10861</v>
      </c>
      <c r="H1157" s="166" t="s">
        <v>13436</v>
      </c>
      <c r="I1157" s="193" t="s">
        <v>12813</v>
      </c>
      <c r="J1157" s="193" t="s">
        <v>146</v>
      </c>
      <c r="K1157" s="170"/>
      <c r="L1157" s="193" t="s">
        <v>146</v>
      </c>
    </row>
    <row r="1158" spans="1:12" ht="15.75">
      <c r="A1158" s="67">
        <f t="shared" si="18"/>
        <v>1156</v>
      </c>
      <c r="B1158" s="164">
        <v>1156</v>
      </c>
      <c r="C1158" s="193" t="s">
        <v>2451</v>
      </c>
      <c r="D1158" s="195" t="s">
        <v>5719</v>
      </c>
      <c r="E1158" s="193" t="s">
        <v>8640</v>
      </c>
      <c r="F1158" s="193" t="s">
        <v>114</v>
      </c>
      <c r="G1158" s="195" t="s">
        <v>667</v>
      </c>
      <c r="H1158" s="166" t="s">
        <v>13436</v>
      </c>
      <c r="I1158" s="193" t="s">
        <v>12813</v>
      </c>
      <c r="J1158" s="193" t="s">
        <v>12375</v>
      </c>
      <c r="K1158" s="170"/>
      <c r="L1158" s="193" t="s">
        <v>146</v>
      </c>
    </row>
    <row r="1159" spans="1:12" ht="15.75">
      <c r="A1159" s="67">
        <f t="shared" si="18"/>
        <v>1157</v>
      </c>
      <c r="B1159" s="164">
        <v>1157</v>
      </c>
      <c r="C1159" s="193" t="s">
        <v>2452</v>
      </c>
      <c r="D1159" s="195" t="s">
        <v>5720</v>
      </c>
      <c r="E1159" s="193" t="s">
        <v>8540</v>
      </c>
      <c r="F1159" s="193" t="s">
        <v>114</v>
      </c>
      <c r="G1159" s="195" t="s">
        <v>10862</v>
      </c>
      <c r="H1159" s="166" t="s">
        <v>13436</v>
      </c>
      <c r="I1159" s="193" t="s">
        <v>12813</v>
      </c>
      <c r="J1159" s="193" t="s">
        <v>146</v>
      </c>
      <c r="K1159" s="170"/>
      <c r="L1159" s="193" t="s">
        <v>146</v>
      </c>
    </row>
    <row r="1160" spans="1:12" ht="60">
      <c r="A1160" s="67">
        <f t="shared" si="18"/>
        <v>1158</v>
      </c>
      <c r="B1160" s="164">
        <v>1158</v>
      </c>
      <c r="C1160" s="193" t="s">
        <v>2453</v>
      </c>
      <c r="D1160" s="195" t="s">
        <v>5721</v>
      </c>
      <c r="E1160" s="193" t="s">
        <v>8641</v>
      </c>
      <c r="F1160" s="193" t="s">
        <v>114</v>
      </c>
      <c r="G1160" s="195" t="s">
        <v>10863</v>
      </c>
      <c r="H1160" s="166" t="s">
        <v>13436</v>
      </c>
      <c r="I1160" s="193" t="s">
        <v>12813</v>
      </c>
      <c r="J1160" s="193" t="s">
        <v>12376</v>
      </c>
      <c r="K1160" s="170"/>
      <c r="L1160" s="193" t="s">
        <v>13162</v>
      </c>
    </row>
    <row r="1161" spans="1:12" ht="15.75">
      <c r="A1161" s="67">
        <f t="shared" si="18"/>
        <v>1159</v>
      </c>
      <c r="B1161" s="164">
        <v>1159</v>
      </c>
      <c r="C1161" s="193" t="s">
        <v>2454</v>
      </c>
      <c r="D1161" s="195" t="s">
        <v>5722</v>
      </c>
      <c r="E1161" s="193" t="s">
        <v>8642</v>
      </c>
      <c r="F1161" s="193" t="s">
        <v>114</v>
      </c>
      <c r="G1161" s="195" t="s">
        <v>10550</v>
      </c>
      <c r="H1161" s="166" t="s">
        <v>13436</v>
      </c>
      <c r="I1161" s="193" t="s">
        <v>12813</v>
      </c>
      <c r="J1161" s="193" t="s">
        <v>146</v>
      </c>
      <c r="K1161" s="170"/>
      <c r="L1161" s="193" t="s">
        <v>146</v>
      </c>
    </row>
    <row r="1162" spans="1:12" ht="30">
      <c r="A1162" s="67">
        <f t="shared" si="18"/>
        <v>1160</v>
      </c>
      <c r="B1162" s="164">
        <v>1160</v>
      </c>
      <c r="C1162" s="193" t="s">
        <v>2455</v>
      </c>
      <c r="D1162" s="195" t="s">
        <v>5723</v>
      </c>
      <c r="E1162" s="193" t="s">
        <v>173</v>
      </c>
      <c r="F1162" s="193" t="s">
        <v>114</v>
      </c>
      <c r="G1162" s="195" t="s">
        <v>10864</v>
      </c>
      <c r="H1162" s="166" t="s">
        <v>13436</v>
      </c>
      <c r="I1162" s="193" t="s">
        <v>12813</v>
      </c>
      <c r="J1162" s="193" t="s">
        <v>146</v>
      </c>
      <c r="K1162" s="170"/>
      <c r="L1162" s="193" t="s">
        <v>13163</v>
      </c>
    </row>
    <row r="1163" spans="1:12" ht="15.75">
      <c r="A1163" s="67">
        <f t="shared" si="18"/>
        <v>1161</v>
      </c>
      <c r="B1163" s="164">
        <v>1161</v>
      </c>
      <c r="C1163" s="193" t="s">
        <v>2456</v>
      </c>
      <c r="D1163" s="195" t="s">
        <v>5724</v>
      </c>
      <c r="E1163" s="193" t="s">
        <v>8643</v>
      </c>
      <c r="F1163" s="193" t="s">
        <v>114</v>
      </c>
      <c r="G1163" s="195" t="s">
        <v>10865</v>
      </c>
      <c r="H1163" s="166" t="s">
        <v>13436</v>
      </c>
      <c r="I1163" s="193" t="s">
        <v>12813</v>
      </c>
      <c r="J1163" s="193" t="s">
        <v>164</v>
      </c>
      <c r="K1163" s="170"/>
      <c r="L1163" s="193" t="s">
        <v>146</v>
      </c>
    </row>
    <row r="1164" spans="1:12" ht="15.75">
      <c r="A1164" s="67">
        <f t="shared" si="18"/>
        <v>1162</v>
      </c>
      <c r="B1164" s="164">
        <v>1162</v>
      </c>
      <c r="C1164" s="193" t="s">
        <v>2457</v>
      </c>
      <c r="D1164" s="195" t="s">
        <v>5725</v>
      </c>
      <c r="E1164" s="193" t="s">
        <v>8644</v>
      </c>
      <c r="F1164" s="193" t="s">
        <v>114</v>
      </c>
      <c r="G1164" s="195" t="s">
        <v>197</v>
      </c>
      <c r="H1164" s="166" t="s">
        <v>13436</v>
      </c>
      <c r="I1164" s="193" t="s">
        <v>12818</v>
      </c>
      <c r="J1164" s="193" t="s">
        <v>146</v>
      </c>
      <c r="K1164" s="170"/>
      <c r="L1164" s="193" t="s">
        <v>146</v>
      </c>
    </row>
    <row r="1165" spans="1:12" ht="15.75">
      <c r="A1165" s="67">
        <f t="shared" si="18"/>
        <v>1163</v>
      </c>
      <c r="B1165" s="164">
        <v>1163</v>
      </c>
      <c r="C1165" s="193" t="s">
        <v>2458</v>
      </c>
      <c r="D1165" s="195" t="s">
        <v>5726</v>
      </c>
      <c r="E1165" s="193" t="s">
        <v>8645</v>
      </c>
      <c r="F1165" s="193" t="s">
        <v>114</v>
      </c>
      <c r="G1165" s="195" t="s">
        <v>10866</v>
      </c>
      <c r="H1165" s="166" t="s">
        <v>13436</v>
      </c>
      <c r="I1165" s="193" t="s">
        <v>12825</v>
      </c>
      <c r="J1165" s="193" t="s">
        <v>146</v>
      </c>
      <c r="K1165" s="170"/>
      <c r="L1165" s="193" t="s">
        <v>146</v>
      </c>
    </row>
    <row r="1166" spans="1:12" ht="15.75">
      <c r="A1166" s="67">
        <f t="shared" si="18"/>
        <v>1164</v>
      </c>
      <c r="B1166" s="164">
        <v>1164</v>
      </c>
      <c r="C1166" s="193" t="s">
        <v>2459</v>
      </c>
      <c r="D1166" s="197" t="s">
        <v>5727</v>
      </c>
      <c r="E1166" s="193" t="s">
        <v>540</v>
      </c>
      <c r="F1166" s="193" t="s">
        <v>114</v>
      </c>
      <c r="G1166" s="195" t="s">
        <v>10867</v>
      </c>
      <c r="H1166" s="166" t="s">
        <v>13436</v>
      </c>
      <c r="I1166" s="193" t="s">
        <v>12816</v>
      </c>
      <c r="J1166" s="193" t="s">
        <v>146</v>
      </c>
      <c r="K1166" s="170"/>
      <c r="L1166" s="193" t="s">
        <v>146</v>
      </c>
    </row>
    <row r="1167" spans="1:12" ht="30">
      <c r="A1167" s="67">
        <f t="shared" si="18"/>
        <v>1165</v>
      </c>
      <c r="B1167" s="164">
        <v>1165</v>
      </c>
      <c r="C1167" s="193" t="s">
        <v>2460</v>
      </c>
      <c r="D1167" s="196" t="s">
        <v>5728</v>
      </c>
      <c r="E1167" s="193" t="s">
        <v>8646</v>
      </c>
      <c r="F1167" s="193" t="s">
        <v>114</v>
      </c>
      <c r="G1167" s="195" t="s">
        <v>10868</v>
      </c>
      <c r="H1167" s="166" t="s">
        <v>13436</v>
      </c>
      <c r="I1167" s="193" t="s">
        <v>12833</v>
      </c>
      <c r="J1167" s="193" t="s">
        <v>12377</v>
      </c>
      <c r="K1167" s="170"/>
      <c r="L1167" s="193" t="s">
        <v>13164</v>
      </c>
    </row>
    <row r="1168" spans="1:12" ht="30">
      <c r="A1168" s="67">
        <f t="shared" si="18"/>
        <v>1166</v>
      </c>
      <c r="B1168" s="164">
        <v>1166</v>
      </c>
      <c r="C1168" s="193" t="s">
        <v>2461</v>
      </c>
      <c r="D1168" s="195" t="s">
        <v>5729</v>
      </c>
      <c r="E1168" s="193" t="s">
        <v>8647</v>
      </c>
      <c r="F1168" s="193" t="s">
        <v>114</v>
      </c>
      <c r="G1168" s="195" t="s">
        <v>10869</v>
      </c>
      <c r="H1168" s="166" t="s">
        <v>13436</v>
      </c>
      <c r="I1168" s="193" t="s">
        <v>12826</v>
      </c>
      <c r="J1168" s="193" t="s">
        <v>12378</v>
      </c>
      <c r="K1168" s="170"/>
      <c r="L1168" s="193" t="s">
        <v>13165</v>
      </c>
    </row>
    <row r="1169" spans="1:12" ht="15.75">
      <c r="A1169" s="67">
        <f t="shared" si="18"/>
        <v>1167</v>
      </c>
      <c r="B1169" s="164">
        <v>1167</v>
      </c>
      <c r="C1169" s="193" t="s">
        <v>2462</v>
      </c>
      <c r="D1169" s="195" t="s">
        <v>5730</v>
      </c>
      <c r="E1169" s="193" t="s">
        <v>372</v>
      </c>
      <c r="F1169" s="193" t="s">
        <v>114</v>
      </c>
      <c r="G1169" s="195" t="s">
        <v>10870</v>
      </c>
      <c r="H1169" s="166" t="s">
        <v>13436</v>
      </c>
      <c r="I1169" s="193" t="s">
        <v>12826</v>
      </c>
      <c r="J1169" s="193" t="s">
        <v>146</v>
      </c>
      <c r="K1169" s="170"/>
      <c r="L1169" s="193" t="s">
        <v>146</v>
      </c>
    </row>
    <row r="1170" spans="1:12" ht="30">
      <c r="A1170" s="67">
        <f t="shared" si="18"/>
        <v>1168</v>
      </c>
      <c r="B1170" s="164">
        <v>1168</v>
      </c>
      <c r="C1170" s="193" t="s">
        <v>2463</v>
      </c>
      <c r="D1170" s="195" t="s">
        <v>5731</v>
      </c>
      <c r="E1170" s="193" t="s">
        <v>209</v>
      </c>
      <c r="F1170" s="193" t="s">
        <v>114</v>
      </c>
      <c r="G1170" s="195" t="s">
        <v>10871</v>
      </c>
      <c r="H1170" s="166" t="s">
        <v>13436</v>
      </c>
      <c r="I1170" s="193" t="s">
        <v>12826</v>
      </c>
      <c r="J1170" s="193" t="s">
        <v>12379</v>
      </c>
      <c r="K1170" s="170"/>
      <c r="L1170" s="193" t="s">
        <v>146</v>
      </c>
    </row>
    <row r="1171" spans="1:12" ht="30">
      <c r="A1171" s="67">
        <f t="shared" si="18"/>
        <v>1169</v>
      </c>
      <c r="B1171" s="164">
        <v>1169</v>
      </c>
      <c r="C1171" s="193" t="s">
        <v>2464</v>
      </c>
      <c r="D1171" s="195" t="s">
        <v>5732</v>
      </c>
      <c r="E1171" s="193" t="s">
        <v>8648</v>
      </c>
      <c r="F1171" s="193" t="s">
        <v>114</v>
      </c>
      <c r="G1171" s="195" t="s">
        <v>10872</v>
      </c>
      <c r="H1171" s="166" t="s">
        <v>13436</v>
      </c>
      <c r="I1171" s="193" t="s">
        <v>12826</v>
      </c>
      <c r="J1171" s="219" t="s">
        <v>12380</v>
      </c>
      <c r="K1171" s="170"/>
      <c r="L1171" s="219" t="s">
        <v>146</v>
      </c>
    </row>
    <row r="1172" spans="1:12" ht="90">
      <c r="A1172" s="67">
        <f t="shared" si="18"/>
        <v>1170</v>
      </c>
      <c r="B1172" s="164">
        <v>1170</v>
      </c>
      <c r="C1172" s="193" t="s">
        <v>2465</v>
      </c>
      <c r="D1172" s="195" t="s">
        <v>5733</v>
      </c>
      <c r="E1172" s="193" t="s">
        <v>8649</v>
      </c>
      <c r="F1172" s="193" t="s">
        <v>114</v>
      </c>
      <c r="G1172" s="195" t="s">
        <v>10202</v>
      </c>
      <c r="H1172" s="166" t="s">
        <v>13436</v>
      </c>
      <c r="I1172" s="193" t="s">
        <v>12826</v>
      </c>
      <c r="J1172" s="193" t="s">
        <v>146</v>
      </c>
      <c r="K1172" s="170"/>
      <c r="L1172" s="193" t="s">
        <v>13166</v>
      </c>
    </row>
    <row r="1173" spans="1:12" ht="30">
      <c r="A1173" s="67">
        <f t="shared" si="18"/>
        <v>1171</v>
      </c>
      <c r="B1173" s="164">
        <v>1171</v>
      </c>
      <c r="C1173" s="193" t="s">
        <v>2466</v>
      </c>
      <c r="D1173" s="195" t="s">
        <v>5734</v>
      </c>
      <c r="E1173" s="193" t="s">
        <v>8650</v>
      </c>
      <c r="F1173" s="193" t="s">
        <v>114</v>
      </c>
      <c r="G1173" s="195" t="s">
        <v>10873</v>
      </c>
      <c r="H1173" s="166" t="s">
        <v>13436</v>
      </c>
      <c r="I1173" s="193" t="s">
        <v>12826</v>
      </c>
      <c r="J1173" s="219" t="s">
        <v>12381</v>
      </c>
      <c r="K1173" s="170"/>
      <c r="L1173" s="219" t="s">
        <v>146</v>
      </c>
    </row>
    <row r="1174" spans="1:12" ht="15.75">
      <c r="A1174" s="67">
        <f t="shared" si="18"/>
        <v>1172</v>
      </c>
      <c r="B1174" s="164">
        <v>1172</v>
      </c>
      <c r="C1174" s="193" t="s">
        <v>2467</v>
      </c>
      <c r="D1174" s="195" t="s">
        <v>5735</v>
      </c>
      <c r="E1174" s="193" t="s">
        <v>158</v>
      </c>
      <c r="F1174" s="193" t="s">
        <v>114</v>
      </c>
      <c r="G1174" s="195" t="s">
        <v>10874</v>
      </c>
      <c r="H1174" s="166" t="s">
        <v>13436</v>
      </c>
      <c r="I1174" s="193" t="s">
        <v>12826</v>
      </c>
      <c r="J1174" s="193" t="s">
        <v>146</v>
      </c>
      <c r="K1174" s="170"/>
      <c r="L1174" s="193" t="s">
        <v>146</v>
      </c>
    </row>
    <row r="1175" spans="1:12" ht="15.75">
      <c r="A1175" s="67">
        <f t="shared" si="18"/>
        <v>1173</v>
      </c>
      <c r="B1175" s="164">
        <v>1173</v>
      </c>
      <c r="C1175" s="193" t="s">
        <v>2468</v>
      </c>
      <c r="D1175" s="195" t="s">
        <v>5736</v>
      </c>
      <c r="E1175" s="193" t="s">
        <v>8651</v>
      </c>
      <c r="F1175" s="193" t="s">
        <v>114</v>
      </c>
      <c r="G1175" s="195" t="s">
        <v>10412</v>
      </c>
      <c r="H1175" s="166" t="s">
        <v>13436</v>
      </c>
      <c r="I1175" s="193" t="s">
        <v>12826</v>
      </c>
      <c r="J1175" s="193" t="s">
        <v>12382</v>
      </c>
      <c r="K1175" s="170"/>
      <c r="L1175" s="193" t="s">
        <v>146</v>
      </c>
    </row>
    <row r="1176" spans="1:12" ht="30">
      <c r="A1176" s="67">
        <f t="shared" si="18"/>
        <v>1174</v>
      </c>
      <c r="B1176" s="164">
        <v>1174</v>
      </c>
      <c r="C1176" s="193" t="s">
        <v>2469</v>
      </c>
      <c r="D1176" s="195" t="s">
        <v>5737</v>
      </c>
      <c r="E1176" s="193" t="s">
        <v>8652</v>
      </c>
      <c r="F1176" s="193" t="s">
        <v>114</v>
      </c>
      <c r="G1176" s="195" t="s">
        <v>10875</v>
      </c>
      <c r="H1176" s="166" t="s">
        <v>13436</v>
      </c>
      <c r="I1176" s="193" t="s">
        <v>12827</v>
      </c>
      <c r="J1176" s="193" t="s">
        <v>12383</v>
      </c>
      <c r="K1176" s="170"/>
      <c r="L1176" s="193" t="s">
        <v>146</v>
      </c>
    </row>
    <row r="1177" spans="1:12" ht="15.75">
      <c r="A1177" s="67">
        <f t="shared" si="18"/>
        <v>1175</v>
      </c>
      <c r="B1177" s="164">
        <v>1175</v>
      </c>
      <c r="C1177" s="193" t="s">
        <v>2470</v>
      </c>
      <c r="D1177" s="195" t="s">
        <v>5738</v>
      </c>
      <c r="E1177" s="193" t="s">
        <v>346</v>
      </c>
      <c r="F1177" s="193" t="s">
        <v>114</v>
      </c>
      <c r="G1177" s="195" t="s">
        <v>10876</v>
      </c>
      <c r="H1177" s="166" t="s">
        <v>13436</v>
      </c>
      <c r="I1177" s="193" t="s">
        <v>12818</v>
      </c>
      <c r="J1177" s="193" t="s">
        <v>1252</v>
      </c>
      <c r="K1177" s="170"/>
      <c r="L1177" s="193" t="s">
        <v>146</v>
      </c>
    </row>
    <row r="1178" spans="1:12" ht="75">
      <c r="A1178" s="67">
        <f t="shared" si="18"/>
        <v>1176</v>
      </c>
      <c r="B1178" s="164">
        <v>1176</v>
      </c>
      <c r="C1178" s="193" t="s">
        <v>2471</v>
      </c>
      <c r="D1178" s="195" t="s">
        <v>5739</v>
      </c>
      <c r="E1178" s="193" t="s">
        <v>8653</v>
      </c>
      <c r="F1178" s="193" t="s">
        <v>114</v>
      </c>
      <c r="G1178" s="195" t="s">
        <v>714</v>
      </c>
      <c r="H1178" s="166" t="s">
        <v>13436</v>
      </c>
      <c r="I1178" s="193" t="s">
        <v>12814</v>
      </c>
      <c r="J1178" s="193" t="s">
        <v>146</v>
      </c>
      <c r="K1178" s="170"/>
      <c r="L1178" s="193" t="s">
        <v>13167</v>
      </c>
    </row>
    <row r="1179" spans="1:12" ht="15.75">
      <c r="A1179" s="67">
        <f t="shared" si="18"/>
        <v>1177</v>
      </c>
      <c r="B1179" s="164">
        <v>1177</v>
      </c>
      <c r="C1179" s="193" t="s">
        <v>2472</v>
      </c>
      <c r="D1179" s="195" t="s">
        <v>5740</v>
      </c>
      <c r="E1179" s="193" t="s">
        <v>8654</v>
      </c>
      <c r="F1179" s="193" t="s">
        <v>114</v>
      </c>
      <c r="G1179" s="195" t="s">
        <v>10524</v>
      </c>
      <c r="H1179" s="166" t="s">
        <v>13436</v>
      </c>
      <c r="I1179" s="193" t="s">
        <v>12814</v>
      </c>
      <c r="J1179" s="193" t="s">
        <v>146</v>
      </c>
      <c r="K1179" s="170"/>
      <c r="L1179" s="193" t="s">
        <v>146</v>
      </c>
    </row>
    <row r="1180" spans="1:12" ht="15.75">
      <c r="A1180" s="67">
        <f t="shared" si="18"/>
        <v>1178</v>
      </c>
      <c r="B1180" s="164">
        <v>1178</v>
      </c>
      <c r="C1180" s="193" t="s">
        <v>2473</v>
      </c>
      <c r="D1180" s="195" t="s">
        <v>5741</v>
      </c>
      <c r="E1180" s="193" t="s">
        <v>8655</v>
      </c>
      <c r="F1180" s="193" t="s">
        <v>114</v>
      </c>
      <c r="G1180" s="195" t="s">
        <v>10877</v>
      </c>
      <c r="H1180" s="166" t="s">
        <v>13436</v>
      </c>
      <c r="I1180" s="193" t="s">
        <v>12814</v>
      </c>
      <c r="J1180" s="193" t="s">
        <v>12384</v>
      </c>
      <c r="K1180" s="170"/>
      <c r="L1180" s="193" t="s">
        <v>146</v>
      </c>
    </row>
    <row r="1181" spans="1:12" ht="30">
      <c r="A1181" s="67">
        <f t="shared" si="18"/>
        <v>1179</v>
      </c>
      <c r="B1181" s="164">
        <v>1179</v>
      </c>
      <c r="C1181" s="193" t="s">
        <v>2474</v>
      </c>
      <c r="D1181" s="195" t="s">
        <v>5742</v>
      </c>
      <c r="E1181" s="193" t="s">
        <v>8656</v>
      </c>
      <c r="F1181" s="193" t="s">
        <v>114</v>
      </c>
      <c r="G1181" s="195" t="s">
        <v>10795</v>
      </c>
      <c r="H1181" s="166" t="s">
        <v>13436</v>
      </c>
      <c r="I1181" s="193" t="s">
        <v>12814</v>
      </c>
      <c r="J1181" s="193" t="s">
        <v>146</v>
      </c>
      <c r="K1181" s="170"/>
      <c r="L1181" s="193" t="s">
        <v>13168</v>
      </c>
    </row>
    <row r="1182" spans="1:12" ht="15.75">
      <c r="A1182" s="67">
        <f t="shared" si="18"/>
        <v>1180</v>
      </c>
      <c r="B1182" s="164">
        <v>1180</v>
      </c>
      <c r="C1182" s="193" t="s">
        <v>2475</v>
      </c>
      <c r="D1182" s="195" t="s">
        <v>5743</v>
      </c>
      <c r="E1182" s="193" t="s">
        <v>163</v>
      </c>
      <c r="F1182" s="193" t="s">
        <v>114</v>
      </c>
      <c r="G1182" s="195" t="s">
        <v>10878</v>
      </c>
      <c r="H1182" s="166" t="s">
        <v>13436</v>
      </c>
      <c r="I1182" s="193" t="s">
        <v>12814</v>
      </c>
      <c r="J1182" s="219" t="s">
        <v>146</v>
      </c>
      <c r="K1182" s="170"/>
      <c r="L1182" s="193" t="s">
        <v>146</v>
      </c>
    </row>
    <row r="1183" spans="1:12" ht="15.75">
      <c r="A1183" s="67">
        <f t="shared" si="18"/>
        <v>1181</v>
      </c>
      <c r="B1183" s="164">
        <v>1181</v>
      </c>
      <c r="C1183" s="193" t="s">
        <v>2476</v>
      </c>
      <c r="D1183" s="195" t="s">
        <v>5744</v>
      </c>
      <c r="E1183" s="193" t="s">
        <v>8657</v>
      </c>
      <c r="F1183" s="193" t="s">
        <v>114</v>
      </c>
      <c r="G1183" s="195" t="s">
        <v>10879</v>
      </c>
      <c r="H1183" s="166" t="s">
        <v>13436</v>
      </c>
      <c r="I1183" s="193" t="s">
        <v>12814</v>
      </c>
      <c r="J1183" s="193" t="s">
        <v>146</v>
      </c>
      <c r="K1183" s="170"/>
      <c r="L1183" s="193" t="s">
        <v>146</v>
      </c>
    </row>
    <row r="1184" spans="1:12" ht="15.75">
      <c r="A1184" s="67">
        <f t="shared" si="18"/>
        <v>1182</v>
      </c>
      <c r="B1184" s="164">
        <v>1182</v>
      </c>
      <c r="C1184" s="193" t="s">
        <v>2477</v>
      </c>
      <c r="D1184" s="195" t="s">
        <v>5745</v>
      </c>
      <c r="E1184" s="193" t="s">
        <v>8658</v>
      </c>
      <c r="F1184" s="193" t="s">
        <v>114</v>
      </c>
      <c r="G1184" s="195" t="s">
        <v>10259</v>
      </c>
      <c r="H1184" s="166" t="s">
        <v>13436</v>
      </c>
      <c r="I1184" s="193" t="s">
        <v>12814</v>
      </c>
      <c r="J1184" s="193" t="s">
        <v>146</v>
      </c>
      <c r="K1184" s="170"/>
      <c r="L1184" s="193" t="s">
        <v>146</v>
      </c>
    </row>
    <row r="1185" spans="1:12" ht="15.75">
      <c r="A1185" s="67">
        <f t="shared" si="18"/>
        <v>1183</v>
      </c>
      <c r="B1185" s="164">
        <v>1183</v>
      </c>
      <c r="C1185" s="193" t="s">
        <v>2478</v>
      </c>
      <c r="D1185" s="195" t="s">
        <v>5746</v>
      </c>
      <c r="E1185" s="193" t="s">
        <v>173</v>
      </c>
      <c r="F1185" s="193" t="s">
        <v>114</v>
      </c>
      <c r="G1185" s="195" t="s">
        <v>10880</v>
      </c>
      <c r="H1185" s="166" t="s">
        <v>13436</v>
      </c>
      <c r="I1185" s="193" t="s">
        <v>12819</v>
      </c>
      <c r="J1185" s="219" t="s">
        <v>146</v>
      </c>
      <c r="K1185" s="170"/>
      <c r="L1185" s="193" t="s">
        <v>146</v>
      </c>
    </row>
    <row r="1186" spans="1:12" ht="15.75">
      <c r="A1186" s="67">
        <f t="shared" si="18"/>
        <v>1184</v>
      </c>
      <c r="B1186" s="164">
        <v>1184</v>
      </c>
      <c r="C1186" s="193" t="s">
        <v>2479</v>
      </c>
      <c r="D1186" s="195" t="s">
        <v>5747</v>
      </c>
      <c r="E1186" s="193" t="s">
        <v>8068</v>
      </c>
      <c r="F1186" s="193" t="s">
        <v>114</v>
      </c>
      <c r="G1186" s="195" t="s">
        <v>9985</v>
      </c>
      <c r="H1186" s="166" t="s">
        <v>13436</v>
      </c>
      <c r="I1186" s="193" t="s">
        <v>12819</v>
      </c>
      <c r="J1186" s="193" t="s">
        <v>146</v>
      </c>
      <c r="K1186" s="170"/>
      <c r="L1186" s="193" t="s">
        <v>146</v>
      </c>
    </row>
    <row r="1187" spans="1:12" ht="15.75">
      <c r="A1187" s="67">
        <f t="shared" si="18"/>
        <v>1185</v>
      </c>
      <c r="B1187" s="164">
        <v>1185</v>
      </c>
      <c r="C1187" s="193" t="s">
        <v>2480</v>
      </c>
      <c r="D1187" s="195" t="s">
        <v>5748</v>
      </c>
      <c r="E1187" s="193" t="s">
        <v>323</v>
      </c>
      <c r="F1187" s="193" t="s">
        <v>114</v>
      </c>
      <c r="G1187" s="195" t="s">
        <v>10881</v>
      </c>
      <c r="H1187" s="166" t="s">
        <v>13436</v>
      </c>
      <c r="I1187" s="193" t="s">
        <v>12819</v>
      </c>
      <c r="J1187" s="193" t="s">
        <v>146</v>
      </c>
      <c r="K1187" s="170"/>
      <c r="L1187" s="193" t="s">
        <v>146</v>
      </c>
    </row>
    <row r="1188" spans="1:12" ht="30">
      <c r="A1188" s="67">
        <f t="shared" si="18"/>
        <v>1186</v>
      </c>
      <c r="B1188" s="164">
        <v>1186</v>
      </c>
      <c r="C1188" s="193" t="s">
        <v>2481</v>
      </c>
      <c r="D1188" s="195" t="s">
        <v>5749</v>
      </c>
      <c r="E1188" s="193" t="s">
        <v>8659</v>
      </c>
      <c r="F1188" s="193" t="s">
        <v>114</v>
      </c>
      <c r="G1188" s="195" t="s">
        <v>10816</v>
      </c>
      <c r="H1188" s="166" t="s">
        <v>13436</v>
      </c>
      <c r="I1188" s="193" t="s">
        <v>12838</v>
      </c>
      <c r="J1188" s="193" t="s">
        <v>12385</v>
      </c>
      <c r="K1188" s="170"/>
      <c r="L1188" s="193" t="s">
        <v>13169</v>
      </c>
    </row>
    <row r="1189" spans="1:12" ht="15.75">
      <c r="A1189" s="67">
        <f t="shared" si="18"/>
        <v>1187</v>
      </c>
      <c r="B1189" s="164">
        <v>1187</v>
      </c>
      <c r="C1189" s="193" t="s">
        <v>2482</v>
      </c>
      <c r="D1189" s="195" t="s">
        <v>5750</v>
      </c>
      <c r="E1189" s="193" t="s">
        <v>544</v>
      </c>
      <c r="F1189" s="193" t="s">
        <v>114</v>
      </c>
      <c r="G1189" s="195" t="s">
        <v>10282</v>
      </c>
      <c r="H1189" s="166" t="s">
        <v>13436</v>
      </c>
      <c r="I1189" s="193" t="s">
        <v>12838</v>
      </c>
      <c r="J1189" s="193" t="s">
        <v>12386</v>
      </c>
      <c r="K1189" s="170"/>
      <c r="L1189" s="193" t="s">
        <v>146</v>
      </c>
    </row>
    <row r="1190" spans="1:12" ht="15.75">
      <c r="A1190" s="67">
        <f t="shared" si="18"/>
        <v>1188</v>
      </c>
      <c r="B1190" s="164">
        <v>1188</v>
      </c>
      <c r="C1190" s="193" t="s">
        <v>2483</v>
      </c>
      <c r="D1190" s="195" t="s">
        <v>5751</v>
      </c>
      <c r="E1190" s="193" t="s">
        <v>8660</v>
      </c>
      <c r="F1190" s="193" t="s">
        <v>114</v>
      </c>
      <c r="G1190" s="195" t="s">
        <v>10882</v>
      </c>
      <c r="H1190" s="166" t="s">
        <v>13436</v>
      </c>
      <c r="I1190" s="193" t="s">
        <v>12819</v>
      </c>
      <c r="J1190" s="193" t="s">
        <v>146</v>
      </c>
      <c r="K1190" s="170"/>
      <c r="L1190" s="193" t="s">
        <v>146</v>
      </c>
    </row>
    <row r="1191" spans="1:12" ht="30">
      <c r="A1191" s="67">
        <f t="shared" si="18"/>
        <v>1189</v>
      </c>
      <c r="B1191" s="164">
        <v>1189</v>
      </c>
      <c r="C1191" s="193" t="s">
        <v>2484</v>
      </c>
      <c r="D1191" s="195" t="s">
        <v>5752</v>
      </c>
      <c r="E1191" s="193" t="s">
        <v>328</v>
      </c>
      <c r="F1191" s="193" t="s">
        <v>114</v>
      </c>
      <c r="G1191" s="195" t="s">
        <v>10883</v>
      </c>
      <c r="H1191" s="166" t="s">
        <v>13436</v>
      </c>
      <c r="I1191" s="193" t="s">
        <v>12835</v>
      </c>
      <c r="J1191" s="193" t="s">
        <v>12387</v>
      </c>
      <c r="K1191" s="170"/>
      <c r="L1191" s="193" t="s">
        <v>146</v>
      </c>
    </row>
    <row r="1192" spans="1:12" ht="15.75">
      <c r="A1192" s="67">
        <f t="shared" si="18"/>
        <v>1190</v>
      </c>
      <c r="B1192" s="164">
        <v>1190</v>
      </c>
      <c r="C1192" s="193" t="s">
        <v>2485</v>
      </c>
      <c r="D1192" s="195" t="s">
        <v>5753</v>
      </c>
      <c r="E1192" s="193" t="s">
        <v>8661</v>
      </c>
      <c r="F1192" s="193" t="s">
        <v>114</v>
      </c>
      <c r="G1192" s="195" t="s">
        <v>10884</v>
      </c>
      <c r="H1192" s="166" t="s">
        <v>13436</v>
      </c>
      <c r="I1192" s="193" t="s">
        <v>12835</v>
      </c>
      <c r="J1192" s="193" t="s">
        <v>146</v>
      </c>
      <c r="K1192" s="170"/>
      <c r="L1192" s="193" t="s">
        <v>146</v>
      </c>
    </row>
    <row r="1193" spans="1:12" ht="15.75">
      <c r="A1193" s="67">
        <f t="shared" si="18"/>
        <v>1191</v>
      </c>
      <c r="B1193" s="164">
        <v>1191</v>
      </c>
      <c r="C1193" s="193" t="s">
        <v>2486</v>
      </c>
      <c r="D1193" s="196" t="s">
        <v>5754</v>
      </c>
      <c r="E1193" s="193" t="s">
        <v>8662</v>
      </c>
      <c r="F1193" s="193" t="s">
        <v>59</v>
      </c>
      <c r="G1193" s="195" t="s">
        <v>10885</v>
      </c>
      <c r="H1193" s="166" t="s">
        <v>13436</v>
      </c>
      <c r="I1193" s="193" t="s">
        <v>12839</v>
      </c>
      <c r="J1193" s="219" t="s">
        <v>146</v>
      </c>
      <c r="K1193" s="170"/>
      <c r="L1193" s="193"/>
    </row>
    <row r="1194" spans="1:12" ht="15.75">
      <c r="A1194" s="67">
        <f t="shared" si="18"/>
        <v>1192</v>
      </c>
      <c r="B1194" s="164">
        <v>1192</v>
      </c>
      <c r="C1194" s="193" t="s">
        <v>2487</v>
      </c>
      <c r="D1194" s="195" t="s">
        <v>5755</v>
      </c>
      <c r="E1194" s="193" t="s">
        <v>8663</v>
      </c>
      <c r="F1194" s="193" t="s">
        <v>114</v>
      </c>
      <c r="G1194" s="195" t="s">
        <v>1190</v>
      </c>
      <c r="H1194" s="166" t="s">
        <v>13436</v>
      </c>
      <c r="I1194" s="193" t="s">
        <v>12817</v>
      </c>
      <c r="J1194" s="193" t="s">
        <v>147</v>
      </c>
      <c r="K1194" s="170"/>
      <c r="L1194" s="193" t="s">
        <v>146</v>
      </c>
    </row>
    <row r="1195" spans="1:12" ht="15.75">
      <c r="A1195" s="67">
        <f t="shared" si="18"/>
        <v>1193</v>
      </c>
      <c r="B1195" s="164">
        <v>1193</v>
      </c>
      <c r="C1195" s="193" t="s">
        <v>2488</v>
      </c>
      <c r="D1195" s="195" t="s">
        <v>5756</v>
      </c>
      <c r="E1195" s="193" t="s">
        <v>8183</v>
      </c>
      <c r="F1195" s="193" t="s">
        <v>114</v>
      </c>
      <c r="G1195" s="195" t="s">
        <v>10886</v>
      </c>
      <c r="H1195" s="166" t="s">
        <v>13436</v>
      </c>
      <c r="I1195" s="193" t="s">
        <v>12821</v>
      </c>
      <c r="J1195" s="193" t="s">
        <v>146</v>
      </c>
      <c r="K1195" s="170"/>
      <c r="L1195" s="193" t="s">
        <v>146</v>
      </c>
    </row>
    <row r="1196" spans="1:12" ht="15.75">
      <c r="A1196" s="67">
        <f t="shared" si="18"/>
        <v>1194</v>
      </c>
      <c r="B1196" s="164">
        <v>1194</v>
      </c>
      <c r="C1196" s="193" t="s">
        <v>2489</v>
      </c>
      <c r="D1196" s="195" t="s">
        <v>5757</v>
      </c>
      <c r="E1196" s="193" t="s">
        <v>8664</v>
      </c>
      <c r="F1196" s="193" t="s">
        <v>114</v>
      </c>
      <c r="G1196" s="195" t="s">
        <v>10816</v>
      </c>
      <c r="H1196" s="166" t="s">
        <v>13436</v>
      </c>
      <c r="I1196" s="193" t="s">
        <v>12821</v>
      </c>
      <c r="J1196" s="193" t="s">
        <v>146</v>
      </c>
      <c r="K1196" s="170"/>
      <c r="L1196" s="193" t="s">
        <v>146</v>
      </c>
    </row>
    <row r="1197" spans="1:12" ht="30">
      <c r="A1197" s="67">
        <f t="shared" si="18"/>
        <v>1195</v>
      </c>
      <c r="B1197" s="164">
        <v>1195</v>
      </c>
      <c r="C1197" s="193" t="s">
        <v>2490</v>
      </c>
      <c r="D1197" s="195" t="s">
        <v>5758</v>
      </c>
      <c r="E1197" s="193" t="s">
        <v>648</v>
      </c>
      <c r="F1197" s="193" t="s">
        <v>114</v>
      </c>
      <c r="G1197" s="195" t="s">
        <v>10887</v>
      </c>
      <c r="H1197" s="166" t="s">
        <v>13436</v>
      </c>
      <c r="I1197" s="193" t="s">
        <v>12808</v>
      </c>
      <c r="J1197" s="193" t="s">
        <v>146</v>
      </c>
      <c r="K1197" s="170"/>
      <c r="L1197" s="193" t="s">
        <v>13053</v>
      </c>
    </row>
    <row r="1198" spans="1:12" ht="60">
      <c r="A1198" s="67">
        <f t="shared" si="18"/>
        <v>1196</v>
      </c>
      <c r="B1198" s="164">
        <v>1196</v>
      </c>
      <c r="C1198" s="193" t="s">
        <v>2491</v>
      </c>
      <c r="D1198" s="195" t="s">
        <v>5759</v>
      </c>
      <c r="E1198" s="193" t="s">
        <v>167</v>
      </c>
      <c r="F1198" s="193" t="s">
        <v>114</v>
      </c>
      <c r="G1198" s="195" t="s">
        <v>10888</v>
      </c>
      <c r="H1198" s="166" t="s">
        <v>13436</v>
      </c>
      <c r="I1198" s="193" t="s">
        <v>12836</v>
      </c>
      <c r="J1198" s="193" t="s">
        <v>146</v>
      </c>
      <c r="K1198" s="170"/>
      <c r="L1198" s="193" t="s">
        <v>13170</v>
      </c>
    </row>
    <row r="1199" spans="1:12" ht="45">
      <c r="A1199" s="67">
        <f t="shared" si="18"/>
        <v>1197</v>
      </c>
      <c r="B1199" s="164">
        <v>1197</v>
      </c>
      <c r="C1199" s="193" t="s">
        <v>2492</v>
      </c>
      <c r="D1199" s="195" t="s">
        <v>5760</v>
      </c>
      <c r="E1199" s="193" t="s">
        <v>170</v>
      </c>
      <c r="F1199" s="193" t="s">
        <v>114</v>
      </c>
      <c r="G1199" s="195" t="s">
        <v>10889</v>
      </c>
      <c r="H1199" s="166" t="s">
        <v>13436</v>
      </c>
      <c r="I1199" s="193" t="s">
        <v>12836</v>
      </c>
      <c r="J1199" s="193" t="s">
        <v>146</v>
      </c>
      <c r="K1199" s="170"/>
      <c r="L1199" s="193" t="s">
        <v>13171</v>
      </c>
    </row>
    <row r="1200" spans="1:12" ht="15.75">
      <c r="A1200" s="67">
        <f t="shared" si="18"/>
        <v>1198</v>
      </c>
      <c r="B1200" s="164">
        <v>1198</v>
      </c>
      <c r="C1200" s="193" t="s">
        <v>2493</v>
      </c>
      <c r="D1200" s="195" t="s">
        <v>5761</v>
      </c>
      <c r="E1200" s="193" t="s">
        <v>8665</v>
      </c>
      <c r="F1200" s="193" t="s">
        <v>114</v>
      </c>
      <c r="G1200" s="195" t="s">
        <v>10890</v>
      </c>
      <c r="H1200" s="166" t="s">
        <v>13436</v>
      </c>
      <c r="I1200" s="193" t="s">
        <v>12836</v>
      </c>
      <c r="J1200" s="193" t="s">
        <v>146</v>
      </c>
      <c r="K1200" s="170"/>
      <c r="L1200" s="193" t="s">
        <v>146</v>
      </c>
    </row>
    <row r="1201" spans="1:12" ht="30">
      <c r="A1201" s="67">
        <f t="shared" si="18"/>
        <v>1199</v>
      </c>
      <c r="B1201" s="164">
        <v>1199</v>
      </c>
      <c r="C1201" s="193" t="s">
        <v>2494</v>
      </c>
      <c r="D1201" s="195" t="s">
        <v>5762</v>
      </c>
      <c r="E1201" s="193" t="s">
        <v>8666</v>
      </c>
      <c r="F1201" s="193" t="s">
        <v>114</v>
      </c>
      <c r="G1201" s="195" t="s">
        <v>10891</v>
      </c>
      <c r="H1201" s="166" t="s">
        <v>13436</v>
      </c>
      <c r="I1201" s="193" t="s">
        <v>12836</v>
      </c>
      <c r="J1201" s="193" t="s">
        <v>146</v>
      </c>
      <c r="K1201" s="170"/>
      <c r="L1201" s="193" t="s">
        <v>13172</v>
      </c>
    </row>
    <row r="1202" spans="1:12" ht="45">
      <c r="A1202" s="67">
        <f t="shared" si="18"/>
        <v>1200</v>
      </c>
      <c r="B1202" s="164">
        <v>1200</v>
      </c>
      <c r="C1202" s="193" t="s">
        <v>2495</v>
      </c>
      <c r="D1202" s="195" t="s">
        <v>5763</v>
      </c>
      <c r="E1202" s="193" t="s">
        <v>8667</v>
      </c>
      <c r="F1202" s="193" t="s">
        <v>114</v>
      </c>
      <c r="G1202" s="195" t="s">
        <v>1163</v>
      </c>
      <c r="H1202" s="166" t="s">
        <v>13436</v>
      </c>
      <c r="I1202" s="193" t="s">
        <v>12827</v>
      </c>
      <c r="J1202" s="193" t="s">
        <v>12388</v>
      </c>
      <c r="K1202" s="170"/>
      <c r="L1202" s="193" t="s">
        <v>146</v>
      </c>
    </row>
    <row r="1203" spans="1:12" ht="15.75">
      <c r="A1203" s="67">
        <f t="shared" si="18"/>
        <v>1201</v>
      </c>
      <c r="B1203" s="164">
        <v>1201</v>
      </c>
      <c r="C1203" s="193" t="s">
        <v>2496</v>
      </c>
      <c r="D1203" s="195" t="s">
        <v>5764</v>
      </c>
      <c r="E1203" s="193" t="s">
        <v>361</v>
      </c>
      <c r="F1203" s="193" t="s">
        <v>114</v>
      </c>
      <c r="G1203" s="195" t="s">
        <v>10892</v>
      </c>
      <c r="H1203" s="166" t="s">
        <v>13436</v>
      </c>
      <c r="I1203" s="193" t="s">
        <v>12836</v>
      </c>
      <c r="J1203" s="193" t="s">
        <v>12389</v>
      </c>
      <c r="K1203" s="170"/>
      <c r="L1203" s="193" t="s">
        <v>146</v>
      </c>
    </row>
    <row r="1204" spans="1:12" ht="15.75">
      <c r="A1204" s="67">
        <f t="shared" si="18"/>
        <v>1202</v>
      </c>
      <c r="B1204" s="164">
        <v>1202</v>
      </c>
      <c r="C1204" s="193" t="s">
        <v>2497</v>
      </c>
      <c r="D1204" s="195" t="s">
        <v>5765</v>
      </c>
      <c r="E1204" s="193" t="s">
        <v>8668</v>
      </c>
      <c r="F1204" s="193" t="s">
        <v>59</v>
      </c>
      <c r="G1204" s="195" t="s">
        <v>10893</v>
      </c>
      <c r="H1204" s="166" t="s">
        <v>13436</v>
      </c>
      <c r="I1204" s="193" t="s">
        <v>12825</v>
      </c>
      <c r="J1204" s="193" t="s">
        <v>1259</v>
      </c>
      <c r="K1204" s="170"/>
      <c r="L1204" s="193"/>
    </row>
    <row r="1205" spans="1:12" ht="60">
      <c r="A1205" s="67">
        <f t="shared" si="18"/>
        <v>1203</v>
      </c>
      <c r="B1205" s="164">
        <v>1203</v>
      </c>
      <c r="C1205" s="193" t="s">
        <v>2498</v>
      </c>
      <c r="D1205" s="195" t="s">
        <v>5766</v>
      </c>
      <c r="E1205" s="193" t="s">
        <v>8669</v>
      </c>
      <c r="F1205" s="193" t="s">
        <v>114</v>
      </c>
      <c r="G1205" s="195" t="s">
        <v>10674</v>
      </c>
      <c r="H1205" s="166" t="s">
        <v>13436</v>
      </c>
      <c r="I1205" s="193" t="s">
        <v>12825</v>
      </c>
      <c r="J1205" s="193" t="s">
        <v>12390</v>
      </c>
      <c r="K1205" s="170"/>
      <c r="L1205" s="193" t="s">
        <v>146</v>
      </c>
    </row>
    <row r="1206" spans="1:12" ht="15.75">
      <c r="A1206" s="67">
        <f t="shared" si="18"/>
        <v>1204</v>
      </c>
      <c r="B1206" s="164">
        <v>1204</v>
      </c>
      <c r="C1206" s="193" t="s">
        <v>2499</v>
      </c>
      <c r="D1206" s="196" t="s">
        <v>5767</v>
      </c>
      <c r="E1206" s="193" t="s">
        <v>381</v>
      </c>
      <c r="F1206" s="193" t="s">
        <v>114</v>
      </c>
      <c r="G1206" s="195" t="s">
        <v>893</v>
      </c>
      <c r="H1206" s="166" t="s">
        <v>13436</v>
      </c>
      <c r="I1206" s="193" t="s">
        <v>12833</v>
      </c>
      <c r="J1206" s="193" t="s">
        <v>146</v>
      </c>
      <c r="K1206" s="170"/>
      <c r="L1206" s="193" t="s">
        <v>146</v>
      </c>
    </row>
    <row r="1207" spans="1:12" ht="60">
      <c r="A1207" s="67">
        <f t="shared" si="18"/>
        <v>1205</v>
      </c>
      <c r="B1207" s="164">
        <v>1205</v>
      </c>
      <c r="C1207" s="193" t="s">
        <v>2500</v>
      </c>
      <c r="D1207" s="195" t="s">
        <v>5768</v>
      </c>
      <c r="E1207" s="193" t="s">
        <v>8670</v>
      </c>
      <c r="F1207" s="193" t="s">
        <v>114</v>
      </c>
      <c r="G1207" s="195" t="s">
        <v>10288</v>
      </c>
      <c r="H1207" s="166" t="s">
        <v>13436</v>
      </c>
      <c r="I1207" s="193" t="s">
        <v>12826</v>
      </c>
      <c r="J1207" s="193" t="s">
        <v>146</v>
      </c>
      <c r="K1207" s="170"/>
      <c r="L1207" s="193" t="s">
        <v>13173</v>
      </c>
    </row>
    <row r="1208" spans="1:12" ht="30">
      <c r="A1208" s="67">
        <f t="shared" si="18"/>
        <v>1206</v>
      </c>
      <c r="B1208" s="164">
        <v>1206</v>
      </c>
      <c r="C1208" s="193" t="s">
        <v>2501</v>
      </c>
      <c r="D1208" s="195" t="s">
        <v>5769</v>
      </c>
      <c r="E1208" s="193" t="s">
        <v>8629</v>
      </c>
      <c r="F1208" s="193" t="s">
        <v>114</v>
      </c>
      <c r="G1208" s="195" t="s">
        <v>10403</v>
      </c>
      <c r="H1208" s="166" t="s">
        <v>13436</v>
      </c>
      <c r="I1208" s="193" t="s">
        <v>12818</v>
      </c>
      <c r="J1208" s="193" t="s">
        <v>146</v>
      </c>
      <c r="K1208" s="170"/>
      <c r="L1208" s="193" t="s">
        <v>13174</v>
      </c>
    </row>
    <row r="1209" spans="1:12" ht="45">
      <c r="A1209" s="67">
        <f t="shared" si="18"/>
        <v>1207</v>
      </c>
      <c r="B1209" s="164">
        <v>1207</v>
      </c>
      <c r="C1209" s="193" t="s">
        <v>2502</v>
      </c>
      <c r="D1209" s="195" t="s">
        <v>5770</v>
      </c>
      <c r="E1209" s="193" t="s">
        <v>8671</v>
      </c>
      <c r="F1209" s="193" t="s">
        <v>114</v>
      </c>
      <c r="G1209" s="195" t="s">
        <v>10894</v>
      </c>
      <c r="H1209" s="166" t="s">
        <v>13436</v>
      </c>
      <c r="I1209" s="193" t="s">
        <v>12826</v>
      </c>
      <c r="J1209" s="193" t="s">
        <v>146</v>
      </c>
      <c r="K1209" s="170"/>
      <c r="L1209" s="193" t="s">
        <v>13175</v>
      </c>
    </row>
    <row r="1210" spans="1:12" ht="30">
      <c r="A1210" s="67">
        <f t="shared" si="18"/>
        <v>1208</v>
      </c>
      <c r="B1210" s="164">
        <v>1208</v>
      </c>
      <c r="C1210" s="193" t="s">
        <v>2503</v>
      </c>
      <c r="D1210" s="197" t="s">
        <v>5771</v>
      </c>
      <c r="E1210" s="193" t="s">
        <v>8672</v>
      </c>
      <c r="F1210" s="193" t="s">
        <v>114</v>
      </c>
      <c r="G1210" s="195" t="s">
        <v>10177</v>
      </c>
      <c r="H1210" s="166" t="s">
        <v>13436</v>
      </c>
      <c r="I1210" s="193" t="s">
        <v>12816</v>
      </c>
      <c r="J1210" s="193" t="s">
        <v>146</v>
      </c>
      <c r="K1210" s="170"/>
      <c r="L1210" s="193" t="s">
        <v>146</v>
      </c>
    </row>
    <row r="1211" spans="1:12" ht="15.75">
      <c r="A1211" s="67">
        <f t="shared" si="18"/>
        <v>1209</v>
      </c>
      <c r="B1211" s="164">
        <v>1209</v>
      </c>
      <c r="C1211" s="193" t="s">
        <v>2504</v>
      </c>
      <c r="D1211" s="197" t="s">
        <v>5772</v>
      </c>
      <c r="E1211" s="193" t="s">
        <v>230</v>
      </c>
      <c r="F1211" s="193" t="s">
        <v>114</v>
      </c>
      <c r="G1211" s="195" t="s">
        <v>10895</v>
      </c>
      <c r="H1211" s="166" t="s">
        <v>13436</v>
      </c>
      <c r="I1211" s="193" t="s">
        <v>12816</v>
      </c>
      <c r="J1211" s="193" t="s">
        <v>146</v>
      </c>
      <c r="K1211" s="170"/>
      <c r="L1211" s="193" t="s">
        <v>146</v>
      </c>
    </row>
    <row r="1212" spans="1:12" ht="15.75">
      <c r="A1212" s="67">
        <f t="shared" si="18"/>
        <v>1210</v>
      </c>
      <c r="B1212" s="164">
        <v>1210</v>
      </c>
      <c r="C1212" s="193" t="s">
        <v>2505</v>
      </c>
      <c r="D1212" s="197" t="s">
        <v>5773</v>
      </c>
      <c r="E1212" s="193" t="s">
        <v>8673</v>
      </c>
      <c r="F1212" s="193" t="s">
        <v>114</v>
      </c>
      <c r="G1212" s="195" t="s">
        <v>10896</v>
      </c>
      <c r="H1212" s="166" t="s">
        <v>13436</v>
      </c>
      <c r="I1212" s="193" t="s">
        <v>12816</v>
      </c>
      <c r="J1212" s="193" t="s">
        <v>1252</v>
      </c>
      <c r="K1212" s="170"/>
      <c r="L1212" s="193" t="s">
        <v>146</v>
      </c>
    </row>
    <row r="1213" spans="1:12" ht="30">
      <c r="A1213" s="67">
        <f t="shared" si="18"/>
        <v>1211</v>
      </c>
      <c r="B1213" s="164">
        <v>1211</v>
      </c>
      <c r="C1213" s="193" t="s">
        <v>2506</v>
      </c>
      <c r="D1213" s="195" t="s">
        <v>5774</v>
      </c>
      <c r="E1213" s="193" t="s">
        <v>8674</v>
      </c>
      <c r="F1213" s="193" t="s">
        <v>114</v>
      </c>
      <c r="G1213" s="195" t="s">
        <v>10873</v>
      </c>
      <c r="H1213" s="166" t="s">
        <v>13436</v>
      </c>
      <c r="I1213" s="193" t="s">
        <v>12818</v>
      </c>
      <c r="J1213" s="193" t="s">
        <v>12391</v>
      </c>
      <c r="K1213" s="170"/>
      <c r="L1213" s="193" t="s">
        <v>146</v>
      </c>
    </row>
    <row r="1214" spans="1:12" ht="15.75">
      <c r="A1214" s="67">
        <f t="shared" si="18"/>
        <v>1212</v>
      </c>
      <c r="B1214" s="164">
        <v>1212</v>
      </c>
      <c r="C1214" s="193" t="s">
        <v>2507</v>
      </c>
      <c r="D1214" s="195" t="s">
        <v>5775</v>
      </c>
      <c r="E1214" s="193" t="s">
        <v>613</v>
      </c>
      <c r="F1214" s="193" t="s">
        <v>114</v>
      </c>
      <c r="G1214" s="195" t="s">
        <v>10897</v>
      </c>
      <c r="H1214" s="166" t="s">
        <v>13436</v>
      </c>
      <c r="I1214" s="193" t="s">
        <v>12818</v>
      </c>
      <c r="J1214" s="193" t="s">
        <v>146</v>
      </c>
      <c r="K1214" s="170"/>
      <c r="L1214" s="193" t="s">
        <v>146</v>
      </c>
    </row>
    <row r="1215" spans="1:12" ht="15.75">
      <c r="A1215" s="67">
        <f t="shared" si="18"/>
        <v>1213</v>
      </c>
      <c r="B1215" s="164">
        <v>1213</v>
      </c>
      <c r="C1215" s="193" t="s">
        <v>2508</v>
      </c>
      <c r="D1215" s="195" t="s">
        <v>5776</v>
      </c>
      <c r="E1215" s="193" t="s">
        <v>441</v>
      </c>
      <c r="F1215" s="193" t="s">
        <v>114</v>
      </c>
      <c r="G1215" s="195" t="s">
        <v>10898</v>
      </c>
      <c r="H1215" s="166" t="s">
        <v>13436</v>
      </c>
      <c r="I1215" s="193" t="s">
        <v>12824</v>
      </c>
      <c r="J1215" s="193" t="s">
        <v>146</v>
      </c>
      <c r="K1215" s="170"/>
      <c r="L1215" s="193" t="s">
        <v>146</v>
      </c>
    </row>
    <row r="1216" spans="1:12" ht="30">
      <c r="A1216" s="67">
        <f t="shared" si="18"/>
        <v>1214</v>
      </c>
      <c r="B1216" s="164">
        <v>1214</v>
      </c>
      <c r="C1216" s="193" t="s">
        <v>2509</v>
      </c>
      <c r="D1216" s="195" t="s">
        <v>5777</v>
      </c>
      <c r="E1216" s="193" t="s">
        <v>8675</v>
      </c>
      <c r="F1216" s="193" t="s">
        <v>114</v>
      </c>
      <c r="G1216" s="195" t="s">
        <v>10360</v>
      </c>
      <c r="H1216" s="166" t="s">
        <v>13436</v>
      </c>
      <c r="I1216" s="193" t="s">
        <v>12814</v>
      </c>
      <c r="J1216" s="193" t="s">
        <v>146</v>
      </c>
      <c r="K1216" s="170"/>
      <c r="L1216" s="193" t="s">
        <v>13176</v>
      </c>
    </row>
    <row r="1217" spans="1:12" ht="45">
      <c r="A1217" s="67">
        <f t="shared" si="18"/>
        <v>1215</v>
      </c>
      <c r="B1217" s="164">
        <v>1215</v>
      </c>
      <c r="C1217" s="193" t="s">
        <v>2510</v>
      </c>
      <c r="D1217" s="197" t="s">
        <v>5778</v>
      </c>
      <c r="E1217" s="193" t="s">
        <v>8676</v>
      </c>
      <c r="F1217" s="193" t="s">
        <v>114</v>
      </c>
      <c r="G1217" s="195" t="s">
        <v>10899</v>
      </c>
      <c r="H1217" s="166" t="s">
        <v>13436</v>
      </c>
      <c r="I1217" s="193" t="s">
        <v>12816</v>
      </c>
      <c r="J1217" s="193" t="s">
        <v>12392</v>
      </c>
      <c r="K1217" s="170"/>
      <c r="L1217" s="193" t="s">
        <v>146</v>
      </c>
    </row>
    <row r="1218" spans="1:12" ht="15.75">
      <c r="A1218" s="67">
        <f t="shared" si="18"/>
        <v>1216</v>
      </c>
      <c r="B1218" s="164">
        <v>1216</v>
      </c>
      <c r="C1218" s="193" t="s">
        <v>2511</v>
      </c>
      <c r="D1218" s="195" t="s">
        <v>5779</v>
      </c>
      <c r="E1218" s="193" t="s">
        <v>8677</v>
      </c>
      <c r="F1218" s="193" t="s">
        <v>114</v>
      </c>
      <c r="G1218" s="195" t="s">
        <v>10873</v>
      </c>
      <c r="H1218" s="166" t="s">
        <v>13436</v>
      </c>
      <c r="I1218" s="193" t="s">
        <v>12808</v>
      </c>
      <c r="J1218" s="219" t="s">
        <v>146</v>
      </c>
      <c r="K1218" s="170"/>
      <c r="L1218" s="193" t="s">
        <v>146</v>
      </c>
    </row>
    <row r="1219" spans="1:12" ht="60">
      <c r="A1219" s="67">
        <f t="shared" ref="A1219:A1282" si="19">IFERROR(VALUE(RIGHT(C1219,4)),"")</f>
        <v>1217</v>
      </c>
      <c r="B1219" s="164">
        <v>1217</v>
      </c>
      <c r="C1219" s="193" t="s">
        <v>2512</v>
      </c>
      <c r="D1219" s="197" t="s">
        <v>5780</v>
      </c>
      <c r="E1219" s="193" t="s">
        <v>8678</v>
      </c>
      <c r="F1219" s="193" t="s">
        <v>114</v>
      </c>
      <c r="G1219" s="195" t="s">
        <v>10900</v>
      </c>
      <c r="H1219" s="166" t="s">
        <v>13436</v>
      </c>
      <c r="I1219" s="193" t="s">
        <v>12816</v>
      </c>
      <c r="J1219" s="193" t="s">
        <v>12393</v>
      </c>
      <c r="K1219" s="170"/>
      <c r="L1219" s="193" t="s">
        <v>146</v>
      </c>
    </row>
    <row r="1220" spans="1:12" ht="45">
      <c r="A1220" s="67">
        <f t="shared" si="19"/>
        <v>1218</v>
      </c>
      <c r="B1220" s="164">
        <v>1218</v>
      </c>
      <c r="C1220" s="193" t="s">
        <v>2513</v>
      </c>
      <c r="D1220" s="197" t="s">
        <v>5781</v>
      </c>
      <c r="E1220" s="193" t="s">
        <v>372</v>
      </c>
      <c r="F1220" s="193" t="s">
        <v>114</v>
      </c>
      <c r="G1220" s="195" t="s">
        <v>10901</v>
      </c>
      <c r="H1220" s="166" t="s">
        <v>13436</v>
      </c>
      <c r="I1220" s="193" t="s">
        <v>12816</v>
      </c>
      <c r="J1220" s="193" t="s">
        <v>12394</v>
      </c>
      <c r="K1220" s="170"/>
      <c r="L1220" s="193" t="s">
        <v>146</v>
      </c>
    </row>
    <row r="1221" spans="1:12" ht="15.75">
      <c r="A1221" s="67">
        <f t="shared" si="19"/>
        <v>1219</v>
      </c>
      <c r="B1221" s="164">
        <v>1219</v>
      </c>
      <c r="C1221" s="193" t="s">
        <v>2514</v>
      </c>
      <c r="D1221" s="195" t="s">
        <v>5782</v>
      </c>
      <c r="E1221" s="193" t="s">
        <v>8679</v>
      </c>
      <c r="F1221" s="193" t="s">
        <v>114</v>
      </c>
      <c r="G1221" s="195" t="s">
        <v>932</v>
      </c>
      <c r="H1221" s="166" t="s">
        <v>13436</v>
      </c>
      <c r="I1221" s="193" t="s">
        <v>12819</v>
      </c>
      <c r="J1221" s="219" t="s">
        <v>146</v>
      </c>
      <c r="K1221" s="170"/>
      <c r="L1221" s="193" t="s">
        <v>146</v>
      </c>
    </row>
    <row r="1222" spans="1:12" ht="15.75">
      <c r="A1222" s="67">
        <f t="shared" si="19"/>
        <v>1220</v>
      </c>
      <c r="B1222" s="164">
        <v>1220</v>
      </c>
      <c r="C1222" s="193" t="s">
        <v>2515</v>
      </c>
      <c r="D1222" s="195" t="s">
        <v>5783</v>
      </c>
      <c r="E1222" s="193" t="s">
        <v>8680</v>
      </c>
      <c r="F1222" s="193" t="s">
        <v>114</v>
      </c>
      <c r="G1222" s="195" t="s">
        <v>10902</v>
      </c>
      <c r="H1222" s="166" t="s">
        <v>13436</v>
      </c>
      <c r="I1222" s="193" t="s">
        <v>12817</v>
      </c>
      <c r="J1222" s="219" t="s">
        <v>146</v>
      </c>
      <c r="K1222" s="170"/>
      <c r="L1222" s="193" t="s">
        <v>146</v>
      </c>
    </row>
    <row r="1223" spans="1:12" ht="30">
      <c r="A1223" s="67">
        <f t="shared" si="19"/>
        <v>1221</v>
      </c>
      <c r="B1223" s="164">
        <v>1221</v>
      </c>
      <c r="C1223" s="193" t="s">
        <v>2516</v>
      </c>
      <c r="D1223" s="195" t="s">
        <v>5784</v>
      </c>
      <c r="E1223" s="193" t="s">
        <v>8681</v>
      </c>
      <c r="F1223" s="193" t="s">
        <v>114</v>
      </c>
      <c r="G1223" s="195" t="s">
        <v>803</v>
      </c>
      <c r="H1223" s="166" t="s">
        <v>13436</v>
      </c>
      <c r="I1223" s="193" t="s">
        <v>12835</v>
      </c>
      <c r="J1223" s="219" t="s">
        <v>12395</v>
      </c>
      <c r="K1223" s="170"/>
      <c r="L1223" s="193" t="s">
        <v>146</v>
      </c>
    </row>
    <row r="1224" spans="1:12" ht="15.75">
      <c r="A1224" s="67">
        <f t="shared" si="19"/>
        <v>1222</v>
      </c>
      <c r="B1224" s="164">
        <v>1222</v>
      </c>
      <c r="C1224" s="193" t="s">
        <v>2517</v>
      </c>
      <c r="D1224" s="195" t="s">
        <v>5785</v>
      </c>
      <c r="E1224" s="193" t="s">
        <v>383</v>
      </c>
      <c r="F1224" s="193" t="s">
        <v>114</v>
      </c>
      <c r="G1224" s="195" t="s">
        <v>10903</v>
      </c>
      <c r="H1224" s="166" t="s">
        <v>13436</v>
      </c>
      <c r="I1224" s="193" t="s">
        <v>12827</v>
      </c>
      <c r="J1224" s="219" t="s">
        <v>146</v>
      </c>
      <c r="K1224" s="170"/>
      <c r="L1224" s="193" t="s">
        <v>146</v>
      </c>
    </row>
    <row r="1225" spans="1:12" ht="15.75">
      <c r="A1225" s="67">
        <f t="shared" si="19"/>
        <v>1223</v>
      </c>
      <c r="B1225" s="164">
        <v>1223</v>
      </c>
      <c r="C1225" s="193" t="s">
        <v>2518</v>
      </c>
      <c r="D1225" s="195" t="s">
        <v>5786</v>
      </c>
      <c r="E1225" s="193" t="s">
        <v>8682</v>
      </c>
      <c r="F1225" s="193" t="s">
        <v>59</v>
      </c>
      <c r="G1225" s="195" t="s">
        <v>10904</v>
      </c>
      <c r="H1225" s="166" t="s">
        <v>13436</v>
      </c>
      <c r="I1225" s="193" t="s">
        <v>12808</v>
      </c>
      <c r="J1225" s="193" t="s">
        <v>146</v>
      </c>
      <c r="K1225" s="170"/>
      <c r="L1225" s="193"/>
    </row>
    <row r="1226" spans="1:12" ht="15.75">
      <c r="A1226" s="67">
        <f t="shared" si="19"/>
        <v>1224</v>
      </c>
      <c r="B1226" s="164">
        <v>1224</v>
      </c>
      <c r="C1226" s="193" t="s">
        <v>2519</v>
      </c>
      <c r="D1226" s="195" t="s">
        <v>5787</v>
      </c>
      <c r="E1226" s="193" t="s">
        <v>8125</v>
      </c>
      <c r="F1226" s="193" t="s">
        <v>114</v>
      </c>
      <c r="G1226" s="195" t="s">
        <v>10905</v>
      </c>
      <c r="H1226" s="166" t="s">
        <v>13436</v>
      </c>
      <c r="I1226" s="193" t="s">
        <v>12825</v>
      </c>
      <c r="J1226" s="219" t="s">
        <v>146</v>
      </c>
      <c r="K1226" s="170"/>
      <c r="L1226" s="219" t="s">
        <v>146</v>
      </c>
    </row>
    <row r="1227" spans="1:12" ht="15.75">
      <c r="A1227" s="67">
        <f t="shared" si="19"/>
        <v>1225</v>
      </c>
      <c r="B1227" s="164">
        <v>1225</v>
      </c>
      <c r="C1227" s="193" t="s">
        <v>2520</v>
      </c>
      <c r="D1227" s="195" t="s">
        <v>5788</v>
      </c>
      <c r="E1227" s="193" t="s">
        <v>8683</v>
      </c>
      <c r="F1227" s="193" t="s">
        <v>114</v>
      </c>
      <c r="G1227" s="195" t="s">
        <v>10906</v>
      </c>
      <c r="H1227" s="166" t="s">
        <v>13436</v>
      </c>
      <c r="I1227" s="193" t="s">
        <v>12836</v>
      </c>
      <c r="J1227" s="193" t="s">
        <v>146</v>
      </c>
      <c r="K1227" s="170"/>
      <c r="L1227" s="193" t="s">
        <v>146</v>
      </c>
    </row>
    <row r="1228" spans="1:12" ht="15.75">
      <c r="A1228" s="67">
        <f t="shared" si="19"/>
        <v>1226</v>
      </c>
      <c r="B1228" s="164">
        <v>1226</v>
      </c>
      <c r="C1228" s="193" t="s">
        <v>2521</v>
      </c>
      <c r="D1228" s="195" t="s">
        <v>5789</v>
      </c>
      <c r="E1228" s="193" t="s">
        <v>537</v>
      </c>
      <c r="F1228" s="193" t="s">
        <v>114</v>
      </c>
      <c r="G1228" s="195" t="s">
        <v>10788</v>
      </c>
      <c r="H1228" s="166" t="s">
        <v>13436</v>
      </c>
      <c r="I1228" s="193" t="s">
        <v>12817</v>
      </c>
      <c r="J1228" s="193" t="s">
        <v>146</v>
      </c>
      <c r="K1228" s="170"/>
      <c r="L1228" s="193" t="s">
        <v>146</v>
      </c>
    </row>
    <row r="1229" spans="1:12" ht="15.75">
      <c r="A1229" s="67">
        <f t="shared" si="19"/>
        <v>1227</v>
      </c>
      <c r="B1229" s="164">
        <v>1227</v>
      </c>
      <c r="C1229" s="193" t="s">
        <v>2522</v>
      </c>
      <c r="D1229" s="195" t="s">
        <v>5790</v>
      </c>
      <c r="E1229" s="193" t="s">
        <v>8684</v>
      </c>
      <c r="F1229" s="193" t="s">
        <v>114</v>
      </c>
      <c r="G1229" s="195" t="s">
        <v>10907</v>
      </c>
      <c r="H1229" s="166" t="s">
        <v>13436</v>
      </c>
      <c r="I1229" s="193" t="s">
        <v>12824</v>
      </c>
      <c r="J1229" s="193" t="s">
        <v>12396</v>
      </c>
      <c r="K1229" s="170"/>
      <c r="L1229" s="193" t="s">
        <v>146</v>
      </c>
    </row>
    <row r="1230" spans="1:12" ht="30">
      <c r="A1230" s="67">
        <f t="shared" si="19"/>
        <v>1228</v>
      </c>
      <c r="B1230" s="164">
        <v>1228</v>
      </c>
      <c r="C1230" s="193" t="s">
        <v>2523</v>
      </c>
      <c r="D1230" s="195" t="s">
        <v>5791</v>
      </c>
      <c r="E1230" s="193" t="s">
        <v>8403</v>
      </c>
      <c r="F1230" s="193" t="s">
        <v>114</v>
      </c>
      <c r="G1230" s="195" t="s">
        <v>10908</v>
      </c>
      <c r="H1230" s="166" t="s">
        <v>13436</v>
      </c>
      <c r="I1230" s="193" t="s">
        <v>12836</v>
      </c>
      <c r="J1230" s="219" t="s">
        <v>12397</v>
      </c>
      <c r="K1230" s="170"/>
      <c r="L1230" s="193" t="s">
        <v>146</v>
      </c>
    </row>
    <row r="1231" spans="1:12" ht="15.75">
      <c r="A1231" s="67">
        <f t="shared" si="19"/>
        <v>1229</v>
      </c>
      <c r="B1231" s="164">
        <v>1229</v>
      </c>
      <c r="C1231" s="193" t="s">
        <v>2524</v>
      </c>
      <c r="D1231" s="195" t="s">
        <v>5792</v>
      </c>
      <c r="E1231" s="193" t="s">
        <v>341</v>
      </c>
      <c r="F1231" s="193" t="s">
        <v>114</v>
      </c>
      <c r="G1231" s="195" t="s">
        <v>10909</v>
      </c>
      <c r="H1231" s="166" t="s">
        <v>13436</v>
      </c>
      <c r="I1231" s="193" t="s">
        <v>12836</v>
      </c>
      <c r="J1231" s="193" t="s">
        <v>146</v>
      </c>
      <c r="K1231" s="170"/>
      <c r="L1231" s="193" t="s">
        <v>146</v>
      </c>
    </row>
    <row r="1232" spans="1:12" ht="30">
      <c r="A1232" s="67">
        <f t="shared" si="19"/>
        <v>1230</v>
      </c>
      <c r="B1232" s="164">
        <v>1230</v>
      </c>
      <c r="C1232" s="193" t="s">
        <v>2525</v>
      </c>
      <c r="D1232" s="195" t="s">
        <v>5793</v>
      </c>
      <c r="E1232" s="193" t="s">
        <v>8685</v>
      </c>
      <c r="F1232" s="193" t="s">
        <v>114</v>
      </c>
      <c r="G1232" s="195" t="s">
        <v>734</v>
      </c>
      <c r="H1232" s="166" t="s">
        <v>13436</v>
      </c>
      <c r="I1232" s="193" t="s">
        <v>12837</v>
      </c>
      <c r="J1232" s="219" t="s">
        <v>12398</v>
      </c>
      <c r="K1232" s="170"/>
      <c r="L1232" s="193" t="s">
        <v>13177</v>
      </c>
    </row>
    <row r="1233" spans="1:12" ht="135">
      <c r="A1233" s="67">
        <f t="shared" si="19"/>
        <v>1231</v>
      </c>
      <c r="B1233" s="164">
        <v>1231</v>
      </c>
      <c r="C1233" s="193" t="s">
        <v>2526</v>
      </c>
      <c r="D1233" s="195" t="s">
        <v>5794</v>
      </c>
      <c r="E1233" s="193" t="s">
        <v>581</v>
      </c>
      <c r="F1233" s="193" t="s">
        <v>114</v>
      </c>
      <c r="G1233" s="195" t="s">
        <v>10910</v>
      </c>
      <c r="H1233" s="166" t="s">
        <v>13436</v>
      </c>
      <c r="I1233" s="193" t="s">
        <v>12827</v>
      </c>
      <c r="J1233" s="193" t="s">
        <v>12399</v>
      </c>
      <c r="K1233" s="170"/>
      <c r="L1233" s="193" t="s">
        <v>13178</v>
      </c>
    </row>
    <row r="1234" spans="1:12" ht="45">
      <c r="A1234" s="67">
        <f t="shared" si="19"/>
        <v>1232</v>
      </c>
      <c r="B1234" s="164">
        <v>1232</v>
      </c>
      <c r="C1234" s="193" t="s">
        <v>2527</v>
      </c>
      <c r="D1234" s="195" t="s">
        <v>5795</v>
      </c>
      <c r="E1234" s="193" t="s">
        <v>8686</v>
      </c>
      <c r="F1234" s="193" t="s">
        <v>114</v>
      </c>
      <c r="G1234" s="195" t="s">
        <v>10911</v>
      </c>
      <c r="H1234" s="166" t="s">
        <v>13436</v>
      </c>
      <c r="I1234" s="193" t="s">
        <v>12818</v>
      </c>
      <c r="J1234" s="193" t="s">
        <v>12400</v>
      </c>
      <c r="K1234" s="170"/>
      <c r="L1234" s="193" t="s">
        <v>146</v>
      </c>
    </row>
    <row r="1235" spans="1:12" ht="15.75">
      <c r="A1235" s="67">
        <f t="shared" si="19"/>
        <v>1233</v>
      </c>
      <c r="B1235" s="164">
        <v>1233</v>
      </c>
      <c r="C1235" s="193" t="s">
        <v>2528</v>
      </c>
      <c r="D1235" s="195" t="s">
        <v>5796</v>
      </c>
      <c r="E1235" s="193" t="s">
        <v>8687</v>
      </c>
      <c r="F1235" s="193" t="s">
        <v>114</v>
      </c>
      <c r="G1235" s="195" t="s">
        <v>10912</v>
      </c>
      <c r="H1235" s="166" t="s">
        <v>13436</v>
      </c>
      <c r="I1235" s="193" t="s">
        <v>12818</v>
      </c>
      <c r="J1235" s="193" t="s">
        <v>146</v>
      </c>
      <c r="K1235" s="170"/>
      <c r="L1235" s="193" t="s">
        <v>146</v>
      </c>
    </row>
    <row r="1236" spans="1:12" ht="15.75">
      <c r="A1236" s="67">
        <f t="shared" si="19"/>
        <v>1234</v>
      </c>
      <c r="B1236" s="164">
        <v>1234</v>
      </c>
      <c r="C1236" s="193" t="s">
        <v>2529</v>
      </c>
      <c r="D1236" s="197" t="s">
        <v>5797</v>
      </c>
      <c r="E1236" s="193" t="s">
        <v>8688</v>
      </c>
      <c r="F1236" s="193" t="s">
        <v>114</v>
      </c>
      <c r="G1236" s="195" t="s">
        <v>10061</v>
      </c>
      <c r="H1236" s="166" t="s">
        <v>13436</v>
      </c>
      <c r="I1236" s="193" t="s">
        <v>12816</v>
      </c>
      <c r="J1236" s="193" t="s">
        <v>146</v>
      </c>
      <c r="K1236" s="170"/>
      <c r="L1236" s="193" t="s">
        <v>146</v>
      </c>
    </row>
    <row r="1237" spans="1:12" ht="15.75">
      <c r="A1237" s="67">
        <f t="shared" si="19"/>
        <v>1235</v>
      </c>
      <c r="B1237" s="164">
        <v>1235</v>
      </c>
      <c r="C1237" s="193" t="s">
        <v>2530</v>
      </c>
      <c r="D1237" s="199" t="s">
        <v>5798</v>
      </c>
      <c r="E1237" s="193" t="s">
        <v>8689</v>
      </c>
      <c r="F1237" s="193" t="s">
        <v>114</v>
      </c>
      <c r="G1237" s="195" t="s">
        <v>10913</v>
      </c>
      <c r="H1237" s="166" t="s">
        <v>13436</v>
      </c>
      <c r="I1237" s="193" t="s">
        <v>12831</v>
      </c>
      <c r="J1237" s="193" t="s">
        <v>146</v>
      </c>
      <c r="K1237" s="170"/>
      <c r="L1237" s="193" t="s">
        <v>146</v>
      </c>
    </row>
    <row r="1238" spans="1:12" ht="30">
      <c r="A1238" s="67">
        <f t="shared" si="19"/>
        <v>1236</v>
      </c>
      <c r="B1238" s="164">
        <v>1236</v>
      </c>
      <c r="C1238" s="193" t="s">
        <v>2531</v>
      </c>
      <c r="D1238" s="195" t="s">
        <v>5799</v>
      </c>
      <c r="E1238" s="193" t="s">
        <v>8690</v>
      </c>
      <c r="F1238" s="193" t="s">
        <v>114</v>
      </c>
      <c r="G1238" s="195" t="s">
        <v>10914</v>
      </c>
      <c r="H1238" s="166" t="s">
        <v>13436</v>
      </c>
      <c r="I1238" s="193" t="s">
        <v>12837</v>
      </c>
      <c r="J1238" s="193" t="s">
        <v>12401</v>
      </c>
      <c r="K1238" s="170"/>
      <c r="L1238" s="193" t="s">
        <v>146</v>
      </c>
    </row>
    <row r="1239" spans="1:12" ht="30">
      <c r="A1239" s="67">
        <f t="shared" si="19"/>
        <v>1237</v>
      </c>
      <c r="B1239" s="164">
        <v>1237</v>
      </c>
      <c r="C1239" s="193" t="s">
        <v>2532</v>
      </c>
      <c r="D1239" s="195" t="s">
        <v>5800</v>
      </c>
      <c r="E1239" s="193" t="s">
        <v>8691</v>
      </c>
      <c r="F1239" s="193" t="s">
        <v>114</v>
      </c>
      <c r="G1239" s="195" t="s">
        <v>10915</v>
      </c>
      <c r="H1239" s="166" t="s">
        <v>13436</v>
      </c>
      <c r="I1239" s="193" t="s">
        <v>12838</v>
      </c>
      <c r="J1239" s="193" t="s">
        <v>164</v>
      </c>
      <c r="K1239" s="170"/>
      <c r="L1239" s="193" t="s">
        <v>13179</v>
      </c>
    </row>
    <row r="1240" spans="1:12" ht="15.75">
      <c r="A1240" s="67">
        <f t="shared" si="19"/>
        <v>1238</v>
      </c>
      <c r="B1240" s="164">
        <v>1238</v>
      </c>
      <c r="C1240" s="193" t="s">
        <v>2533</v>
      </c>
      <c r="D1240" s="195" t="s">
        <v>5801</v>
      </c>
      <c r="E1240" s="193" t="s">
        <v>8692</v>
      </c>
      <c r="F1240" s="193" t="s">
        <v>114</v>
      </c>
      <c r="G1240" s="195" t="s">
        <v>207</v>
      </c>
      <c r="H1240" s="166" t="s">
        <v>13436</v>
      </c>
      <c r="I1240" s="193" t="s">
        <v>12827</v>
      </c>
      <c r="J1240" s="219" t="s">
        <v>146</v>
      </c>
      <c r="K1240" s="170"/>
      <c r="L1240" s="219" t="s">
        <v>146</v>
      </c>
    </row>
    <row r="1241" spans="1:12" ht="15.75">
      <c r="A1241" s="67">
        <f t="shared" si="19"/>
        <v>1239</v>
      </c>
      <c r="B1241" s="164">
        <v>1239</v>
      </c>
      <c r="C1241" s="193" t="s">
        <v>2534</v>
      </c>
      <c r="D1241" s="195" t="s">
        <v>5802</v>
      </c>
      <c r="E1241" s="193" t="s">
        <v>596</v>
      </c>
      <c r="F1241" s="193" t="s">
        <v>114</v>
      </c>
      <c r="G1241" s="195" t="s">
        <v>10916</v>
      </c>
      <c r="H1241" s="166" t="s">
        <v>13436</v>
      </c>
      <c r="I1241" s="193" t="s">
        <v>12824</v>
      </c>
      <c r="J1241" s="193" t="s">
        <v>146</v>
      </c>
      <c r="K1241" s="170"/>
      <c r="L1241" s="193" t="s">
        <v>146</v>
      </c>
    </row>
    <row r="1242" spans="1:12" ht="30">
      <c r="A1242" s="67">
        <f t="shared" si="19"/>
        <v>1240</v>
      </c>
      <c r="B1242" s="164">
        <v>1240</v>
      </c>
      <c r="C1242" s="193" t="s">
        <v>2535</v>
      </c>
      <c r="D1242" s="198" t="s">
        <v>5803</v>
      </c>
      <c r="E1242" s="193" t="s">
        <v>612</v>
      </c>
      <c r="F1242" s="193" t="s">
        <v>114</v>
      </c>
      <c r="G1242" s="195" t="s">
        <v>10917</v>
      </c>
      <c r="H1242" s="166" t="s">
        <v>13436</v>
      </c>
      <c r="I1242" s="193" t="s">
        <v>1247</v>
      </c>
      <c r="J1242" s="193" t="s">
        <v>12402</v>
      </c>
      <c r="K1242" s="170"/>
      <c r="L1242" s="193" t="s">
        <v>146</v>
      </c>
    </row>
    <row r="1243" spans="1:12" ht="15.75">
      <c r="A1243" s="67">
        <f t="shared" si="19"/>
        <v>1241</v>
      </c>
      <c r="B1243" s="164">
        <v>1241</v>
      </c>
      <c r="C1243" s="193" t="s">
        <v>2536</v>
      </c>
      <c r="D1243" s="195" t="s">
        <v>5804</v>
      </c>
      <c r="E1243" s="193" t="s">
        <v>235</v>
      </c>
      <c r="F1243" s="193" t="s">
        <v>114</v>
      </c>
      <c r="G1243" s="195" t="s">
        <v>10041</v>
      </c>
      <c r="H1243" s="166" t="s">
        <v>13436</v>
      </c>
      <c r="I1243" s="193" t="s">
        <v>12817</v>
      </c>
      <c r="J1243" s="193" t="s">
        <v>12403</v>
      </c>
      <c r="K1243" s="170"/>
      <c r="L1243" s="193" t="s">
        <v>146</v>
      </c>
    </row>
    <row r="1244" spans="1:12" ht="15.75">
      <c r="A1244" s="67">
        <f t="shared" si="19"/>
        <v>1242</v>
      </c>
      <c r="B1244" s="164">
        <v>1242</v>
      </c>
      <c r="C1244" s="193" t="s">
        <v>2537</v>
      </c>
      <c r="D1244" s="195" t="s">
        <v>5805</v>
      </c>
      <c r="E1244" s="193" t="s">
        <v>150</v>
      </c>
      <c r="F1244" s="193" t="s">
        <v>114</v>
      </c>
      <c r="G1244" s="195" t="s">
        <v>10918</v>
      </c>
      <c r="H1244" s="166" t="s">
        <v>13436</v>
      </c>
      <c r="I1244" s="193" t="s">
        <v>12836</v>
      </c>
      <c r="J1244" s="193" t="s">
        <v>146</v>
      </c>
      <c r="K1244" s="170"/>
      <c r="L1244" s="193" t="s">
        <v>146</v>
      </c>
    </row>
    <row r="1245" spans="1:12" ht="15.75">
      <c r="A1245" s="67">
        <f t="shared" si="19"/>
        <v>1243</v>
      </c>
      <c r="B1245" s="164">
        <v>1243</v>
      </c>
      <c r="C1245" s="193" t="s">
        <v>2538</v>
      </c>
      <c r="D1245" s="195" t="s">
        <v>5806</v>
      </c>
      <c r="E1245" s="193" t="s">
        <v>8693</v>
      </c>
      <c r="F1245" s="193" t="s">
        <v>114</v>
      </c>
      <c r="G1245" s="195" t="s">
        <v>10919</v>
      </c>
      <c r="H1245" s="166" t="s">
        <v>13436</v>
      </c>
      <c r="I1245" s="193" t="s">
        <v>12836</v>
      </c>
      <c r="J1245" s="193" t="s">
        <v>146</v>
      </c>
      <c r="K1245" s="170"/>
      <c r="L1245" s="193" t="s">
        <v>146</v>
      </c>
    </row>
    <row r="1246" spans="1:12" ht="45">
      <c r="A1246" s="67">
        <f t="shared" si="19"/>
        <v>1244</v>
      </c>
      <c r="B1246" s="164">
        <v>1244</v>
      </c>
      <c r="C1246" s="193" t="s">
        <v>2539</v>
      </c>
      <c r="D1246" s="195" t="s">
        <v>5807</v>
      </c>
      <c r="E1246" s="193" t="s">
        <v>8694</v>
      </c>
      <c r="F1246" s="193" t="s">
        <v>114</v>
      </c>
      <c r="G1246" s="195" t="s">
        <v>10376</v>
      </c>
      <c r="H1246" s="166" t="s">
        <v>13436</v>
      </c>
      <c r="I1246" s="193" t="s">
        <v>12824</v>
      </c>
      <c r="J1246" s="219" t="s">
        <v>12404</v>
      </c>
      <c r="K1246" s="170"/>
      <c r="L1246" s="219" t="s">
        <v>146</v>
      </c>
    </row>
    <row r="1247" spans="1:12" ht="15.75">
      <c r="A1247" s="67">
        <f t="shared" si="19"/>
        <v>1245</v>
      </c>
      <c r="B1247" s="164">
        <v>1245</v>
      </c>
      <c r="C1247" s="193" t="s">
        <v>2540</v>
      </c>
      <c r="D1247" s="195" t="s">
        <v>5808</v>
      </c>
      <c r="E1247" s="193" t="s">
        <v>434</v>
      </c>
      <c r="F1247" s="193" t="s">
        <v>114</v>
      </c>
      <c r="G1247" s="195" t="s">
        <v>10920</v>
      </c>
      <c r="H1247" s="166" t="s">
        <v>13436</v>
      </c>
      <c r="I1247" s="193" t="s">
        <v>12826</v>
      </c>
      <c r="J1247" s="193" t="s">
        <v>146</v>
      </c>
      <c r="K1247" s="170"/>
      <c r="L1247" s="193" t="s">
        <v>146</v>
      </c>
    </row>
    <row r="1248" spans="1:12" ht="15.75">
      <c r="A1248" s="67">
        <f t="shared" si="19"/>
        <v>1246</v>
      </c>
      <c r="B1248" s="164">
        <v>1246</v>
      </c>
      <c r="C1248" s="193" t="s">
        <v>2541</v>
      </c>
      <c r="D1248" s="195" t="s">
        <v>5809</v>
      </c>
      <c r="E1248" s="193" t="s">
        <v>8695</v>
      </c>
      <c r="F1248" s="193" t="s">
        <v>114</v>
      </c>
      <c r="G1248" s="195" t="s">
        <v>10229</v>
      </c>
      <c r="H1248" s="166" t="s">
        <v>13436</v>
      </c>
      <c r="I1248" s="193" t="s">
        <v>12826</v>
      </c>
      <c r="J1248" s="193" t="s">
        <v>146</v>
      </c>
      <c r="K1248" s="170"/>
      <c r="L1248" s="193" t="s">
        <v>146</v>
      </c>
    </row>
    <row r="1249" spans="1:12" ht="15.75">
      <c r="A1249" s="67">
        <f t="shared" si="19"/>
        <v>1247</v>
      </c>
      <c r="B1249" s="164">
        <v>1247</v>
      </c>
      <c r="C1249" s="193" t="s">
        <v>2542</v>
      </c>
      <c r="D1249" s="195" t="s">
        <v>5810</v>
      </c>
      <c r="E1249" s="193" t="s">
        <v>8696</v>
      </c>
      <c r="F1249" s="193" t="s">
        <v>114</v>
      </c>
      <c r="G1249" s="195" t="s">
        <v>780</v>
      </c>
      <c r="H1249" s="166" t="s">
        <v>13436</v>
      </c>
      <c r="I1249" s="193" t="s">
        <v>12826</v>
      </c>
      <c r="J1249" s="193" t="s">
        <v>146</v>
      </c>
      <c r="K1249" s="170"/>
      <c r="L1249" s="193" t="s">
        <v>146</v>
      </c>
    </row>
    <row r="1250" spans="1:12" ht="45">
      <c r="A1250" s="67">
        <f t="shared" si="19"/>
        <v>1248</v>
      </c>
      <c r="B1250" s="164">
        <v>1248</v>
      </c>
      <c r="C1250" s="193" t="s">
        <v>2543</v>
      </c>
      <c r="D1250" s="197" t="s">
        <v>5811</v>
      </c>
      <c r="E1250" s="193" t="s">
        <v>8697</v>
      </c>
      <c r="F1250" s="193" t="s">
        <v>114</v>
      </c>
      <c r="G1250" s="195" t="s">
        <v>10182</v>
      </c>
      <c r="H1250" s="166" t="s">
        <v>13436</v>
      </c>
      <c r="I1250" s="193" t="s">
        <v>12816</v>
      </c>
      <c r="J1250" s="193" t="s">
        <v>146</v>
      </c>
      <c r="K1250" s="170"/>
      <c r="L1250" s="193" t="s">
        <v>13180</v>
      </c>
    </row>
    <row r="1251" spans="1:12" ht="15.75">
      <c r="A1251" s="67">
        <f t="shared" si="19"/>
        <v>1249</v>
      </c>
      <c r="B1251" s="164">
        <v>1249</v>
      </c>
      <c r="C1251" s="193" t="s">
        <v>2544</v>
      </c>
      <c r="D1251" s="197" t="s">
        <v>5812</v>
      </c>
      <c r="E1251" s="193" t="s">
        <v>535</v>
      </c>
      <c r="F1251" s="193" t="s">
        <v>114</v>
      </c>
      <c r="G1251" s="195" t="s">
        <v>1097</v>
      </c>
      <c r="H1251" s="166" t="s">
        <v>13436</v>
      </c>
      <c r="I1251" s="193" t="s">
        <v>12816</v>
      </c>
      <c r="J1251" s="193" t="s">
        <v>146</v>
      </c>
      <c r="K1251" s="170"/>
      <c r="L1251" s="193" t="s">
        <v>146</v>
      </c>
    </row>
    <row r="1252" spans="1:12" ht="30">
      <c r="A1252" s="67">
        <f t="shared" si="19"/>
        <v>1250</v>
      </c>
      <c r="B1252" s="164">
        <v>1250</v>
      </c>
      <c r="C1252" s="193" t="s">
        <v>2545</v>
      </c>
      <c r="D1252" s="205" t="s">
        <v>5813</v>
      </c>
      <c r="E1252" s="193" t="s">
        <v>8698</v>
      </c>
      <c r="F1252" s="193" t="s">
        <v>114</v>
      </c>
      <c r="G1252" s="195" t="s">
        <v>10921</v>
      </c>
      <c r="H1252" s="166" t="s">
        <v>13436</v>
      </c>
      <c r="I1252" s="193" t="s">
        <v>12816</v>
      </c>
      <c r="J1252" s="193" t="s">
        <v>12405</v>
      </c>
      <c r="K1252" s="170"/>
      <c r="L1252" s="193" t="s">
        <v>146</v>
      </c>
    </row>
    <row r="1253" spans="1:12" ht="60">
      <c r="A1253" s="67">
        <f t="shared" si="19"/>
        <v>1251</v>
      </c>
      <c r="B1253" s="164">
        <v>1251</v>
      </c>
      <c r="C1253" s="193" t="s">
        <v>2546</v>
      </c>
      <c r="D1253" s="195" t="s">
        <v>5814</v>
      </c>
      <c r="E1253" s="193" t="s">
        <v>392</v>
      </c>
      <c r="F1253" s="193" t="s">
        <v>114</v>
      </c>
      <c r="G1253" s="195" t="s">
        <v>10922</v>
      </c>
      <c r="H1253" s="166" t="s">
        <v>13436</v>
      </c>
      <c r="I1253" s="193" t="s">
        <v>12818</v>
      </c>
      <c r="J1253" s="193" t="s">
        <v>12406</v>
      </c>
      <c r="K1253" s="170"/>
      <c r="L1253" s="193" t="s">
        <v>13181</v>
      </c>
    </row>
    <row r="1254" spans="1:12" ht="75">
      <c r="A1254" s="67">
        <f t="shared" si="19"/>
        <v>1252</v>
      </c>
      <c r="B1254" s="164">
        <v>1252</v>
      </c>
      <c r="C1254" s="193" t="s">
        <v>2547</v>
      </c>
      <c r="D1254" s="195" t="s">
        <v>5815</v>
      </c>
      <c r="E1254" s="193" t="s">
        <v>8699</v>
      </c>
      <c r="F1254" s="193" t="s">
        <v>114</v>
      </c>
      <c r="G1254" s="195" t="s">
        <v>10771</v>
      </c>
      <c r="H1254" s="166" t="s">
        <v>13436</v>
      </c>
      <c r="I1254" s="193" t="s">
        <v>12814</v>
      </c>
      <c r="J1254" s="193" t="s">
        <v>146</v>
      </c>
      <c r="K1254" s="170"/>
      <c r="L1254" s="193" t="s">
        <v>13182</v>
      </c>
    </row>
    <row r="1255" spans="1:12" ht="30">
      <c r="A1255" s="67">
        <f t="shared" si="19"/>
        <v>1253</v>
      </c>
      <c r="B1255" s="164">
        <v>1253</v>
      </c>
      <c r="C1255" s="193" t="s">
        <v>2548</v>
      </c>
      <c r="D1255" s="195" t="s">
        <v>5816</v>
      </c>
      <c r="E1255" s="193" t="s">
        <v>8700</v>
      </c>
      <c r="F1255" s="193" t="s">
        <v>114</v>
      </c>
      <c r="G1255" s="195" t="s">
        <v>10923</v>
      </c>
      <c r="H1255" s="166" t="s">
        <v>13436</v>
      </c>
      <c r="I1255" s="193" t="s">
        <v>12814</v>
      </c>
      <c r="J1255" s="193" t="s">
        <v>12407</v>
      </c>
      <c r="K1255" s="170"/>
      <c r="L1255" s="193" t="s">
        <v>146</v>
      </c>
    </row>
    <row r="1256" spans="1:12" ht="15.75">
      <c r="A1256" s="67">
        <f t="shared" si="19"/>
        <v>1254</v>
      </c>
      <c r="B1256" s="164">
        <v>1254</v>
      </c>
      <c r="C1256" s="193" t="s">
        <v>2549</v>
      </c>
      <c r="D1256" s="195" t="s">
        <v>5817</v>
      </c>
      <c r="E1256" s="193" t="s">
        <v>8701</v>
      </c>
      <c r="F1256" s="193" t="s">
        <v>114</v>
      </c>
      <c r="G1256" s="195" t="s">
        <v>721</v>
      </c>
      <c r="H1256" s="166" t="s">
        <v>13436</v>
      </c>
      <c r="I1256" s="193" t="s">
        <v>12812</v>
      </c>
      <c r="J1256" s="193" t="s">
        <v>1252</v>
      </c>
      <c r="K1256" s="170"/>
      <c r="L1256" s="193" t="s">
        <v>146</v>
      </c>
    </row>
    <row r="1257" spans="1:12" ht="30">
      <c r="A1257" s="67">
        <f t="shared" si="19"/>
        <v>1255</v>
      </c>
      <c r="B1257" s="164">
        <v>1255</v>
      </c>
      <c r="C1257" s="193" t="s">
        <v>2550</v>
      </c>
      <c r="D1257" s="195" t="s">
        <v>5818</v>
      </c>
      <c r="E1257" s="193" t="s">
        <v>8702</v>
      </c>
      <c r="F1257" s="193" t="s">
        <v>114</v>
      </c>
      <c r="G1257" s="195" t="s">
        <v>10924</v>
      </c>
      <c r="H1257" s="166" t="s">
        <v>13436</v>
      </c>
      <c r="I1257" s="193" t="s">
        <v>12838</v>
      </c>
      <c r="J1257" s="193" t="s">
        <v>146</v>
      </c>
      <c r="K1257" s="170"/>
      <c r="L1257" s="193" t="s">
        <v>13183</v>
      </c>
    </row>
    <row r="1258" spans="1:12" ht="15.75">
      <c r="A1258" s="67">
        <f t="shared" si="19"/>
        <v>1256</v>
      </c>
      <c r="B1258" s="164">
        <v>1256</v>
      </c>
      <c r="C1258" s="193" t="s">
        <v>2551</v>
      </c>
      <c r="D1258" s="195" t="s">
        <v>5819</v>
      </c>
      <c r="E1258" s="193" t="s">
        <v>8703</v>
      </c>
      <c r="F1258" s="193" t="s">
        <v>59</v>
      </c>
      <c r="G1258" s="195" t="s">
        <v>10925</v>
      </c>
      <c r="H1258" s="166" t="s">
        <v>13436</v>
      </c>
      <c r="I1258" s="193" t="s">
        <v>12821</v>
      </c>
      <c r="J1258" s="193" t="s">
        <v>146</v>
      </c>
      <c r="K1258" s="170"/>
      <c r="L1258" s="193"/>
    </row>
    <row r="1259" spans="1:12" ht="75">
      <c r="A1259" s="67">
        <f t="shared" si="19"/>
        <v>1257</v>
      </c>
      <c r="B1259" s="164">
        <v>1257</v>
      </c>
      <c r="C1259" s="193" t="s">
        <v>2552</v>
      </c>
      <c r="D1259" s="195" t="s">
        <v>5820</v>
      </c>
      <c r="E1259" s="193" t="s">
        <v>8110</v>
      </c>
      <c r="F1259" s="193" t="s">
        <v>114</v>
      </c>
      <c r="G1259" s="195" t="s">
        <v>10805</v>
      </c>
      <c r="H1259" s="166" t="s">
        <v>13436</v>
      </c>
      <c r="I1259" s="193" t="s">
        <v>12827</v>
      </c>
      <c r="J1259" s="219" t="s">
        <v>148</v>
      </c>
      <c r="K1259" s="170"/>
      <c r="L1259" s="193" t="s">
        <v>13184</v>
      </c>
    </row>
    <row r="1260" spans="1:12" ht="75">
      <c r="A1260" s="67">
        <f t="shared" si="19"/>
        <v>1258</v>
      </c>
      <c r="B1260" s="164">
        <v>1258</v>
      </c>
      <c r="C1260" s="193" t="s">
        <v>2553</v>
      </c>
      <c r="D1260" s="195" t="s">
        <v>5821</v>
      </c>
      <c r="E1260" s="193" t="s">
        <v>371</v>
      </c>
      <c r="F1260" s="193" t="s">
        <v>114</v>
      </c>
      <c r="G1260" s="195" t="s">
        <v>10926</v>
      </c>
      <c r="H1260" s="166" t="s">
        <v>13436</v>
      </c>
      <c r="I1260" s="193" t="s">
        <v>12814</v>
      </c>
      <c r="J1260" s="193" t="s">
        <v>147</v>
      </c>
      <c r="K1260" s="170"/>
      <c r="L1260" s="193" t="s">
        <v>13185</v>
      </c>
    </row>
    <row r="1261" spans="1:12" ht="15.75">
      <c r="A1261" s="67">
        <f t="shared" si="19"/>
        <v>1259</v>
      </c>
      <c r="B1261" s="164">
        <v>1259</v>
      </c>
      <c r="C1261" s="193" t="s">
        <v>2554</v>
      </c>
      <c r="D1261" s="195" t="s">
        <v>5822</v>
      </c>
      <c r="E1261" s="193" t="s">
        <v>8704</v>
      </c>
      <c r="F1261" s="193" t="s">
        <v>114</v>
      </c>
      <c r="G1261" s="195" t="s">
        <v>10711</v>
      </c>
      <c r="H1261" s="166" t="s">
        <v>13436</v>
      </c>
      <c r="I1261" s="193" t="s">
        <v>12827</v>
      </c>
      <c r="J1261" s="193" t="s">
        <v>146</v>
      </c>
      <c r="K1261" s="170"/>
      <c r="L1261" s="193" t="s">
        <v>146</v>
      </c>
    </row>
    <row r="1262" spans="1:12" ht="15.75">
      <c r="A1262" s="67">
        <f t="shared" si="19"/>
        <v>1260</v>
      </c>
      <c r="B1262" s="164">
        <v>1260</v>
      </c>
      <c r="C1262" s="193" t="s">
        <v>2555</v>
      </c>
      <c r="D1262" s="195" t="s">
        <v>5823</v>
      </c>
      <c r="E1262" s="193" t="s">
        <v>8705</v>
      </c>
      <c r="F1262" s="193" t="s">
        <v>114</v>
      </c>
      <c r="G1262" s="195" t="s">
        <v>10924</v>
      </c>
      <c r="H1262" s="166" t="s">
        <v>13436</v>
      </c>
      <c r="I1262" s="193" t="s">
        <v>12820</v>
      </c>
      <c r="J1262" s="193" t="s">
        <v>146</v>
      </c>
      <c r="K1262" s="170"/>
      <c r="L1262" s="193" t="s">
        <v>146</v>
      </c>
    </row>
    <row r="1263" spans="1:12" ht="30">
      <c r="A1263" s="67">
        <f t="shared" si="19"/>
        <v>1261</v>
      </c>
      <c r="B1263" s="164">
        <v>1261</v>
      </c>
      <c r="C1263" s="193" t="s">
        <v>2556</v>
      </c>
      <c r="D1263" s="195" t="s">
        <v>5824</v>
      </c>
      <c r="E1263" s="193" t="s">
        <v>8706</v>
      </c>
      <c r="F1263" s="193" t="s">
        <v>114</v>
      </c>
      <c r="G1263" s="195" t="s">
        <v>802</v>
      </c>
      <c r="H1263" s="166" t="s">
        <v>13436</v>
      </c>
      <c r="I1263" s="193" t="s">
        <v>12836</v>
      </c>
      <c r="J1263" s="193" t="s">
        <v>12408</v>
      </c>
      <c r="K1263" s="170"/>
      <c r="L1263" s="193" t="s">
        <v>146</v>
      </c>
    </row>
    <row r="1264" spans="1:12" ht="15.75">
      <c r="A1264" s="67">
        <f t="shared" si="19"/>
        <v>1262</v>
      </c>
      <c r="B1264" s="164">
        <v>1262</v>
      </c>
      <c r="C1264" s="193" t="s">
        <v>2557</v>
      </c>
      <c r="D1264" s="203" t="s">
        <v>5825</v>
      </c>
      <c r="E1264" s="193" t="s">
        <v>8707</v>
      </c>
      <c r="F1264" s="193" t="s">
        <v>114</v>
      </c>
      <c r="G1264" s="195" t="s">
        <v>10927</v>
      </c>
      <c r="H1264" s="166" t="s">
        <v>13436</v>
      </c>
      <c r="I1264" s="193" t="s">
        <v>12827</v>
      </c>
      <c r="J1264" s="193" t="s">
        <v>146</v>
      </c>
      <c r="K1264" s="170"/>
      <c r="L1264" s="193" t="s">
        <v>146</v>
      </c>
    </row>
    <row r="1265" spans="1:12" ht="15.75">
      <c r="A1265" s="67">
        <f t="shared" si="19"/>
        <v>1263</v>
      </c>
      <c r="B1265" s="164">
        <v>1263</v>
      </c>
      <c r="C1265" s="193" t="s">
        <v>2558</v>
      </c>
      <c r="D1265" s="195" t="s">
        <v>5826</v>
      </c>
      <c r="E1265" s="193" t="s">
        <v>541</v>
      </c>
      <c r="F1265" s="193" t="s">
        <v>114</v>
      </c>
      <c r="G1265" s="195" t="s">
        <v>10928</v>
      </c>
      <c r="H1265" s="166" t="s">
        <v>13436</v>
      </c>
      <c r="I1265" s="193" t="s">
        <v>12827</v>
      </c>
      <c r="J1265" s="193" t="s">
        <v>146</v>
      </c>
      <c r="K1265" s="170"/>
      <c r="L1265" s="193" t="s">
        <v>146</v>
      </c>
    </row>
    <row r="1266" spans="1:12" ht="15.75">
      <c r="A1266" s="67">
        <f t="shared" si="19"/>
        <v>1264</v>
      </c>
      <c r="B1266" s="164">
        <v>1264</v>
      </c>
      <c r="C1266" s="193" t="s">
        <v>2559</v>
      </c>
      <c r="D1266" s="195" t="s">
        <v>5827</v>
      </c>
      <c r="E1266" s="193" t="s">
        <v>434</v>
      </c>
      <c r="F1266" s="193" t="s">
        <v>114</v>
      </c>
      <c r="G1266" s="195" t="s">
        <v>10472</v>
      </c>
      <c r="H1266" s="166" t="s">
        <v>13436</v>
      </c>
      <c r="I1266" s="193" t="s">
        <v>12836</v>
      </c>
      <c r="J1266" s="193" t="s">
        <v>146</v>
      </c>
      <c r="K1266" s="170"/>
      <c r="L1266" s="193" t="s">
        <v>146</v>
      </c>
    </row>
    <row r="1267" spans="1:12" ht="30">
      <c r="A1267" s="67">
        <f t="shared" si="19"/>
        <v>1265</v>
      </c>
      <c r="B1267" s="164">
        <v>1265</v>
      </c>
      <c r="C1267" s="193" t="s">
        <v>2560</v>
      </c>
      <c r="D1267" s="195" t="s">
        <v>5828</v>
      </c>
      <c r="E1267" s="193" t="s">
        <v>8708</v>
      </c>
      <c r="F1267" s="193" t="s">
        <v>114</v>
      </c>
      <c r="G1267" s="195" t="s">
        <v>10929</v>
      </c>
      <c r="H1267" s="166" t="s">
        <v>13436</v>
      </c>
      <c r="I1267" s="193" t="s">
        <v>12836</v>
      </c>
      <c r="J1267" s="193" t="s">
        <v>147</v>
      </c>
      <c r="K1267" s="170"/>
      <c r="L1267" s="193" t="s">
        <v>13186</v>
      </c>
    </row>
    <row r="1268" spans="1:12" ht="15.75">
      <c r="A1268" s="67">
        <f t="shared" si="19"/>
        <v>1266</v>
      </c>
      <c r="B1268" s="164">
        <v>1266</v>
      </c>
      <c r="C1268" s="193" t="s">
        <v>2561</v>
      </c>
      <c r="D1268" s="195" t="s">
        <v>5829</v>
      </c>
      <c r="E1268" s="193" t="s">
        <v>167</v>
      </c>
      <c r="F1268" s="193" t="s">
        <v>114</v>
      </c>
      <c r="G1268" s="195" t="s">
        <v>10166</v>
      </c>
      <c r="H1268" s="166" t="s">
        <v>13436</v>
      </c>
      <c r="I1268" s="193" t="s">
        <v>12836</v>
      </c>
      <c r="J1268" s="193" t="s">
        <v>146</v>
      </c>
      <c r="K1268" s="170"/>
      <c r="L1268" s="193" t="s">
        <v>146</v>
      </c>
    </row>
    <row r="1269" spans="1:12" ht="15.75">
      <c r="A1269" s="67">
        <f t="shared" si="19"/>
        <v>1267</v>
      </c>
      <c r="B1269" s="164">
        <v>1267</v>
      </c>
      <c r="C1269" s="193" t="s">
        <v>2562</v>
      </c>
      <c r="D1269" s="195" t="s">
        <v>5830</v>
      </c>
      <c r="E1269" s="193" t="s">
        <v>529</v>
      </c>
      <c r="F1269" s="193" t="s">
        <v>114</v>
      </c>
      <c r="G1269" s="195" t="s">
        <v>10930</v>
      </c>
      <c r="H1269" s="166" t="s">
        <v>13436</v>
      </c>
      <c r="I1269" s="193" t="s">
        <v>12825</v>
      </c>
      <c r="J1269" s="193" t="s">
        <v>147</v>
      </c>
      <c r="K1269" s="170"/>
      <c r="L1269" s="193" t="s">
        <v>146</v>
      </c>
    </row>
    <row r="1270" spans="1:12" ht="30">
      <c r="A1270" s="67">
        <f t="shared" si="19"/>
        <v>1268</v>
      </c>
      <c r="B1270" s="164">
        <v>1268</v>
      </c>
      <c r="C1270" s="193" t="s">
        <v>2563</v>
      </c>
      <c r="D1270" s="195" t="s">
        <v>5831</v>
      </c>
      <c r="E1270" s="193" t="s">
        <v>662</v>
      </c>
      <c r="F1270" s="193" t="s">
        <v>114</v>
      </c>
      <c r="G1270" s="195" t="s">
        <v>10931</v>
      </c>
      <c r="H1270" s="166" t="s">
        <v>13436</v>
      </c>
      <c r="I1270" s="193" t="s">
        <v>12825</v>
      </c>
      <c r="J1270" s="193" t="s">
        <v>1252</v>
      </c>
      <c r="K1270" s="170"/>
      <c r="L1270" s="193" t="s">
        <v>13187</v>
      </c>
    </row>
    <row r="1271" spans="1:12" ht="15.75">
      <c r="A1271" s="67">
        <f t="shared" si="19"/>
        <v>1269</v>
      </c>
      <c r="B1271" s="164">
        <v>1269</v>
      </c>
      <c r="C1271" s="193" t="s">
        <v>2564</v>
      </c>
      <c r="D1271" s="195" t="s">
        <v>5832</v>
      </c>
      <c r="E1271" s="193" t="s">
        <v>636</v>
      </c>
      <c r="F1271" s="193" t="s">
        <v>114</v>
      </c>
      <c r="G1271" s="195" t="s">
        <v>10932</v>
      </c>
      <c r="H1271" s="166" t="s">
        <v>13436</v>
      </c>
      <c r="I1271" s="193" t="s">
        <v>12824</v>
      </c>
      <c r="J1271" s="193" t="s">
        <v>146</v>
      </c>
      <c r="K1271" s="170"/>
      <c r="L1271" s="193" t="s">
        <v>146</v>
      </c>
    </row>
    <row r="1272" spans="1:12" ht="135">
      <c r="A1272" s="67">
        <f t="shared" si="19"/>
        <v>1270</v>
      </c>
      <c r="B1272" s="164">
        <v>1270</v>
      </c>
      <c r="C1272" s="193" t="s">
        <v>2565</v>
      </c>
      <c r="D1272" s="195" t="s">
        <v>5833</v>
      </c>
      <c r="E1272" s="193" t="s">
        <v>413</v>
      </c>
      <c r="F1272" s="193" t="s">
        <v>114</v>
      </c>
      <c r="G1272" s="195" t="s">
        <v>10933</v>
      </c>
      <c r="H1272" s="166" t="s">
        <v>13436</v>
      </c>
      <c r="I1272" s="193" t="s">
        <v>12824</v>
      </c>
      <c r="J1272" s="193" t="s">
        <v>12409</v>
      </c>
      <c r="K1272" s="170"/>
      <c r="L1272" s="193" t="s">
        <v>13188</v>
      </c>
    </row>
    <row r="1273" spans="1:12" ht="15.75">
      <c r="A1273" s="67">
        <f t="shared" si="19"/>
        <v>1271</v>
      </c>
      <c r="B1273" s="164">
        <v>1271</v>
      </c>
      <c r="C1273" s="193" t="s">
        <v>2566</v>
      </c>
      <c r="D1273" s="195" t="s">
        <v>5834</v>
      </c>
      <c r="E1273" s="193" t="s">
        <v>602</v>
      </c>
      <c r="F1273" s="193" t="s">
        <v>114</v>
      </c>
      <c r="G1273" s="195" t="s">
        <v>10934</v>
      </c>
      <c r="H1273" s="166" t="s">
        <v>13436</v>
      </c>
      <c r="I1273" s="193" t="s">
        <v>12824</v>
      </c>
      <c r="J1273" s="193" t="s">
        <v>146</v>
      </c>
      <c r="K1273" s="170"/>
      <c r="L1273" s="193" t="s">
        <v>146</v>
      </c>
    </row>
    <row r="1274" spans="1:12" ht="15.75">
      <c r="A1274" s="67">
        <f t="shared" si="19"/>
        <v>1272</v>
      </c>
      <c r="B1274" s="164">
        <v>1272</v>
      </c>
      <c r="C1274" s="193" t="s">
        <v>2567</v>
      </c>
      <c r="D1274" s="195" t="s">
        <v>5835</v>
      </c>
      <c r="E1274" s="193" t="s">
        <v>452</v>
      </c>
      <c r="F1274" s="193" t="s">
        <v>114</v>
      </c>
      <c r="G1274" s="195" t="s">
        <v>10935</v>
      </c>
      <c r="H1274" s="166" t="s">
        <v>13436</v>
      </c>
      <c r="I1274" s="193" t="s">
        <v>12825</v>
      </c>
      <c r="J1274" s="219" t="s">
        <v>146</v>
      </c>
      <c r="K1274" s="170"/>
      <c r="L1274" s="193" t="s">
        <v>146</v>
      </c>
    </row>
    <row r="1275" spans="1:12" ht="15.75">
      <c r="A1275" s="67">
        <f t="shared" si="19"/>
        <v>1273</v>
      </c>
      <c r="B1275" s="164">
        <v>1273</v>
      </c>
      <c r="C1275" s="193" t="s">
        <v>2568</v>
      </c>
      <c r="D1275" s="195" t="s">
        <v>5836</v>
      </c>
      <c r="E1275" s="193" t="s">
        <v>155</v>
      </c>
      <c r="F1275" s="193" t="s">
        <v>114</v>
      </c>
      <c r="G1275" s="195" t="s">
        <v>10422</v>
      </c>
      <c r="H1275" s="166" t="s">
        <v>13436</v>
      </c>
      <c r="I1275" s="193" t="s">
        <v>12825</v>
      </c>
      <c r="J1275" s="193" t="s">
        <v>1252</v>
      </c>
      <c r="K1275" s="170"/>
      <c r="L1275" s="193" t="s">
        <v>146</v>
      </c>
    </row>
    <row r="1276" spans="1:12" ht="90">
      <c r="A1276" s="67">
        <f t="shared" si="19"/>
        <v>1274</v>
      </c>
      <c r="B1276" s="164">
        <v>1274</v>
      </c>
      <c r="C1276" s="193" t="s">
        <v>2569</v>
      </c>
      <c r="D1276" s="204" t="s">
        <v>5837</v>
      </c>
      <c r="E1276" s="193" t="s">
        <v>8709</v>
      </c>
      <c r="F1276" s="193" t="s">
        <v>114</v>
      </c>
      <c r="G1276" s="195" t="s">
        <v>10936</v>
      </c>
      <c r="H1276" s="166" t="s">
        <v>13436</v>
      </c>
      <c r="I1276" s="193" t="s">
        <v>12816</v>
      </c>
      <c r="J1276" s="193" t="s">
        <v>146</v>
      </c>
      <c r="K1276" s="170"/>
      <c r="L1276" s="193" t="s">
        <v>13189</v>
      </c>
    </row>
    <row r="1277" spans="1:12" ht="15.75">
      <c r="A1277" s="67">
        <f t="shared" si="19"/>
        <v>1275</v>
      </c>
      <c r="B1277" s="164">
        <v>1275</v>
      </c>
      <c r="C1277" s="193" t="s">
        <v>2570</v>
      </c>
      <c r="D1277" s="195" t="s">
        <v>5838</v>
      </c>
      <c r="E1277" s="193" t="s">
        <v>8710</v>
      </c>
      <c r="F1277" s="193" t="s">
        <v>114</v>
      </c>
      <c r="G1277" s="195" t="s">
        <v>10937</v>
      </c>
      <c r="H1277" s="166" t="s">
        <v>13436</v>
      </c>
      <c r="I1277" s="193" t="s">
        <v>12826</v>
      </c>
      <c r="J1277" s="193" t="s">
        <v>146</v>
      </c>
      <c r="K1277" s="170"/>
      <c r="L1277" s="193" t="s">
        <v>146</v>
      </c>
    </row>
    <row r="1278" spans="1:12" ht="15.75">
      <c r="A1278" s="67">
        <f t="shared" si="19"/>
        <v>1276</v>
      </c>
      <c r="B1278" s="164">
        <v>1276</v>
      </c>
      <c r="C1278" s="193" t="s">
        <v>2571</v>
      </c>
      <c r="D1278" s="195" t="s">
        <v>5839</v>
      </c>
      <c r="E1278" s="193" t="s">
        <v>415</v>
      </c>
      <c r="F1278" s="193" t="s">
        <v>114</v>
      </c>
      <c r="G1278" s="195" t="s">
        <v>168</v>
      </c>
      <c r="H1278" s="166" t="s">
        <v>13436</v>
      </c>
      <c r="I1278" s="193" t="s">
        <v>12826</v>
      </c>
      <c r="J1278" s="193" t="s">
        <v>146</v>
      </c>
      <c r="K1278" s="170"/>
      <c r="L1278" s="193" t="s">
        <v>146</v>
      </c>
    </row>
    <row r="1279" spans="1:12" ht="15.75">
      <c r="A1279" s="67">
        <f t="shared" si="19"/>
        <v>1277</v>
      </c>
      <c r="B1279" s="164">
        <v>1277</v>
      </c>
      <c r="C1279" s="193" t="s">
        <v>2572</v>
      </c>
      <c r="D1279" s="195" t="s">
        <v>5840</v>
      </c>
      <c r="E1279" s="193" t="s">
        <v>8711</v>
      </c>
      <c r="F1279" s="193" t="s">
        <v>114</v>
      </c>
      <c r="G1279" s="195" t="s">
        <v>1109</v>
      </c>
      <c r="H1279" s="166" t="s">
        <v>13436</v>
      </c>
      <c r="I1279" s="193" t="s">
        <v>12826</v>
      </c>
      <c r="J1279" s="193" t="s">
        <v>146</v>
      </c>
      <c r="K1279" s="170"/>
      <c r="L1279" s="193" t="s">
        <v>146</v>
      </c>
    </row>
    <row r="1280" spans="1:12" ht="45">
      <c r="A1280" s="67">
        <f t="shared" si="19"/>
        <v>1278</v>
      </c>
      <c r="B1280" s="164">
        <v>1278</v>
      </c>
      <c r="C1280" s="193" t="s">
        <v>2573</v>
      </c>
      <c r="D1280" s="205" t="s">
        <v>5841</v>
      </c>
      <c r="E1280" s="193" t="s">
        <v>8712</v>
      </c>
      <c r="F1280" s="193" t="s">
        <v>114</v>
      </c>
      <c r="G1280" s="195" t="s">
        <v>10938</v>
      </c>
      <c r="H1280" s="166" t="s">
        <v>13436</v>
      </c>
      <c r="I1280" s="193" t="s">
        <v>12816</v>
      </c>
      <c r="J1280" s="219" t="s">
        <v>146</v>
      </c>
      <c r="K1280" s="170"/>
      <c r="L1280" s="219" t="s">
        <v>13190</v>
      </c>
    </row>
    <row r="1281" spans="1:12" ht="15.75">
      <c r="A1281" s="67">
        <f t="shared" si="19"/>
        <v>1279</v>
      </c>
      <c r="B1281" s="164">
        <v>1279</v>
      </c>
      <c r="C1281" s="193" t="s">
        <v>2574</v>
      </c>
      <c r="D1281" s="197" t="s">
        <v>5842</v>
      </c>
      <c r="E1281" s="193" t="s">
        <v>8713</v>
      </c>
      <c r="F1281" s="193" t="s">
        <v>114</v>
      </c>
      <c r="G1281" s="195" t="s">
        <v>10939</v>
      </c>
      <c r="H1281" s="166" t="s">
        <v>13436</v>
      </c>
      <c r="I1281" s="193" t="s">
        <v>12816</v>
      </c>
      <c r="J1281" s="193" t="s">
        <v>12410</v>
      </c>
      <c r="K1281" s="170"/>
      <c r="L1281" s="193" t="s">
        <v>146</v>
      </c>
    </row>
    <row r="1282" spans="1:12" ht="15.75">
      <c r="A1282" s="67">
        <f t="shared" si="19"/>
        <v>1280</v>
      </c>
      <c r="B1282" s="164">
        <v>1280</v>
      </c>
      <c r="C1282" s="193" t="s">
        <v>2575</v>
      </c>
      <c r="D1282" s="197" t="s">
        <v>5843</v>
      </c>
      <c r="E1282" s="193" t="s">
        <v>8714</v>
      </c>
      <c r="F1282" s="193" t="s">
        <v>114</v>
      </c>
      <c r="G1282" s="195" t="s">
        <v>704</v>
      </c>
      <c r="H1282" s="166" t="s">
        <v>13436</v>
      </c>
      <c r="I1282" s="193" t="s">
        <v>12816</v>
      </c>
      <c r="J1282" s="193" t="s">
        <v>12411</v>
      </c>
      <c r="K1282" s="170"/>
      <c r="L1282" s="193" t="s">
        <v>146</v>
      </c>
    </row>
    <row r="1283" spans="1:12" ht="60">
      <c r="A1283" s="67">
        <f t="shared" ref="A1283:A1346" si="20">IFERROR(VALUE(RIGHT(C1283,4)),"")</f>
        <v>1281</v>
      </c>
      <c r="B1283" s="164">
        <v>1281</v>
      </c>
      <c r="C1283" s="193" t="s">
        <v>2576</v>
      </c>
      <c r="D1283" s="205" t="s">
        <v>5844</v>
      </c>
      <c r="E1283" s="193" t="s">
        <v>8715</v>
      </c>
      <c r="F1283" s="193" t="s">
        <v>114</v>
      </c>
      <c r="G1283" s="195" t="s">
        <v>10940</v>
      </c>
      <c r="H1283" s="166" t="s">
        <v>13436</v>
      </c>
      <c r="I1283" s="193" t="s">
        <v>12816</v>
      </c>
      <c r="J1283" s="193" t="s">
        <v>146</v>
      </c>
      <c r="K1283" s="170"/>
      <c r="L1283" s="193" t="s">
        <v>13191</v>
      </c>
    </row>
    <row r="1284" spans="1:12" ht="15.75">
      <c r="A1284" s="67">
        <f t="shared" si="20"/>
        <v>1282</v>
      </c>
      <c r="B1284" s="164">
        <v>1282</v>
      </c>
      <c r="C1284" s="193" t="s">
        <v>2577</v>
      </c>
      <c r="D1284" s="195" t="s">
        <v>5845</v>
      </c>
      <c r="E1284" s="193" t="s">
        <v>159</v>
      </c>
      <c r="F1284" s="193" t="s">
        <v>114</v>
      </c>
      <c r="G1284" s="195" t="s">
        <v>10941</v>
      </c>
      <c r="H1284" s="166" t="s">
        <v>13436</v>
      </c>
      <c r="I1284" s="193" t="s">
        <v>12819</v>
      </c>
      <c r="J1284" s="193" t="s">
        <v>146</v>
      </c>
      <c r="K1284" s="170"/>
      <c r="L1284" s="193" t="s">
        <v>146</v>
      </c>
    </row>
    <row r="1285" spans="1:12" ht="30">
      <c r="A1285" s="67">
        <f t="shared" si="20"/>
        <v>1283</v>
      </c>
      <c r="B1285" s="164">
        <v>1283</v>
      </c>
      <c r="C1285" s="193" t="s">
        <v>2578</v>
      </c>
      <c r="D1285" s="195" t="s">
        <v>5846</v>
      </c>
      <c r="E1285" s="193" t="s">
        <v>170</v>
      </c>
      <c r="F1285" s="193" t="s">
        <v>114</v>
      </c>
      <c r="G1285" s="195" t="s">
        <v>10942</v>
      </c>
      <c r="H1285" s="166" t="s">
        <v>13436</v>
      </c>
      <c r="I1285" s="193" t="s">
        <v>12837</v>
      </c>
      <c r="J1285" s="193" t="s">
        <v>12412</v>
      </c>
      <c r="K1285" s="170"/>
      <c r="L1285" s="193" t="s">
        <v>146</v>
      </c>
    </row>
    <row r="1286" spans="1:12" ht="75">
      <c r="A1286" s="67">
        <f t="shared" si="20"/>
        <v>1284</v>
      </c>
      <c r="B1286" s="164">
        <v>1284</v>
      </c>
      <c r="C1286" s="193" t="s">
        <v>2579</v>
      </c>
      <c r="D1286" s="197" t="s">
        <v>5847</v>
      </c>
      <c r="E1286" s="193" t="s">
        <v>8716</v>
      </c>
      <c r="F1286" s="193" t="s">
        <v>114</v>
      </c>
      <c r="G1286" s="195" t="s">
        <v>10515</v>
      </c>
      <c r="H1286" s="166" t="s">
        <v>13436</v>
      </c>
      <c r="I1286" s="193" t="s">
        <v>12816</v>
      </c>
      <c r="J1286" s="193" t="s">
        <v>146</v>
      </c>
      <c r="K1286" s="170"/>
      <c r="L1286" s="193" t="s">
        <v>13192</v>
      </c>
    </row>
    <row r="1287" spans="1:12" ht="15.75">
      <c r="A1287" s="67">
        <f t="shared" si="20"/>
        <v>1285</v>
      </c>
      <c r="B1287" s="164">
        <v>1285</v>
      </c>
      <c r="C1287" s="193" t="s">
        <v>2580</v>
      </c>
      <c r="D1287" s="195" t="s">
        <v>5848</v>
      </c>
      <c r="E1287" s="193" t="s">
        <v>8717</v>
      </c>
      <c r="F1287" s="193" t="s">
        <v>114</v>
      </c>
      <c r="G1287" s="195" t="s">
        <v>10943</v>
      </c>
      <c r="H1287" s="166" t="s">
        <v>13436</v>
      </c>
      <c r="I1287" s="193" t="s">
        <v>12814</v>
      </c>
      <c r="J1287" s="193" t="s">
        <v>146</v>
      </c>
      <c r="K1287" s="170"/>
      <c r="L1287" s="193" t="s">
        <v>146</v>
      </c>
    </row>
    <row r="1288" spans="1:12" ht="30">
      <c r="A1288" s="67">
        <f t="shared" si="20"/>
        <v>1286</v>
      </c>
      <c r="B1288" s="164">
        <v>1286</v>
      </c>
      <c r="C1288" s="193" t="s">
        <v>2581</v>
      </c>
      <c r="D1288" s="195" t="s">
        <v>5849</v>
      </c>
      <c r="E1288" s="193" t="s">
        <v>8718</v>
      </c>
      <c r="F1288" s="193" t="s">
        <v>114</v>
      </c>
      <c r="G1288" s="195" t="s">
        <v>10944</v>
      </c>
      <c r="H1288" s="166" t="s">
        <v>13436</v>
      </c>
      <c r="I1288" s="193" t="s">
        <v>12836</v>
      </c>
      <c r="J1288" s="193" t="s">
        <v>12413</v>
      </c>
      <c r="K1288" s="170"/>
      <c r="L1288" s="193" t="s">
        <v>13193</v>
      </c>
    </row>
    <row r="1289" spans="1:12" ht="30">
      <c r="A1289" s="67">
        <f t="shared" si="20"/>
        <v>1287</v>
      </c>
      <c r="B1289" s="164">
        <v>1287</v>
      </c>
      <c r="C1289" s="193" t="s">
        <v>2582</v>
      </c>
      <c r="D1289" s="195" t="s">
        <v>5850</v>
      </c>
      <c r="E1289" s="193" t="s">
        <v>439</v>
      </c>
      <c r="F1289" s="193" t="s">
        <v>114</v>
      </c>
      <c r="G1289" s="195" t="s">
        <v>195</v>
      </c>
      <c r="H1289" s="166" t="s">
        <v>13436</v>
      </c>
      <c r="I1289" s="193" t="s">
        <v>12818</v>
      </c>
      <c r="J1289" s="193" t="s">
        <v>146</v>
      </c>
      <c r="K1289" s="170"/>
      <c r="L1289" s="193" t="s">
        <v>13194</v>
      </c>
    </row>
    <row r="1290" spans="1:12" ht="15.75">
      <c r="A1290" s="67">
        <f t="shared" si="20"/>
        <v>1288</v>
      </c>
      <c r="B1290" s="164">
        <v>1288</v>
      </c>
      <c r="C1290" s="193" t="s">
        <v>2583</v>
      </c>
      <c r="D1290" s="195" t="s">
        <v>5851</v>
      </c>
      <c r="E1290" s="193" t="s">
        <v>8719</v>
      </c>
      <c r="F1290" s="193" t="s">
        <v>114</v>
      </c>
      <c r="G1290" s="195" t="s">
        <v>758</v>
      </c>
      <c r="H1290" s="166" t="s">
        <v>13436</v>
      </c>
      <c r="I1290" s="193" t="s">
        <v>12818</v>
      </c>
      <c r="J1290" s="193" t="s">
        <v>12414</v>
      </c>
      <c r="K1290" s="170"/>
      <c r="L1290" s="193" t="s">
        <v>146</v>
      </c>
    </row>
    <row r="1291" spans="1:12" ht="30">
      <c r="A1291" s="67">
        <f t="shared" si="20"/>
        <v>1289</v>
      </c>
      <c r="B1291" s="164">
        <v>1289</v>
      </c>
      <c r="C1291" s="193" t="s">
        <v>2584</v>
      </c>
      <c r="D1291" s="195" t="s">
        <v>5852</v>
      </c>
      <c r="E1291" s="193" t="s">
        <v>8720</v>
      </c>
      <c r="F1291" s="193" t="s">
        <v>114</v>
      </c>
      <c r="G1291" s="195" t="s">
        <v>10945</v>
      </c>
      <c r="H1291" s="166" t="s">
        <v>13436</v>
      </c>
      <c r="I1291" s="193" t="s">
        <v>12819</v>
      </c>
      <c r="J1291" s="193" t="s">
        <v>12415</v>
      </c>
      <c r="K1291" s="170"/>
      <c r="L1291" s="193" t="s">
        <v>146</v>
      </c>
    </row>
    <row r="1292" spans="1:12" ht="90">
      <c r="A1292" s="67">
        <f t="shared" si="20"/>
        <v>1290</v>
      </c>
      <c r="B1292" s="164">
        <v>1290</v>
      </c>
      <c r="C1292" s="193" t="s">
        <v>2585</v>
      </c>
      <c r="D1292" s="195" t="s">
        <v>5853</v>
      </c>
      <c r="E1292" s="193" t="s">
        <v>412</v>
      </c>
      <c r="F1292" s="193" t="s">
        <v>114</v>
      </c>
      <c r="G1292" s="195" t="s">
        <v>10211</v>
      </c>
      <c r="H1292" s="166" t="s">
        <v>13436</v>
      </c>
      <c r="I1292" s="193" t="s">
        <v>12818</v>
      </c>
      <c r="J1292" s="193" t="s">
        <v>146</v>
      </c>
      <c r="K1292" s="170"/>
      <c r="L1292" s="193" t="s">
        <v>13195</v>
      </c>
    </row>
    <row r="1293" spans="1:12" ht="15.75">
      <c r="A1293" s="67">
        <f t="shared" si="20"/>
        <v>1291</v>
      </c>
      <c r="B1293" s="164">
        <v>1291</v>
      </c>
      <c r="C1293" s="193" t="s">
        <v>2586</v>
      </c>
      <c r="D1293" s="195" t="s">
        <v>5854</v>
      </c>
      <c r="E1293" s="193" t="s">
        <v>188</v>
      </c>
      <c r="F1293" s="193" t="s">
        <v>114</v>
      </c>
      <c r="G1293" s="195" t="s">
        <v>10946</v>
      </c>
      <c r="H1293" s="166" t="s">
        <v>13436</v>
      </c>
      <c r="I1293" s="193" t="s">
        <v>12827</v>
      </c>
      <c r="J1293" s="219" t="s">
        <v>147</v>
      </c>
      <c r="K1293" s="170"/>
      <c r="L1293" s="193" t="s">
        <v>146</v>
      </c>
    </row>
    <row r="1294" spans="1:12" ht="45">
      <c r="A1294" s="67">
        <f t="shared" si="20"/>
        <v>1292</v>
      </c>
      <c r="B1294" s="164">
        <v>1292</v>
      </c>
      <c r="C1294" s="193" t="s">
        <v>2587</v>
      </c>
      <c r="D1294" s="195" t="s">
        <v>5855</v>
      </c>
      <c r="E1294" s="193" t="s">
        <v>8721</v>
      </c>
      <c r="F1294" s="193" t="s">
        <v>114</v>
      </c>
      <c r="G1294" s="195" t="s">
        <v>10947</v>
      </c>
      <c r="H1294" s="166" t="s">
        <v>13436</v>
      </c>
      <c r="I1294" s="193" t="s">
        <v>12824</v>
      </c>
      <c r="J1294" s="219" t="s">
        <v>146</v>
      </c>
      <c r="K1294" s="170"/>
      <c r="L1294" s="193" t="s">
        <v>13196</v>
      </c>
    </row>
    <row r="1295" spans="1:12" ht="15.75">
      <c r="A1295" s="67">
        <f t="shared" si="20"/>
        <v>1293</v>
      </c>
      <c r="B1295" s="164">
        <v>1293</v>
      </c>
      <c r="C1295" s="193" t="s">
        <v>2588</v>
      </c>
      <c r="D1295" s="195" t="s">
        <v>5856</v>
      </c>
      <c r="E1295" s="193" t="s">
        <v>8125</v>
      </c>
      <c r="F1295" s="193" t="s">
        <v>114</v>
      </c>
      <c r="G1295" s="195" t="s">
        <v>10948</v>
      </c>
      <c r="H1295" s="166" t="s">
        <v>13436</v>
      </c>
      <c r="I1295" s="193" t="s">
        <v>12808</v>
      </c>
      <c r="J1295" s="219" t="s">
        <v>147</v>
      </c>
      <c r="K1295" s="170"/>
      <c r="L1295" s="193" t="s">
        <v>146</v>
      </c>
    </row>
    <row r="1296" spans="1:12" ht="45">
      <c r="A1296" s="67">
        <f t="shared" si="20"/>
        <v>1294</v>
      </c>
      <c r="B1296" s="164">
        <v>1294</v>
      </c>
      <c r="C1296" s="193" t="s">
        <v>2589</v>
      </c>
      <c r="D1296" s="195" t="s">
        <v>5857</v>
      </c>
      <c r="E1296" s="193" t="s">
        <v>8722</v>
      </c>
      <c r="F1296" s="193" t="s">
        <v>114</v>
      </c>
      <c r="G1296" s="195" t="s">
        <v>756</v>
      </c>
      <c r="H1296" s="166" t="s">
        <v>13436</v>
      </c>
      <c r="I1296" s="193" t="s">
        <v>12838</v>
      </c>
      <c r="J1296" s="193" t="s">
        <v>12416</v>
      </c>
      <c r="K1296" s="170"/>
      <c r="L1296" s="193" t="s">
        <v>13197</v>
      </c>
    </row>
    <row r="1297" spans="1:12" ht="30">
      <c r="A1297" s="67">
        <f t="shared" si="20"/>
        <v>1295</v>
      </c>
      <c r="B1297" s="164">
        <v>1295</v>
      </c>
      <c r="C1297" s="193" t="s">
        <v>2590</v>
      </c>
      <c r="D1297" s="204" t="s">
        <v>5858</v>
      </c>
      <c r="E1297" s="193" t="s">
        <v>201</v>
      </c>
      <c r="F1297" s="193" t="s">
        <v>114</v>
      </c>
      <c r="G1297" s="195" t="s">
        <v>10771</v>
      </c>
      <c r="H1297" s="166" t="s">
        <v>13436</v>
      </c>
      <c r="I1297" s="193" t="s">
        <v>12816</v>
      </c>
      <c r="J1297" s="193" t="s">
        <v>146</v>
      </c>
      <c r="K1297" s="170"/>
      <c r="L1297" s="193" t="s">
        <v>13198</v>
      </c>
    </row>
    <row r="1298" spans="1:12" ht="30">
      <c r="A1298" s="67">
        <f t="shared" si="20"/>
        <v>1296</v>
      </c>
      <c r="B1298" s="164">
        <v>1296</v>
      </c>
      <c r="C1298" s="193" t="s">
        <v>2591</v>
      </c>
      <c r="D1298" s="195" t="s">
        <v>5859</v>
      </c>
      <c r="E1298" s="193" t="s">
        <v>316</v>
      </c>
      <c r="F1298" s="193" t="s">
        <v>114</v>
      </c>
      <c r="G1298" s="195" t="s">
        <v>10949</v>
      </c>
      <c r="H1298" s="166" t="s">
        <v>13436</v>
      </c>
      <c r="I1298" s="193" t="s">
        <v>12819</v>
      </c>
      <c r="J1298" s="193" t="s">
        <v>146</v>
      </c>
      <c r="K1298" s="170"/>
      <c r="L1298" s="193" t="s">
        <v>13199</v>
      </c>
    </row>
    <row r="1299" spans="1:12" ht="30">
      <c r="A1299" s="67">
        <f t="shared" si="20"/>
        <v>1297</v>
      </c>
      <c r="B1299" s="164">
        <v>1297</v>
      </c>
      <c r="C1299" s="193" t="s">
        <v>2592</v>
      </c>
      <c r="D1299" s="195" t="s">
        <v>5860</v>
      </c>
      <c r="E1299" s="193" t="s">
        <v>373</v>
      </c>
      <c r="F1299" s="193" t="s">
        <v>114</v>
      </c>
      <c r="G1299" s="195" t="s">
        <v>10870</v>
      </c>
      <c r="H1299" s="166" t="s">
        <v>13436</v>
      </c>
      <c r="I1299" s="193" t="s">
        <v>12814</v>
      </c>
      <c r="J1299" s="193" t="s">
        <v>146</v>
      </c>
      <c r="K1299" s="170"/>
      <c r="L1299" s="193" t="s">
        <v>13200</v>
      </c>
    </row>
    <row r="1300" spans="1:12" ht="15.75">
      <c r="A1300" s="67">
        <f t="shared" si="20"/>
        <v>1298</v>
      </c>
      <c r="B1300" s="164">
        <v>1298</v>
      </c>
      <c r="C1300" s="193" t="s">
        <v>2593</v>
      </c>
      <c r="D1300" s="195" t="s">
        <v>5861</v>
      </c>
      <c r="E1300" s="193" t="s">
        <v>8723</v>
      </c>
      <c r="F1300" s="193" t="s">
        <v>114</v>
      </c>
      <c r="G1300" s="195" t="s">
        <v>10950</v>
      </c>
      <c r="H1300" s="166" t="s">
        <v>13436</v>
      </c>
      <c r="I1300" s="193" t="s">
        <v>12819</v>
      </c>
      <c r="J1300" s="193" t="s">
        <v>146</v>
      </c>
      <c r="K1300" s="170"/>
      <c r="L1300" s="193" t="s">
        <v>146</v>
      </c>
    </row>
    <row r="1301" spans="1:12" ht="45">
      <c r="A1301" s="67">
        <f t="shared" si="20"/>
        <v>1299</v>
      </c>
      <c r="B1301" s="164">
        <v>1299</v>
      </c>
      <c r="C1301" s="193" t="s">
        <v>2594</v>
      </c>
      <c r="D1301" s="195" t="s">
        <v>5862</v>
      </c>
      <c r="E1301" s="193" t="s">
        <v>8724</v>
      </c>
      <c r="F1301" s="193" t="s">
        <v>114</v>
      </c>
      <c r="G1301" s="195" t="s">
        <v>1022</v>
      </c>
      <c r="H1301" s="166" t="s">
        <v>13436</v>
      </c>
      <c r="I1301" s="193" t="s">
        <v>12819</v>
      </c>
      <c r="J1301" s="193" t="s">
        <v>12417</v>
      </c>
      <c r="K1301" s="170"/>
      <c r="L1301" s="193" t="s">
        <v>13201</v>
      </c>
    </row>
    <row r="1302" spans="1:12" ht="15.75">
      <c r="A1302" s="67">
        <f t="shared" si="20"/>
        <v>1300</v>
      </c>
      <c r="B1302" s="164">
        <v>1300</v>
      </c>
      <c r="C1302" s="193" t="s">
        <v>2595</v>
      </c>
      <c r="D1302" s="195" t="s">
        <v>5863</v>
      </c>
      <c r="E1302" s="193" t="s">
        <v>392</v>
      </c>
      <c r="F1302" s="193" t="s">
        <v>114</v>
      </c>
      <c r="G1302" s="195" t="s">
        <v>10951</v>
      </c>
      <c r="H1302" s="166" t="s">
        <v>13436</v>
      </c>
      <c r="I1302" s="193" t="s">
        <v>12838</v>
      </c>
      <c r="J1302" s="193" t="s">
        <v>146</v>
      </c>
      <c r="K1302" s="170"/>
      <c r="L1302" s="193" t="s">
        <v>146</v>
      </c>
    </row>
    <row r="1303" spans="1:12" ht="15.75">
      <c r="A1303" s="67">
        <f t="shared" si="20"/>
        <v>1301</v>
      </c>
      <c r="B1303" s="164">
        <v>1301</v>
      </c>
      <c r="C1303" s="193" t="s">
        <v>2596</v>
      </c>
      <c r="D1303" s="195" t="s">
        <v>5864</v>
      </c>
      <c r="E1303" s="193" t="s">
        <v>8725</v>
      </c>
      <c r="F1303" s="193" t="s">
        <v>114</v>
      </c>
      <c r="G1303" s="195" t="s">
        <v>10952</v>
      </c>
      <c r="H1303" s="166" t="s">
        <v>13436</v>
      </c>
      <c r="I1303" s="193" t="s">
        <v>12817</v>
      </c>
      <c r="J1303" s="193" t="s">
        <v>146</v>
      </c>
      <c r="K1303" s="170"/>
      <c r="L1303" s="193" t="s">
        <v>146</v>
      </c>
    </row>
    <row r="1304" spans="1:12" ht="30">
      <c r="A1304" s="67">
        <f t="shared" si="20"/>
        <v>1302</v>
      </c>
      <c r="B1304" s="164">
        <v>1302</v>
      </c>
      <c r="C1304" s="193" t="s">
        <v>2597</v>
      </c>
      <c r="D1304" s="195" t="s">
        <v>5865</v>
      </c>
      <c r="E1304" s="193" t="s">
        <v>8726</v>
      </c>
      <c r="F1304" s="193" t="s">
        <v>59</v>
      </c>
      <c r="G1304" s="195" t="s">
        <v>10553</v>
      </c>
      <c r="H1304" s="166" t="s">
        <v>13436</v>
      </c>
      <c r="I1304" s="193" t="s">
        <v>12812</v>
      </c>
      <c r="J1304" s="219" t="s">
        <v>12418</v>
      </c>
      <c r="K1304" s="170"/>
      <c r="L1304" s="193"/>
    </row>
    <row r="1305" spans="1:12" ht="15.75">
      <c r="A1305" s="67">
        <f t="shared" si="20"/>
        <v>1303</v>
      </c>
      <c r="B1305" s="164">
        <v>1303</v>
      </c>
      <c r="C1305" s="193" t="s">
        <v>2598</v>
      </c>
      <c r="D1305" s="195" t="s">
        <v>5866</v>
      </c>
      <c r="E1305" s="193" t="s">
        <v>337</v>
      </c>
      <c r="F1305" s="193" t="s">
        <v>114</v>
      </c>
      <c r="G1305" s="195" t="s">
        <v>10267</v>
      </c>
      <c r="H1305" s="166" t="s">
        <v>13436</v>
      </c>
      <c r="I1305" s="193" t="s">
        <v>12821</v>
      </c>
      <c r="J1305" s="193" t="s">
        <v>146</v>
      </c>
      <c r="K1305" s="170"/>
      <c r="L1305" s="193" t="s">
        <v>146</v>
      </c>
    </row>
    <row r="1306" spans="1:12" ht="15.75">
      <c r="A1306" s="67">
        <f t="shared" si="20"/>
        <v>1304</v>
      </c>
      <c r="B1306" s="164">
        <v>1304</v>
      </c>
      <c r="C1306" s="193" t="s">
        <v>2599</v>
      </c>
      <c r="D1306" s="195" t="s">
        <v>5867</v>
      </c>
      <c r="E1306" s="193" t="s">
        <v>319</v>
      </c>
      <c r="F1306" s="193" t="s">
        <v>114</v>
      </c>
      <c r="G1306" s="195" t="s">
        <v>10467</v>
      </c>
      <c r="H1306" s="166" t="s">
        <v>13436</v>
      </c>
      <c r="I1306" s="193" t="s">
        <v>12821</v>
      </c>
      <c r="J1306" s="193" t="s">
        <v>146</v>
      </c>
      <c r="K1306" s="170"/>
      <c r="L1306" s="193" t="s">
        <v>146</v>
      </c>
    </row>
    <row r="1307" spans="1:12" ht="15.75">
      <c r="A1307" s="67">
        <f t="shared" si="20"/>
        <v>1305</v>
      </c>
      <c r="B1307" s="164">
        <v>1305</v>
      </c>
      <c r="C1307" s="193" t="s">
        <v>2600</v>
      </c>
      <c r="D1307" s="195" t="s">
        <v>5868</v>
      </c>
      <c r="E1307" s="193" t="s">
        <v>635</v>
      </c>
      <c r="F1307" s="193" t="s">
        <v>114</v>
      </c>
      <c r="G1307" s="195" t="s">
        <v>10953</v>
      </c>
      <c r="H1307" s="166" t="s">
        <v>13436</v>
      </c>
      <c r="I1307" s="193" t="s">
        <v>12832</v>
      </c>
      <c r="J1307" s="193" t="s">
        <v>12419</v>
      </c>
      <c r="K1307" s="170"/>
      <c r="L1307" s="193" t="s">
        <v>146</v>
      </c>
    </row>
    <row r="1308" spans="1:12" ht="15.75">
      <c r="A1308" s="67">
        <f t="shared" si="20"/>
        <v>1306</v>
      </c>
      <c r="B1308" s="164">
        <v>1306</v>
      </c>
      <c r="C1308" s="193" t="s">
        <v>2601</v>
      </c>
      <c r="D1308" s="195" t="s">
        <v>5869</v>
      </c>
      <c r="E1308" s="193" t="s">
        <v>157</v>
      </c>
      <c r="F1308" s="193" t="s">
        <v>114</v>
      </c>
      <c r="G1308" s="195" t="s">
        <v>10717</v>
      </c>
      <c r="H1308" s="166" t="s">
        <v>13436</v>
      </c>
      <c r="I1308" s="193" t="s">
        <v>12827</v>
      </c>
      <c r="J1308" s="193" t="s">
        <v>146</v>
      </c>
      <c r="K1308" s="170"/>
      <c r="L1308" s="193" t="s">
        <v>146</v>
      </c>
    </row>
    <row r="1309" spans="1:12" ht="30">
      <c r="A1309" s="67">
        <f t="shared" si="20"/>
        <v>1307</v>
      </c>
      <c r="B1309" s="164">
        <v>1307</v>
      </c>
      <c r="C1309" s="193" t="s">
        <v>2602</v>
      </c>
      <c r="D1309" s="195" t="s">
        <v>5870</v>
      </c>
      <c r="E1309" s="193" t="s">
        <v>165</v>
      </c>
      <c r="F1309" s="193" t="s">
        <v>114</v>
      </c>
      <c r="G1309" s="195" t="s">
        <v>10845</v>
      </c>
      <c r="H1309" s="166" t="s">
        <v>13436</v>
      </c>
      <c r="I1309" s="193" t="s">
        <v>12821</v>
      </c>
      <c r="J1309" s="193" t="s">
        <v>12420</v>
      </c>
      <c r="K1309" s="170"/>
      <c r="L1309" s="193" t="s">
        <v>13202</v>
      </c>
    </row>
    <row r="1310" spans="1:12" ht="15.75">
      <c r="A1310" s="67">
        <f t="shared" si="20"/>
        <v>1308</v>
      </c>
      <c r="B1310" s="164">
        <v>1308</v>
      </c>
      <c r="C1310" s="193" t="s">
        <v>2603</v>
      </c>
      <c r="D1310" s="195" t="s">
        <v>5871</v>
      </c>
      <c r="E1310" s="193" t="s">
        <v>8088</v>
      </c>
      <c r="F1310" s="193" t="s">
        <v>114</v>
      </c>
      <c r="G1310" s="195" t="s">
        <v>10568</v>
      </c>
      <c r="H1310" s="166" t="s">
        <v>13436</v>
      </c>
      <c r="I1310" s="193" t="s">
        <v>12821</v>
      </c>
      <c r="J1310" s="193" t="s">
        <v>147</v>
      </c>
      <c r="K1310" s="170"/>
      <c r="L1310" s="193" t="s">
        <v>146</v>
      </c>
    </row>
    <row r="1311" spans="1:12" ht="75">
      <c r="A1311" s="67">
        <f t="shared" si="20"/>
        <v>1309</v>
      </c>
      <c r="B1311" s="164">
        <v>1309</v>
      </c>
      <c r="C1311" s="193" t="s">
        <v>2604</v>
      </c>
      <c r="D1311" s="195" t="s">
        <v>5872</v>
      </c>
      <c r="E1311" s="193" t="s">
        <v>8727</v>
      </c>
      <c r="F1311" s="193" t="s">
        <v>114</v>
      </c>
      <c r="G1311" s="195" t="s">
        <v>10954</v>
      </c>
      <c r="H1311" s="166" t="s">
        <v>13436</v>
      </c>
      <c r="I1311" s="193" t="s">
        <v>12821</v>
      </c>
      <c r="J1311" s="193" t="s">
        <v>146</v>
      </c>
      <c r="K1311" s="170"/>
      <c r="L1311" s="193" t="s">
        <v>13203</v>
      </c>
    </row>
    <row r="1312" spans="1:12" ht="15.75">
      <c r="A1312" s="67">
        <f t="shared" si="20"/>
        <v>1310</v>
      </c>
      <c r="B1312" s="164">
        <v>1310</v>
      </c>
      <c r="C1312" s="193" t="s">
        <v>2605</v>
      </c>
      <c r="D1312" s="195" t="s">
        <v>5873</v>
      </c>
      <c r="E1312" s="193" t="s">
        <v>8728</v>
      </c>
      <c r="F1312" s="193" t="s">
        <v>114</v>
      </c>
      <c r="G1312" s="195" t="s">
        <v>10955</v>
      </c>
      <c r="H1312" s="166" t="s">
        <v>13436</v>
      </c>
      <c r="I1312" s="193" t="s">
        <v>12821</v>
      </c>
      <c r="J1312" s="193" t="s">
        <v>146</v>
      </c>
      <c r="K1312" s="170"/>
      <c r="L1312" s="193" t="s">
        <v>146</v>
      </c>
    </row>
    <row r="1313" spans="1:12" ht="75">
      <c r="A1313" s="67">
        <f t="shared" si="20"/>
        <v>1311</v>
      </c>
      <c r="B1313" s="164">
        <v>1311</v>
      </c>
      <c r="C1313" s="193" t="s">
        <v>2606</v>
      </c>
      <c r="D1313" s="195" t="s">
        <v>5874</v>
      </c>
      <c r="E1313" s="193" t="s">
        <v>8729</v>
      </c>
      <c r="F1313" s="193" t="s">
        <v>114</v>
      </c>
      <c r="G1313" s="195" t="s">
        <v>1114</v>
      </c>
      <c r="H1313" s="166" t="s">
        <v>13436</v>
      </c>
      <c r="I1313" s="193" t="s">
        <v>12821</v>
      </c>
      <c r="J1313" s="219" t="s">
        <v>12421</v>
      </c>
      <c r="K1313" s="170"/>
      <c r="L1313" s="193" t="s">
        <v>13204</v>
      </c>
    </row>
    <row r="1314" spans="1:12" ht="60">
      <c r="A1314" s="67">
        <f t="shared" si="20"/>
        <v>1312</v>
      </c>
      <c r="B1314" s="164">
        <v>1312</v>
      </c>
      <c r="C1314" s="193" t="s">
        <v>2607</v>
      </c>
      <c r="D1314" s="195" t="s">
        <v>5875</v>
      </c>
      <c r="E1314" s="193" t="s">
        <v>8730</v>
      </c>
      <c r="F1314" s="193" t="s">
        <v>114</v>
      </c>
      <c r="G1314" s="195" t="s">
        <v>10036</v>
      </c>
      <c r="H1314" s="166" t="s">
        <v>13436</v>
      </c>
      <c r="I1314" s="193" t="s">
        <v>12829</v>
      </c>
      <c r="J1314" s="193" t="s">
        <v>12422</v>
      </c>
      <c r="K1314" s="170"/>
      <c r="L1314" s="193" t="s">
        <v>13205</v>
      </c>
    </row>
    <row r="1315" spans="1:12" ht="30">
      <c r="A1315" s="67">
        <f t="shared" si="20"/>
        <v>1313</v>
      </c>
      <c r="B1315" s="164">
        <v>1313</v>
      </c>
      <c r="C1315" s="193" t="s">
        <v>2608</v>
      </c>
      <c r="D1315" s="195" t="s">
        <v>5876</v>
      </c>
      <c r="E1315" s="193" t="s">
        <v>580</v>
      </c>
      <c r="F1315" s="193" t="s">
        <v>114</v>
      </c>
      <c r="G1315" s="195" t="s">
        <v>10956</v>
      </c>
      <c r="H1315" s="166" t="s">
        <v>13436</v>
      </c>
      <c r="I1315" s="193" t="s">
        <v>12829</v>
      </c>
      <c r="J1315" s="193" t="s">
        <v>12423</v>
      </c>
      <c r="K1315" s="170"/>
      <c r="L1315" s="193" t="s">
        <v>12877</v>
      </c>
    </row>
    <row r="1316" spans="1:12" ht="15.75">
      <c r="A1316" s="67">
        <f t="shared" si="20"/>
        <v>1314</v>
      </c>
      <c r="B1316" s="164">
        <v>1314</v>
      </c>
      <c r="C1316" s="193" t="s">
        <v>2609</v>
      </c>
      <c r="D1316" s="195" t="s">
        <v>5877</v>
      </c>
      <c r="E1316" s="193" t="s">
        <v>318</v>
      </c>
      <c r="F1316" s="193" t="s">
        <v>114</v>
      </c>
      <c r="G1316" s="195" t="s">
        <v>10957</v>
      </c>
      <c r="H1316" s="166" t="s">
        <v>13436</v>
      </c>
      <c r="I1316" s="193" t="s">
        <v>12808</v>
      </c>
      <c r="J1316" s="219" t="s">
        <v>146</v>
      </c>
      <c r="K1316" s="170"/>
      <c r="L1316" s="193" t="s">
        <v>146</v>
      </c>
    </row>
    <row r="1317" spans="1:12" ht="15.75">
      <c r="A1317" s="67">
        <f t="shared" si="20"/>
        <v>1315</v>
      </c>
      <c r="B1317" s="164">
        <v>1315</v>
      </c>
      <c r="C1317" s="193" t="s">
        <v>2610</v>
      </c>
      <c r="D1317" s="198" t="s">
        <v>5878</v>
      </c>
      <c r="E1317" s="193" t="s">
        <v>8731</v>
      </c>
      <c r="F1317" s="193" t="s">
        <v>59</v>
      </c>
      <c r="G1317" s="195" t="s">
        <v>10958</v>
      </c>
      <c r="H1317" s="166" t="s">
        <v>13436</v>
      </c>
      <c r="I1317" s="193" t="s">
        <v>1247</v>
      </c>
      <c r="J1317" s="193" t="s">
        <v>146</v>
      </c>
      <c r="K1317" s="170"/>
      <c r="L1317" s="193"/>
    </row>
    <row r="1318" spans="1:12" ht="15.75">
      <c r="A1318" s="67">
        <f t="shared" si="20"/>
        <v>1316</v>
      </c>
      <c r="B1318" s="164">
        <v>1316</v>
      </c>
      <c r="C1318" s="193" t="s">
        <v>2611</v>
      </c>
      <c r="D1318" s="195" t="s">
        <v>5879</v>
      </c>
      <c r="E1318" s="193" t="s">
        <v>8732</v>
      </c>
      <c r="F1318" s="193" t="s">
        <v>114</v>
      </c>
      <c r="G1318" s="195" t="s">
        <v>10959</v>
      </c>
      <c r="H1318" s="166" t="s">
        <v>13436</v>
      </c>
      <c r="I1318" s="193" t="s">
        <v>12813</v>
      </c>
      <c r="J1318" s="193" t="s">
        <v>146</v>
      </c>
      <c r="K1318" s="170"/>
      <c r="L1318" s="193" t="s">
        <v>146</v>
      </c>
    </row>
    <row r="1319" spans="1:12" ht="15.75">
      <c r="A1319" s="67">
        <f t="shared" si="20"/>
        <v>1317</v>
      </c>
      <c r="B1319" s="164">
        <v>1317</v>
      </c>
      <c r="C1319" s="193" t="s">
        <v>2612</v>
      </c>
      <c r="D1319" s="195" t="s">
        <v>5880</v>
      </c>
      <c r="E1319" s="193" t="s">
        <v>8733</v>
      </c>
      <c r="F1319" s="193" t="s">
        <v>114</v>
      </c>
      <c r="G1319" s="195" t="s">
        <v>10960</v>
      </c>
      <c r="H1319" s="166" t="s">
        <v>13436</v>
      </c>
      <c r="I1319" s="193" t="s">
        <v>12827</v>
      </c>
      <c r="J1319" s="193" t="s">
        <v>146</v>
      </c>
      <c r="K1319" s="170"/>
      <c r="L1319" s="193" t="s">
        <v>146</v>
      </c>
    </row>
    <row r="1320" spans="1:12" ht="15.75">
      <c r="A1320" s="67">
        <f t="shared" si="20"/>
        <v>1318</v>
      </c>
      <c r="B1320" s="164">
        <v>1318</v>
      </c>
      <c r="C1320" s="193" t="s">
        <v>2613</v>
      </c>
      <c r="D1320" s="195" t="s">
        <v>5881</v>
      </c>
      <c r="E1320" s="193" t="s">
        <v>8734</v>
      </c>
      <c r="F1320" s="193" t="s">
        <v>114</v>
      </c>
      <c r="G1320" s="195" t="s">
        <v>10961</v>
      </c>
      <c r="H1320" s="166" t="s">
        <v>13436</v>
      </c>
      <c r="I1320" s="193" t="s">
        <v>12808</v>
      </c>
      <c r="J1320" s="193" t="s">
        <v>146</v>
      </c>
      <c r="K1320" s="170"/>
      <c r="L1320" s="193" t="s">
        <v>146</v>
      </c>
    </row>
    <row r="1321" spans="1:12" ht="30">
      <c r="A1321" s="67">
        <f t="shared" si="20"/>
        <v>1319</v>
      </c>
      <c r="B1321" s="164">
        <v>1319</v>
      </c>
      <c r="C1321" s="193" t="s">
        <v>2614</v>
      </c>
      <c r="D1321" s="195" t="s">
        <v>5882</v>
      </c>
      <c r="E1321" s="193" t="s">
        <v>8735</v>
      </c>
      <c r="F1321" s="193" t="s">
        <v>114</v>
      </c>
      <c r="G1321" s="195" t="s">
        <v>725</v>
      </c>
      <c r="H1321" s="166" t="s">
        <v>13436</v>
      </c>
      <c r="I1321" s="193" t="s">
        <v>12808</v>
      </c>
      <c r="J1321" s="193" t="s">
        <v>1277</v>
      </c>
      <c r="K1321" s="170"/>
      <c r="L1321" s="193" t="s">
        <v>146</v>
      </c>
    </row>
    <row r="1322" spans="1:12" ht="30">
      <c r="A1322" s="67">
        <f t="shared" si="20"/>
        <v>1320</v>
      </c>
      <c r="B1322" s="164">
        <v>1320</v>
      </c>
      <c r="C1322" s="193" t="s">
        <v>2615</v>
      </c>
      <c r="D1322" s="195" t="s">
        <v>5883</v>
      </c>
      <c r="E1322" s="193" t="s">
        <v>8736</v>
      </c>
      <c r="F1322" s="193" t="s">
        <v>114</v>
      </c>
      <c r="G1322" s="195" t="s">
        <v>10962</v>
      </c>
      <c r="H1322" s="166" t="s">
        <v>13436</v>
      </c>
      <c r="I1322" s="193" t="s">
        <v>12836</v>
      </c>
      <c r="J1322" s="193" t="s">
        <v>12424</v>
      </c>
      <c r="K1322" s="170"/>
      <c r="L1322" s="193" t="s">
        <v>146</v>
      </c>
    </row>
    <row r="1323" spans="1:12" ht="30">
      <c r="A1323" s="67">
        <f t="shared" si="20"/>
        <v>1321</v>
      </c>
      <c r="B1323" s="164">
        <v>1321</v>
      </c>
      <c r="C1323" s="193" t="s">
        <v>2616</v>
      </c>
      <c r="D1323" s="195" t="s">
        <v>5884</v>
      </c>
      <c r="E1323" s="193" t="s">
        <v>8737</v>
      </c>
      <c r="F1323" s="193" t="s">
        <v>114</v>
      </c>
      <c r="G1323" s="195" t="s">
        <v>10963</v>
      </c>
      <c r="H1323" s="166" t="s">
        <v>13436</v>
      </c>
      <c r="I1323" s="193" t="s">
        <v>12836</v>
      </c>
      <c r="J1323" s="193" t="s">
        <v>12425</v>
      </c>
      <c r="K1323" s="170"/>
      <c r="L1323" s="193" t="s">
        <v>146</v>
      </c>
    </row>
    <row r="1324" spans="1:12" ht="15.75">
      <c r="A1324" s="67">
        <f t="shared" si="20"/>
        <v>1322</v>
      </c>
      <c r="B1324" s="164">
        <v>1322</v>
      </c>
      <c r="C1324" s="193" t="s">
        <v>2617</v>
      </c>
      <c r="D1324" s="195" t="s">
        <v>5885</v>
      </c>
      <c r="E1324" s="193" t="s">
        <v>151</v>
      </c>
      <c r="F1324" s="193" t="s">
        <v>114</v>
      </c>
      <c r="G1324" s="195" t="s">
        <v>10831</v>
      </c>
      <c r="H1324" s="166" t="s">
        <v>13436</v>
      </c>
      <c r="I1324" s="193" t="s">
        <v>12836</v>
      </c>
      <c r="J1324" s="193" t="s">
        <v>146</v>
      </c>
      <c r="K1324" s="170"/>
      <c r="L1324" s="193" t="s">
        <v>146</v>
      </c>
    </row>
    <row r="1325" spans="1:12" ht="15.75">
      <c r="A1325" s="67">
        <f t="shared" si="20"/>
        <v>1323</v>
      </c>
      <c r="B1325" s="164">
        <v>1323</v>
      </c>
      <c r="C1325" s="193" t="s">
        <v>2618</v>
      </c>
      <c r="D1325" s="195" t="s">
        <v>5886</v>
      </c>
      <c r="E1325" s="193" t="s">
        <v>185</v>
      </c>
      <c r="F1325" s="193" t="s">
        <v>114</v>
      </c>
      <c r="G1325" s="195" t="s">
        <v>10271</v>
      </c>
      <c r="H1325" s="166" t="s">
        <v>13436</v>
      </c>
      <c r="I1325" s="193" t="s">
        <v>12836</v>
      </c>
      <c r="J1325" s="219" t="s">
        <v>146</v>
      </c>
      <c r="K1325" s="170"/>
      <c r="L1325" s="193" t="s">
        <v>146</v>
      </c>
    </row>
    <row r="1326" spans="1:12" ht="30">
      <c r="A1326" s="67">
        <f t="shared" si="20"/>
        <v>1324</v>
      </c>
      <c r="B1326" s="164">
        <v>1324</v>
      </c>
      <c r="C1326" s="193" t="s">
        <v>2619</v>
      </c>
      <c r="D1326" s="195" t="s">
        <v>5887</v>
      </c>
      <c r="E1326" s="193" t="s">
        <v>165</v>
      </c>
      <c r="F1326" s="193" t="s">
        <v>114</v>
      </c>
      <c r="G1326" s="195" t="s">
        <v>10964</v>
      </c>
      <c r="H1326" s="166" t="s">
        <v>13436</v>
      </c>
      <c r="I1326" s="193" t="s">
        <v>12836</v>
      </c>
      <c r="J1326" s="193" t="s">
        <v>12426</v>
      </c>
      <c r="K1326" s="170"/>
      <c r="L1326" s="193" t="s">
        <v>13206</v>
      </c>
    </row>
    <row r="1327" spans="1:12" ht="30">
      <c r="A1327" s="67">
        <f t="shared" si="20"/>
        <v>1325</v>
      </c>
      <c r="B1327" s="164">
        <v>1325</v>
      </c>
      <c r="C1327" s="193" t="s">
        <v>2620</v>
      </c>
      <c r="D1327" s="195" t="s">
        <v>5888</v>
      </c>
      <c r="E1327" s="193" t="s">
        <v>8738</v>
      </c>
      <c r="F1327" s="193" t="s">
        <v>114</v>
      </c>
      <c r="G1327" s="195" t="s">
        <v>10266</v>
      </c>
      <c r="H1327" s="166" t="s">
        <v>13436</v>
      </c>
      <c r="I1327" s="193" t="s">
        <v>12836</v>
      </c>
      <c r="J1327" s="193" t="s">
        <v>12427</v>
      </c>
      <c r="K1327" s="170"/>
      <c r="L1327" s="193" t="s">
        <v>13207</v>
      </c>
    </row>
    <row r="1328" spans="1:12" ht="30">
      <c r="A1328" s="67">
        <f t="shared" si="20"/>
        <v>1326</v>
      </c>
      <c r="B1328" s="164">
        <v>1326</v>
      </c>
      <c r="C1328" s="193" t="s">
        <v>2621</v>
      </c>
      <c r="D1328" s="195" t="s">
        <v>5889</v>
      </c>
      <c r="E1328" s="193" t="s">
        <v>347</v>
      </c>
      <c r="F1328" s="193" t="s">
        <v>114</v>
      </c>
      <c r="G1328" s="195" t="s">
        <v>10450</v>
      </c>
      <c r="H1328" s="166" t="s">
        <v>13436</v>
      </c>
      <c r="I1328" s="193" t="s">
        <v>12808</v>
      </c>
      <c r="J1328" s="193" t="s">
        <v>12428</v>
      </c>
      <c r="K1328" s="170"/>
      <c r="L1328" s="193" t="s">
        <v>146</v>
      </c>
    </row>
    <row r="1329" spans="1:12" ht="15.75">
      <c r="A1329" s="67">
        <f t="shared" si="20"/>
        <v>1327</v>
      </c>
      <c r="B1329" s="164">
        <v>1327</v>
      </c>
      <c r="C1329" s="193" t="s">
        <v>2622</v>
      </c>
      <c r="D1329" s="195" t="s">
        <v>5890</v>
      </c>
      <c r="E1329" s="193" t="s">
        <v>172</v>
      </c>
      <c r="F1329" s="193" t="s">
        <v>114</v>
      </c>
      <c r="G1329" s="195" t="s">
        <v>10965</v>
      </c>
      <c r="H1329" s="166" t="s">
        <v>13436</v>
      </c>
      <c r="I1329" s="193" t="s">
        <v>12825</v>
      </c>
      <c r="J1329" s="193" t="s">
        <v>146</v>
      </c>
      <c r="K1329" s="170"/>
      <c r="L1329" s="193" t="s">
        <v>146</v>
      </c>
    </row>
    <row r="1330" spans="1:12" ht="15.75">
      <c r="A1330" s="67">
        <f t="shared" si="20"/>
        <v>1328</v>
      </c>
      <c r="B1330" s="164">
        <v>1328</v>
      </c>
      <c r="C1330" s="193" t="s">
        <v>2623</v>
      </c>
      <c r="D1330" s="195" t="s">
        <v>5891</v>
      </c>
      <c r="E1330" s="193" t="s">
        <v>7809</v>
      </c>
      <c r="F1330" s="193" t="s">
        <v>114</v>
      </c>
      <c r="G1330" s="195" t="s">
        <v>10966</v>
      </c>
      <c r="H1330" s="166" t="s">
        <v>13436</v>
      </c>
      <c r="I1330" s="193" t="s">
        <v>12814</v>
      </c>
      <c r="J1330" s="193" t="s">
        <v>146</v>
      </c>
      <c r="K1330" s="170"/>
      <c r="L1330" s="193" t="s">
        <v>146</v>
      </c>
    </row>
    <row r="1331" spans="1:12" ht="60">
      <c r="A1331" s="67">
        <f t="shared" si="20"/>
        <v>1329</v>
      </c>
      <c r="B1331" s="164">
        <v>1329</v>
      </c>
      <c r="C1331" s="193" t="s">
        <v>2624</v>
      </c>
      <c r="D1331" s="195" t="s">
        <v>5892</v>
      </c>
      <c r="E1331" s="193" t="s">
        <v>8739</v>
      </c>
      <c r="F1331" s="193" t="s">
        <v>114</v>
      </c>
      <c r="G1331" s="195" t="s">
        <v>10967</v>
      </c>
      <c r="H1331" s="166" t="s">
        <v>13436</v>
      </c>
      <c r="I1331" s="193" t="s">
        <v>12827</v>
      </c>
      <c r="J1331" s="193" t="s">
        <v>12429</v>
      </c>
      <c r="K1331" s="170"/>
      <c r="L1331" s="193" t="s">
        <v>146</v>
      </c>
    </row>
    <row r="1332" spans="1:12" ht="45">
      <c r="A1332" s="67">
        <f t="shared" si="20"/>
        <v>1330</v>
      </c>
      <c r="B1332" s="164">
        <v>1330</v>
      </c>
      <c r="C1332" s="193" t="s">
        <v>2625</v>
      </c>
      <c r="D1332" s="195" t="s">
        <v>5893</v>
      </c>
      <c r="E1332" s="193" t="s">
        <v>8740</v>
      </c>
      <c r="F1332" s="193" t="s">
        <v>114</v>
      </c>
      <c r="G1332" s="195" t="s">
        <v>10122</v>
      </c>
      <c r="H1332" s="166" t="s">
        <v>13436</v>
      </c>
      <c r="I1332" s="193" t="s">
        <v>12818</v>
      </c>
      <c r="J1332" s="193" t="s">
        <v>146</v>
      </c>
      <c r="K1332" s="170"/>
      <c r="L1332" s="193" t="s">
        <v>13208</v>
      </c>
    </row>
    <row r="1333" spans="1:12" ht="15.75">
      <c r="A1333" s="67">
        <f t="shared" si="20"/>
        <v>1331</v>
      </c>
      <c r="B1333" s="164">
        <v>1331</v>
      </c>
      <c r="C1333" s="193" t="s">
        <v>2626</v>
      </c>
      <c r="D1333" s="195" t="s">
        <v>5894</v>
      </c>
      <c r="E1333" s="193" t="s">
        <v>8741</v>
      </c>
      <c r="F1333" s="193" t="s">
        <v>114</v>
      </c>
      <c r="G1333" s="195" t="s">
        <v>713</v>
      </c>
      <c r="H1333" s="166" t="s">
        <v>13436</v>
      </c>
      <c r="I1333" s="193" t="s">
        <v>12824</v>
      </c>
      <c r="J1333" s="219" t="s">
        <v>146</v>
      </c>
      <c r="K1333" s="170"/>
      <c r="L1333" s="193" t="s">
        <v>146</v>
      </c>
    </row>
    <row r="1334" spans="1:12" ht="105">
      <c r="A1334" s="67">
        <f t="shared" si="20"/>
        <v>1332</v>
      </c>
      <c r="B1334" s="164">
        <v>1332</v>
      </c>
      <c r="C1334" s="193" t="s">
        <v>2627</v>
      </c>
      <c r="D1334" s="195" t="s">
        <v>5895</v>
      </c>
      <c r="E1334" s="193" t="s">
        <v>198</v>
      </c>
      <c r="F1334" s="193" t="s">
        <v>114</v>
      </c>
      <c r="G1334" s="195" t="s">
        <v>10953</v>
      </c>
      <c r="H1334" s="166" t="s">
        <v>13436</v>
      </c>
      <c r="I1334" s="193" t="s">
        <v>12818</v>
      </c>
      <c r="J1334" s="193" t="s">
        <v>12430</v>
      </c>
      <c r="K1334" s="170"/>
      <c r="L1334" s="193" t="s">
        <v>13209</v>
      </c>
    </row>
    <row r="1335" spans="1:12" ht="30">
      <c r="A1335" s="67">
        <f t="shared" si="20"/>
        <v>1333</v>
      </c>
      <c r="B1335" s="164">
        <v>1333</v>
      </c>
      <c r="C1335" s="193" t="s">
        <v>2628</v>
      </c>
      <c r="D1335" s="195" t="s">
        <v>5896</v>
      </c>
      <c r="E1335" s="193" t="s">
        <v>599</v>
      </c>
      <c r="F1335" s="193" t="s">
        <v>114</v>
      </c>
      <c r="G1335" s="195" t="s">
        <v>688</v>
      </c>
      <c r="H1335" s="166" t="s">
        <v>13436</v>
      </c>
      <c r="I1335" s="193" t="s">
        <v>12818</v>
      </c>
      <c r="J1335" s="193" t="s">
        <v>146</v>
      </c>
      <c r="K1335" s="170"/>
      <c r="L1335" s="193" t="s">
        <v>13210</v>
      </c>
    </row>
    <row r="1336" spans="1:12" ht="15.75">
      <c r="A1336" s="67">
        <f t="shared" si="20"/>
        <v>1334</v>
      </c>
      <c r="B1336" s="164">
        <v>1334</v>
      </c>
      <c r="C1336" s="193" t="s">
        <v>2629</v>
      </c>
      <c r="D1336" s="195" t="s">
        <v>5897</v>
      </c>
      <c r="E1336" s="193" t="s">
        <v>8742</v>
      </c>
      <c r="F1336" s="193" t="s">
        <v>114</v>
      </c>
      <c r="G1336" s="195" t="s">
        <v>10952</v>
      </c>
      <c r="H1336" s="166" t="s">
        <v>13436</v>
      </c>
      <c r="I1336" s="193" t="s">
        <v>12814</v>
      </c>
      <c r="J1336" s="193" t="s">
        <v>146</v>
      </c>
      <c r="K1336" s="170"/>
      <c r="L1336" s="193" t="s">
        <v>146</v>
      </c>
    </row>
    <row r="1337" spans="1:12" ht="15.75">
      <c r="A1337" s="67">
        <f t="shared" si="20"/>
        <v>1335</v>
      </c>
      <c r="B1337" s="164">
        <v>1335</v>
      </c>
      <c r="C1337" s="193" t="s">
        <v>2630</v>
      </c>
      <c r="D1337" s="195" t="s">
        <v>5898</v>
      </c>
      <c r="E1337" s="193" t="s">
        <v>8743</v>
      </c>
      <c r="F1337" s="193" t="s">
        <v>114</v>
      </c>
      <c r="G1337" s="195" t="s">
        <v>10968</v>
      </c>
      <c r="H1337" s="166" t="s">
        <v>13436</v>
      </c>
      <c r="I1337" s="193" t="s">
        <v>12814</v>
      </c>
      <c r="J1337" s="193" t="s">
        <v>146</v>
      </c>
      <c r="K1337" s="170"/>
      <c r="L1337" s="193" t="s">
        <v>146</v>
      </c>
    </row>
    <row r="1338" spans="1:12" ht="30">
      <c r="A1338" s="67">
        <f t="shared" si="20"/>
        <v>1336</v>
      </c>
      <c r="B1338" s="164">
        <v>1336</v>
      </c>
      <c r="C1338" s="193" t="s">
        <v>2631</v>
      </c>
      <c r="D1338" s="195" t="s">
        <v>5899</v>
      </c>
      <c r="E1338" s="193" t="s">
        <v>8191</v>
      </c>
      <c r="F1338" s="193" t="s">
        <v>114</v>
      </c>
      <c r="G1338" s="195" t="s">
        <v>10969</v>
      </c>
      <c r="H1338" s="166" t="s">
        <v>13436</v>
      </c>
      <c r="I1338" s="193" t="s">
        <v>12814</v>
      </c>
      <c r="J1338" s="193" t="s">
        <v>146</v>
      </c>
      <c r="K1338" s="170"/>
      <c r="L1338" s="193" t="s">
        <v>13211</v>
      </c>
    </row>
    <row r="1339" spans="1:12" ht="15.75">
      <c r="A1339" s="67">
        <f t="shared" si="20"/>
        <v>1337</v>
      </c>
      <c r="B1339" s="164">
        <v>1337</v>
      </c>
      <c r="C1339" s="193" t="s">
        <v>2632</v>
      </c>
      <c r="D1339" s="195" t="s">
        <v>5900</v>
      </c>
      <c r="E1339" s="193" t="s">
        <v>176</v>
      </c>
      <c r="F1339" s="193" t="s">
        <v>114</v>
      </c>
      <c r="G1339" s="195" t="s">
        <v>10810</v>
      </c>
      <c r="H1339" s="166" t="s">
        <v>13436</v>
      </c>
      <c r="I1339" s="193" t="s">
        <v>12827</v>
      </c>
      <c r="J1339" s="193" t="s">
        <v>146</v>
      </c>
      <c r="K1339" s="170"/>
      <c r="L1339" s="193" t="s">
        <v>146</v>
      </c>
    </row>
    <row r="1340" spans="1:12" ht="30">
      <c r="A1340" s="67">
        <f t="shared" si="20"/>
        <v>1338</v>
      </c>
      <c r="B1340" s="164">
        <v>1338</v>
      </c>
      <c r="C1340" s="193" t="s">
        <v>2633</v>
      </c>
      <c r="D1340" s="195" t="s">
        <v>5901</v>
      </c>
      <c r="E1340" s="193" t="s">
        <v>8744</v>
      </c>
      <c r="F1340" s="193" t="s">
        <v>114</v>
      </c>
      <c r="G1340" s="195" t="s">
        <v>10970</v>
      </c>
      <c r="H1340" s="166" t="s">
        <v>13436</v>
      </c>
      <c r="I1340" s="193" t="s">
        <v>12820</v>
      </c>
      <c r="J1340" s="193" t="s">
        <v>146</v>
      </c>
      <c r="K1340" s="170"/>
      <c r="L1340" s="193" t="s">
        <v>13212</v>
      </c>
    </row>
    <row r="1341" spans="1:12" ht="15.75">
      <c r="A1341" s="67">
        <f t="shared" si="20"/>
        <v>1339</v>
      </c>
      <c r="B1341" s="164">
        <v>1339</v>
      </c>
      <c r="C1341" s="193" t="s">
        <v>2634</v>
      </c>
      <c r="D1341" s="195" t="s">
        <v>5902</v>
      </c>
      <c r="E1341" s="193" t="s">
        <v>8745</v>
      </c>
      <c r="F1341" s="193" t="s">
        <v>114</v>
      </c>
      <c r="G1341" s="195" t="s">
        <v>10971</v>
      </c>
      <c r="H1341" s="166" t="s">
        <v>13436</v>
      </c>
      <c r="I1341" s="193" t="s">
        <v>12814</v>
      </c>
      <c r="J1341" s="193" t="s">
        <v>146</v>
      </c>
      <c r="K1341" s="170"/>
      <c r="L1341" s="193" t="s">
        <v>146</v>
      </c>
    </row>
    <row r="1342" spans="1:12" ht="105">
      <c r="A1342" s="67">
        <f t="shared" si="20"/>
        <v>1340</v>
      </c>
      <c r="B1342" s="164">
        <v>1340</v>
      </c>
      <c r="C1342" s="193" t="s">
        <v>2635</v>
      </c>
      <c r="D1342" s="195" t="s">
        <v>5903</v>
      </c>
      <c r="E1342" s="193" t="s">
        <v>407</v>
      </c>
      <c r="F1342" s="193" t="s">
        <v>114</v>
      </c>
      <c r="G1342" s="195" t="s">
        <v>10972</v>
      </c>
      <c r="H1342" s="166" t="s">
        <v>13436</v>
      </c>
      <c r="I1342" s="193" t="s">
        <v>12836</v>
      </c>
      <c r="J1342" s="193" t="s">
        <v>146</v>
      </c>
      <c r="K1342" s="170"/>
      <c r="L1342" s="193" t="s">
        <v>13213</v>
      </c>
    </row>
    <row r="1343" spans="1:12" ht="60">
      <c r="A1343" s="67">
        <f t="shared" si="20"/>
        <v>1341</v>
      </c>
      <c r="B1343" s="164">
        <v>1341</v>
      </c>
      <c r="C1343" s="193" t="s">
        <v>2636</v>
      </c>
      <c r="D1343" s="195" t="s">
        <v>5904</v>
      </c>
      <c r="E1343" s="193" t="s">
        <v>179</v>
      </c>
      <c r="F1343" s="193" t="s">
        <v>114</v>
      </c>
      <c r="G1343" s="195" t="s">
        <v>10973</v>
      </c>
      <c r="H1343" s="166" t="s">
        <v>13436</v>
      </c>
      <c r="I1343" s="193" t="s">
        <v>12814</v>
      </c>
      <c r="J1343" s="193" t="s">
        <v>12431</v>
      </c>
      <c r="K1343" s="170"/>
      <c r="L1343" s="193" t="s">
        <v>146</v>
      </c>
    </row>
    <row r="1344" spans="1:12" ht="15.75">
      <c r="A1344" s="67">
        <f t="shared" si="20"/>
        <v>1342</v>
      </c>
      <c r="B1344" s="164">
        <v>1342</v>
      </c>
      <c r="C1344" s="193" t="s">
        <v>2637</v>
      </c>
      <c r="D1344" s="195" t="s">
        <v>5905</v>
      </c>
      <c r="E1344" s="193" t="s">
        <v>8746</v>
      </c>
      <c r="F1344" s="193" t="s">
        <v>114</v>
      </c>
      <c r="G1344" s="195" t="s">
        <v>778</v>
      </c>
      <c r="H1344" s="166" t="s">
        <v>13436</v>
      </c>
      <c r="I1344" s="193" t="s">
        <v>12814</v>
      </c>
      <c r="J1344" s="193" t="s">
        <v>146</v>
      </c>
      <c r="K1344" s="170"/>
      <c r="L1344" s="193" t="s">
        <v>146</v>
      </c>
    </row>
    <row r="1345" spans="1:12" ht="15.75">
      <c r="A1345" s="67">
        <f t="shared" si="20"/>
        <v>1343</v>
      </c>
      <c r="B1345" s="164">
        <v>1343</v>
      </c>
      <c r="C1345" s="193" t="s">
        <v>2638</v>
      </c>
      <c r="D1345" s="195" t="s">
        <v>5906</v>
      </c>
      <c r="E1345" s="193" t="s">
        <v>272</v>
      </c>
      <c r="F1345" s="193" t="s">
        <v>114</v>
      </c>
      <c r="G1345" s="195" t="s">
        <v>10974</v>
      </c>
      <c r="H1345" s="166" t="s">
        <v>13436</v>
      </c>
      <c r="I1345" s="193" t="s">
        <v>12825</v>
      </c>
      <c r="J1345" s="193" t="s">
        <v>146</v>
      </c>
      <c r="K1345" s="170"/>
      <c r="L1345" s="193" t="s">
        <v>146</v>
      </c>
    </row>
    <row r="1346" spans="1:12" ht="15.75">
      <c r="A1346" s="67">
        <f t="shared" si="20"/>
        <v>1344</v>
      </c>
      <c r="B1346" s="164">
        <v>1344</v>
      </c>
      <c r="C1346" s="193" t="s">
        <v>2639</v>
      </c>
      <c r="D1346" s="195" t="s">
        <v>5907</v>
      </c>
      <c r="E1346" s="193" t="s">
        <v>161</v>
      </c>
      <c r="F1346" s="193" t="s">
        <v>114</v>
      </c>
      <c r="G1346" s="195" t="s">
        <v>10975</v>
      </c>
      <c r="H1346" s="166" t="s">
        <v>13436</v>
      </c>
      <c r="I1346" s="193" t="s">
        <v>12818</v>
      </c>
      <c r="J1346" s="193" t="s">
        <v>146</v>
      </c>
      <c r="K1346" s="170"/>
      <c r="L1346" s="193" t="s">
        <v>146</v>
      </c>
    </row>
    <row r="1347" spans="1:12" ht="30">
      <c r="A1347" s="67">
        <f t="shared" ref="A1347:A1410" si="21">IFERROR(VALUE(RIGHT(C1347,4)),"")</f>
        <v>1345</v>
      </c>
      <c r="B1347" s="164">
        <v>1345</v>
      </c>
      <c r="C1347" s="193" t="s">
        <v>2640</v>
      </c>
      <c r="D1347" s="195" t="s">
        <v>5908</v>
      </c>
      <c r="E1347" s="193" t="s">
        <v>8747</v>
      </c>
      <c r="F1347" s="193" t="s">
        <v>114</v>
      </c>
      <c r="G1347" s="195" t="s">
        <v>1001</v>
      </c>
      <c r="H1347" s="166" t="s">
        <v>13436</v>
      </c>
      <c r="I1347" s="193" t="s">
        <v>12814</v>
      </c>
      <c r="J1347" s="193" t="s">
        <v>12432</v>
      </c>
      <c r="K1347" s="170"/>
      <c r="L1347" s="193" t="s">
        <v>146</v>
      </c>
    </row>
    <row r="1348" spans="1:12" ht="75">
      <c r="A1348" s="67">
        <f t="shared" si="21"/>
        <v>1346</v>
      </c>
      <c r="B1348" s="164">
        <v>1346</v>
      </c>
      <c r="C1348" s="193" t="s">
        <v>2641</v>
      </c>
      <c r="D1348" s="195" t="s">
        <v>5909</v>
      </c>
      <c r="E1348" s="193" t="s">
        <v>8748</v>
      </c>
      <c r="F1348" s="193" t="s">
        <v>114</v>
      </c>
      <c r="G1348" s="195" t="s">
        <v>10368</v>
      </c>
      <c r="H1348" s="166" t="s">
        <v>13436</v>
      </c>
      <c r="I1348" s="193" t="s">
        <v>12814</v>
      </c>
      <c r="J1348" s="193" t="s">
        <v>12433</v>
      </c>
      <c r="K1348" s="170"/>
      <c r="L1348" s="193" t="s">
        <v>13214</v>
      </c>
    </row>
    <row r="1349" spans="1:12" ht="15.75">
      <c r="A1349" s="67">
        <f t="shared" si="21"/>
        <v>1347</v>
      </c>
      <c r="B1349" s="164">
        <v>1347</v>
      </c>
      <c r="C1349" s="193" t="s">
        <v>2642</v>
      </c>
      <c r="D1349" s="195" t="s">
        <v>5910</v>
      </c>
      <c r="E1349" s="193" t="s">
        <v>8749</v>
      </c>
      <c r="F1349" s="193" t="s">
        <v>114</v>
      </c>
      <c r="G1349" s="195" t="s">
        <v>10976</v>
      </c>
      <c r="H1349" s="166" t="s">
        <v>13436</v>
      </c>
      <c r="I1349" s="193" t="s">
        <v>12819</v>
      </c>
      <c r="J1349" s="219" t="s">
        <v>146</v>
      </c>
      <c r="K1349" s="170"/>
      <c r="L1349" s="193" t="s">
        <v>146</v>
      </c>
    </row>
    <row r="1350" spans="1:12" ht="15.75">
      <c r="A1350" s="67">
        <f t="shared" si="21"/>
        <v>1348</v>
      </c>
      <c r="B1350" s="164">
        <v>1348</v>
      </c>
      <c r="C1350" s="193" t="s">
        <v>2643</v>
      </c>
      <c r="D1350" s="195" t="s">
        <v>5911</v>
      </c>
      <c r="E1350" s="193" t="s">
        <v>178</v>
      </c>
      <c r="F1350" s="193" t="s">
        <v>114</v>
      </c>
      <c r="G1350" s="195" t="s">
        <v>10977</v>
      </c>
      <c r="H1350" s="166" t="s">
        <v>13436</v>
      </c>
      <c r="I1350" s="193" t="s">
        <v>12813</v>
      </c>
      <c r="J1350" s="193" t="s">
        <v>146</v>
      </c>
      <c r="K1350" s="170"/>
      <c r="L1350" s="193" t="s">
        <v>146</v>
      </c>
    </row>
    <row r="1351" spans="1:12" ht="15.75">
      <c r="A1351" s="67">
        <f t="shared" si="21"/>
        <v>1349</v>
      </c>
      <c r="B1351" s="164">
        <v>1349</v>
      </c>
      <c r="C1351" s="193" t="s">
        <v>2644</v>
      </c>
      <c r="D1351" s="195" t="s">
        <v>5912</v>
      </c>
      <c r="E1351" s="193" t="s">
        <v>8750</v>
      </c>
      <c r="F1351" s="193" t="s">
        <v>114</v>
      </c>
      <c r="G1351" s="195" t="s">
        <v>10688</v>
      </c>
      <c r="H1351" s="166" t="s">
        <v>13436</v>
      </c>
      <c r="I1351" s="193" t="s">
        <v>12819</v>
      </c>
      <c r="J1351" s="193" t="s">
        <v>1252</v>
      </c>
      <c r="K1351" s="170"/>
      <c r="L1351" s="193" t="s">
        <v>146</v>
      </c>
    </row>
    <row r="1352" spans="1:12" ht="15.75">
      <c r="A1352" s="67">
        <f t="shared" si="21"/>
        <v>1350</v>
      </c>
      <c r="B1352" s="164">
        <v>1350</v>
      </c>
      <c r="C1352" s="193" t="s">
        <v>2645</v>
      </c>
      <c r="D1352" s="195" t="s">
        <v>5913</v>
      </c>
      <c r="E1352" s="193" t="s">
        <v>381</v>
      </c>
      <c r="F1352" s="193" t="s">
        <v>114</v>
      </c>
      <c r="G1352" s="195" t="s">
        <v>10978</v>
      </c>
      <c r="H1352" s="166" t="s">
        <v>13436</v>
      </c>
      <c r="I1352" s="193" t="s">
        <v>12813</v>
      </c>
      <c r="J1352" s="193" t="s">
        <v>146</v>
      </c>
      <c r="K1352" s="170"/>
      <c r="L1352" s="193" t="s">
        <v>146</v>
      </c>
    </row>
    <row r="1353" spans="1:12" ht="30">
      <c r="A1353" s="67">
        <f t="shared" si="21"/>
        <v>1351</v>
      </c>
      <c r="B1353" s="164">
        <v>1351</v>
      </c>
      <c r="C1353" s="193" t="s">
        <v>2646</v>
      </c>
      <c r="D1353" s="195" t="s">
        <v>5914</v>
      </c>
      <c r="E1353" s="193" t="s">
        <v>8751</v>
      </c>
      <c r="F1353" s="193" t="s">
        <v>114</v>
      </c>
      <c r="G1353" s="195" t="s">
        <v>761</v>
      </c>
      <c r="H1353" s="166" t="s">
        <v>13436</v>
      </c>
      <c r="I1353" s="193" t="s">
        <v>12838</v>
      </c>
      <c r="J1353" s="219" t="s">
        <v>12434</v>
      </c>
      <c r="K1353" s="170"/>
      <c r="L1353" s="193" t="s">
        <v>146</v>
      </c>
    </row>
    <row r="1354" spans="1:12" ht="30">
      <c r="A1354" s="67">
        <f t="shared" si="21"/>
        <v>1352</v>
      </c>
      <c r="B1354" s="164">
        <v>1352</v>
      </c>
      <c r="C1354" s="193" t="s">
        <v>2647</v>
      </c>
      <c r="D1354" s="195" t="s">
        <v>5915</v>
      </c>
      <c r="E1354" s="193" t="s">
        <v>490</v>
      </c>
      <c r="F1354" s="193" t="s">
        <v>114</v>
      </c>
      <c r="G1354" s="195" t="s">
        <v>10424</v>
      </c>
      <c r="H1354" s="166" t="s">
        <v>13436</v>
      </c>
      <c r="I1354" s="193" t="s">
        <v>12838</v>
      </c>
      <c r="J1354" s="193" t="s">
        <v>12435</v>
      </c>
      <c r="K1354" s="170"/>
      <c r="L1354" s="193" t="s">
        <v>146</v>
      </c>
    </row>
    <row r="1355" spans="1:12" ht="15.75">
      <c r="A1355" s="67">
        <f t="shared" si="21"/>
        <v>1353</v>
      </c>
      <c r="B1355" s="164">
        <v>1353</v>
      </c>
      <c r="C1355" s="193" t="s">
        <v>2648</v>
      </c>
      <c r="D1355" s="195" t="s">
        <v>5916</v>
      </c>
      <c r="E1355" s="193" t="s">
        <v>8752</v>
      </c>
      <c r="F1355" s="193" t="s">
        <v>114</v>
      </c>
      <c r="G1355" s="195" t="s">
        <v>691</v>
      </c>
      <c r="H1355" s="166" t="s">
        <v>13436</v>
      </c>
      <c r="I1355" s="193" t="s">
        <v>12817</v>
      </c>
      <c r="J1355" s="193" t="s">
        <v>146</v>
      </c>
      <c r="K1355" s="170"/>
      <c r="L1355" s="193" t="s">
        <v>146</v>
      </c>
    </row>
    <row r="1356" spans="1:12" ht="75">
      <c r="A1356" s="67">
        <f t="shared" si="21"/>
        <v>1354</v>
      </c>
      <c r="B1356" s="164">
        <v>1354</v>
      </c>
      <c r="C1356" s="193" t="s">
        <v>2649</v>
      </c>
      <c r="D1356" s="195" t="s">
        <v>5917</v>
      </c>
      <c r="E1356" s="193" t="s">
        <v>8753</v>
      </c>
      <c r="F1356" s="193" t="s">
        <v>114</v>
      </c>
      <c r="G1356" s="195" t="s">
        <v>10521</v>
      </c>
      <c r="H1356" s="166" t="s">
        <v>13436</v>
      </c>
      <c r="I1356" s="193" t="s">
        <v>12817</v>
      </c>
      <c r="J1356" s="219" t="s">
        <v>146</v>
      </c>
      <c r="K1356" s="170"/>
      <c r="L1356" s="193" t="s">
        <v>13215</v>
      </c>
    </row>
    <row r="1357" spans="1:12" ht="15.75">
      <c r="A1357" s="67">
        <f t="shared" si="21"/>
        <v>1355</v>
      </c>
      <c r="B1357" s="164">
        <v>1355</v>
      </c>
      <c r="C1357" s="193" t="s">
        <v>2650</v>
      </c>
      <c r="D1357" s="195" t="s">
        <v>5918</v>
      </c>
      <c r="E1357" s="193" t="s">
        <v>8049</v>
      </c>
      <c r="F1357" s="193" t="s">
        <v>114</v>
      </c>
      <c r="G1357" s="195" t="s">
        <v>10979</v>
      </c>
      <c r="H1357" s="166" t="s">
        <v>13436</v>
      </c>
      <c r="I1357" s="193" t="s">
        <v>12827</v>
      </c>
      <c r="J1357" s="193" t="s">
        <v>146</v>
      </c>
      <c r="K1357" s="170"/>
      <c r="L1357" s="193" t="s">
        <v>146</v>
      </c>
    </row>
    <row r="1358" spans="1:12" ht="15.75">
      <c r="A1358" s="67">
        <f t="shared" si="21"/>
        <v>1356</v>
      </c>
      <c r="B1358" s="164">
        <v>1356</v>
      </c>
      <c r="C1358" s="193" t="s">
        <v>2651</v>
      </c>
      <c r="D1358" s="195" t="s">
        <v>5919</v>
      </c>
      <c r="E1358" s="193" t="s">
        <v>8754</v>
      </c>
      <c r="F1358" s="193" t="s">
        <v>114</v>
      </c>
      <c r="G1358" s="195" t="s">
        <v>10980</v>
      </c>
      <c r="H1358" s="166" t="s">
        <v>13436</v>
      </c>
      <c r="I1358" s="193" t="s">
        <v>12821</v>
      </c>
      <c r="J1358" s="193" t="s">
        <v>146</v>
      </c>
      <c r="K1358" s="170"/>
      <c r="L1358" s="193" t="s">
        <v>146</v>
      </c>
    </row>
    <row r="1359" spans="1:12" ht="30">
      <c r="A1359" s="67">
        <f t="shared" si="21"/>
        <v>1357</v>
      </c>
      <c r="B1359" s="164">
        <v>1357</v>
      </c>
      <c r="C1359" s="193" t="s">
        <v>2652</v>
      </c>
      <c r="D1359" s="195" t="s">
        <v>5920</v>
      </c>
      <c r="E1359" s="193" t="s">
        <v>8587</v>
      </c>
      <c r="F1359" s="193" t="s">
        <v>114</v>
      </c>
      <c r="G1359" s="195" t="s">
        <v>10981</v>
      </c>
      <c r="H1359" s="166" t="s">
        <v>13436</v>
      </c>
      <c r="I1359" s="193" t="s">
        <v>12808</v>
      </c>
      <c r="J1359" s="193" t="s">
        <v>146</v>
      </c>
      <c r="K1359" s="170"/>
      <c r="L1359" s="193" t="s">
        <v>13216</v>
      </c>
    </row>
    <row r="1360" spans="1:12" ht="30">
      <c r="A1360" s="67">
        <f t="shared" si="21"/>
        <v>1358</v>
      </c>
      <c r="B1360" s="164">
        <v>1358</v>
      </c>
      <c r="C1360" s="193" t="s">
        <v>2653</v>
      </c>
      <c r="D1360" s="195" t="s">
        <v>5921</v>
      </c>
      <c r="E1360" s="193" t="s">
        <v>8755</v>
      </c>
      <c r="F1360" s="193" t="s">
        <v>114</v>
      </c>
      <c r="G1360" s="195" t="s">
        <v>10924</v>
      </c>
      <c r="H1360" s="166" t="s">
        <v>13436</v>
      </c>
      <c r="I1360" s="193" t="s">
        <v>12808</v>
      </c>
      <c r="J1360" s="193" t="s">
        <v>12436</v>
      </c>
      <c r="K1360" s="170"/>
      <c r="L1360" s="193" t="s">
        <v>146</v>
      </c>
    </row>
    <row r="1361" spans="1:12" ht="30">
      <c r="A1361" s="67">
        <f t="shared" si="21"/>
        <v>1359</v>
      </c>
      <c r="B1361" s="164">
        <v>1359</v>
      </c>
      <c r="C1361" s="193" t="s">
        <v>2654</v>
      </c>
      <c r="D1361" s="195" t="s">
        <v>5922</v>
      </c>
      <c r="E1361" s="193" t="s">
        <v>8756</v>
      </c>
      <c r="F1361" s="193" t="s">
        <v>114</v>
      </c>
      <c r="G1361" s="195" t="s">
        <v>10982</v>
      </c>
      <c r="H1361" s="166" t="s">
        <v>13436</v>
      </c>
      <c r="I1361" s="193" t="s">
        <v>12808</v>
      </c>
      <c r="J1361" s="193" t="s">
        <v>12437</v>
      </c>
      <c r="K1361" s="170"/>
      <c r="L1361" s="193" t="s">
        <v>13217</v>
      </c>
    </row>
    <row r="1362" spans="1:12" ht="15.75">
      <c r="A1362" s="67">
        <f t="shared" si="21"/>
        <v>1360</v>
      </c>
      <c r="B1362" s="164">
        <v>1360</v>
      </c>
      <c r="C1362" s="193" t="s">
        <v>2655</v>
      </c>
      <c r="D1362" s="195" t="s">
        <v>5923</v>
      </c>
      <c r="E1362" s="193" t="s">
        <v>8110</v>
      </c>
      <c r="F1362" s="193" t="s">
        <v>114</v>
      </c>
      <c r="G1362" s="195" t="s">
        <v>10983</v>
      </c>
      <c r="H1362" s="166" t="s">
        <v>13436</v>
      </c>
      <c r="I1362" s="193" t="s">
        <v>12808</v>
      </c>
      <c r="J1362" s="193" t="s">
        <v>146</v>
      </c>
      <c r="K1362" s="170"/>
      <c r="L1362" s="193" t="s">
        <v>146</v>
      </c>
    </row>
    <row r="1363" spans="1:12" ht="15.75">
      <c r="A1363" s="67">
        <f t="shared" si="21"/>
        <v>1361</v>
      </c>
      <c r="B1363" s="164">
        <v>1361</v>
      </c>
      <c r="C1363" s="193" t="s">
        <v>2656</v>
      </c>
      <c r="D1363" s="195" t="s">
        <v>5924</v>
      </c>
      <c r="E1363" s="193" t="s">
        <v>442</v>
      </c>
      <c r="F1363" s="193" t="s">
        <v>114</v>
      </c>
      <c r="G1363" s="195" t="s">
        <v>732</v>
      </c>
      <c r="H1363" s="166" t="s">
        <v>13436</v>
      </c>
      <c r="I1363" s="193" t="s">
        <v>12813</v>
      </c>
      <c r="J1363" s="193" t="s">
        <v>146</v>
      </c>
      <c r="K1363" s="170"/>
      <c r="L1363" s="193" t="s">
        <v>146</v>
      </c>
    </row>
    <row r="1364" spans="1:12" ht="15.75">
      <c r="A1364" s="67">
        <f t="shared" si="21"/>
        <v>1362</v>
      </c>
      <c r="B1364" s="164">
        <v>1362</v>
      </c>
      <c r="C1364" s="193" t="s">
        <v>2657</v>
      </c>
      <c r="D1364" s="195" t="s">
        <v>5925</v>
      </c>
      <c r="E1364" s="193" t="s">
        <v>319</v>
      </c>
      <c r="F1364" s="193" t="s">
        <v>114</v>
      </c>
      <c r="G1364" s="195" t="s">
        <v>10984</v>
      </c>
      <c r="H1364" s="166" t="s">
        <v>13436</v>
      </c>
      <c r="I1364" s="193" t="s">
        <v>12836</v>
      </c>
      <c r="J1364" s="193" t="s">
        <v>147</v>
      </c>
      <c r="K1364" s="170"/>
      <c r="L1364" s="193" t="s">
        <v>146</v>
      </c>
    </row>
    <row r="1365" spans="1:12" ht="75">
      <c r="A1365" s="67">
        <f t="shared" si="21"/>
        <v>1363</v>
      </c>
      <c r="B1365" s="164">
        <v>1363</v>
      </c>
      <c r="C1365" s="193" t="s">
        <v>2658</v>
      </c>
      <c r="D1365" s="195" t="s">
        <v>5926</v>
      </c>
      <c r="E1365" s="193" t="s">
        <v>372</v>
      </c>
      <c r="F1365" s="193" t="s">
        <v>114</v>
      </c>
      <c r="G1365" s="195" t="s">
        <v>10985</v>
      </c>
      <c r="H1365" s="166" t="s">
        <v>13436</v>
      </c>
      <c r="I1365" s="193" t="s">
        <v>12836</v>
      </c>
      <c r="J1365" s="193" t="s">
        <v>12438</v>
      </c>
      <c r="K1365" s="170"/>
      <c r="L1365" s="193" t="s">
        <v>13218</v>
      </c>
    </row>
    <row r="1366" spans="1:12" ht="15.75">
      <c r="A1366" s="67">
        <f t="shared" si="21"/>
        <v>1364</v>
      </c>
      <c r="B1366" s="164">
        <v>1364</v>
      </c>
      <c r="C1366" s="193" t="s">
        <v>2659</v>
      </c>
      <c r="D1366" s="195" t="s">
        <v>5927</v>
      </c>
      <c r="E1366" s="193" t="s">
        <v>8757</v>
      </c>
      <c r="F1366" s="193" t="s">
        <v>114</v>
      </c>
      <c r="G1366" s="195" t="s">
        <v>10986</v>
      </c>
      <c r="H1366" s="166" t="s">
        <v>13436</v>
      </c>
      <c r="I1366" s="193" t="s">
        <v>12836</v>
      </c>
      <c r="J1366" s="193" t="s">
        <v>146</v>
      </c>
      <c r="K1366" s="170"/>
      <c r="L1366" s="193" t="s">
        <v>146</v>
      </c>
    </row>
    <row r="1367" spans="1:12" ht="60">
      <c r="A1367" s="67">
        <f t="shared" si="21"/>
        <v>1365</v>
      </c>
      <c r="B1367" s="164">
        <v>1365</v>
      </c>
      <c r="C1367" s="193" t="s">
        <v>2660</v>
      </c>
      <c r="D1367" s="195" t="s">
        <v>5928</v>
      </c>
      <c r="E1367" s="193" t="s">
        <v>8758</v>
      </c>
      <c r="F1367" s="193" t="s">
        <v>114</v>
      </c>
      <c r="G1367" s="195" t="s">
        <v>10987</v>
      </c>
      <c r="H1367" s="166" t="s">
        <v>13436</v>
      </c>
      <c r="I1367" s="193" t="s">
        <v>12813</v>
      </c>
      <c r="J1367" s="193" t="s">
        <v>146</v>
      </c>
      <c r="K1367" s="170"/>
      <c r="L1367" s="193" t="s">
        <v>13219</v>
      </c>
    </row>
    <row r="1368" spans="1:12" ht="15.75">
      <c r="A1368" s="67">
        <f t="shared" si="21"/>
        <v>1366</v>
      </c>
      <c r="B1368" s="164">
        <v>1366</v>
      </c>
      <c r="C1368" s="193" t="s">
        <v>2661</v>
      </c>
      <c r="D1368" s="195" t="s">
        <v>5929</v>
      </c>
      <c r="E1368" s="193" t="s">
        <v>318</v>
      </c>
      <c r="F1368" s="193" t="s">
        <v>114</v>
      </c>
      <c r="G1368" s="195" t="s">
        <v>10988</v>
      </c>
      <c r="H1368" s="166" t="s">
        <v>13436</v>
      </c>
      <c r="I1368" s="193" t="s">
        <v>12836</v>
      </c>
      <c r="J1368" s="193" t="s">
        <v>146</v>
      </c>
      <c r="K1368" s="170"/>
      <c r="L1368" s="193" t="s">
        <v>146</v>
      </c>
    </row>
    <row r="1369" spans="1:12" ht="15.75">
      <c r="A1369" s="67">
        <f t="shared" si="21"/>
        <v>1367</v>
      </c>
      <c r="B1369" s="164">
        <v>1367</v>
      </c>
      <c r="C1369" s="193" t="s">
        <v>2662</v>
      </c>
      <c r="D1369" s="195" t="s">
        <v>5930</v>
      </c>
      <c r="E1369" s="193" t="s">
        <v>8759</v>
      </c>
      <c r="F1369" s="193" t="s">
        <v>114</v>
      </c>
      <c r="G1369" s="195" t="s">
        <v>10171</v>
      </c>
      <c r="H1369" s="166" t="s">
        <v>13436</v>
      </c>
      <c r="I1369" s="193" t="s">
        <v>12836</v>
      </c>
      <c r="J1369" s="219" t="s">
        <v>146</v>
      </c>
      <c r="K1369" s="170"/>
      <c r="L1369" s="219" t="s">
        <v>146</v>
      </c>
    </row>
    <row r="1370" spans="1:12" ht="15.75">
      <c r="A1370" s="67">
        <f t="shared" si="21"/>
        <v>1368</v>
      </c>
      <c r="B1370" s="164">
        <v>1368</v>
      </c>
      <c r="C1370" s="193" t="s">
        <v>2663</v>
      </c>
      <c r="D1370" s="195" t="s">
        <v>5931</v>
      </c>
      <c r="E1370" s="193" t="s">
        <v>172</v>
      </c>
      <c r="F1370" s="193" t="s">
        <v>114</v>
      </c>
      <c r="G1370" s="195" t="s">
        <v>10989</v>
      </c>
      <c r="H1370" s="166" t="s">
        <v>13436</v>
      </c>
      <c r="I1370" s="193" t="s">
        <v>12836</v>
      </c>
      <c r="J1370" s="193" t="s">
        <v>146</v>
      </c>
      <c r="K1370" s="170"/>
      <c r="L1370" s="193" t="s">
        <v>146</v>
      </c>
    </row>
    <row r="1371" spans="1:12" ht="15.75">
      <c r="A1371" s="67">
        <f t="shared" si="21"/>
        <v>1369</v>
      </c>
      <c r="B1371" s="164">
        <v>1369</v>
      </c>
      <c r="C1371" s="193" t="s">
        <v>2664</v>
      </c>
      <c r="D1371" s="195" t="s">
        <v>5932</v>
      </c>
      <c r="E1371" s="193" t="s">
        <v>618</v>
      </c>
      <c r="F1371" s="193" t="s">
        <v>114</v>
      </c>
      <c r="G1371" s="195" t="s">
        <v>10990</v>
      </c>
      <c r="H1371" s="166" t="s">
        <v>13436</v>
      </c>
      <c r="I1371" s="193" t="s">
        <v>12836</v>
      </c>
      <c r="J1371" s="193" t="s">
        <v>146</v>
      </c>
      <c r="K1371" s="170"/>
      <c r="L1371" s="193" t="s">
        <v>146</v>
      </c>
    </row>
    <row r="1372" spans="1:12" ht="15.75">
      <c r="A1372" s="67">
        <f t="shared" si="21"/>
        <v>1370</v>
      </c>
      <c r="B1372" s="164">
        <v>1370</v>
      </c>
      <c r="C1372" s="193" t="s">
        <v>2665</v>
      </c>
      <c r="D1372" s="195" t="s">
        <v>5933</v>
      </c>
      <c r="E1372" s="193" t="s">
        <v>622</v>
      </c>
      <c r="F1372" s="193" t="s">
        <v>114</v>
      </c>
      <c r="G1372" s="195" t="s">
        <v>10991</v>
      </c>
      <c r="H1372" s="166" t="s">
        <v>13436</v>
      </c>
      <c r="I1372" s="193" t="s">
        <v>12836</v>
      </c>
      <c r="J1372" s="193" t="s">
        <v>146</v>
      </c>
      <c r="K1372" s="170"/>
      <c r="L1372" s="193" t="s">
        <v>146</v>
      </c>
    </row>
    <row r="1373" spans="1:12" ht="15.75">
      <c r="A1373" s="67">
        <f t="shared" si="21"/>
        <v>1371</v>
      </c>
      <c r="B1373" s="164">
        <v>1371</v>
      </c>
      <c r="C1373" s="193" t="s">
        <v>2666</v>
      </c>
      <c r="D1373" s="195" t="s">
        <v>5934</v>
      </c>
      <c r="E1373" s="193" t="s">
        <v>8760</v>
      </c>
      <c r="F1373" s="193" t="s">
        <v>114</v>
      </c>
      <c r="G1373" s="195" t="s">
        <v>10992</v>
      </c>
      <c r="H1373" s="166" t="s">
        <v>13436</v>
      </c>
      <c r="I1373" s="193" t="s">
        <v>12814</v>
      </c>
      <c r="J1373" s="193" t="s">
        <v>12439</v>
      </c>
      <c r="K1373" s="170"/>
      <c r="L1373" s="193" t="s">
        <v>146</v>
      </c>
    </row>
    <row r="1374" spans="1:12" ht="15.75">
      <c r="A1374" s="67">
        <f t="shared" si="21"/>
        <v>1372</v>
      </c>
      <c r="B1374" s="164">
        <v>1372</v>
      </c>
      <c r="C1374" s="193" t="s">
        <v>2667</v>
      </c>
      <c r="D1374" s="195" t="s">
        <v>5935</v>
      </c>
      <c r="E1374" s="193" t="s">
        <v>384</v>
      </c>
      <c r="F1374" s="193" t="s">
        <v>114</v>
      </c>
      <c r="G1374" s="195" t="s">
        <v>10513</v>
      </c>
      <c r="H1374" s="166" t="s">
        <v>13436</v>
      </c>
      <c r="I1374" s="193" t="s">
        <v>12814</v>
      </c>
      <c r="J1374" s="193" t="s">
        <v>12440</v>
      </c>
      <c r="K1374" s="170"/>
      <c r="L1374" s="193" t="s">
        <v>146</v>
      </c>
    </row>
    <row r="1375" spans="1:12" ht="15.75">
      <c r="A1375" s="67">
        <f t="shared" si="21"/>
        <v>1373</v>
      </c>
      <c r="B1375" s="164">
        <v>1373</v>
      </c>
      <c r="C1375" s="193" t="s">
        <v>2668</v>
      </c>
      <c r="D1375" s="195" t="s">
        <v>5936</v>
      </c>
      <c r="E1375" s="193" t="s">
        <v>8146</v>
      </c>
      <c r="F1375" s="193" t="s">
        <v>114</v>
      </c>
      <c r="G1375" s="195" t="s">
        <v>743</v>
      </c>
      <c r="H1375" s="166" t="s">
        <v>13436</v>
      </c>
      <c r="I1375" s="193" t="s">
        <v>12814</v>
      </c>
      <c r="J1375" s="193" t="s">
        <v>146</v>
      </c>
      <c r="K1375" s="170"/>
      <c r="L1375" s="193" t="s">
        <v>146</v>
      </c>
    </row>
    <row r="1376" spans="1:12" ht="15.75">
      <c r="A1376" s="67">
        <f t="shared" si="21"/>
        <v>1374</v>
      </c>
      <c r="B1376" s="164">
        <v>1374</v>
      </c>
      <c r="C1376" s="193" t="s">
        <v>2669</v>
      </c>
      <c r="D1376" s="195" t="s">
        <v>5937</v>
      </c>
      <c r="E1376" s="193" t="s">
        <v>189</v>
      </c>
      <c r="F1376" s="193" t="s">
        <v>114</v>
      </c>
      <c r="G1376" s="195" t="s">
        <v>10993</v>
      </c>
      <c r="H1376" s="166" t="s">
        <v>13436</v>
      </c>
      <c r="I1376" s="193" t="s">
        <v>12814</v>
      </c>
      <c r="J1376" s="219" t="s">
        <v>146</v>
      </c>
      <c r="K1376" s="170"/>
      <c r="L1376" s="193" t="s">
        <v>146</v>
      </c>
    </row>
    <row r="1377" spans="1:12" ht="30">
      <c r="A1377" s="67">
        <f t="shared" si="21"/>
        <v>1375</v>
      </c>
      <c r="B1377" s="164">
        <v>1375</v>
      </c>
      <c r="C1377" s="193" t="s">
        <v>2670</v>
      </c>
      <c r="D1377" s="195" t="s">
        <v>5938</v>
      </c>
      <c r="E1377" s="193" t="s">
        <v>8761</v>
      </c>
      <c r="F1377" s="193" t="s">
        <v>114</v>
      </c>
      <c r="G1377" s="195" t="s">
        <v>10994</v>
      </c>
      <c r="H1377" s="166" t="s">
        <v>13436</v>
      </c>
      <c r="I1377" s="193" t="s">
        <v>12814</v>
      </c>
      <c r="J1377" s="193" t="s">
        <v>146</v>
      </c>
      <c r="K1377" s="170"/>
      <c r="L1377" s="193" t="s">
        <v>13220</v>
      </c>
    </row>
    <row r="1378" spans="1:12" ht="15.75">
      <c r="A1378" s="67">
        <f t="shared" si="21"/>
        <v>1376</v>
      </c>
      <c r="B1378" s="164">
        <v>1376</v>
      </c>
      <c r="C1378" s="193" t="s">
        <v>2671</v>
      </c>
      <c r="D1378" s="195" t="s">
        <v>5939</v>
      </c>
      <c r="E1378" s="193" t="s">
        <v>8762</v>
      </c>
      <c r="F1378" s="193" t="s">
        <v>114</v>
      </c>
      <c r="G1378" s="195" t="s">
        <v>10448</v>
      </c>
      <c r="H1378" s="166" t="s">
        <v>13436</v>
      </c>
      <c r="I1378" s="193" t="s">
        <v>12819</v>
      </c>
      <c r="J1378" s="219" t="s">
        <v>146</v>
      </c>
      <c r="K1378" s="170"/>
      <c r="L1378" s="219" t="s">
        <v>146</v>
      </c>
    </row>
    <row r="1379" spans="1:12" ht="15.75">
      <c r="A1379" s="67">
        <f t="shared" si="21"/>
        <v>1377</v>
      </c>
      <c r="B1379" s="164">
        <v>1377</v>
      </c>
      <c r="C1379" s="193" t="s">
        <v>2672</v>
      </c>
      <c r="D1379" s="195" t="s">
        <v>5940</v>
      </c>
      <c r="E1379" s="193" t="s">
        <v>8763</v>
      </c>
      <c r="F1379" s="193" t="s">
        <v>114</v>
      </c>
      <c r="G1379" s="195" t="s">
        <v>10502</v>
      </c>
      <c r="H1379" s="166" t="s">
        <v>13436</v>
      </c>
      <c r="I1379" s="193" t="s">
        <v>12819</v>
      </c>
      <c r="J1379" s="193" t="s">
        <v>146</v>
      </c>
      <c r="K1379" s="170"/>
      <c r="L1379" s="193" t="s">
        <v>146</v>
      </c>
    </row>
    <row r="1380" spans="1:12" ht="30">
      <c r="A1380" s="67">
        <f t="shared" si="21"/>
        <v>1378</v>
      </c>
      <c r="B1380" s="164">
        <v>1378</v>
      </c>
      <c r="C1380" s="193" t="s">
        <v>2673</v>
      </c>
      <c r="D1380" s="195" t="s">
        <v>5941</v>
      </c>
      <c r="E1380" s="193" t="s">
        <v>161</v>
      </c>
      <c r="F1380" s="193" t="s">
        <v>114</v>
      </c>
      <c r="G1380" s="195" t="s">
        <v>716</v>
      </c>
      <c r="H1380" s="166" t="s">
        <v>13436</v>
      </c>
      <c r="I1380" s="193" t="s">
        <v>12819</v>
      </c>
      <c r="J1380" s="193" t="s">
        <v>12441</v>
      </c>
      <c r="K1380" s="170"/>
      <c r="L1380" s="193" t="s">
        <v>146</v>
      </c>
    </row>
    <row r="1381" spans="1:12" ht="30">
      <c r="A1381" s="67">
        <f t="shared" si="21"/>
        <v>1379</v>
      </c>
      <c r="B1381" s="164">
        <v>1379</v>
      </c>
      <c r="C1381" s="193" t="s">
        <v>2674</v>
      </c>
      <c r="D1381" s="195" t="s">
        <v>5942</v>
      </c>
      <c r="E1381" s="193" t="s">
        <v>8764</v>
      </c>
      <c r="F1381" s="193" t="s">
        <v>114</v>
      </c>
      <c r="G1381" s="195" t="s">
        <v>10995</v>
      </c>
      <c r="H1381" s="166" t="s">
        <v>13436</v>
      </c>
      <c r="I1381" s="193" t="s">
        <v>12819</v>
      </c>
      <c r="J1381" s="193" t="s">
        <v>146</v>
      </c>
      <c r="K1381" s="170"/>
      <c r="L1381" s="193" t="s">
        <v>13221</v>
      </c>
    </row>
    <row r="1382" spans="1:12" ht="30">
      <c r="A1382" s="67">
        <f t="shared" si="21"/>
        <v>1380</v>
      </c>
      <c r="B1382" s="164">
        <v>1380</v>
      </c>
      <c r="C1382" s="193" t="s">
        <v>2675</v>
      </c>
      <c r="D1382" s="204" t="s">
        <v>5943</v>
      </c>
      <c r="E1382" s="193" t="s">
        <v>416</v>
      </c>
      <c r="F1382" s="193" t="s">
        <v>114</v>
      </c>
      <c r="G1382" s="195" t="s">
        <v>10996</v>
      </c>
      <c r="H1382" s="166" t="s">
        <v>13436</v>
      </c>
      <c r="I1382" s="193" t="s">
        <v>1247</v>
      </c>
      <c r="J1382" s="193" t="s">
        <v>12442</v>
      </c>
      <c r="K1382" s="170"/>
      <c r="L1382" s="193" t="s">
        <v>146</v>
      </c>
    </row>
    <row r="1383" spans="1:12" ht="15.75">
      <c r="A1383" s="67">
        <f t="shared" si="21"/>
        <v>1381</v>
      </c>
      <c r="B1383" s="164">
        <v>1381</v>
      </c>
      <c r="C1383" s="193" t="s">
        <v>2676</v>
      </c>
      <c r="D1383" s="195" t="s">
        <v>5944</v>
      </c>
      <c r="E1383" s="193" t="s">
        <v>8765</v>
      </c>
      <c r="F1383" s="193" t="s">
        <v>114</v>
      </c>
      <c r="G1383" s="195" t="s">
        <v>10997</v>
      </c>
      <c r="H1383" s="166" t="s">
        <v>13436</v>
      </c>
      <c r="I1383" s="193" t="s">
        <v>12812</v>
      </c>
      <c r="J1383" s="193" t="s">
        <v>12443</v>
      </c>
      <c r="K1383" s="170"/>
      <c r="L1383" s="193" t="s">
        <v>146</v>
      </c>
    </row>
    <row r="1384" spans="1:12" ht="15.75">
      <c r="A1384" s="67">
        <f t="shared" si="21"/>
        <v>1382</v>
      </c>
      <c r="B1384" s="164">
        <v>1382</v>
      </c>
      <c r="C1384" s="193" t="s">
        <v>2677</v>
      </c>
      <c r="D1384" s="196" t="s">
        <v>5945</v>
      </c>
      <c r="E1384" s="193" t="s">
        <v>8766</v>
      </c>
      <c r="F1384" s="193" t="s">
        <v>59</v>
      </c>
      <c r="G1384" s="195" t="s">
        <v>705</v>
      </c>
      <c r="H1384" s="166" t="s">
        <v>13436</v>
      </c>
      <c r="I1384" s="193" t="s">
        <v>12809</v>
      </c>
      <c r="J1384" s="193" t="s">
        <v>12444</v>
      </c>
      <c r="K1384" s="170"/>
      <c r="L1384" s="193"/>
    </row>
    <row r="1385" spans="1:12" ht="30">
      <c r="A1385" s="67">
        <f t="shared" si="21"/>
        <v>1383</v>
      </c>
      <c r="B1385" s="164">
        <v>1383</v>
      </c>
      <c r="C1385" s="193" t="s">
        <v>2678</v>
      </c>
      <c r="D1385" s="195" t="s">
        <v>5946</v>
      </c>
      <c r="E1385" s="193" t="s">
        <v>8767</v>
      </c>
      <c r="F1385" s="193" t="s">
        <v>114</v>
      </c>
      <c r="G1385" s="195" t="s">
        <v>10998</v>
      </c>
      <c r="H1385" s="166" t="s">
        <v>13436</v>
      </c>
      <c r="I1385" s="193" t="s">
        <v>12817</v>
      </c>
      <c r="J1385" s="219" t="s">
        <v>12445</v>
      </c>
      <c r="K1385" s="170"/>
      <c r="L1385" s="193" t="s">
        <v>146</v>
      </c>
    </row>
    <row r="1386" spans="1:12" ht="15.75">
      <c r="A1386" s="67">
        <f t="shared" si="21"/>
        <v>1384</v>
      </c>
      <c r="B1386" s="164">
        <v>1384</v>
      </c>
      <c r="C1386" s="193" t="s">
        <v>2679</v>
      </c>
      <c r="D1386" s="195" t="s">
        <v>5947</v>
      </c>
      <c r="E1386" s="193" t="s">
        <v>8768</v>
      </c>
      <c r="F1386" s="193" t="s">
        <v>59</v>
      </c>
      <c r="G1386" s="195" t="s">
        <v>1219</v>
      </c>
      <c r="H1386" s="166" t="s">
        <v>13436</v>
      </c>
      <c r="I1386" s="193" t="s">
        <v>12817</v>
      </c>
      <c r="J1386" s="193" t="s">
        <v>146</v>
      </c>
      <c r="K1386" s="170"/>
      <c r="L1386" s="193"/>
    </row>
    <row r="1387" spans="1:12" ht="15.75">
      <c r="A1387" s="67">
        <f t="shared" si="21"/>
        <v>1385</v>
      </c>
      <c r="B1387" s="164">
        <v>1385</v>
      </c>
      <c r="C1387" s="193" t="s">
        <v>2680</v>
      </c>
      <c r="D1387" s="195" t="s">
        <v>5948</v>
      </c>
      <c r="E1387" s="193" t="s">
        <v>8769</v>
      </c>
      <c r="F1387" s="193" t="s">
        <v>59</v>
      </c>
      <c r="G1387" s="195" t="s">
        <v>10920</v>
      </c>
      <c r="H1387" s="166" t="s">
        <v>13436</v>
      </c>
      <c r="I1387" s="193" t="s">
        <v>12821</v>
      </c>
      <c r="J1387" s="193" t="s">
        <v>146</v>
      </c>
      <c r="K1387" s="170"/>
      <c r="L1387" s="193"/>
    </row>
    <row r="1388" spans="1:12" ht="15.75">
      <c r="A1388" s="67">
        <f t="shared" si="21"/>
        <v>1386</v>
      </c>
      <c r="B1388" s="164">
        <v>1386</v>
      </c>
      <c r="C1388" s="193" t="s">
        <v>2681</v>
      </c>
      <c r="D1388" s="195" t="s">
        <v>5949</v>
      </c>
      <c r="E1388" s="193" t="s">
        <v>8770</v>
      </c>
      <c r="F1388" s="193" t="s">
        <v>59</v>
      </c>
      <c r="G1388" s="195" t="s">
        <v>10999</v>
      </c>
      <c r="H1388" s="166" t="s">
        <v>13436</v>
      </c>
      <c r="I1388" s="193" t="s">
        <v>12817</v>
      </c>
      <c r="J1388" s="193" t="s">
        <v>12446</v>
      </c>
      <c r="K1388" s="170"/>
      <c r="L1388" s="193"/>
    </row>
    <row r="1389" spans="1:12" ht="15.75">
      <c r="A1389" s="67">
        <f t="shared" si="21"/>
        <v>1387</v>
      </c>
      <c r="B1389" s="164">
        <v>1387</v>
      </c>
      <c r="C1389" s="193" t="s">
        <v>2682</v>
      </c>
      <c r="D1389" s="195" t="s">
        <v>5950</v>
      </c>
      <c r="E1389" s="193" t="s">
        <v>233</v>
      </c>
      <c r="F1389" s="193" t="s">
        <v>59</v>
      </c>
      <c r="G1389" s="195" t="s">
        <v>774</v>
      </c>
      <c r="H1389" s="166" t="s">
        <v>13436</v>
      </c>
      <c r="I1389" s="193" t="s">
        <v>12821</v>
      </c>
      <c r="J1389" s="193" t="s">
        <v>146</v>
      </c>
      <c r="K1389" s="170"/>
      <c r="L1389" s="193"/>
    </row>
    <row r="1390" spans="1:12" ht="15.75">
      <c r="A1390" s="67">
        <f t="shared" si="21"/>
        <v>1388</v>
      </c>
      <c r="B1390" s="164">
        <v>1388</v>
      </c>
      <c r="C1390" s="193" t="s">
        <v>2683</v>
      </c>
      <c r="D1390" s="195" t="s">
        <v>5951</v>
      </c>
      <c r="E1390" s="193" t="s">
        <v>8771</v>
      </c>
      <c r="F1390" s="193" t="s">
        <v>114</v>
      </c>
      <c r="G1390" s="195" t="s">
        <v>11000</v>
      </c>
      <c r="H1390" s="166" t="s">
        <v>13436</v>
      </c>
      <c r="I1390" s="193" t="s">
        <v>12835</v>
      </c>
      <c r="J1390" s="193" t="s">
        <v>146</v>
      </c>
      <c r="K1390" s="170"/>
      <c r="L1390" s="193" t="s">
        <v>146</v>
      </c>
    </row>
    <row r="1391" spans="1:12" ht="30">
      <c r="A1391" s="67">
        <f t="shared" si="21"/>
        <v>1389</v>
      </c>
      <c r="B1391" s="164">
        <v>1389</v>
      </c>
      <c r="C1391" s="193" t="s">
        <v>2684</v>
      </c>
      <c r="D1391" s="195" t="s">
        <v>5952</v>
      </c>
      <c r="E1391" s="193" t="s">
        <v>490</v>
      </c>
      <c r="F1391" s="193" t="s">
        <v>114</v>
      </c>
      <c r="G1391" s="195" t="s">
        <v>11001</v>
      </c>
      <c r="H1391" s="166" t="s">
        <v>13436</v>
      </c>
      <c r="I1391" s="193" t="s">
        <v>12835</v>
      </c>
      <c r="J1391" s="193" t="s">
        <v>12447</v>
      </c>
      <c r="K1391" s="170"/>
      <c r="L1391" s="193" t="s">
        <v>146</v>
      </c>
    </row>
    <row r="1392" spans="1:12" ht="15.75">
      <c r="A1392" s="67">
        <f t="shared" si="21"/>
        <v>1390</v>
      </c>
      <c r="B1392" s="164">
        <v>1390</v>
      </c>
      <c r="C1392" s="193" t="s">
        <v>2685</v>
      </c>
      <c r="D1392" s="195" t="s">
        <v>5953</v>
      </c>
      <c r="E1392" s="193" t="s">
        <v>8772</v>
      </c>
      <c r="F1392" s="193" t="s">
        <v>114</v>
      </c>
      <c r="G1392" s="195" t="s">
        <v>850</v>
      </c>
      <c r="H1392" s="166" t="s">
        <v>13436</v>
      </c>
      <c r="I1392" s="193" t="s">
        <v>12835</v>
      </c>
      <c r="J1392" s="193" t="s">
        <v>146</v>
      </c>
      <c r="K1392" s="170"/>
      <c r="L1392" s="193" t="s">
        <v>146</v>
      </c>
    </row>
    <row r="1393" spans="1:12" ht="30">
      <c r="A1393" s="67">
        <f t="shared" si="21"/>
        <v>1391</v>
      </c>
      <c r="B1393" s="164">
        <v>1391</v>
      </c>
      <c r="C1393" s="193" t="s">
        <v>2686</v>
      </c>
      <c r="D1393" s="195" t="s">
        <v>5954</v>
      </c>
      <c r="E1393" s="193" t="s">
        <v>8773</v>
      </c>
      <c r="F1393" s="193" t="s">
        <v>114</v>
      </c>
      <c r="G1393" s="195" t="s">
        <v>11002</v>
      </c>
      <c r="H1393" s="166" t="s">
        <v>13436</v>
      </c>
      <c r="I1393" s="193" t="s">
        <v>12835</v>
      </c>
      <c r="J1393" s="219" t="s">
        <v>12448</v>
      </c>
      <c r="K1393" s="170"/>
      <c r="L1393" s="193" t="s">
        <v>146</v>
      </c>
    </row>
    <row r="1394" spans="1:12" ht="30">
      <c r="A1394" s="67">
        <f t="shared" si="21"/>
        <v>1392</v>
      </c>
      <c r="B1394" s="164">
        <v>1392</v>
      </c>
      <c r="C1394" s="193" t="s">
        <v>2687</v>
      </c>
      <c r="D1394" s="199" t="s">
        <v>5955</v>
      </c>
      <c r="E1394" s="193" t="s">
        <v>8774</v>
      </c>
      <c r="F1394" s="193" t="s">
        <v>59</v>
      </c>
      <c r="G1394" s="195" t="s">
        <v>11003</v>
      </c>
      <c r="H1394" s="166" t="s">
        <v>13436</v>
      </c>
      <c r="I1394" s="193" t="s">
        <v>12839</v>
      </c>
      <c r="J1394" s="193" t="s">
        <v>12449</v>
      </c>
      <c r="K1394" s="170"/>
      <c r="L1394" s="193"/>
    </row>
    <row r="1395" spans="1:12" ht="15.75">
      <c r="A1395" s="67">
        <f t="shared" si="21"/>
        <v>1393</v>
      </c>
      <c r="B1395" s="164">
        <v>1393</v>
      </c>
      <c r="C1395" s="193" t="s">
        <v>2688</v>
      </c>
      <c r="D1395" s="195" t="s">
        <v>5956</v>
      </c>
      <c r="E1395" s="193" t="s">
        <v>568</v>
      </c>
      <c r="F1395" s="193" t="s">
        <v>114</v>
      </c>
      <c r="G1395" s="195" t="s">
        <v>10248</v>
      </c>
      <c r="H1395" s="166" t="s">
        <v>13436</v>
      </c>
      <c r="I1395" s="193" t="s">
        <v>12827</v>
      </c>
      <c r="J1395" s="219" t="s">
        <v>146</v>
      </c>
      <c r="K1395" s="170"/>
      <c r="L1395" s="193" t="s">
        <v>146</v>
      </c>
    </row>
    <row r="1396" spans="1:12" ht="15.75">
      <c r="A1396" s="67">
        <f t="shared" si="21"/>
        <v>1394</v>
      </c>
      <c r="B1396" s="164">
        <v>1394</v>
      </c>
      <c r="C1396" s="193" t="s">
        <v>2689</v>
      </c>
      <c r="D1396" s="195" t="s">
        <v>5957</v>
      </c>
      <c r="E1396" s="193" t="s">
        <v>8209</v>
      </c>
      <c r="F1396" s="193" t="s">
        <v>114</v>
      </c>
      <c r="G1396" s="195" t="s">
        <v>11004</v>
      </c>
      <c r="H1396" s="166" t="s">
        <v>13436</v>
      </c>
      <c r="I1396" s="193" t="s">
        <v>12827</v>
      </c>
      <c r="J1396" s="219" t="s">
        <v>146</v>
      </c>
      <c r="K1396" s="170"/>
      <c r="L1396" s="193" t="s">
        <v>146</v>
      </c>
    </row>
    <row r="1397" spans="1:12" ht="15.75">
      <c r="A1397" s="67">
        <f t="shared" si="21"/>
        <v>1395</v>
      </c>
      <c r="B1397" s="164">
        <v>1395</v>
      </c>
      <c r="C1397" s="193" t="s">
        <v>2690</v>
      </c>
      <c r="D1397" s="195" t="s">
        <v>5958</v>
      </c>
      <c r="E1397" s="193" t="s">
        <v>8775</v>
      </c>
      <c r="F1397" s="193" t="s">
        <v>114</v>
      </c>
      <c r="G1397" s="195" t="s">
        <v>750</v>
      </c>
      <c r="H1397" s="166" t="s">
        <v>13436</v>
      </c>
      <c r="I1397" s="193" t="s">
        <v>12832</v>
      </c>
      <c r="J1397" s="193" t="s">
        <v>147</v>
      </c>
      <c r="K1397" s="170"/>
      <c r="L1397" s="193" t="s">
        <v>146</v>
      </c>
    </row>
    <row r="1398" spans="1:12" ht="15.75">
      <c r="A1398" s="67">
        <f t="shared" si="21"/>
        <v>1396</v>
      </c>
      <c r="B1398" s="164">
        <v>1396</v>
      </c>
      <c r="C1398" s="193" t="s">
        <v>2691</v>
      </c>
      <c r="D1398" s="204" t="s">
        <v>5959</v>
      </c>
      <c r="E1398" s="193" t="s">
        <v>8776</v>
      </c>
      <c r="F1398" s="193" t="s">
        <v>59</v>
      </c>
      <c r="G1398" s="195" t="s">
        <v>11005</v>
      </c>
      <c r="H1398" s="166" t="s">
        <v>13436</v>
      </c>
      <c r="I1398" s="193" t="s">
        <v>1247</v>
      </c>
      <c r="J1398" s="193" t="s">
        <v>146</v>
      </c>
      <c r="K1398" s="170"/>
      <c r="L1398" s="193"/>
    </row>
    <row r="1399" spans="1:12" ht="30">
      <c r="A1399" s="67">
        <f t="shared" si="21"/>
        <v>1397</v>
      </c>
      <c r="B1399" s="164">
        <v>1397</v>
      </c>
      <c r="C1399" s="193" t="s">
        <v>2692</v>
      </c>
      <c r="D1399" s="198" t="s">
        <v>5960</v>
      </c>
      <c r="E1399" s="193" t="s">
        <v>541</v>
      </c>
      <c r="F1399" s="193" t="s">
        <v>114</v>
      </c>
      <c r="G1399" s="195" t="s">
        <v>10704</v>
      </c>
      <c r="H1399" s="166" t="s">
        <v>13436</v>
      </c>
      <c r="I1399" s="193" t="s">
        <v>1247</v>
      </c>
      <c r="J1399" s="193" t="s">
        <v>12450</v>
      </c>
      <c r="K1399" s="170"/>
      <c r="L1399" s="193" t="s">
        <v>146</v>
      </c>
    </row>
    <row r="1400" spans="1:12" ht="30">
      <c r="A1400" s="67">
        <f t="shared" si="21"/>
        <v>1398</v>
      </c>
      <c r="B1400" s="164">
        <v>1398</v>
      </c>
      <c r="C1400" s="193" t="s">
        <v>2693</v>
      </c>
      <c r="D1400" s="198" t="s">
        <v>5961</v>
      </c>
      <c r="E1400" s="193" t="s">
        <v>305</v>
      </c>
      <c r="F1400" s="193" t="s">
        <v>114</v>
      </c>
      <c r="G1400" s="195" t="s">
        <v>703</v>
      </c>
      <c r="H1400" s="166" t="s">
        <v>13436</v>
      </c>
      <c r="I1400" s="193" t="s">
        <v>1247</v>
      </c>
      <c r="J1400" s="193" t="s">
        <v>146</v>
      </c>
      <c r="K1400" s="170"/>
      <c r="L1400" s="193" t="s">
        <v>13222</v>
      </c>
    </row>
    <row r="1401" spans="1:12" ht="15.75">
      <c r="A1401" s="67">
        <f t="shared" si="21"/>
        <v>1399</v>
      </c>
      <c r="B1401" s="164">
        <v>1399</v>
      </c>
      <c r="C1401" s="193" t="s">
        <v>2694</v>
      </c>
      <c r="D1401" s="195" t="s">
        <v>5962</v>
      </c>
      <c r="E1401" s="193" t="s">
        <v>8423</v>
      </c>
      <c r="F1401" s="193" t="s">
        <v>114</v>
      </c>
      <c r="G1401" s="195" t="s">
        <v>11006</v>
      </c>
      <c r="H1401" s="166" t="s">
        <v>13436</v>
      </c>
      <c r="I1401" s="193" t="s">
        <v>12813</v>
      </c>
      <c r="J1401" s="193" t="s">
        <v>12451</v>
      </c>
      <c r="K1401" s="170"/>
      <c r="L1401" s="193" t="s">
        <v>146</v>
      </c>
    </row>
    <row r="1402" spans="1:12" ht="15.75">
      <c r="A1402" s="67">
        <f t="shared" si="21"/>
        <v>1400</v>
      </c>
      <c r="B1402" s="164">
        <v>1400</v>
      </c>
      <c r="C1402" s="193" t="s">
        <v>2695</v>
      </c>
      <c r="D1402" s="195" t="s">
        <v>5963</v>
      </c>
      <c r="E1402" s="193" t="s">
        <v>534</v>
      </c>
      <c r="F1402" s="193" t="s">
        <v>114</v>
      </c>
      <c r="G1402" s="195" t="s">
        <v>1163</v>
      </c>
      <c r="H1402" s="166" t="s">
        <v>13436</v>
      </c>
      <c r="I1402" s="193" t="s">
        <v>12820</v>
      </c>
      <c r="J1402" s="193" t="s">
        <v>146</v>
      </c>
      <c r="K1402" s="170"/>
      <c r="L1402" s="193" t="s">
        <v>146</v>
      </c>
    </row>
    <row r="1403" spans="1:12" ht="15.75">
      <c r="A1403" s="67">
        <f t="shared" si="21"/>
        <v>1401</v>
      </c>
      <c r="B1403" s="164">
        <v>1401</v>
      </c>
      <c r="C1403" s="193" t="s">
        <v>2696</v>
      </c>
      <c r="D1403" s="195" t="s">
        <v>5964</v>
      </c>
      <c r="E1403" s="193" t="s">
        <v>189</v>
      </c>
      <c r="F1403" s="193" t="s">
        <v>114</v>
      </c>
      <c r="G1403" s="195" t="s">
        <v>692</v>
      </c>
      <c r="H1403" s="166" t="s">
        <v>13436</v>
      </c>
      <c r="I1403" s="193" t="s">
        <v>12820</v>
      </c>
      <c r="J1403" s="193" t="s">
        <v>146</v>
      </c>
      <c r="K1403" s="170"/>
      <c r="L1403" s="193" t="s">
        <v>146</v>
      </c>
    </row>
    <row r="1404" spans="1:12" ht="75">
      <c r="A1404" s="67">
        <f t="shared" si="21"/>
        <v>1402</v>
      </c>
      <c r="B1404" s="164">
        <v>1402</v>
      </c>
      <c r="C1404" s="193" t="s">
        <v>2697</v>
      </c>
      <c r="D1404" s="195" t="s">
        <v>5965</v>
      </c>
      <c r="E1404" s="193" t="s">
        <v>8777</v>
      </c>
      <c r="F1404" s="193" t="s">
        <v>114</v>
      </c>
      <c r="G1404" s="195" t="s">
        <v>11007</v>
      </c>
      <c r="H1404" s="166" t="s">
        <v>13436</v>
      </c>
      <c r="I1404" s="193" t="s">
        <v>12820</v>
      </c>
      <c r="J1404" s="193" t="s">
        <v>12452</v>
      </c>
      <c r="K1404" s="170"/>
      <c r="L1404" s="193" t="s">
        <v>13223</v>
      </c>
    </row>
    <row r="1405" spans="1:12" ht="15.75">
      <c r="A1405" s="67">
        <f t="shared" si="21"/>
        <v>1403</v>
      </c>
      <c r="B1405" s="164">
        <v>1403</v>
      </c>
      <c r="C1405" s="193" t="s">
        <v>2698</v>
      </c>
      <c r="D1405" s="195" t="s">
        <v>5966</v>
      </c>
      <c r="E1405" s="193" t="s">
        <v>8778</v>
      </c>
      <c r="F1405" s="193" t="s">
        <v>114</v>
      </c>
      <c r="G1405" s="195" t="s">
        <v>10297</v>
      </c>
      <c r="H1405" s="166" t="s">
        <v>13436</v>
      </c>
      <c r="I1405" s="193" t="s">
        <v>12820</v>
      </c>
      <c r="J1405" s="193" t="s">
        <v>147</v>
      </c>
      <c r="K1405" s="170"/>
      <c r="L1405" s="193" t="s">
        <v>146</v>
      </c>
    </row>
    <row r="1406" spans="1:12" ht="30">
      <c r="A1406" s="67">
        <f t="shared" si="21"/>
        <v>1404</v>
      </c>
      <c r="B1406" s="164">
        <v>1404</v>
      </c>
      <c r="C1406" s="193" t="s">
        <v>2699</v>
      </c>
      <c r="D1406" s="195" t="s">
        <v>5967</v>
      </c>
      <c r="E1406" s="193" t="s">
        <v>8779</v>
      </c>
      <c r="F1406" s="193" t="s">
        <v>114</v>
      </c>
      <c r="G1406" s="195" t="s">
        <v>292</v>
      </c>
      <c r="H1406" s="166" t="s">
        <v>13436</v>
      </c>
      <c r="I1406" s="193" t="s">
        <v>12827</v>
      </c>
      <c r="J1406" s="193" t="s">
        <v>146</v>
      </c>
      <c r="K1406" s="170"/>
      <c r="L1406" s="193" t="s">
        <v>13224</v>
      </c>
    </row>
    <row r="1407" spans="1:12" ht="30">
      <c r="A1407" s="67">
        <f t="shared" si="21"/>
        <v>1405</v>
      </c>
      <c r="B1407" s="164">
        <v>1405</v>
      </c>
      <c r="C1407" s="193" t="s">
        <v>2700</v>
      </c>
      <c r="D1407" s="195" t="s">
        <v>5968</v>
      </c>
      <c r="E1407" s="193" t="s">
        <v>475</v>
      </c>
      <c r="F1407" s="193" t="s">
        <v>114</v>
      </c>
      <c r="G1407" s="195" t="s">
        <v>11008</v>
      </c>
      <c r="H1407" s="166" t="s">
        <v>13436</v>
      </c>
      <c r="I1407" s="193" t="s">
        <v>12820</v>
      </c>
      <c r="J1407" s="219" t="s">
        <v>12453</v>
      </c>
      <c r="K1407" s="170"/>
      <c r="L1407" s="219" t="s">
        <v>146</v>
      </c>
    </row>
    <row r="1408" spans="1:12" ht="30">
      <c r="A1408" s="67">
        <f t="shared" si="21"/>
        <v>1406</v>
      </c>
      <c r="B1408" s="164">
        <v>1406</v>
      </c>
      <c r="C1408" s="193" t="s">
        <v>2701</v>
      </c>
      <c r="D1408" s="195" t="s">
        <v>5969</v>
      </c>
      <c r="E1408" s="193" t="s">
        <v>153</v>
      </c>
      <c r="F1408" s="193" t="s">
        <v>114</v>
      </c>
      <c r="G1408" s="195" t="s">
        <v>11009</v>
      </c>
      <c r="H1408" s="166" t="s">
        <v>13436</v>
      </c>
      <c r="I1408" s="193" t="s">
        <v>12820</v>
      </c>
      <c r="J1408" s="219" t="s">
        <v>12454</v>
      </c>
      <c r="K1408" s="170"/>
      <c r="L1408" s="193" t="s">
        <v>13225</v>
      </c>
    </row>
    <row r="1409" spans="1:12" ht="30">
      <c r="A1409" s="67">
        <f t="shared" si="21"/>
        <v>1407</v>
      </c>
      <c r="B1409" s="164">
        <v>1407</v>
      </c>
      <c r="C1409" s="193" t="s">
        <v>2702</v>
      </c>
      <c r="D1409" s="195" t="s">
        <v>5970</v>
      </c>
      <c r="E1409" s="193" t="s">
        <v>165</v>
      </c>
      <c r="F1409" s="193" t="s">
        <v>114</v>
      </c>
      <c r="G1409" s="195" t="s">
        <v>11010</v>
      </c>
      <c r="H1409" s="166" t="s">
        <v>13436</v>
      </c>
      <c r="I1409" s="193" t="s">
        <v>12836</v>
      </c>
      <c r="J1409" s="193" t="s">
        <v>146</v>
      </c>
      <c r="K1409" s="170"/>
      <c r="L1409" s="193" t="s">
        <v>13226</v>
      </c>
    </row>
    <row r="1410" spans="1:12" ht="15.75">
      <c r="A1410" s="67">
        <f t="shared" si="21"/>
        <v>1408</v>
      </c>
      <c r="B1410" s="164">
        <v>1408</v>
      </c>
      <c r="C1410" s="193" t="s">
        <v>2703</v>
      </c>
      <c r="D1410" s="195" t="s">
        <v>5971</v>
      </c>
      <c r="E1410" s="193" t="s">
        <v>8780</v>
      </c>
      <c r="F1410" s="193" t="s">
        <v>114</v>
      </c>
      <c r="G1410" s="195" t="s">
        <v>11011</v>
      </c>
      <c r="H1410" s="166" t="s">
        <v>13436</v>
      </c>
      <c r="I1410" s="193" t="s">
        <v>12836</v>
      </c>
      <c r="J1410" s="193" t="s">
        <v>146</v>
      </c>
      <c r="K1410" s="170"/>
      <c r="L1410" s="193" t="s">
        <v>146</v>
      </c>
    </row>
    <row r="1411" spans="1:12" ht="15.75">
      <c r="A1411" s="67">
        <f t="shared" ref="A1411:A1474" si="22">IFERROR(VALUE(RIGHT(C1411,4)),"")</f>
        <v>1409</v>
      </c>
      <c r="B1411" s="164">
        <v>1409</v>
      </c>
      <c r="C1411" s="193" t="s">
        <v>2704</v>
      </c>
      <c r="D1411" s="195" t="s">
        <v>5972</v>
      </c>
      <c r="E1411" s="193" t="s">
        <v>8395</v>
      </c>
      <c r="F1411" s="193" t="s">
        <v>114</v>
      </c>
      <c r="G1411" s="195" t="s">
        <v>11012</v>
      </c>
      <c r="H1411" s="166" t="s">
        <v>13436</v>
      </c>
      <c r="I1411" s="193" t="s">
        <v>12836</v>
      </c>
      <c r="J1411" s="193" t="s">
        <v>146</v>
      </c>
      <c r="K1411" s="170"/>
      <c r="L1411" s="193" t="s">
        <v>146</v>
      </c>
    </row>
    <row r="1412" spans="1:12" ht="60">
      <c r="A1412" s="67">
        <f t="shared" si="22"/>
        <v>1410</v>
      </c>
      <c r="B1412" s="164">
        <v>1410</v>
      </c>
      <c r="C1412" s="193" t="s">
        <v>2705</v>
      </c>
      <c r="D1412" s="195" t="s">
        <v>5973</v>
      </c>
      <c r="E1412" s="193" t="s">
        <v>8781</v>
      </c>
      <c r="F1412" s="193" t="s">
        <v>114</v>
      </c>
      <c r="G1412" s="195" t="s">
        <v>10327</v>
      </c>
      <c r="H1412" s="166" t="s">
        <v>13436</v>
      </c>
      <c r="I1412" s="193" t="s">
        <v>12836</v>
      </c>
      <c r="J1412" s="193" t="s">
        <v>146</v>
      </c>
      <c r="K1412" s="170"/>
      <c r="L1412" s="193" t="s">
        <v>13227</v>
      </c>
    </row>
    <row r="1413" spans="1:12" ht="30">
      <c r="A1413" s="67">
        <f t="shared" si="22"/>
        <v>1411</v>
      </c>
      <c r="B1413" s="164">
        <v>1411</v>
      </c>
      <c r="C1413" s="193" t="s">
        <v>2706</v>
      </c>
      <c r="D1413" s="195" t="s">
        <v>5974</v>
      </c>
      <c r="E1413" s="193" t="s">
        <v>455</v>
      </c>
      <c r="F1413" s="193" t="s">
        <v>114</v>
      </c>
      <c r="G1413" s="195" t="s">
        <v>10539</v>
      </c>
      <c r="H1413" s="166" t="s">
        <v>13436</v>
      </c>
      <c r="I1413" s="193" t="s">
        <v>12836</v>
      </c>
      <c r="J1413" s="193" t="s">
        <v>12455</v>
      </c>
      <c r="K1413" s="170"/>
      <c r="L1413" s="193" t="s">
        <v>146</v>
      </c>
    </row>
    <row r="1414" spans="1:12" ht="30">
      <c r="A1414" s="67">
        <f t="shared" si="22"/>
        <v>1412</v>
      </c>
      <c r="B1414" s="164">
        <v>1412</v>
      </c>
      <c r="C1414" s="193" t="s">
        <v>2707</v>
      </c>
      <c r="D1414" s="195" t="s">
        <v>5975</v>
      </c>
      <c r="E1414" s="193" t="s">
        <v>8471</v>
      </c>
      <c r="F1414" s="193" t="s">
        <v>114</v>
      </c>
      <c r="G1414" s="195" t="s">
        <v>742</v>
      </c>
      <c r="H1414" s="166" t="s">
        <v>13436</v>
      </c>
      <c r="I1414" s="193" t="s">
        <v>12836</v>
      </c>
      <c r="J1414" s="193" t="s">
        <v>12456</v>
      </c>
      <c r="K1414" s="170"/>
      <c r="L1414" s="193" t="s">
        <v>146</v>
      </c>
    </row>
    <row r="1415" spans="1:12" ht="30">
      <c r="A1415" s="67">
        <f t="shared" si="22"/>
        <v>1413</v>
      </c>
      <c r="B1415" s="164">
        <v>1413</v>
      </c>
      <c r="C1415" s="193" t="s">
        <v>2708</v>
      </c>
      <c r="D1415" s="195" t="s">
        <v>5976</v>
      </c>
      <c r="E1415" s="193" t="s">
        <v>393</v>
      </c>
      <c r="F1415" s="193" t="s">
        <v>114</v>
      </c>
      <c r="G1415" s="195" t="s">
        <v>956</v>
      </c>
      <c r="H1415" s="166" t="s">
        <v>13436</v>
      </c>
      <c r="I1415" s="193" t="s">
        <v>12836</v>
      </c>
      <c r="J1415" s="193" t="s">
        <v>147</v>
      </c>
      <c r="K1415" s="170"/>
      <c r="L1415" s="193" t="s">
        <v>13228</v>
      </c>
    </row>
    <row r="1416" spans="1:12" ht="15.75">
      <c r="A1416" s="67">
        <f t="shared" si="22"/>
        <v>1414</v>
      </c>
      <c r="B1416" s="164">
        <v>1414</v>
      </c>
      <c r="C1416" s="193" t="s">
        <v>2709</v>
      </c>
      <c r="D1416" s="195" t="s">
        <v>5977</v>
      </c>
      <c r="E1416" s="193" t="s">
        <v>8782</v>
      </c>
      <c r="F1416" s="193" t="s">
        <v>114</v>
      </c>
      <c r="G1416" s="195" t="s">
        <v>11013</v>
      </c>
      <c r="H1416" s="166" t="s">
        <v>13436</v>
      </c>
      <c r="I1416" s="193" t="s">
        <v>12827</v>
      </c>
      <c r="J1416" s="193" t="s">
        <v>146</v>
      </c>
      <c r="K1416" s="170"/>
      <c r="L1416" s="193" t="s">
        <v>146</v>
      </c>
    </row>
    <row r="1417" spans="1:12" ht="30">
      <c r="A1417" s="67">
        <f t="shared" si="22"/>
        <v>1415</v>
      </c>
      <c r="B1417" s="164">
        <v>1415</v>
      </c>
      <c r="C1417" s="193" t="s">
        <v>2710</v>
      </c>
      <c r="D1417" s="195" t="s">
        <v>5978</v>
      </c>
      <c r="E1417" s="193" t="s">
        <v>165</v>
      </c>
      <c r="F1417" s="193" t="s">
        <v>114</v>
      </c>
      <c r="G1417" s="195" t="s">
        <v>11014</v>
      </c>
      <c r="H1417" s="166" t="s">
        <v>13436</v>
      </c>
      <c r="I1417" s="193" t="s">
        <v>12836</v>
      </c>
      <c r="J1417" s="193" t="s">
        <v>12457</v>
      </c>
      <c r="K1417" s="170"/>
      <c r="L1417" s="193" t="s">
        <v>146</v>
      </c>
    </row>
    <row r="1418" spans="1:12" ht="15.75">
      <c r="A1418" s="67">
        <f t="shared" si="22"/>
        <v>1416</v>
      </c>
      <c r="B1418" s="164">
        <v>1416</v>
      </c>
      <c r="C1418" s="193" t="s">
        <v>2711</v>
      </c>
      <c r="D1418" s="203" t="s">
        <v>5979</v>
      </c>
      <c r="E1418" s="193" t="s">
        <v>8783</v>
      </c>
      <c r="F1418" s="193" t="s">
        <v>114</v>
      </c>
      <c r="G1418" s="195" t="s">
        <v>11015</v>
      </c>
      <c r="H1418" s="166" t="s">
        <v>13436</v>
      </c>
      <c r="I1418" s="193" t="s">
        <v>12827</v>
      </c>
      <c r="J1418" s="193" t="s">
        <v>146</v>
      </c>
      <c r="K1418" s="170"/>
      <c r="L1418" s="193" t="s">
        <v>146</v>
      </c>
    </row>
    <row r="1419" spans="1:12" ht="15.75">
      <c r="A1419" s="67">
        <f t="shared" si="22"/>
        <v>1417</v>
      </c>
      <c r="B1419" s="164">
        <v>1417</v>
      </c>
      <c r="C1419" s="193" t="s">
        <v>2712</v>
      </c>
      <c r="D1419" s="195" t="s">
        <v>5980</v>
      </c>
      <c r="E1419" s="193" t="s">
        <v>8784</v>
      </c>
      <c r="F1419" s="193" t="s">
        <v>114</v>
      </c>
      <c r="G1419" s="195" t="s">
        <v>979</v>
      </c>
      <c r="H1419" s="166" t="s">
        <v>13436</v>
      </c>
      <c r="I1419" s="193" t="s">
        <v>12820</v>
      </c>
      <c r="J1419" s="193" t="s">
        <v>146</v>
      </c>
      <c r="K1419" s="170"/>
      <c r="L1419" s="193" t="s">
        <v>146</v>
      </c>
    </row>
    <row r="1420" spans="1:12" ht="30">
      <c r="A1420" s="67">
        <f t="shared" si="22"/>
        <v>1418</v>
      </c>
      <c r="B1420" s="164">
        <v>1418</v>
      </c>
      <c r="C1420" s="193" t="s">
        <v>2713</v>
      </c>
      <c r="D1420" s="195" t="s">
        <v>5981</v>
      </c>
      <c r="E1420" s="193" t="s">
        <v>571</v>
      </c>
      <c r="F1420" s="193" t="s">
        <v>114</v>
      </c>
      <c r="G1420" s="195" t="s">
        <v>11016</v>
      </c>
      <c r="H1420" s="166" t="s">
        <v>13436</v>
      </c>
      <c r="I1420" s="193" t="s">
        <v>12829</v>
      </c>
      <c r="J1420" s="193" t="s">
        <v>12458</v>
      </c>
      <c r="K1420" s="170"/>
      <c r="L1420" s="193" t="s">
        <v>146</v>
      </c>
    </row>
    <row r="1421" spans="1:12" ht="15.75">
      <c r="A1421" s="67">
        <f t="shared" si="22"/>
        <v>1419</v>
      </c>
      <c r="B1421" s="164">
        <v>1419</v>
      </c>
      <c r="C1421" s="193" t="s">
        <v>2714</v>
      </c>
      <c r="D1421" s="195" t="s">
        <v>5982</v>
      </c>
      <c r="E1421" s="193" t="s">
        <v>8785</v>
      </c>
      <c r="F1421" s="193" t="s">
        <v>59</v>
      </c>
      <c r="G1421" s="195" t="s">
        <v>11017</v>
      </c>
      <c r="H1421" s="166" t="s">
        <v>13436</v>
      </c>
      <c r="I1421" s="193" t="s">
        <v>12825</v>
      </c>
      <c r="J1421" s="219" t="s">
        <v>146</v>
      </c>
      <c r="K1421" s="170"/>
      <c r="L1421" s="193"/>
    </row>
    <row r="1422" spans="1:12" ht="15.75">
      <c r="A1422" s="67">
        <f t="shared" si="22"/>
        <v>1420</v>
      </c>
      <c r="B1422" s="164">
        <v>1420</v>
      </c>
      <c r="C1422" s="193" t="s">
        <v>2715</v>
      </c>
      <c r="D1422" s="195" t="s">
        <v>5983</v>
      </c>
      <c r="E1422" s="193" t="s">
        <v>8786</v>
      </c>
      <c r="F1422" s="193" t="s">
        <v>59</v>
      </c>
      <c r="G1422" s="195" t="s">
        <v>11018</v>
      </c>
      <c r="H1422" s="166" t="s">
        <v>13436</v>
      </c>
      <c r="I1422" s="193" t="s">
        <v>12825</v>
      </c>
      <c r="J1422" s="219" t="s">
        <v>146</v>
      </c>
      <c r="K1422" s="170"/>
      <c r="L1422" s="193"/>
    </row>
    <row r="1423" spans="1:12" ht="15.75">
      <c r="A1423" s="67">
        <f t="shared" si="22"/>
        <v>1421</v>
      </c>
      <c r="B1423" s="164">
        <v>1421</v>
      </c>
      <c r="C1423" s="193" t="s">
        <v>2716</v>
      </c>
      <c r="D1423" s="195" t="s">
        <v>5984</v>
      </c>
      <c r="E1423" s="193" t="s">
        <v>8787</v>
      </c>
      <c r="F1423" s="193" t="s">
        <v>114</v>
      </c>
      <c r="G1423" s="195" t="s">
        <v>11019</v>
      </c>
      <c r="H1423" s="166" t="s">
        <v>13436</v>
      </c>
      <c r="I1423" s="193" t="s">
        <v>12825</v>
      </c>
      <c r="J1423" s="219" t="s">
        <v>146</v>
      </c>
      <c r="K1423" s="170"/>
      <c r="L1423" s="193" t="s">
        <v>146</v>
      </c>
    </row>
    <row r="1424" spans="1:12" ht="30">
      <c r="A1424" s="67">
        <f t="shared" si="22"/>
        <v>1422</v>
      </c>
      <c r="B1424" s="164">
        <v>1422</v>
      </c>
      <c r="C1424" s="193" t="s">
        <v>2717</v>
      </c>
      <c r="D1424" s="195" t="s">
        <v>5985</v>
      </c>
      <c r="E1424" s="193" t="s">
        <v>153</v>
      </c>
      <c r="F1424" s="193" t="s">
        <v>114</v>
      </c>
      <c r="G1424" s="195" t="s">
        <v>974</v>
      </c>
      <c r="H1424" s="166" t="s">
        <v>13436</v>
      </c>
      <c r="I1424" s="193" t="s">
        <v>12825</v>
      </c>
      <c r="J1424" s="193" t="s">
        <v>12459</v>
      </c>
      <c r="K1424" s="170"/>
      <c r="L1424" s="193" t="s">
        <v>146</v>
      </c>
    </row>
    <row r="1425" spans="1:12" ht="15.75">
      <c r="A1425" s="67">
        <f t="shared" si="22"/>
        <v>1423</v>
      </c>
      <c r="B1425" s="164">
        <v>1423</v>
      </c>
      <c r="C1425" s="193" t="s">
        <v>2718</v>
      </c>
      <c r="D1425" s="195" t="s">
        <v>5986</v>
      </c>
      <c r="E1425" s="193" t="s">
        <v>180</v>
      </c>
      <c r="F1425" s="193" t="s">
        <v>114</v>
      </c>
      <c r="G1425" s="195" t="s">
        <v>10788</v>
      </c>
      <c r="H1425" s="166" t="s">
        <v>13436</v>
      </c>
      <c r="I1425" s="193" t="s">
        <v>12825</v>
      </c>
      <c r="J1425" s="193" t="s">
        <v>146</v>
      </c>
      <c r="K1425" s="170"/>
      <c r="L1425" s="193" t="s">
        <v>146</v>
      </c>
    </row>
    <row r="1426" spans="1:12" ht="15.75">
      <c r="A1426" s="67">
        <f t="shared" si="22"/>
        <v>1424</v>
      </c>
      <c r="B1426" s="164">
        <v>1424</v>
      </c>
      <c r="C1426" s="193" t="s">
        <v>2719</v>
      </c>
      <c r="D1426" s="195" t="s">
        <v>5987</v>
      </c>
      <c r="E1426" s="193" t="s">
        <v>8788</v>
      </c>
      <c r="F1426" s="193" t="s">
        <v>114</v>
      </c>
      <c r="G1426" s="195" t="s">
        <v>238</v>
      </c>
      <c r="H1426" s="166" t="s">
        <v>13436</v>
      </c>
      <c r="I1426" s="193" t="s">
        <v>12814</v>
      </c>
      <c r="J1426" s="193" t="s">
        <v>1252</v>
      </c>
      <c r="K1426" s="170"/>
      <c r="L1426" s="193" t="s">
        <v>146</v>
      </c>
    </row>
    <row r="1427" spans="1:12" ht="30">
      <c r="A1427" s="67">
        <f t="shared" si="22"/>
        <v>1425</v>
      </c>
      <c r="B1427" s="164">
        <v>1425</v>
      </c>
      <c r="C1427" s="193" t="s">
        <v>2720</v>
      </c>
      <c r="D1427" s="195" t="s">
        <v>5988</v>
      </c>
      <c r="E1427" s="193" t="s">
        <v>8789</v>
      </c>
      <c r="F1427" s="193" t="s">
        <v>114</v>
      </c>
      <c r="G1427" s="195" t="s">
        <v>11020</v>
      </c>
      <c r="H1427" s="166" t="s">
        <v>13436</v>
      </c>
      <c r="I1427" s="193" t="s">
        <v>12814</v>
      </c>
      <c r="J1427" s="193" t="s">
        <v>12460</v>
      </c>
      <c r="K1427" s="170"/>
      <c r="L1427" s="193" t="s">
        <v>146</v>
      </c>
    </row>
    <row r="1428" spans="1:12" ht="15.75">
      <c r="A1428" s="67">
        <f t="shared" si="22"/>
        <v>1426</v>
      </c>
      <c r="B1428" s="164">
        <v>1426</v>
      </c>
      <c r="C1428" s="193" t="s">
        <v>2721</v>
      </c>
      <c r="D1428" s="195" t="s">
        <v>5989</v>
      </c>
      <c r="E1428" s="193" t="s">
        <v>344</v>
      </c>
      <c r="F1428" s="193" t="s">
        <v>114</v>
      </c>
      <c r="G1428" s="195" t="s">
        <v>11021</v>
      </c>
      <c r="H1428" s="166" t="s">
        <v>13436</v>
      </c>
      <c r="I1428" s="193" t="s">
        <v>12814</v>
      </c>
      <c r="J1428" s="193" t="s">
        <v>1252</v>
      </c>
      <c r="K1428" s="170"/>
      <c r="L1428" s="193" t="s">
        <v>146</v>
      </c>
    </row>
    <row r="1429" spans="1:12" ht="15.75">
      <c r="A1429" s="67">
        <f t="shared" si="22"/>
        <v>1427</v>
      </c>
      <c r="B1429" s="164">
        <v>1427</v>
      </c>
      <c r="C1429" s="193" t="s">
        <v>2722</v>
      </c>
      <c r="D1429" s="195" t="s">
        <v>5990</v>
      </c>
      <c r="E1429" s="193" t="s">
        <v>8790</v>
      </c>
      <c r="F1429" s="193" t="s">
        <v>114</v>
      </c>
      <c r="G1429" s="195" t="s">
        <v>11022</v>
      </c>
      <c r="H1429" s="166" t="s">
        <v>13436</v>
      </c>
      <c r="I1429" s="193" t="s">
        <v>12814</v>
      </c>
      <c r="J1429" s="193" t="s">
        <v>146</v>
      </c>
      <c r="K1429" s="170"/>
      <c r="L1429" s="193" t="s">
        <v>146</v>
      </c>
    </row>
    <row r="1430" spans="1:12" ht="15.75">
      <c r="A1430" s="67">
        <f t="shared" si="22"/>
        <v>1428</v>
      </c>
      <c r="B1430" s="164">
        <v>1428</v>
      </c>
      <c r="C1430" s="193" t="s">
        <v>2723</v>
      </c>
      <c r="D1430" s="195" t="s">
        <v>5991</v>
      </c>
      <c r="E1430" s="193" t="s">
        <v>8791</v>
      </c>
      <c r="F1430" s="193" t="s">
        <v>114</v>
      </c>
      <c r="G1430" s="195" t="s">
        <v>11023</v>
      </c>
      <c r="H1430" s="166" t="s">
        <v>13436</v>
      </c>
      <c r="I1430" s="193" t="s">
        <v>12814</v>
      </c>
      <c r="J1430" s="193" t="s">
        <v>12461</v>
      </c>
      <c r="K1430" s="170"/>
      <c r="L1430" s="193" t="s">
        <v>146</v>
      </c>
    </row>
    <row r="1431" spans="1:12" ht="30">
      <c r="A1431" s="67">
        <f t="shared" si="22"/>
        <v>1429</v>
      </c>
      <c r="B1431" s="164">
        <v>1429</v>
      </c>
      <c r="C1431" s="193" t="s">
        <v>2724</v>
      </c>
      <c r="D1431" s="195" t="s">
        <v>5992</v>
      </c>
      <c r="E1431" s="193" t="s">
        <v>8792</v>
      </c>
      <c r="F1431" s="193" t="s">
        <v>114</v>
      </c>
      <c r="G1431" s="195" t="s">
        <v>11024</v>
      </c>
      <c r="H1431" s="166" t="s">
        <v>13436</v>
      </c>
      <c r="I1431" s="193" t="s">
        <v>12814</v>
      </c>
      <c r="J1431" s="193" t="s">
        <v>12462</v>
      </c>
      <c r="K1431" s="170"/>
      <c r="L1431" s="193" t="s">
        <v>13229</v>
      </c>
    </row>
    <row r="1432" spans="1:12" ht="15.75">
      <c r="A1432" s="67">
        <f t="shared" si="22"/>
        <v>1430</v>
      </c>
      <c r="B1432" s="164">
        <v>1430</v>
      </c>
      <c r="C1432" s="193" t="s">
        <v>2725</v>
      </c>
      <c r="D1432" s="195" t="s">
        <v>5993</v>
      </c>
      <c r="E1432" s="193" t="s">
        <v>8793</v>
      </c>
      <c r="F1432" s="193" t="s">
        <v>114</v>
      </c>
      <c r="G1432" s="195" t="s">
        <v>11025</v>
      </c>
      <c r="H1432" s="166" t="s">
        <v>13436</v>
      </c>
      <c r="I1432" s="193" t="s">
        <v>12814</v>
      </c>
      <c r="J1432" s="193" t="s">
        <v>146</v>
      </c>
      <c r="K1432" s="170"/>
      <c r="L1432" s="193" t="s">
        <v>146</v>
      </c>
    </row>
    <row r="1433" spans="1:12" ht="75">
      <c r="A1433" s="67">
        <f t="shared" si="22"/>
        <v>1431</v>
      </c>
      <c r="B1433" s="164">
        <v>1431</v>
      </c>
      <c r="C1433" s="193" t="s">
        <v>2726</v>
      </c>
      <c r="D1433" s="195" t="s">
        <v>5994</v>
      </c>
      <c r="E1433" s="193" t="s">
        <v>8794</v>
      </c>
      <c r="F1433" s="193" t="s">
        <v>114</v>
      </c>
      <c r="G1433" s="195" t="s">
        <v>11026</v>
      </c>
      <c r="H1433" s="166" t="s">
        <v>13436</v>
      </c>
      <c r="I1433" s="193" t="s">
        <v>12814</v>
      </c>
      <c r="J1433" s="193" t="s">
        <v>146</v>
      </c>
      <c r="K1433" s="170"/>
      <c r="L1433" s="193" t="s">
        <v>13230</v>
      </c>
    </row>
    <row r="1434" spans="1:12" ht="30">
      <c r="A1434" s="67">
        <f t="shared" si="22"/>
        <v>1432</v>
      </c>
      <c r="B1434" s="164">
        <v>1432</v>
      </c>
      <c r="C1434" s="193" t="s">
        <v>2727</v>
      </c>
      <c r="D1434" s="195" t="s">
        <v>5995</v>
      </c>
      <c r="E1434" s="193" t="s">
        <v>8795</v>
      </c>
      <c r="F1434" s="193" t="s">
        <v>114</v>
      </c>
      <c r="G1434" s="195" t="s">
        <v>10502</v>
      </c>
      <c r="H1434" s="166" t="s">
        <v>13436</v>
      </c>
      <c r="I1434" s="193" t="s">
        <v>12814</v>
      </c>
      <c r="J1434" s="193" t="s">
        <v>146</v>
      </c>
      <c r="K1434" s="170"/>
      <c r="L1434" s="193" t="s">
        <v>13231</v>
      </c>
    </row>
    <row r="1435" spans="1:12" ht="15.75">
      <c r="A1435" s="67">
        <f t="shared" si="22"/>
        <v>1433</v>
      </c>
      <c r="B1435" s="164">
        <v>1433</v>
      </c>
      <c r="C1435" s="193" t="s">
        <v>2728</v>
      </c>
      <c r="D1435" s="197" t="s">
        <v>5996</v>
      </c>
      <c r="E1435" s="193" t="s">
        <v>178</v>
      </c>
      <c r="F1435" s="193" t="s">
        <v>114</v>
      </c>
      <c r="G1435" s="195" t="s">
        <v>11027</v>
      </c>
      <c r="H1435" s="166" t="s">
        <v>13436</v>
      </c>
      <c r="I1435" s="193" t="s">
        <v>12816</v>
      </c>
      <c r="J1435" s="193" t="s">
        <v>146</v>
      </c>
      <c r="K1435" s="170"/>
      <c r="L1435" s="193" t="s">
        <v>146</v>
      </c>
    </row>
    <row r="1436" spans="1:12" ht="15.75">
      <c r="A1436" s="67">
        <f t="shared" si="22"/>
        <v>1434</v>
      </c>
      <c r="B1436" s="164">
        <v>1434</v>
      </c>
      <c r="C1436" s="193" t="s">
        <v>2729</v>
      </c>
      <c r="D1436" s="195" t="s">
        <v>5997</v>
      </c>
      <c r="E1436" s="193" t="s">
        <v>8796</v>
      </c>
      <c r="F1436" s="193" t="s">
        <v>114</v>
      </c>
      <c r="G1436" s="195" t="s">
        <v>11028</v>
      </c>
      <c r="H1436" s="166" t="s">
        <v>13436</v>
      </c>
      <c r="I1436" s="193" t="s">
        <v>12814</v>
      </c>
      <c r="J1436" s="193" t="s">
        <v>146</v>
      </c>
      <c r="K1436" s="170"/>
      <c r="L1436" s="193" t="s">
        <v>146</v>
      </c>
    </row>
    <row r="1437" spans="1:12" ht="15.75">
      <c r="A1437" s="67">
        <f t="shared" si="22"/>
        <v>1435</v>
      </c>
      <c r="B1437" s="164">
        <v>1435</v>
      </c>
      <c r="C1437" s="193" t="s">
        <v>2730</v>
      </c>
      <c r="D1437" s="195" t="s">
        <v>5998</v>
      </c>
      <c r="E1437" s="193" t="s">
        <v>8797</v>
      </c>
      <c r="F1437" s="193" t="s">
        <v>114</v>
      </c>
      <c r="G1437" s="195" t="s">
        <v>1116</v>
      </c>
      <c r="H1437" s="166" t="s">
        <v>13436</v>
      </c>
      <c r="I1437" s="193" t="s">
        <v>12819</v>
      </c>
      <c r="J1437" s="193" t="s">
        <v>146</v>
      </c>
      <c r="K1437" s="170"/>
      <c r="L1437" s="193" t="s">
        <v>146</v>
      </c>
    </row>
    <row r="1438" spans="1:12" ht="15.75">
      <c r="A1438" s="67">
        <f t="shared" si="22"/>
        <v>1436</v>
      </c>
      <c r="B1438" s="164">
        <v>1436</v>
      </c>
      <c r="C1438" s="193" t="s">
        <v>2731</v>
      </c>
      <c r="D1438" s="211" t="s">
        <v>5999</v>
      </c>
      <c r="E1438" s="193" t="s">
        <v>8798</v>
      </c>
      <c r="F1438" s="193" t="s">
        <v>114</v>
      </c>
      <c r="G1438" s="195" t="s">
        <v>10833</v>
      </c>
      <c r="H1438" s="166" t="s">
        <v>13436</v>
      </c>
      <c r="I1438" s="193" t="s">
        <v>12838</v>
      </c>
      <c r="J1438" s="193" t="s">
        <v>146</v>
      </c>
      <c r="K1438" s="170"/>
      <c r="L1438" s="193" t="s">
        <v>146</v>
      </c>
    </row>
    <row r="1439" spans="1:12" ht="15.75">
      <c r="A1439" s="67">
        <f t="shared" si="22"/>
        <v>1437</v>
      </c>
      <c r="B1439" s="164">
        <v>1437</v>
      </c>
      <c r="C1439" s="193" t="s">
        <v>2732</v>
      </c>
      <c r="D1439" s="195" t="s">
        <v>6000</v>
      </c>
      <c r="E1439" s="193" t="s">
        <v>8799</v>
      </c>
      <c r="F1439" s="193" t="s">
        <v>114</v>
      </c>
      <c r="G1439" s="195" t="s">
        <v>695</v>
      </c>
      <c r="H1439" s="166" t="s">
        <v>13436</v>
      </c>
      <c r="I1439" s="193" t="s">
        <v>12838</v>
      </c>
      <c r="J1439" s="193" t="s">
        <v>146</v>
      </c>
      <c r="K1439" s="170"/>
      <c r="L1439" s="193" t="s">
        <v>146</v>
      </c>
    </row>
    <row r="1440" spans="1:12" ht="15.75">
      <c r="A1440" s="67">
        <f t="shared" si="22"/>
        <v>1438</v>
      </c>
      <c r="B1440" s="164">
        <v>1438</v>
      </c>
      <c r="C1440" s="193" t="s">
        <v>2733</v>
      </c>
      <c r="D1440" s="195" t="s">
        <v>6001</v>
      </c>
      <c r="E1440" s="193" t="s">
        <v>556</v>
      </c>
      <c r="F1440" s="193" t="s">
        <v>114</v>
      </c>
      <c r="G1440" s="195" t="s">
        <v>805</v>
      </c>
      <c r="H1440" s="166" t="s">
        <v>13436</v>
      </c>
      <c r="I1440" s="193" t="s">
        <v>12817</v>
      </c>
      <c r="J1440" s="193" t="s">
        <v>146</v>
      </c>
      <c r="K1440" s="170"/>
      <c r="L1440" s="193" t="s">
        <v>146</v>
      </c>
    </row>
    <row r="1441" spans="1:12" ht="75">
      <c r="A1441" s="67">
        <f t="shared" si="22"/>
        <v>1439</v>
      </c>
      <c r="B1441" s="164">
        <v>1439</v>
      </c>
      <c r="C1441" s="193" t="s">
        <v>2734</v>
      </c>
      <c r="D1441" s="195" t="s">
        <v>6002</v>
      </c>
      <c r="E1441" s="193" t="s">
        <v>8800</v>
      </c>
      <c r="F1441" s="193" t="s">
        <v>114</v>
      </c>
      <c r="G1441" s="195" t="s">
        <v>10866</v>
      </c>
      <c r="H1441" s="166" t="s">
        <v>13436</v>
      </c>
      <c r="I1441" s="193" t="s">
        <v>12814</v>
      </c>
      <c r="J1441" s="193" t="s">
        <v>146</v>
      </c>
      <c r="K1441" s="170"/>
      <c r="L1441" s="193" t="s">
        <v>13232</v>
      </c>
    </row>
    <row r="1442" spans="1:12" ht="30">
      <c r="A1442" s="67">
        <f t="shared" si="22"/>
        <v>1440</v>
      </c>
      <c r="B1442" s="164">
        <v>1440</v>
      </c>
      <c r="C1442" s="193" t="s">
        <v>2735</v>
      </c>
      <c r="D1442" s="195" t="s">
        <v>6003</v>
      </c>
      <c r="E1442" s="193" t="s">
        <v>8801</v>
      </c>
      <c r="F1442" s="193" t="s">
        <v>114</v>
      </c>
      <c r="G1442" s="195" t="s">
        <v>11029</v>
      </c>
      <c r="H1442" s="166" t="s">
        <v>13436</v>
      </c>
      <c r="I1442" s="193" t="s">
        <v>12827</v>
      </c>
      <c r="J1442" s="193" t="s">
        <v>12463</v>
      </c>
      <c r="K1442" s="170"/>
      <c r="L1442" s="193" t="s">
        <v>13233</v>
      </c>
    </row>
    <row r="1443" spans="1:12" ht="15.75">
      <c r="A1443" s="67">
        <f t="shared" si="22"/>
        <v>1441</v>
      </c>
      <c r="B1443" s="164">
        <v>1441</v>
      </c>
      <c r="C1443" s="193" t="s">
        <v>2736</v>
      </c>
      <c r="D1443" s="195" t="s">
        <v>6004</v>
      </c>
      <c r="E1443" s="193" t="s">
        <v>8802</v>
      </c>
      <c r="F1443" s="193" t="s">
        <v>114</v>
      </c>
      <c r="G1443" s="195" t="s">
        <v>11030</v>
      </c>
      <c r="H1443" s="166" t="s">
        <v>13436</v>
      </c>
      <c r="I1443" s="193" t="s">
        <v>12827</v>
      </c>
      <c r="J1443" s="193" t="s">
        <v>12464</v>
      </c>
      <c r="K1443" s="170"/>
      <c r="L1443" s="193" t="s">
        <v>146</v>
      </c>
    </row>
    <row r="1444" spans="1:12" ht="60">
      <c r="A1444" s="67">
        <f t="shared" si="22"/>
        <v>1442</v>
      </c>
      <c r="B1444" s="164">
        <v>1442</v>
      </c>
      <c r="C1444" s="193" t="s">
        <v>2737</v>
      </c>
      <c r="D1444" s="195" t="s">
        <v>6005</v>
      </c>
      <c r="E1444" s="193" t="s">
        <v>8803</v>
      </c>
      <c r="F1444" s="193" t="s">
        <v>114</v>
      </c>
      <c r="G1444" s="195" t="s">
        <v>10823</v>
      </c>
      <c r="H1444" s="166" t="s">
        <v>13436</v>
      </c>
      <c r="I1444" s="193" t="s">
        <v>12824</v>
      </c>
      <c r="J1444" s="193" t="s">
        <v>146</v>
      </c>
      <c r="K1444" s="170"/>
      <c r="L1444" s="193" t="s">
        <v>13234</v>
      </c>
    </row>
    <row r="1445" spans="1:12" ht="15.75">
      <c r="A1445" s="67">
        <f t="shared" si="22"/>
        <v>1443</v>
      </c>
      <c r="B1445" s="164">
        <v>1443</v>
      </c>
      <c r="C1445" s="193" t="s">
        <v>2738</v>
      </c>
      <c r="D1445" s="195" t="s">
        <v>6006</v>
      </c>
      <c r="E1445" s="193" t="s">
        <v>8804</v>
      </c>
      <c r="F1445" s="193" t="s">
        <v>114</v>
      </c>
      <c r="G1445" s="195" t="s">
        <v>11031</v>
      </c>
      <c r="H1445" s="166" t="s">
        <v>13436</v>
      </c>
      <c r="I1445" s="193" t="s">
        <v>12813</v>
      </c>
      <c r="J1445" s="193" t="s">
        <v>146</v>
      </c>
      <c r="K1445" s="170"/>
      <c r="L1445" s="193" t="s">
        <v>146</v>
      </c>
    </row>
    <row r="1446" spans="1:12" ht="15.75">
      <c r="A1446" s="67">
        <f t="shared" si="22"/>
        <v>1444</v>
      </c>
      <c r="B1446" s="164">
        <v>1444</v>
      </c>
      <c r="C1446" s="193" t="s">
        <v>2739</v>
      </c>
      <c r="D1446" s="195" t="s">
        <v>6007</v>
      </c>
      <c r="E1446" s="193" t="s">
        <v>338</v>
      </c>
      <c r="F1446" s="193" t="s">
        <v>114</v>
      </c>
      <c r="G1446" s="195" t="s">
        <v>11032</v>
      </c>
      <c r="H1446" s="166" t="s">
        <v>13436</v>
      </c>
      <c r="I1446" s="193" t="s">
        <v>12814</v>
      </c>
      <c r="J1446" s="219" t="s">
        <v>146</v>
      </c>
      <c r="K1446" s="170"/>
      <c r="L1446" s="193" t="s">
        <v>146</v>
      </c>
    </row>
    <row r="1447" spans="1:12" ht="30">
      <c r="A1447" s="67">
        <f t="shared" si="22"/>
        <v>1445</v>
      </c>
      <c r="B1447" s="164">
        <v>1445</v>
      </c>
      <c r="C1447" s="193" t="s">
        <v>2740</v>
      </c>
      <c r="D1447" s="195" t="s">
        <v>6008</v>
      </c>
      <c r="E1447" s="193" t="s">
        <v>8805</v>
      </c>
      <c r="F1447" s="193" t="s">
        <v>114</v>
      </c>
      <c r="G1447" s="195" t="s">
        <v>11033</v>
      </c>
      <c r="H1447" s="166" t="s">
        <v>13436</v>
      </c>
      <c r="I1447" s="193" t="s">
        <v>12814</v>
      </c>
      <c r="J1447" s="219" t="s">
        <v>12465</v>
      </c>
      <c r="K1447" s="170"/>
      <c r="L1447" s="193" t="s">
        <v>13235</v>
      </c>
    </row>
    <row r="1448" spans="1:12" ht="15.75">
      <c r="A1448" s="67">
        <f t="shared" si="22"/>
        <v>1446</v>
      </c>
      <c r="B1448" s="164">
        <v>1446</v>
      </c>
      <c r="C1448" s="193" t="s">
        <v>2741</v>
      </c>
      <c r="D1448" s="195" t="s">
        <v>6009</v>
      </c>
      <c r="E1448" s="193" t="s">
        <v>8806</v>
      </c>
      <c r="F1448" s="193" t="s">
        <v>114</v>
      </c>
      <c r="G1448" s="195" t="s">
        <v>11034</v>
      </c>
      <c r="H1448" s="166" t="s">
        <v>13436</v>
      </c>
      <c r="I1448" s="193" t="s">
        <v>12820</v>
      </c>
      <c r="J1448" s="193" t="s">
        <v>146</v>
      </c>
      <c r="K1448" s="170"/>
      <c r="L1448" s="193" t="s">
        <v>146</v>
      </c>
    </row>
    <row r="1449" spans="1:12" ht="15.75">
      <c r="A1449" s="67">
        <f t="shared" si="22"/>
        <v>1447</v>
      </c>
      <c r="B1449" s="164">
        <v>1447</v>
      </c>
      <c r="C1449" s="193" t="s">
        <v>2742</v>
      </c>
      <c r="D1449" s="195" t="s">
        <v>6010</v>
      </c>
      <c r="E1449" s="193" t="s">
        <v>8807</v>
      </c>
      <c r="F1449" s="193" t="s">
        <v>114</v>
      </c>
      <c r="G1449" s="195" t="s">
        <v>11035</v>
      </c>
      <c r="H1449" s="166" t="s">
        <v>13436</v>
      </c>
      <c r="I1449" s="193" t="s">
        <v>12827</v>
      </c>
      <c r="J1449" s="193" t="s">
        <v>146</v>
      </c>
      <c r="K1449" s="170"/>
      <c r="L1449" s="193" t="s">
        <v>146</v>
      </c>
    </row>
    <row r="1450" spans="1:12" ht="15.75">
      <c r="A1450" s="67">
        <f t="shared" si="22"/>
        <v>1448</v>
      </c>
      <c r="B1450" s="164">
        <v>1448</v>
      </c>
      <c r="C1450" s="193" t="s">
        <v>2743</v>
      </c>
      <c r="D1450" s="195" t="s">
        <v>6011</v>
      </c>
      <c r="E1450" s="193" t="s">
        <v>8808</v>
      </c>
      <c r="F1450" s="193" t="s">
        <v>114</v>
      </c>
      <c r="G1450" s="195" t="s">
        <v>11036</v>
      </c>
      <c r="H1450" s="166" t="s">
        <v>13436</v>
      </c>
      <c r="I1450" s="193" t="s">
        <v>12814</v>
      </c>
      <c r="J1450" s="193" t="s">
        <v>146</v>
      </c>
      <c r="K1450" s="170"/>
      <c r="L1450" s="193" t="s">
        <v>146</v>
      </c>
    </row>
    <row r="1451" spans="1:12" ht="30">
      <c r="A1451" s="67">
        <f t="shared" si="22"/>
        <v>1449</v>
      </c>
      <c r="B1451" s="164">
        <v>1449</v>
      </c>
      <c r="C1451" s="193" t="s">
        <v>2744</v>
      </c>
      <c r="D1451" s="195" t="s">
        <v>6012</v>
      </c>
      <c r="E1451" s="193" t="s">
        <v>653</v>
      </c>
      <c r="F1451" s="193" t="s">
        <v>114</v>
      </c>
      <c r="G1451" s="195" t="s">
        <v>11037</v>
      </c>
      <c r="H1451" s="166" t="s">
        <v>13436</v>
      </c>
      <c r="I1451" s="193" t="s">
        <v>12836</v>
      </c>
      <c r="J1451" s="193" t="s">
        <v>12466</v>
      </c>
      <c r="K1451" s="170"/>
      <c r="L1451" s="193" t="s">
        <v>146</v>
      </c>
    </row>
    <row r="1452" spans="1:12" ht="15.75">
      <c r="A1452" s="67">
        <f t="shared" si="22"/>
        <v>1450</v>
      </c>
      <c r="B1452" s="164">
        <v>1450</v>
      </c>
      <c r="C1452" s="193" t="s">
        <v>2745</v>
      </c>
      <c r="D1452" s="195" t="s">
        <v>6013</v>
      </c>
      <c r="E1452" s="193" t="s">
        <v>8221</v>
      </c>
      <c r="F1452" s="193" t="s">
        <v>114</v>
      </c>
      <c r="G1452" s="195" t="s">
        <v>11038</v>
      </c>
      <c r="H1452" s="166" t="s">
        <v>13436</v>
      </c>
      <c r="I1452" s="193" t="s">
        <v>12827</v>
      </c>
      <c r="J1452" s="193" t="s">
        <v>146</v>
      </c>
      <c r="K1452" s="170"/>
      <c r="L1452" s="193" t="s">
        <v>146</v>
      </c>
    </row>
    <row r="1453" spans="1:12" ht="15.75">
      <c r="A1453" s="67">
        <f t="shared" si="22"/>
        <v>1451</v>
      </c>
      <c r="B1453" s="164">
        <v>1451</v>
      </c>
      <c r="C1453" s="193" t="s">
        <v>2746</v>
      </c>
      <c r="D1453" s="204" t="s">
        <v>6014</v>
      </c>
      <c r="E1453" s="193" t="s">
        <v>8667</v>
      </c>
      <c r="F1453" s="193" t="s">
        <v>114</v>
      </c>
      <c r="G1453" s="195" t="s">
        <v>11039</v>
      </c>
      <c r="H1453" s="166" t="s">
        <v>13436</v>
      </c>
      <c r="I1453" s="193" t="s">
        <v>12816</v>
      </c>
      <c r="J1453" s="193" t="s">
        <v>146</v>
      </c>
      <c r="K1453" s="170"/>
      <c r="L1453" s="193" t="s">
        <v>146</v>
      </c>
    </row>
    <row r="1454" spans="1:12" ht="45">
      <c r="A1454" s="67">
        <f t="shared" si="22"/>
        <v>1452</v>
      </c>
      <c r="B1454" s="164">
        <v>1452</v>
      </c>
      <c r="C1454" s="193" t="s">
        <v>2747</v>
      </c>
      <c r="D1454" s="195" t="s">
        <v>6015</v>
      </c>
      <c r="E1454" s="193" t="s">
        <v>8809</v>
      </c>
      <c r="F1454" s="193" t="s">
        <v>114</v>
      </c>
      <c r="G1454" s="195" t="s">
        <v>11040</v>
      </c>
      <c r="H1454" s="166" t="s">
        <v>13436</v>
      </c>
      <c r="I1454" s="193" t="s">
        <v>12822</v>
      </c>
      <c r="J1454" s="219" t="s">
        <v>12467</v>
      </c>
      <c r="K1454" s="170"/>
      <c r="L1454" s="193" t="s">
        <v>146</v>
      </c>
    </row>
    <row r="1455" spans="1:12" ht="15.75">
      <c r="A1455" s="67">
        <f t="shared" si="22"/>
        <v>1453</v>
      </c>
      <c r="B1455" s="164">
        <v>1453</v>
      </c>
      <c r="C1455" s="193" t="s">
        <v>2748</v>
      </c>
      <c r="D1455" s="195" t="s">
        <v>6016</v>
      </c>
      <c r="E1455" s="193" t="s">
        <v>8061</v>
      </c>
      <c r="F1455" s="193" t="s">
        <v>114</v>
      </c>
      <c r="G1455" s="195" t="s">
        <v>11041</v>
      </c>
      <c r="H1455" s="166" t="s">
        <v>13436</v>
      </c>
      <c r="I1455" s="193" t="s">
        <v>12836</v>
      </c>
      <c r="J1455" s="193" t="s">
        <v>146</v>
      </c>
      <c r="K1455" s="170"/>
      <c r="L1455" s="193" t="s">
        <v>146</v>
      </c>
    </row>
    <row r="1456" spans="1:12" ht="30">
      <c r="A1456" s="67">
        <f t="shared" si="22"/>
        <v>1454</v>
      </c>
      <c r="B1456" s="164">
        <v>1454</v>
      </c>
      <c r="C1456" s="193" t="s">
        <v>2749</v>
      </c>
      <c r="D1456" s="195" t="s">
        <v>6017</v>
      </c>
      <c r="E1456" s="193" t="s">
        <v>8810</v>
      </c>
      <c r="F1456" s="193" t="s">
        <v>114</v>
      </c>
      <c r="G1456" s="195" t="s">
        <v>11042</v>
      </c>
      <c r="H1456" s="166" t="s">
        <v>13436</v>
      </c>
      <c r="I1456" s="193" t="s">
        <v>12836</v>
      </c>
      <c r="J1456" s="193" t="s">
        <v>12468</v>
      </c>
      <c r="K1456" s="170"/>
      <c r="L1456" s="193" t="s">
        <v>146</v>
      </c>
    </row>
    <row r="1457" spans="1:12" ht="45">
      <c r="A1457" s="67">
        <f t="shared" si="22"/>
        <v>1455</v>
      </c>
      <c r="B1457" s="164">
        <v>1455</v>
      </c>
      <c r="C1457" s="193" t="s">
        <v>2750</v>
      </c>
      <c r="D1457" s="195" t="s">
        <v>6018</v>
      </c>
      <c r="E1457" s="193" t="s">
        <v>8811</v>
      </c>
      <c r="F1457" s="193" t="s">
        <v>59</v>
      </c>
      <c r="G1457" s="195" t="s">
        <v>11043</v>
      </c>
      <c r="H1457" s="166" t="s">
        <v>13436</v>
      </c>
      <c r="I1457" s="193" t="s">
        <v>12809</v>
      </c>
      <c r="J1457" s="193" t="s">
        <v>12469</v>
      </c>
      <c r="K1457" s="170"/>
      <c r="L1457" s="193"/>
    </row>
    <row r="1458" spans="1:12" ht="15.75">
      <c r="A1458" s="67">
        <f t="shared" si="22"/>
        <v>1456</v>
      </c>
      <c r="B1458" s="164">
        <v>1456</v>
      </c>
      <c r="C1458" s="193" t="s">
        <v>2751</v>
      </c>
      <c r="D1458" s="195" t="s">
        <v>6019</v>
      </c>
      <c r="E1458" s="193" t="s">
        <v>8812</v>
      </c>
      <c r="F1458" s="193" t="s">
        <v>114</v>
      </c>
      <c r="G1458" s="195" t="s">
        <v>11044</v>
      </c>
      <c r="H1458" s="166" t="s">
        <v>13436</v>
      </c>
      <c r="I1458" s="193" t="s">
        <v>12829</v>
      </c>
      <c r="J1458" s="193" t="s">
        <v>146</v>
      </c>
      <c r="K1458" s="170"/>
      <c r="L1458" s="193" t="s">
        <v>146</v>
      </c>
    </row>
    <row r="1459" spans="1:12" ht="15.75">
      <c r="A1459" s="67">
        <f t="shared" si="22"/>
        <v>1457</v>
      </c>
      <c r="B1459" s="164">
        <v>1457</v>
      </c>
      <c r="C1459" s="193" t="s">
        <v>2752</v>
      </c>
      <c r="D1459" s="195" t="s">
        <v>6020</v>
      </c>
      <c r="E1459" s="193" t="s">
        <v>8813</v>
      </c>
      <c r="F1459" s="193" t="s">
        <v>114</v>
      </c>
      <c r="G1459" s="195" t="s">
        <v>10951</v>
      </c>
      <c r="H1459" s="166" t="s">
        <v>13436</v>
      </c>
      <c r="I1459" s="193" t="s">
        <v>12829</v>
      </c>
      <c r="J1459" s="193" t="s">
        <v>146</v>
      </c>
      <c r="K1459" s="170"/>
      <c r="L1459" s="193" t="s">
        <v>146</v>
      </c>
    </row>
    <row r="1460" spans="1:12" ht="15.75">
      <c r="A1460" s="67">
        <f t="shared" si="22"/>
        <v>1458</v>
      </c>
      <c r="B1460" s="164">
        <v>1458</v>
      </c>
      <c r="C1460" s="193" t="s">
        <v>2753</v>
      </c>
      <c r="D1460" s="195" t="s">
        <v>6021</v>
      </c>
      <c r="E1460" s="193" t="s">
        <v>8814</v>
      </c>
      <c r="F1460" s="193" t="s">
        <v>114</v>
      </c>
      <c r="G1460" s="195" t="s">
        <v>11045</v>
      </c>
      <c r="H1460" s="166" t="s">
        <v>13436</v>
      </c>
      <c r="I1460" s="193" t="s">
        <v>12821</v>
      </c>
      <c r="J1460" s="193" t="s">
        <v>146</v>
      </c>
      <c r="K1460" s="170"/>
      <c r="L1460" s="193" t="s">
        <v>146</v>
      </c>
    </row>
    <row r="1461" spans="1:12" ht="75">
      <c r="A1461" s="67">
        <f t="shared" si="22"/>
        <v>1459</v>
      </c>
      <c r="B1461" s="164">
        <v>1459</v>
      </c>
      <c r="C1461" s="193" t="s">
        <v>2754</v>
      </c>
      <c r="D1461" s="195" t="s">
        <v>6022</v>
      </c>
      <c r="E1461" s="193" t="s">
        <v>8815</v>
      </c>
      <c r="F1461" s="193" t="s">
        <v>114</v>
      </c>
      <c r="G1461" s="195" t="s">
        <v>751</v>
      </c>
      <c r="H1461" s="166" t="s">
        <v>13436</v>
      </c>
      <c r="I1461" s="193" t="s">
        <v>12821</v>
      </c>
      <c r="J1461" s="219" t="s">
        <v>146</v>
      </c>
      <c r="K1461" s="170"/>
      <c r="L1461" s="193" t="s">
        <v>13236</v>
      </c>
    </row>
    <row r="1462" spans="1:12" ht="30">
      <c r="A1462" s="67">
        <f t="shared" si="22"/>
        <v>1460</v>
      </c>
      <c r="B1462" s="164">
        <v>1460</v>
      </c>
      <c r="C1462" s="193" t="s">
        <v>2755</v>
      </c>
      <c r="D1462" s="195" t="s">
        <v>6023</v>
      </c>
      <c r="E1462" s="193" t="s">
        <v>573</v>
      </c>
      <c r="F1462" s="193" t="s">
        <v>114</v>
      </c>
      <c r="G1462" s="195" t="s">
        <v>1138</v>
      </c>
      <c r="H1462" s="166" t="s">
        <v>13436</v>
      </c>
      <c r="I1462" s="193" t="s">
        <v>12827</v>
      </c>
      <c r="J1462" s="193" t="s">
        <v>12470</v>
      </c>
      <c r="K1462" s="170"/>
      <c r="L1462" s="193" t="s">
        <v>146</v>
      </c>
    </row>
    <row r="1463" spans="1:12" ht="30">
      <c r="A1463" s="67">
        <f t="shared" si="22"/>
        <v>1461</v>
      </c>
      <c r="B1463" s="164">
        <v>1461</v>
      </c>
      <c r="C1463" s="193" t="s">
        <v>2756</v>
      </c>
      <c r="D1463" s="195" t="s">
        <v>6024</v>
      </c>
      <c r="E1463" s="193" t="s">
        <v>445</v>
      </c>
      <c r="F1463" s="193" t="s">
        <v>114</v>
      </c>
      <c r="G1463" s="195" t="s">
        <v>11046</v>
      </c>
      <c r="H1463" s="166" t="s">
        <v>13436</v>
      </c>
      <c r="I1463" s="193" t="s">
        <v>12821</v>
      </c>
      <c r="J1463" s="193" t="s">
        <v>146</v>
      </c>
      <c r="K1463" s="170"/>
      <c r="L1463" s="193" t="s">
        <v>13237</v>
      </c>
    </row>
    <row r="1464" spans="1:12" ht="15.75">
      <c r="A1464" s="67">
        <f t="shared" si="22"/>
        <v>1462</v>
      </c>
      <c r="B1464" s="164">
        <v>1462</v>
      </c>
      <c r="C1464" s="193" t="s">
        <v>2757</v>
      </c>
      <c r="D1464" s="195" t="s">
        <v>6025</v>
      </c>
      <c r="E1464" s="193" t="s">
        <v>8816</v>
      </c>
      <c r="F1464" s="193" t="s">
        <v>114</v>
      </c>
      <c r="G1464" s="195" t="s">
        <v>10922</v>
      </c>
      <c r="H1464" s="166" t="s">
        <v>13436</v>
      </c>
      <c r="I1464" s="193" t="s">
        <v>12821</v>
      </c>
      <c r="J1464" s="193" t="s">
        <v>146</v>
      </c>
      <c r="K1464" s="170"/>
      <c r="L1464" s="193" t="s">
        <v>146</v>
      </c>
    </row>
    <row r="1465" spans="1:12" ht="15.75">
      <c r="A1465" s="67">
        <f t="shared" si="22"/>
        <v>1463</v>
      </c>
      <c r="B1465" s="164">
        <v>1463</v>
      </c>
      <c r="C1465" s="193" t="s">
        <v>2758</v>
      </c>
      <c r="D1465" s="195" t="s">
        <v>6026</v>
      </c>
      <c r="E1465" s="193" t="s">
        <v>8817</v>
      </c>
      <c r="F1465" s="193" t="s">
        <v>59</v>
      </c>
      <c r="G1465" s="195" t="s">
        <v>11047</v>
      </c>
      <c r="H1465" s="166" t="s">
        <v>13436</v>
      </c>
      <c r="I1465" s="193" t="s">
        <v>12818</v>
      </c>
      <c r="J1465" s="193" t="s">
        <v>12471</v>
      </c>
      <c r="K1465" s="170"/>
      <c r="L1465" s="193"/>
    </row>
    <row r="1466" spans="1:12" ht="30">
      <c r="A1466" s="67">
        <f t="shared" si="22"/>
        <v>1464</v>
      </c>
      <c r="B1466" s="164">
        <v>1464</v>
      </c>
      <c r="C1466" s="193" t="s">
        <v>2759</v>
      </c>
      <c r="D1466" s="195" t="s">
        <v>6027</v>
      </c>
      <c r="E1466" s="193" t="s">
        <v>8818</v>
      </c>
      <c r="F1466" s="193" t="s">
        <v>59</v>
      </c>
      <c r="G1466" s="195" t="s">
        <v>11048</v>
      </c>
      <c r="H1466" s="166" t="s">
        <v>13436</v>
      </c>
      <c r="I1466" s="193" t="s">
        <v>12818</v>
      </c>
      <c r="J1466" s="193" t="s">
        <v>12472</v>
      </c>
      <c r="K1466" s="170"/>
      <c r="L1466" s="193"/>
    </row>
    <row r="1467" spans="1:12" ht="30">
      <c r="A1467" s="67">
        <f t="shared" si="22"/>
        <v>1465</v>
      </c>
      <c r="B1467" s="164">
        <v>1465</v>
      </c>
      <c r="C1467" s="193" t="s">
        <v>2760</v>
      </c>
      <c r="D1467" s="195" t="s">
        <v>6028</v>
      </c>
      <c r="E1467" s="193" t="s">
        <v>8819</v>
      </c>
      <c r="F1467" s="193" t="s">
        <v>114</v>
      </c>
      <c r="G1467" s="195" t="s">
        <v>1069</v>
      </c>
      <c r="H1467" s="166" t="s">
        <v>13436</v>
      </c>
      <c r="I1467" s="193" t="s">
        <v>12818</v>
      </c>
      <c r="J1467" s="193" t="s">
        <v>12473</v>
      </c>
      <c r="K1467" s="170"/>
      <c r="L1467" s="193" t="s">
        <v>146</v>
      </c>
    </row>
    <row r="1468" spans="1:12" ht="15.75">
      <c r="A1468" s="67">
        <f t="shared" si="22"/>
        <v>1466</v>
      </c>
      <c r="B1468" s="164">
        <v>1466</v>
      </c>
      <c r="C1468" s="193" t="s">
        <v>2761</v>
      </c>
      <c r="D1468" s="195" t="s">
        <v>6029</v>
      </c>
      <c r="E1468" s="193" t="s">
        <v>309</v>
      </c>
      <c r="F1468" s="193" t="s">
        <v>114</v>
      </c>
      <c r="G1468" s="195" t="s">
        <v>11049</v>
      </c>
      <c r="H1468" s="166" t="s">
        <v>13436</v>
      </c>
      <c r="I1468" s="193" t="s">
        <v>12824</v>
      </c>
      <c r="J1468" s="193" t="s">
        <v>146</v>
      </c>
      <c r="K1468" s="170"/>
      <c r="L1468" s="193" t="s">
        <v>146</v>
      </c>
    </row>
    <row r="1469" spans="1:12" ht="15.75">
      <c r="A1469" s="67">
        <f t="shared" si="22"/>
        <v>1467</v>
      </c>
      <c r="B1469" s="164">
        <v>1467</v>
      </c>
      <c r="C1469" s="193" t="s">
        <v>2762</v>
      </c>
      <c r="D1469" s="195" t="s">
        <v>6030</v>
      </c>
      <c r="E1469" s="193" t="s">
        <v>8820</v>
      </c>
      <c r="F1469" s="193" t="s">
        <v>114</v>
      </c>
      <c r="G1469" s="195" t="s">
        <v>11050</v>
      </c>
      <c r="H1469" s="166" t="s">
        <v>13436</v>
      </c>
      <c r="I1469" s="193" t="s">
        <v>12818</v>
      </c>
      <c r="J1469" s="193" t="s">
        <v>146</v>
      </c>
      <c r="K1469" s="170"/>
      <c r="L1469" s="193" t="s">
        <v>146</v>
      </c>
    </row>
    <row r="1470" spans="1:12" ht="30">
      <c r="A1470" s="67">
        <f t="shared" si="22"/>
        <v>1468</v>
      </c>
      <c r="B1470" s="164">
        <v>1468</v>
      </c>
      <c r="C1470" s="193" t="s">
        <v>2763</v>
      </c>
      <c r="D1470" s="195" t="s">
        <v>6031</v>
      </c>
      <c r="E1470" s="193" t="s">
        <v>8821</v>
      </c>
      <c r="F1470" s="193" t="s">
        <v>114</v>
      </c>
      <c r="G1470" s="195" t="s">
        <v>149</v>
      </c>
      <c r="H1470" s="166" t="s">
        <v>13436</v>
      </c>
      <c r="I1470" s="193" t="s">
        <v>12818</v>
      </c>
      <c r="J1470" s="193" t="s">
        <v>146</v>
      </c>
      <c r="K1470" s="170"/>
      <c r="L1470" s="193" t="s">
        <v>13238</v>
      </c>
    </row>
    <row r="1471" spans="1:12" ht="15.75">
      <c r="A1471" s="67">
        <f t="shared" si="22"/>
        <v>1469</v>
      </c>
      <c r="B1471" s="164">
        <v>1469</v>
      </c>
      <c r="C1471" s="193" t="s">
        <v>2764</v>
      </c>
      <c r="D1471" s="195" t="s">
        <v>6032</v>
      </c>
      <c r="E1471" s="193" t="s">
        <v>8822</v>
      </c>
      <c r="F1471" s="193" t="s">
        <v>114</v>
      </c>
      <c r="G1471" s="195" t="s">
        <v>10472</v>
      </c>
      <c r="H1471" s="166" t="s">
        <v>13436</v>
      </c>
      <c r="I1471" s="193" t="s">
        <v>12836</v>
      </c>
      <c r="J1471" s="193" t="s">
        <v>146</v>
      </c>
      <c r="K1471" s="170"/>
      <c r="L1471" s="193" t="s">
        <v>146</v>
      </c>
    </row>
    <row r="1472" spans="1:12" ht="30">
      <c r="A1472" s="67">
        <f t="shared" si="22"/>
        <v>1470</v>
      </c>
      <c r="B1472" s="164">
        <v>1470</v>
      </c>
      <c r="C1472" s="193" t="s">
        <v>2765</v>
      </c>
      <c r="D1472" s="195" t="s">
        <v>6033</v>
      </c>
      <c r="E1472" s="193" t="s">
        <v>8250</v>
      </c>
      <c r="F1472" s="193" t="s">
        <v>114</v>
      </c>
      <c r="G1472" s="195" t="s">
        <v>11051</v>
      </c>
      <c r="H1472" s="166" t="s">
        <v>13436</v>
      </c>
      <c r="I1472" s="193" t="s">
        <v>12818</v>
      </c>
      <c r="J1472" s="193" t="s">
        <v>12474</v>
      </c>
      <c r="K1472" s="170"/>
      <c r="L1472" s="193" t="s">
        <v>146</v>
      </c>
    </row>
    <row r="1473" spans="1:12" ht="15.75">
      <c r="A1473" s="67">
        <f t="shared" si="22"/>
        <v>1471</v>
      </c>
      <c r="B1473" s="164">
        <v>1471</v>
      </c>
      <c r="C1473" s="193" t="s">
        <v>2766</v>
      </c>
      <c r="D1473" s="199" t="s">
        <v>6034</v>
      </c>
      <c r="E1473" s="193" t="s">
        <v>8823</v>
      </c>
      <c r="F1473" s="193" t="s">
        <v>114</v>
      </c>
      <c r="G1473" s="195" t="s">
        <v>11052</v>
      </c>
      <c r="H1473" s="166" t="s">
        <v>13436</v>
      </c>
      <c r="I1473" s="193" t="s">
        <v>12828</v>
      </c>
      <c r="J1473" s="193" t="s">
        <v>146</v>
      </c>
      <c r="K1473" s="170"/>
      <c r="L1473" s="193" t="s">
        <v>146</v>
      </c>
    </row>
    <row r="1474" spans="1:12" ht="15.75">
      <c r="A1474" s="67">
        <f t="shared" si="22"/>
        <v>1472</v>
      </c>
      <c r="B1474" s="164">
        <v>1472</v>
      </c>
      <c r="C1474" s="193" t="s">
        <v>2767</v>
      </c>
      <c r="D1474" s="196" t="s">
        <v>6035</v>
      </c>
      <c r="E1474" s="193" t="s">
        <v>297</v>
      </c>
      <c r="F1474" s="193" t="s">
        <v>59</v>
      </c>
      <c r="G1474" s="195" t="s">
        <v>11053</v>
      </c>
      <c r="H1474" s="166" t="s">
        <v>13436</v>
      </c>
      <c r="I1474" s="193" t="s">
        <v>12809</v>
      </c>
      <c r="J1474" s="193" t="s">
        <v>146</v>
      </c>
      <c r="K1474" s="170"/>
      <c r="L1474" s="193"/>
    </row>
    <row r="1475" spans="1:12" ht="15.75">
      <c r="A1475" s="67">
        <f t="shared" ref="A1475:A1538" si="23">IFERROR(VALUE(RIGHT(C1475,4)),"")</f>
        <v>1473</v>
      </c>
      <c r="B1475" s="164">
        <v>1473</v>
      </c>
      <c r="C1475" s="193" t="s">
        <v>2768</v>
      </c>
      <c r="D1475" s="195" t="s">
        <v>6036</v>
      </c>
      <c r="E1475" s="193" t="s">
        <v>8824</v>
      </c>
      <c r="F1475" s="193" t="s">
        <v>59</v>
      </c>
      <c r="G1475" s="195" t="s">
        <v>11054</v>
      </c>
      <c r="H1475" s="166" t="s">
        <v>13436</v>
      </c>
      <c r="I1475" s="193" t="s">
        <v>12808</v>
      </c>
      <c r="J1475" s="219" t="s">
        <v>146</v>
      </c>
      <c r="K1475" s="170"/>
      <c r="L1475" s="193"/>
    </row>
    <row r="1476" spans="1:12" ht="15.75">
      <c r="A1476" s="67">
        <f t="shared" si="23"/>
        <v>1474</v>
      </c>
      <c r="B1476" s="164">
        <v>1474</v>
      </c>
      <c r="C1476" s="193" t="s">
        <v>2769</v>
      </c>
      <c r="D1476" s="195" t="s">
        <v>6037</v>
      </c>
      <c r="E1476" s="193" t="s">
        <v>8825</v>
      </c>
      <c r="F1476" s="193" t="s">
        <v>59</v>
      </c>
      <c r="G1476" s="195" t="s">
        <v>11055</v>
      </c>
      <c r="H1476" s="166" t="s">
        <v>13436</v>
      </c>
      <c r="I1476" s="193" t="s">
        <v>12821</v>
      </c>
      <c r="J1476" s="193" t="s">
        <v>164</v>
      </c>
      <c r="K1476" s="170"/>
      <c r="L1476" s="193"/>
    </row>
    <row r="1477" spans="1:12" ht="15.75">
      <c r="A1477" s="67">
        <f t="shared" si="23"/>
        <v>1475</v>
      </c>
      <c r="B1477" s="164">
        <v>1475</v>
      </c>
      <c r="C1477" s="193" t="s">
        <v>2770</v>
      </c>
      <c r="D1477" s="195" t="s">
        <v>6038</v>
      </c>
      <c r="E1477" s="193" t="s">
        <v>8826</v>
      </c>
      <c r="F1477" s="193" t="s">
        <v>59</v>
      </c>
      <c r="G1477" s="195" t="s">
        <v>11056</v>
      </c>
      <c r="H1477" s="166" t="s">
        <v>13436</v>
      </c>
      <c r="I1477" s="193" t="s">
        <v>12812</v>
      </c>
      <c r="J1477" s="193" t="s">
        <v>146</v>
      </c>
      <c r="K1477" s="170"/>
      <c r="L1477" s="193"/>
    </row>
    <row r="1478" spans="1:12" ht="15.75">
      <c r="A1478" s="67">
        <f t="shared" si="23"/>
        <v>1476</v>
      </c>
      <c r="B1478" s="164">
        <v>1476</v>
      </c>
      <c r="C1478" s="193" t="s">
        <v>2771</v>
      </c>
      <c r="D1478" s="195" t="s">
        <v>6039</v>
      </c>
      <c r="E1478" s="193" t="s">
        <v>289</v>
      </c>
      <c r="F1478" s="193" t="s">
        <v>59</v>
      </c>
      <c r="G1478" s="195" t="s">
        <v>10370</v>
      </c>
      <c r="H1478" s="166" t="s">
        <v>13436</v>
      </c>
      <c r="I1478" s="193" t="s">
        <v>12812</v>
      </c>
      <c r="J1478" s="219" t="s">
        <v>164</v>
      </c>
      <c r="K1478" s="170"/>
      <c r="L1478" s="193"/>
    </row>
    <row r="1479" spans="1:12" ht="15.75">
      <c r="A1479" s="67">
        <f t="shared" si="23"/>
        <v>1477</v>
      </c>
      <c r="B1479" s="164">
        <v>1477</v>
      </c>
      <c r="C1479" s="193" t="s">
        <v>2772</v>
      </c>
      <c r="D1479" s="195" t="s">
        <v>6040</v>
      </c>
      <c r="E1479" s="193" t="s">
        <v>8827</v>
      </c>
      <c r="F1479" s="193" t="s">
        <v>59</v>
      </c>
      <c r="G1479" s="195" t="s">
        <v>11057</v>
      </c>
      <c r="H1479" s="166" t="s">
        <v>13436</v>
      </c>
      <c r="I1479" s="193" t="s">
        <v>12812</v>
      </c>
      <c r="J1479" s="193" t="s">
        <v>147</v>
      </c>
      <c r="K1479" s="170"/>
      <c r="L1479" s="193"/>
    </row>
    <row r="1480" spans="1:12" ht="15.75">
      <c r="A1480" s="67">
        <f t="shared" si="23"/>
        <v>1478</v>
      </c>
      <c r="B1480" s="164">
        <v>1478</v>
      </c>
      <c r="C1480" s="193" t="s">
        <v>2773</v>
      </c>
      <c r="D1480" s="195" t="s">
        <v>6041</v>
      </c>
      <c r="E1480" s="193" t="s">
        <v>8828</v>
      </c>
      <c r="F1480" s="193" t="s">
        <v>59</v>
      </c>
      <c r="G1480" s="195" t="s">
        <v>11058</v>
      </c>
      <c r="H1480" s="166" t="s">
        <v>13436</v>
      </c>
      <c r="I1480" s="193" t="s">
        <v>12818</v>
      </c>
      <c r="J1480" s="193" t="s">
        <v>146</v>
      </c>
      <c r="K1480" s="170"/>
      <c r="L1480" s="193"/>
    </row>
    <row r="1481" spans="1:12" ht="15.75">
      <c r="A1481" s="67">
        <f t="shared" si="23"/>
        <v>1479</v>
      </c>
      <c r="B1481" s="164">
        <v>1479</v>
      </c>
      <c r="C1481" s="193" t="s">
        <v>2774</v>
      </c>
      <c r="D1481" s="195" t="s">
        <v>6042</v>
      </c>
      <c r="E1481" s="193" t="s">
        <v>8829</v>
      </c>
      <c r="F1481" s="193" t="s">
        <v>59</v>
      </c>
      <c r="G1481" s="195" t="s">
        <v>11059</v>
      </c>
      <c r="H1481" s="166" t="s">
        <v>13436</v>
      </c>
      <c r="I1481" s="193" t="s">
        <v>12819</v>
      </c>
      <c r="J1481" s="193" t="s">
        <v>146</v>
      </c>
      <c r="K1481" s="170"/>
      <c r="L1481" s="193"/>
    </row>
    <row r="1482" spans="1:12" ht="30">
      <c r="A1482" s="67">
        <f t="shared" si="23"/>
        <v>1480</v>
      </c>
      <c r="B1482" s="164">
        <v>1480</v>
      </c>
      <c r="C1482" s="193" t="s">
        <v>2775</v>
      </c>
      <c r="D1482" s="195" t="s">
        <v>6043</v>
      </c>
      <c r="E1482" s="193" t="s">
        <v>8830</v>
      </c>
      <c r="F1482" s="193" t="s">
        <v>114</v>
      </c>
      <c r="G1482" s="195" t="s">
        <v>777</v>
      </c>
      <c r="H1482" s="166" t="s">
        <v>13436</v>
      </c>
      <c r="I1482" s="193" t="s">
        <v>12812</v>
      </c>
      <c r="J1482" s="193" t="s">
        <v>146</v>
      </c>
      <c r="K1482" s="170"/>
      <c r="L1482" s="193" t="s">
        <v>13239</v>
      </c>
    </row>
    <row r="1483" spans="1:12" ht="15.75">
      <c r="A1483" s="67">
        <f t="shared" si="23"/>
        <v>1481</v>
      </c>
      <c r="B1483" s="164">
        <v>1481</v>
      </c>
      <c r="C1483" s="193" t="s">
        <v>2776</v>
      </c>
      <c r="D1483" s="195" t="s">
        <v>6044</v>
      </c>
      <c r="E1483" s="193" t="s">
        <v>8831</v>
      </c>
      <c r="F1483" s="193" t="s">
        <v>59</v>
      </c>
      <c r="G1483" s="195" t="s">
        <v>11060</v>
      </c>
      <c r="H1483" s="166" t="s">
        <v>13436</v>
      </c>
      <c r="I1483" s="193" t="s">
        <v>12825</v>
      </c>
      <c r="J1483" s="193" t="s">
        <v>146</v>
      </c>
      <c r="K1483" s="170"/>
      <c r="L1483" s="193"/>
    </row>
    <row r="1484" spans="1:12" ht="15.75">
      <c r="A1484" s="67">
        <f t="shared" si="23"/>
        <v>1482</v>
      </c>
      <c r="B1484" s="164">
        <v>1482</v>
      </c>
      <c r="C1484" s="193" t="s">
        <v>2777</v>
      </c>
      <c r="D1484" s="195" t="s">
        <v>6045</v>
      </c>
      <c r="E1484" s="193" t="s">
        <v>8016</v>
      </c>
      <c r="F1484" s="193" t="s">
        <v>114</v>
      </c>
      <c r="G1484" s="195" t="s">
        <v>11061</v>
      </c>
      <c r="H1484" s="166" t="s">
        <v>13436</v>
      </c>
      <c r="I1484" s="193" t="s">
        <v>12835</v>
      </c>
      <c r="J1484" s="193" t="s">
        <v>146</v>
      </c>
      <c r="K1484" s="170"/>
      <c r="L1484" s="193" t="s">
        <v>146</v>
      </c>
    </row>
    <row r="1485" spans="1:12" ht="15.75">
      <c r="A1485" s="67">
        <f t="shared" si="23"/>
        <v>1483</v>
      </c>
      <c r="B1485" s="164">
        <v>1483</v>
      </c>
      <c r="C1485" s="193" t="s">
        <v>2778</v>
      </c>
      <c r="D1485" s="195" t="s">
        <v>6046</v>
      </c>
      <c r="E1485" s="193" t="s">
        <v>155</v>
      </c>
      <c r="F1485" s="193" t="s">
        <v>114</v>
      </c>
      <c r="G1485" s="195" t="s">
        <v>11062</v>
      </c>
      <c r="H1485" s="166" t="s">
        <v>13436</v>
      </c>
      <c r="I1485" s="193" t="s">
        <v>12821</v>
      </c>
      <c r="J1485" s="193" t="s">
        <v>146</v>
      </c>
      <c r="K1485" s="170"/>
      <c r="L1485" s="193" t="s">
        <v>146</v>
      </c>
    </row>
    <row r="1486" spans="1:12" ht="30">
      <c r="A1486" s="67">
        <f t="shared" si="23"/>
        <v>1484</v>
      </c>
      <c r="B1486" s="164">
        <v>1484</v>
      </c>
      <c r="C1486" s="193" t="s">
        <v>2779</v>
      </c>
      <c r="D1486" s="195" t="s">
        <v>6047</v>
      </c>
      <c r="E1486" s="193" t="s">
        <v>8832</v>
      </c>
      <c r="F1486" s="193" t="s">
        <v>114</v>
      </c>
      <c r="G1486" s="195" t="s">
        <v>887</v>
      </c>
      <c r="H1486" s="166" t="s">
        <v>13436</v>
      </c>
      <c r="I1486" s="193" t="s">
        <v>12835</v>
      </c>
      <c r="J1486" s="193" t="s">
        <v>12475</v>
      </c>
      <c r="K1486" s="170"/>
      <c r="L1486" s="193" t="s">
        <v>146</v>
      </c>
    </row>
    <row r="1487" spans="1:12" ht="30">
      <c r="A1487" s="67">
        <f t="shared" si="23"/>
        <v>1485</v>
      </c>
      <c r="B1487" s="164">
        <v>1485</v>
      </c>
      <c r="C1487" s="193" t="s">
        <v>2780</v>
      </c>
      <c r="D1487" s="195" t="s">
        <v>6048</v>
      </c>
      <c r="E1487" s="193" t="s">
        <v>374</v>
      </c>
      <c r="F1487" s="193" t="s">
        <v>114</v>
      </c>
      <c r="G1487" s="195" t="s">
        <v>10199</v>
      </c>
      <c r="H1487" s="166" t="s">
        <v>13436</v>
      </c>
      <c r="I1487" s="193" t="s">
        <v>12835</v>
      </c>
      <c r="J1487" s="219" t="s">
        <v>12476</v>
      </c>
      <c r="K1487" s="170"/>
      <c r="L1487" s="193" t="s">
        <v>146</v>
      </c>
    </row>
    <row r="1488" spans="1:12" ht="15.75">
      <c r="A1488" s="67">
        <f t="shared" si="23"/>
        <v>1486</v>
      </c>
      <c r="B1488" s="164">
        <v>1486</v>
      </c>
      <c r="C1488" s="193" t="s">
        <v>2781</v>
      </c>
      <c r="D1488" s="199" t="s">
        <v>6049</v>
      </c>
      <c r="E1488" s="193" t="s">
        <v>8833</v>
      </c>
      <c r="F1488" s="193" t="s">
        <v>59</v>
      </c>
      <c r="G1488" s="195" t="s">
        <v>11063</v>
      </c>
      <c r="H1488" s="166" t="s">
        <v>13436</v>
      </c>
      <c r="I1488" s="193" t="s">
        <v>12839</v>
      </c>
      <c r="J1488" s="193" t="s">
        <v>146</v>
      </c>
      <c r="K1488" s="170"/>
      <c r="L1488" s="193"/>
    </row>
    <row r="1489" spans="1:12" ht="75">
      <c r="A1489" s="67">
        <f t="shared" si="23"/>
        <v>1487</v>
      </c>
      <c r="B1489" s="164">
        <v>1487</v>
      </c>
      <c r="C1489" s="193" t="s">
        <v>2782</v>
      </c>
      <c r="D1489" s="195" t="s">
        <v>6050</v>
      </c>
      <c r="E1489" s="193" t="s">
        <v>320</v>
      </c>
      <c r="F1489" s="193" t="s">
        <v>114</v>
      </c>
      <c r="G1489" s="195" t="s">
        <v>10166</v>
      </c>
      <c r="H1489" s="166" t="s">
        <v>13436</v>
      </c>
      <c r="I1489" s="193" t="s">
        <v>12818</v>
      </c>
      <c r="J1489" s="219" t="s">
        <v>146</v>
      </c>
      <c r="K1489" s="170"/>
      <c r="L1489" s="193" t="s">
        <v>13240</v>
      </c>
    </row>
    <row r="1490" spans="1:12" ht="15.75">
      <c r="A1490" s="67">
        <f t="shared" si="23"/>
        <v>1488</v>
      </c>
      <c r="B1490" s="164">
        <v>1488</v>
      </c>
      <c r="C1490" s="193" t="s">
        <v>2783</v>
      </c>
      <c r="D1490" s="195" t="s">
        <v>6051</v>
      </c>
      <c r="E1490" s="193" t="s">
        <v>8834</v>
      </c>
      <c r="F1490" s="193" t="s">
        <v>114</v>
      </c>
      <c r="G1490" s="195" t="s">
        <v>11064</v>
      </c>
      <c r="H1490" s="166" t="s">
        <v>13436</v>
      </c>
      <c r="I1490" s="193" t="s">
        <v>12812</v>
      </c>
      <c r="J1490" s="193" t="s">
        <v>146</v>
      </c>
      <c r="K1490" s="170"/>
      <c r="L1490" s="193" t="s">
        <v>146</v>
      </c>
    </row>
    <row r="1491" spans="1:12" ht="90">
      <c r="A1491" s="67">
        <f t="shared" si="23"/>
        <v>1489</v>
      </c>
      <c r="B1491" s="164">
        <v>1489</v>
      </c>
      <c r="C1491" s="193" t="s">
        <v>2784</v>
      </c>
      <c r="D1491" s="197" t="s">
        <v>6052</v>
      </c>
      <c r="E1491" s="193" t="s">
        <v>8835</v>
      </c>
      <c r="F1491" s="193" t="s">
        <v>114</v>
      </c>
      <c r="G1491" s="195" t="s">
        <v>11065</v>
      </c>
      <c r="H1491" s="166" t="s">
        <v>13436</v>
      </c>
      <c r="I1491" s="193" t="s">
        <v>12816</v>
      </c>
      <c r="J1491" s="193" t="s">
        <v>12477</v>
      </c>
      <c r="K1491" s="170"/>
      <c r="L1491" s="193" t="s">
        <v>13241</v>
      </c>
    </row>
    <row r="1492" spans="1:12" ht="75">
      <c r="A1492" s="67">
        <f t="shared" si="23"/>
        <v>1490</v>
      </c>
      <c r="B1492" s="164">
        <v>1490</v>
      </c>
      <c r="C1492" s="193" t="s">
        <v>2785</v>
      </c>
      <c r="D1492" s="195" t="s">
        <v>6053</v>
      </c>
      <c r="E1492" s="193" t="s">
        <v>8836</v>
      </c>
      <c r="F1492" s="193" t="s">
        <v>114</v>
      </c>
      <c r="G1492" s="195" t="s">
        <v>10064</v>
      </c>
      <c r="H1492" s="166" t="s">
        <v>13436</v>
      </c>
      <c r="I1492" s="193" t="s">
        <v>12835</v>
      </c>
      <c r="J1492" s="193" t="s">
        <v>12478</v>
      </c>
      <c r="K1492" s="170"/>
      <c r="L1492" s="193" t="s">
        <v>13242</v>
      </c>
    </row>
    <row r="1493" spans="1:12" ht="15.75">
      <c r="A1493" s="67">
        <f t="shared" si="23"/>
        <v>1491</v>
      </c>
      <c r="B1493" s="164">
        <v>1491</v>
      </c>
      <c r="C1493" s="193" t="s">
        <v>2786</v>
      </c>
      <c r="D1493" s="195" t="s">
        <v>6054</v>
      </c>
      <c r="E1493" s="193" t="s">
        <v>8837</v>
      </c>
      <c r="F1493" s="193" t="s">
        <v>114</v>
      </c>
      <c r="G1493" s="195" t="s">
        <v>680</v>
      </c>
      <c r="H1493" s="166" t="s">
        <v>13436</v>
      </c>
      <c r="I1493" s="193" t="s">
        <v>12812</v>
      </c>
      <c r="J1493" s="193" t="s">
        <v>146</v>
      </c>
      <c r="K1493" s="170"/>
      <c r="L1493" s="193" t="s">
        <v>146</v>
      </c>
    </row>
    <row r="1494" spans="1:12" ht="15.75">
      <c r="A1494" s="67">
        <f t="shared" si="23"/>
        <v>1492</v>
      </c>
      <c r="B1494" s="164">
        <v>1492</v>
      </c>
      <c r="C1494" s="193" t="s">
        <v>2787</v>
      </c>
      <c r="D1494" s="205" t="s">
        <v>6055</v>
      </c>
      <c r="E1494" s="193" t="s">
        <v>404</v>
      </c>
      <c r="F1494" s="193" t="s">
        <v>114</v>
      </c>
      <c r="G1494" s="195" t="s">
        <v>10196</v>
      </c>
      <c r="H1494" s="166" t="s">
        <v>13436</v>
      </c>
      <c r="I1494" s="193" t="s">
        <v>12816</v>
      </c>
      <c r="J1494" s="193"/>
      <c r="K1494" s="170"/>
      <c r="L1494" s="193" t="s">
        <v>146</v>
      </c>
    </row>
    <row r="1495" spans="1:12" ht="60">
      <c r="A1495" s="67">
        <f t="shared" si="23"/>
        <v>1493</v>
      </c>
      <c r="B1495" s="164">
        <v>1493</v>
      </c>
      <c r="C1495" s="193" t="s">
        <v>2788</v>
      </c>
      <c r="D1495" s="195" t="s">
        <v>6056</v>
      </c>
      <c r="E1495" s="193" t="s">
        <v>8838</v>
      </c>
      <c r="F1495" s="193" t="s">
        <v>114</v>
      </c>
      <c r="G1495" s="195" t="s">
        <v>715</v>
      </c>
      <c r="H1495" s="166" t="s">
        <v>13436</v>
      </c>
      <c r="I1495" s="193" t="s">
        <v>12812</v>
      </c>
      <c r="J1495" s="193" t="s">
        <v>12479</v>
      </c>
      <c r="K1495" s="170"/>
      <c r="L1495" s="193" t="s">
        <v>13243</v>
      </c>
    </row>
    <row r="1496" spans="1:12" ht="15.75">
      <c r="A1496" s="67">
        <f t="shared" si="23"/>
        <v>1494</v>
      </c>
      <c r="B1496" s="164">
        <v>1494</v>
      </c>
      <c r="C1496" s="193" t="s">
        <v>2789</v>
      </c>
      <c r="D1496" s="195" t="s">
        <v>6057</v>
      </c>
      <c r="E1496" s="193" t="s">
        <v>8839</v>
      </c>
      <c r="F1496" s="193" t="s">
        <v>114</v>
      </c>
      <c r="G1496" s="195" t="s">
        <v>10905</v>
      </c>
      <c r="H1496" s="166" t="s">
        <v>13436</v>
      </c>
      <c r="I1496" s="193" t="s">
        <v>12812</v>
      </c>
      <c r="J1496" s="193" t="s">
        <v>146</v>
      </c>
      <c r="K1496" s="170"/>
      <c r="L1496" s="193" t="s">
        <v>146</v>
      </c>
    </row>
    <row r="1497" spans="1:12" ht="15.75">
      <c r="A1497" s="67">
        <f t="shared" si="23"/>
        <v>1495</v>
      </c>
      <c r="B1497" s="164">
        <v>1495</v>
      </c>
      <c r="C1497" s="193" t="s">
        <v>2790</v>
      </c>
      <c r="D1497" s="195" t="s">
        <v>6058</v>
      </c>
      <c r="E1497" s="193" t="s">
        <v>8840</v>
      </c>
      <c r="F1497" s="193" t="s">
        <v>114</v>
      </c>
      <c r="G1497" s="195" t="s">
        <v>11008</v>
      </c>
      <c r="H1497" s="166" t="s">
        <v>13436</v>
      </c>
      <c r="I1497" s="193" t="s">
        <v>12835</v>
      </c>
      <c r="J1497" s="193" t="s">
        <v>146</v>
      </c>
      <c r="K1497" s="170"/>
      <c r="L1497" s="193" t="s">
        <v>146</v>
      </c>
    </row>
    <row r="1498" spans="1:12" ht="105">
      <c r="A1498" s="67">
        <f t="shared" si="23"/>
        <v>1496</v>
      </c>
      <c r="B1498" s="164">
        <v>1496</v>
      </c>
      <c r="C1498" s="193" t="s">
        <v>2791</v>
      </c>
      <c r="D1498" s="195" t="s">
        <v>6059</v>
      </c>
      <c r="E1498" s="193" t="s">
        <v>8841</v>
      </c>
      <c r="F1498" s="193" t="s">
        <v>114</v>
      </c>
      <c r="G1498" s="195" t="s">
        <v>744</v>
      </c>
      <c r="H1498" s="166" t="s">
        <v>13436</v>
      </c>
      <c r="I1498" s="193" t="s">
        <v>12835</v>
      </c>
      <c r="J1498" s="193" t="s">
        <v>1262</v>
      </c>
      <c r="K1498" s="170"/>
      <c r="L1498" s="193" t="s">
        <v>13244</v>
      </c>
    </row>
    <row r="1499" spans="1:12" ht="15.75">
      <c r="A1499" s="67">
        <f t="shared" si="23"/>
        <v>1497</v>
      </c>
      <c r="B1499" s="164">
        <v>1497</v>
      </c>
      <c r="C1499" s="193" t="s">
        <v>2792</v>
      </c>
      <c r="D1499" s="195" t="s">
        <v>6060</v>
      </c>
      <c r="E1499" s="193" t="s">
        <v>501</v>
      </c>
      <c r="F1499" s="193" t="s">
        <v>114</v>
      </c>
      <c r="G1499" s="195" t="s">
        <v>11066</v>
      </c>
      <c r="H1499" s="166" t="s">
        <v>13436</v>
      </c>
      <c r="I1499" s="193" t="s">
        <v>12825</v>
      </c>
      <c r="J1499" s="193" t="s">
        <v>12480</v>
      </c>
      <c r="K1499" s="170"/>
      <c r="L1499" s="193" t="s">
        <v>146</v>
      </c>
    </row>
    <row r="1500" spans="1:12" ht="15.75">
      <c r="A1500" s="67">
        <f t="shared" si="23"/>
        <v>1498</v>
      </c>
      <c r="B1500" s="164">
        <v>1498</v>
      </c>
      <c r="C1500" s="193" t="s">
        <v>2793</v>
      </c>
      <c r="D1500" s="195" t="s">
        <v>6061</v>
      </c>
      <c r="E1500" s="193" t="s">
        <v>614</v>
      </c>
      <c r="F1500" s="193" t="s">
        <v>114</v>
      </c>
      <c r="G1500" s="195" t="s">
        <v>11067</v>
      </c>
      <c r="H1500" s="166" t="s">
        <v>13436</v>
      </c>
      <c r="I1500" s="193" t="s">
        <v>12835</v>
      </c>
      <c r="J1500" s="193" t="s">
        <v>146</v>
      </c>
      <c r="K1500" s="170"/>
      <c r="L1500" s="193" t="s">
        <v>146</v>
      </c>
    </row>
    <row r="1501" spans="1:12" ht="75">
      <c r="A1501" s="67">
        <f t="shared" si="23"/>
        <v>1499</v>
      </c>
      <c r="B1501" s="164">
        <v>1499</v>
      </c>
      <c r="C1501" s="193" t="s">
        <v>2794</v>
      </c>
      <c r="D1501" s="195" t="s">
        <v>6062</v>
      </c>
      <c r="E1501" s="193" t="s">
        <v>8842</v>
      </c>
      <c r="F1501" s="193" t="s">
        <v>114</v>
      </c>
      <c r="G1501" s="195" t="s">
        <v>10150</v>
      </c>
      <c r="H1501" s="166" t="s">
        <v>13436</v>
      </c>
      <c r="I1501" s="193" t="s">
        <v>12814</v>
      </c>
      <c r="J1501" s="193" t="s">
        <v>146</v>
      </c>
      <c r="K1501" s="170"/>
      <c r="L1501" s="193" t="s">
        <v>13245</v>
      </c>
    </row>
    <row r="1502" spans="1:12" ht="15.75">
      <c r="A1502" s="67">
        <f t="shared" si="23"/>
        <v>1500</v>
      </c>
      <c r="B1502" s="164">
        <v>1500</v>
      </c>
      <c r="C1502" s="193" t="s">
        <v>2795</v>
      </c>
      <c r="D1502" s="195" t="s">
        <v>6063</v>
      </c>
      <c r="E1502" s="193" t="s">
        <v>599</v>
      </c>
      <c r="F1502" s="193" t="s">
        <v>114</v>
      </c>
      <c r="G1502" s="195" t="s">
        <v>10548</v>
      </c>
      <c r="H1502" s="166" t="s">
        <v>13436</v>
      </c>
      <c r="I1502" s="193" t="s">
        <v>12835</v>
      </c>
      <c r="J1502" s="193" t="s">
        <v>146</v>
      </c>
      <c r="K1502" s="170"/>
      <c r="L1502" s="193" t="s">
        <v>146</v>
      </c>
    </row>
    <row r="1503" spans="1:12" ht="15.75">
      <c r="A1503" s="67">
        <f t="shared" si="23"/>
        <v>1501</v>
      </c>
      <c r="B1503" s="164">
        <v>1501</v>
      </c>
      <c r="C1503" s="193" t="s">
        <v>2796</v>
      </c>
      <c r="D1503" s="195" t="s">
        <v>6064</v>
      </c>
      <c r="E1503" s="193" t="s">
        <v>7855</v>
      </c>
      <c r="F1503" s="193" t="s">
        <v>114</v>
      </c>
      <c r="G1503" s="195" t="s">
        <v>11068</v>
      </c>
      <c r="H1503" s="166" t="s">
        <v>13436</v>
      </c>
      <c r="I1503" s="193" t="s">
        <v>12814</v>
      </c>
      <c r="J1503" s="193" t="s">
        <v>146</v>
      </c>
      <c r="K1503" s="170"/>
      <c r="L1503" s="193" t="s">
        <v>146</v>
      </c>
    </row>
    <row r="1504" spans="1:12" ht="15.75">
      <c r="A1504" s="67">
        <f t="shared" si="23"/>
        <v>1502</v>
      </c>
      <c r="B1504" s="164">
        <v>1502</v>
      </c>
      <c r="C1504" s="193" t="s">
        <v>2797</v>
      </c>
      <c r="D1504" s="199" t="s">
        <v>6065</v>
      </c>
      <c r="E1504" s="193" t="s">
        <v>607</v>
      </c>
      <c r="F1504" s="193" t="s">
        <v>114</v>
      </c>
      <c r="G1504" s="195" t="s">
        <v>171</v>
      </c>
      <c r="H1504" s="166" t="s">
        <v>13436</v>
      </c>
      <c r="I1504" s="193" t="s">
        <v>12831</v>
      </c>
      <c r="J1504" s="193" t="s">
        <v>146</v>
      </c>
      <c r="K1504" s="170"/>
      <c r="L1504" s="193" t="s">
        <v>146</v>
      </c>
    </row>
    <row r="1505" spans="1:12" ht="15.75">
      <c r="A1505" s="67">
        <f t="shared" si="23"/>
        <v>1503</v>
      </c>
      <c r="B1505" s="164">
        <v>1503</v>
      </c>
      <c r="C1505" s="193" t="s">
        <v>2798</v>
      </c>
      <c r="D1505" s="195" t="s">
        <v>6066</v>
      </c>
      <c r="E1505" s="193" t="s">
        <v>8843</v>
      </c>
      <c r="F1505" s="193" t="s">
        <v>59</v>
      </c>
      <c r="G1505" s="195" t="s">
        <v>11069</v>
      </c>
      <c r="H1505" s="166" t="s">
        <v>13436</v>
      </c>
      <c r="I1505" s="193" t="s">
        <v>1250</v>
      </c>
      <c r="J1505" s="193" t="s">
        <v>12481</v>
      </c>
      <c r="K1505" s="170"/>
      <c r="L1505" s="193"/>
    </row>
    <row r="1506" spans="1:12" ht="15.75">
      <c r="A1506" s="67">
        <f t="shared" si="23"/>
        <v>1504</v>
      </c>
      <c r="B1506" s="164">
        <v>1504</v>
      </c>
      <c r="C1506" s="193" t="s">
        <v>2799</v>
      </c>
      <c r="D1506" s="195" t="s">
        <v>6067</v>
      </c>
      <c r="E1506" s="193" t="s">
        <v>8844</v>
      </c>
      <c r="F1506" s="193" t="s">
        <v>114</v>
      </c>
      <c r="G1506" s="195" t="s">
        <v>10840</v>
      </c>
      <c r="H1506" s="166" t="s">
        <v>13436</v>
      </c>
      <c r="I1506" s="193" t="s">
        <v>12815</v>
      </c>
      <c r="J1506" s="193" t="s">
        <v>146</v>
      </c>
      <c r="K1506" s="170"/>
      <c r="L1506" s="193" t="s">
        <v>146</v>
      </c>
    </row>
    <row r="1507" spans="1:12" ht="15.75">
      <c r="A1507" s="67">
        <f t="shared" si="23"/>
        <v>1505</v>
      </c>
      <c r="B1507" s="164">
        <v>1505</v>
      </c>
      <c r="C1507" s="193" t="s">
        <v>2800</v>
      </c>
      <c r="D1507" s="195" t="s">
        <v>6068</v>
      </c>
      <c r="E1507" s="193" t="s">
        <v>8845</v>
      </c>
      <c r="F1507" s="193" t="s">
        <v>59</v>
      </c>
      <c r="G1507" s="195" t="s">
        <v>11070</v>
      </c>
      <c r="H1507" s="166" t="s">
        <v>13436</v>
      </c>
      <c r="I1507" s="193" t="s">
        <v>12832</v>
      </c>
      <c r="J1507" s="193" t="s">
        <v>146</v>
      </c>
      <c r="K1507" s="170"/>
      <c r="L1507" s="193"/>
    </row>
    <row r="1508" spans="1:12" ht="75">
      <c r="A1508" s="67">
        <f t="shared" si="23"/>
        <v>1506</v>
      </c>
      <c r="B1508" s="164">
        <v>1506</v>
      </c>
      <c r="C1508" s="193" t="s">
        <v>2801</v>
      </c>
      <c r="D1508" s="195" t="s">
        <v>6069</v>
      </c>
      <c r="E1508" s="193" t="s">
        <v>8846</v>
      </c>
      <c r="F1508" s="193" t="s">
        <v>114</v>
      </c>
      <c r="G1508" s="195" t="s">
        <v>859</v>
      </c>
      <c r="H1508" s="166" t="s">
        <v>13436</v>
      </c>
      <c r="I1508" s="193" t="s">
        <v>12825</v>
      </c>
      <c r="J1508" s="193" t="s">
        <v>12482</v>
      </c>
      <c r="K1508" s="170"/>
      <c r="L1508" s="193" t="s">
        <v>13246</v>
      </c>
    </row>
    <row r="1509" spans="1:12" ht="15.75">
      <c r="A1509" s="67">
        <f t="shared" si="23"/>
        <v>1507</v>
      </c>
      <c r="B1509" s="164">
        <v>1507</v>
      </c>
      <c r="C1509" s="193" t="s">
        <v>2802</v>
      </c>
      <c r="D1509" s="195" t="s">
        <v>6070</v>
      </c>
      <c r="E1509" s="193" t="s">
        <v>8847</v>
      </c>
      <c r="F1509" s="193" t="s">
        <v>114</v>
      </c>
      <c r="G1509" s="195" t="s">
        <v>703</v>
      </c>
      <c r="H1509" s="166" t="s">
        <v>13436</v>
      </c>
      <c r="I1509" s="193" t="s">
        <v>12825</v>
      </c>
      <c r="J1509" s="193" t="s">
        <v>146</v>
      </c>
      <c r="K1509" s="170"/>
      <c r="L1509" s="193" t="s">
        <v>146</v>
      </c>
    </row>
    <row r="1510" spans="1:12" ht="15.75">
      <c r="A1510" s="67">
        <f t="shared" si="23"/>
        <v>1508</v>
      </c>
      <c r="B1510" s="164">
        <v>1508</v>
      </c>
      <c r="C1510" s="193" t="s">
        <v>2803</v>
      </c>
      <c r="D1510" s="195" t="s">
        <v>6071</v>
      </c>
      <c r="E1510" s="193" t="s">
        <v>8848</v>
      </c>
      <c r="F1510" s="193" t="s">
        <v>114</v>
      </c>
      <c r="G1510" s="195" t="s">
        <v>11071</v>
      </c>
      <c r="H1510" s="166" t="s">
        <v>13436</v>
      </c>
      <c r="I1510" s="193" t="s">
        <v>12824</v>
      </c>
      <c r="J1510" s="193" t="s">
        <v>146</v>
      </c>
      <c r="K1510" s="170"/>
      <c r="L1510" s="193" t="s">
        <v>146</v>
      </c>
    </row>
    <row r="1511" spans="1:12" ht="15.75">
      <c r="A1511" s="67">
        <f t="shared" si="23"/>
        <v>1509</v>
      </c>
      <c r="B1511" s="164">
        <v>1509</v>
      </c>
      <c r="C1511" s="193" t="s">
        <v>2804</v>
      </c>
      <c r="D1511" s="195" t="s">
        <v>6072</v>
      </c>
      <c r="E1511" s="193" t="s">
        <v>8849</v>
      </c>
      <c r="F1511" s="193" t="s">
        <v>114</v>
      </c>
      <c r="G1511" s="195" t="s">
        <v>11072</v>
      </c>
      <c r="H1511" s="166" t="s">
        <v>13436</v>
      </c>
      <c r="I1511" s="193" t="s">
        <v>12824</v>
      </c>
      <c r="J1511" s="193" t="s">
        <v>146</v>
      </c>
      <c r="K1511" s="170"/>
      <c r="L1511" s="193" t="s">
        <v>146</v>
      </c>
    </row>
    <row r="1512" spans="1:12" ht="15.75">
      <c r="A1512" s="67">
        <f t="shared" si="23"/>
        <v>1510</v>
      </c>
      <c r="B1512" s="164">
        <v>1510</v>
      </c>
      <c r="C1512" s="193" t="s">
        <v>2805</v>
      </c>
      <c r="D1512" s="195" t="s">
        <v>6073</v>
      </c>
      <c r="E1512" s="193" t="s">
        <v>8850</v>
      </c>
      <c r="F1512" s="193" t="s">
        <v>114</v>
      </c>
      <c r="G1512" s="195" t="s">
        <v>10704</v>
      </c>
      <c r="H1512" s="166" t="s">
        <v>13436</v>
      </c>
      <c r="I1512" s="193" t="s">
        <v>12825</v>
      </c>
      <c r="J1512" s="193" t="s">
        <v>146</v>
      </c>
      <c r="K1512" s="170"/>
      <c r="L1512" s="193" t="s">
        <v>146</v>
      </c>
    </row>
    <row r="1513" spans="1:12" ht="15.75">
      <c r="A1513" s="67">
        <f t="shared" si="23"/>
        <v>1511</v>
      </c>
      <c r="B1513" s="164">
        <v>1511</v>
      </c>
      <c r="C1513" s="193" t="s">
        <v>2806</v>
      </c>
      <c r="D1513" s="195" t="s">
        <v>6074</v>
      </c>
      <c r="E1513" s="193" t="s">
        <v>8851</v>
      </c>
      <c r="F1513" s="193" t="s">
        <v>59</v>
      </c>
      <c r="G1513" s="195" t="s">
        <v>10893</v>
      </c>
      <c r="H1513" s="166" t="s">
        <v>13436</v>
      </c>
      <c r="I1513" s="193" t="s">
        <v>12825</v>
      </c>
      <c r="J1513" s="219" t="s">
        <v>164</v>
      </c>
      <c r="K1513" s="170"/>
      <c r="L1513" s="193"/>
    </row>
    <row r="1514" spans="1:12" ht="15.75">
      <c r="A1514" s="67">
        <f t="shared" si="23"/>
        <v>1512</v>
      </c>
      <c r="B1514" s="164">
        <v>1512</v>
      </c>
      <c r="C1514" s="193" t="s">
        <v>2807</v>
      </c>
      <c r="D1514" s="195" t="s">
        <v>6075</v>
      </c>
      <c r="E1514" s="193" t="s">
        <v>8852</v>
      </c>
      <c r="F1514" s="193" t="s">
        <v>59</v>
      </c>
      <c r="G1514" s="195" t="s">
        <v>690</v>
      </c>
      <c r="H1514" s="166" t="s">
        <v>13436</v>
      </c>
      <c r="I1514" s="193" t="s">
        <v>12825</v>
      </c>
      <c r="J1514" s="219" t="s">
        <v>146</v>
      </c>
      <c r="K1514" s="170"/>
      <c r="L1514" s="193"/>
    </row>
    <row r="1515" spans="1:12" ht="15.75">
      <c r="A1515" s="67">
        <f t="shared" si="23"/>
        <v>1513</v>
      </c>
      <c r="B1515" s="164">
        <v>1513</v>
      </c>
      <c r="C1515" s="193" t="s">
        <v>2808</v>
      </c>
      <c r="D1515" s="195" t="s">
        <v>6076</v>
      </c>
      <c r="E1515" s="193" t="s">
        <v>8853</v>
      </c>
      <c r="F1515" s="193" t="s">
        <v>59</v>
      </c>
      <c r="G1515" s="195" t="s">
        <v>11073</v>
      </c>
      <c r="H1515" s="166" t="s">
        <v>13436</v>
      </c>
      <c r="I1515" s="193" t="s">
        <v>12825</v>
      </c>
      <c r="J1515" s="219" t="s">
        <v>146</v>
      </c>
      <c r="K1515" s="170"/>
      <c r="L1515" s="193"/>
    </row>
    <row r="1516" spans="1:12" ht="15.75">
      <c r="A1516" s="67">
        <f t="shared" si="23"/>
        <v>1514</v>
      </c>
      <c r="B1516" s="164">
        <v>1514</v>
      </c>
      <c r="C1516" s="193" t="s">
        <v>2809</v>
      </c>
      <c r="D1516" s="195" t="s">
        <v>6077</v>
      </c>
      <c r="E1516" s="193" t="s">
        <v>208</v>
      </c>
      <c r="F1516" s="193" t="s">
        <v>114</v>
      </c>
      <c r="G1516" s="195" t="s">
        <v>9970</v>
      </c>
      <c r="H1516" s="166" t="s">
        <v>13436</v>
      </c>
      <c r="I1516" s="193" t="s">
        <v>12821</v>
      </c>
      <c r="J1516" s="193" t="s">
        <v>1270</v>
      </c>
      <c r="K1516" s="170"/>
      <c r="L1516" s="193" t="s">
        <v>146</v>
      </c>
    </row>
    <row r="1517" spans="1:12" ht="15.75">
      <c r="A1517" s="67">
        <f t="shared" si="23"/>
        <v>1515</v>
      </c>
      <c r="B1517" s="164">
        <v>1515</v>
      </c>
      <c r="C1517" s="193" t="s">
        <v>2810</v>
      </c>
      <c r="D1517" s="195" t="s">
        <v>6078</v>
      </c>
      <c r="E1517" s="193" t="s">
        <v>162</v>
      </c>
      <c r="F1517" s="193" t="s">
        <v>114</v>
      </c>
      <c r="G1517" s="195" t="s">
        <v>11074</v>
      </c>
      <c r="H1517" s="166" t="s">
        <v>13436</v>
      </c>
      <c r="I1517" s="193" t="s">
        <v>12836</v>
      </c>
      <c r="J1517" s="193" t="s">
        <v>1252</v>
      </c>
      <c r="K1517" s="170"/>
      <c r="L1517" s="193" t="s">
        <v>146</v>
      </c>
    </row>
    <row r="1518" spans="1:12" ht="15.75">
      <c r="A1518" s="67">
        <f t="shared" si="23"/>
        <v>1516</v>
      </c>
      <c r="B1518" s="164">
        <v>1516</v>
      </c>
      <c r="C1518" s="193" t="s">
        <v>2811</v>
      </c>
      <c r="D1518" s="195" t="s">
        <v>6079</v>
      </c>
      <c r="E1518" s="193" t="s">
        <v>366</v>
      </c>
      <c r="F1518" s="193" t="s">
        <v>114</v>
      </c>
      <c r="G1518" s="195" t="s">
        <v>10073</v>
      </c>
      <c r="H1518" s="166" t="s">
        <v>13436</v>
      </c>
      <c r="I1518" s="193" t="s">
        <v>12827</v>
      </c>
      <c r="J1518" s="193" t="s">
        <v>146</v>
      </c>
      <c r="K1518" s="170"/>
      <c r="L1518" s="193" t="s">
        <v>146</v>
      </c>
    </row>
    <row r="1519" spans="1:12" ht="15.75">
      <c r="A1519" s="67">
        <f t="shared" si="23"/>
        <v>1517</v>
      </c>
      <c r="B1519" s="164">
        <v>1517</v>
      </c>
      <c r="C1519" s="193" t="s">
        <v>2812</v>
      </c>
      <c r="D1519" s="195" t="s">
        <v>6080</v>
      </c>
      <c r="E1519" s="193" t="s">
        <v>8854</v>
      </c>
      <c r="F1519" s="193" t="s">
        <v>59</v>
      </c>
      <c r="G1519" s="195" t="s">
        <v>10474</v>
      </c>
      <c r="H1519" s="166" t="s">
        <v>13436</v>
      </c>
      <c r="I1519" s="193" t="s">
        <v>12821</v>
      </c>
      <c r="J1519" s="193" t="s">
        <v>146</v>
      </c>
      <c r="K1519" s="170"/>
      <c r="L1519" s="193"/>
    </row>
    <row r="1520" spans="1:12" ht="15.75">
      <c r="A1520" s="67">
        <f t="shared" si="23"/>
        <v>1518</v>
      </c>
      <c r="B1520" s="164">
        <v>1518</v>
      </c>
      <c r="C1520" s="193" t="s">
        <v>2813</v>
      </c>
      <c r="D1520" s="195" t="s">
        <v>6081</v>
      </c>
      <c r="E1520" s="193" t="s">
        <v>8855</v>
      </c>
      <c r="F1520" s="193" t="s">
        <v>114</v>
      </c>
      <c r="G1520" s="195" t="s">
        <v>11075</v>
      </c>
      <c r="H1520" s="166" t="s">
        <v>13436</v>
      </c>
      <c r="I1520" s="193" t="s">
        <v>12827</v>
      </c>
      <c r="J1520" s="193" t="s">
        <v>146</v>
      </c>
      <c r="K1520" s="170"/>
      <c r="L1520" s="193" t="s">
        <v>146</v>
      </c>
    </row>
    <row r="1521" spans="1:12" ht="15.75">
      <c r="A1521" s="67">
        <f t="shared" si="23"/>
        <v>1519</v>
      </c>
      <c r="B1521" s="164">
        <v>1519</v>
      </c>
      <c r="C1521" s="193" t="s">
        <v>2814</v>
      </c>
      <c r="D1521" s="195" t="s">
        <v>6082</v>
      </c>
      <c r="E1521" s="193" t="s">
        <v>8856</v>
      </c>
      <c r="F1521" s="193" t="s">
        <v>114</v>
      </c>
      <c r="G1521" s="195" t="s">
        <v>10254</v>
      </c>
      <c r="H1521" s="166" t="s">
        <v>13436</v>
      </c>
      <c r="I1521" s="193" t="s">
        <v>12821</v>
      </c>
      <c r="J1521" s="193" t="s">
        <v>146</v>
      </c>
      <c r="K1521" s="170"/>
      <c r="L1521" s="193" t="s">
        <v>146</v>
      </c>
    </row>
    <row r="1522" spans="1:12" ht="15.75">
      <c r="A1522" s="67">
        <f t="shared" si="23"/>
        <v>1520</v>
      </c>
      <c r="B1522" s="164">
        <v>1520</v>
      </c>
      <c r="C1522" s="193" t="s">
        <v>2815</v>
      </c>
      <c r="D1522" s="195" t="s">
        <v>6083</v>
      </c>
      <c r="E1522" s="193" t="s">
        <v>8857</v>
      </c>
      <c r="F1522" s="193" t="s">
        <v>114</v>
      </c>
      <c r="G1522" s="195" t="s">
        <v>733</v>
      </c>
      <c r="H1522" s="166" t="s">
        <v>13436</v>
      </c>
      <c r="I1522" s="193" t="s">
        <v>12821</v>
      </c>
      <c r="J1522" s="193" t="s">
        <v>146</v>
      </c>
      <c r="K1522" s="170"/>
      <c r="L1522" s="193" t="s">
        <v>146</v>
      </c>
    </row>
    <row r="1523" spans="1:12" ht="30">
      <c r="A1523" s="67">
        <f t="shared" si="23"/>
        <v>1521</v>
      </c>
      <c r="B1523" s="164">
        <v>1521</v>
      </c>
      <c r="C1523" s="193" t="s">
        <v>2816</v>
      </c>
      <c r="D1523" s="195" t="s">
        <v>6084</v>
      </c>
      <c r="E1523" s="193" t="s">
        <v>8858</v>
      </c>
      <c r="F1523" s="193" t="s">
        <v>114</v>
      </c>
      <c r="G1523" s="195" t="s">
        <v>11076</v>
      </c>
      <c r="H1523" s="166" t="s">
        <v>13436</v>
      </c>
      <c r="I1523" s="193" t="s">
        <v>12817</v>
      </c>
      <c r="J1523" s="193" t="s">
        <v>12483</v>
      </c>
      <c r="K1523" s="170"/>
      <c r="L1523" s="193" t="s">
        <v>146</v>
      </c>
    </row>
    <row r="1524" spans="1:12" ht="15.75">
      <c r="A1524" s="67">
        <f t="shared" si="23"/>
        <v>1522</v>
      </c>
      <c r="B1524" s="164">
        <v>1522</v>
      </c>
      <c r="C1524" s="193" t="s">
        <v>2817</v>
      </c>
      <c r="D1524" s="195" t="s">
        <v>6085</v>
      </c>
      <c r="E1524" s="193" t="s">
        <v>8859</v>
      </c>
      <c r="F1524" s="193" t="s">
        <v>114</v>
      </c>
      <c r="G1524" s="195" t="s">
        <v>11077</v>
      </c>
      <c r="H1524" s="166" t="s">
        <v>13436</v>
      </c>
      <c r="I1524" s="193" t="s">
        <v>12827</v>
      </c>
      <c r="J1524" s="193" t="s">
        <v>12484</v>
      </c>
      <c r="K1524" s="170"/>
      <c r="L1524" s="193" t="s">
        <v>146</v>
      </c>
    </row>
    <row r="1525" spans="1:12" ht="15.75">
      <c r="A1525" s="67">
        <f t="shared" si="23"/>
        <v>1523</v>
      </c>
      <c r="B1525" s="164">
        <v>1523</v>
      </c>
      <c r="C1525" s="193" t="s">
        <v>2818</v>
      </c>
      <c r="D1525" s="195" t="s">
        <v>6086</v>
      </c>
      <c r="E1525" s="193" t="s">
        <v>8860</v>
      </c>
      <c r="F1525" s="193" t="s">
        <v>59</v>
      </c>
      <c r="G1525" s="195" t="s">
        <v>1216</v>
      </c>
      <c r="H1525" s="166" t="s">
        <v>13436</v>
      </c>
      <c r="I1525" s="193" t="s">
        <v>12821</v>
      </c>
      <c r="J1525" s="193" t="s">
        <v>146</v>
      </c>
      <c r="K1525" s="170"/>
      <c r="L1525" s="193"/>
    </row>
    <row r="1526" spans="1:12" ht="15.75">
      <c r="A1526" s="67">
        <f t="shared" si="23"/>
        <v>1524</v>
      </c>
      <c r="B1526" s="164">
        <v>1524</v>
      </c>
      <c r="C1526" s="193" t="s">
        <v>2819</v>
      </c>
      <c r="D1526" s="195" t="s">
        <v>6087</v>
      </c>
      <c r="E1526" s="193" t="s">
        <v>659</v>
      </c>
      <c r="F1526" s="193" t="s">
        <v>59</v>
      </c>
      <c r="G1526" s="195" t="s">
        <v>684</v>
      </c>
      <c r="H1526" s="166" t="s">
        <v>13436</v>
      </c>
      <c r="I1526" s="193" t="s">
        <v>12836</v>
      </c>
      <c r="J1526" s="193" t="s">
        <v>146</v>
      </c>
      <c r="K1526" s="170"/>
      <c r="L1526" s="193"/>
    </row>
    <row r="1527" spans="1:12" ht="30">
      <c r="A1527" s="67">
        <f t="shared" si="23"/>
        <v>1525</v>
      </c>
      <c r="B1527" s="164">
        <v>1525</v>
      </c>
      <c r="C1527" s="193" t="s">
        <v>2820</v>
      </c>
      <c r="D1527" s="195" t="s">
        <v>6088</v>
      </c>
      <c r="E1527" s="193" t="s">
        <v>8861</v>
      </c>
      <c r="F1527" s="193" t="s">
        <v>114</v>
      </c>
      <c r="G1527" s="195" t="s">
        <v>11078</v>
      </c>
      <c r="H1527" s="166" t="s">
        <v>13436</v>
      </c>
      <c r="I1527" s="193" t="s">
        <v>12836</v>
      </c>
      <c r="J1527" s="193" t="s">
        <v>12485</v>
      </c>
      <c r="K1527" s="170"/>
      <c r="L1527" s="193" t="s">
        <v>12935</v>
      </c>
    </row>
    <row r="1528" spans="1:12" ht="15.75">
      <c r="A1528" s="67">
        <f t="shared" si="23"/>
        <v>1526</v>
      </c>
      <c r="B1528" s="164">
        <v>1526</v>
      </c>
      <c r="C1528" s="193" t="s">
        <v>2821</v>
      </c>
      <c r="D1528" s="195" t="s">
        <v>6089</v>
      </c>
      <c r="E1528" s="193" t="s">
        <v>8862</v>
      </c>
      <c r="F1528" s="193" t="s">
        <v>114</v>
      </c>
      <c r="G1528" s="195" t="s">
        <v>1008</v>
      </c>
      <c r="H1528" s="166" t="s">
        <v>13436</v>
      </c>
      <c r="I1528" s="193" t="s">
        <v>12836</v>
      </c>
      <c r="J1528" s="193" t="s">
        <v>146</v>
      </c>
      <c r="K1528" s="170"/>
      <c r="L1528" s="193" t="s">
        <v>146</v>
      </c>
    </row>
    <row r="1529" spans="1:12" ht="15.75">
      <c r="A1529" s="67">
        <f t="shared" si="23"/>
        <v>1527</v>
      </c>
      <c r="B1529" s="164">
        <v>1527</v>
      </c>
      <c r="C1529" s="193" t="s">
        <v>2822</v>
      </c>
      <c r="D1529" s="195" t="s">
        <v>6090</v>
      </c>
      <c r="E1529" s="193" t="s">
        <v>8863</v>
      </c>
      <c r="F1529" s="193" t="s">
        <v>114</v>
      </c>
      <c r="G1529" s="195" t="s">
        <v>11079</v>
      </c>
      <c r="H1529" s="166" t="s">
        <v>13436</v>
      </c>
      <c r="I1529" s="193" t="s">
        <v>12821</v>
      </c>
      <c r="J1529" s="193" t="s">
        <v>146</v>
      </c>
      <c r="K1529" s="170"/>
      <c r="L1529" s="193" t="s">
        <v>146</v>
      </c>
    </row>
    <row r="1530" spans="1:12" ht="15.75">
      <c r="A1530" s="67">
        <f t="shared" si="23"/>
        <v>1528</v>
      </c>
      <c r="B1530" s="164">
        <v>1528</v>
      </c>
      <c r="C1530" s="193" t="s">
        <v>2823</v>
      </c>
      <c r="D1530" s="195" t="s">
        <v>6091</v>
      </c>
      <c r="E1530" s="193" t="s">
        <v>8864</v>
      </c>
      <c r="F1530" s="193" t="s">
        <v>59</v>
      </c>
      <c r="G1530" s="195" t="s">
        <v>10888</v>
      </c>
      <c r="H1530" s="166" t="s">
        <v>13436</v>
      </c>
      <c r="I1530" s="193" t="s">
        <v>12821</v>
      </c>
      <c r="J1530" s="219" t="s">
        <v>164</v>
      </c>
      <c r="K1530" s="170"/>
      <c r="L1530" s="193"/>
    </row>
    <row r="1531" spans="1:12" ht="30">
      <c r="A1531" s="67">
        <f t="shared" si="23"/>
        <v>1529</v>
      </c>
      <c r="B1531" s="164">
        <v>1529</v>
      </c>
      <c r="C1531" s="193" t="s">
        <v>2824</v>
      </c>
      <c r="D1531" s="195" t="s">
        <v>6092</v>
      </c>
      <c r="E1531" s="193" t="s">
        <v>8741</v>
      </c>
      <c r="F1531" s="193" t="s">
        <v>114</v>
      </c>
      <c r="G1531" s="195" t="s">
        <v>712</v>
      </c>
      <c r="H1531" s="166" t="s">
        <v>13436</v>
      </c>
      <c r="I1531" s="193" t="s">
        <v>12821</v>
      </c>
      <c r="J1531" s="193" t="s">
        <v>12486</v>
      </c>
      <c r="K1531" s="170"/>
      <c r="L1531" s="193" t="s">
        <v>146</v>
      </c>
    </row>
    <row r="1532" spans="1:12" ht="15.75">
      <c r="A1532" s="67">
        <f t="shared" si="23"/>
        <v>1530</v>
      </c>
      <c r="B1532" s="164">
        <v>1530</v>
      </c>
      <c r="C1532" s="193" t="s">
        <v>2825</v>
      </c>
      <c r="D1532" s="195" t="s">
        <v>6093</v>
      </c>
      <c r="E1532" s="193" t="s">
        <v>477</v>
      </c>
      <c r="F1532" s="193" t="s">
        <v>114</v>
      </c>
      <c r="G1532" s="195" t="s">
        <v>765</v>
      </c>
      <c r="H1532" s="166" t="s">
        <v>13436</v>
      </c>
      <c r="I1532" s="193" t="s">
        <v>12821</v>
      </c>
      <c r="J1532" s="193" t="s">
        <v>146</v>
      </c>
      <c r="K1532" s="170"/>
      <c r="L1532" s="193" t="s">
        <v>146</v>
      </c>
    </row>
    <row r="1533" spans="1:12" ht="15.75">
      <c r="A1533" s="67">
        <f t="shared" si="23"/>
        <v>1531</v>
      </c>
      <c r="B1533" s="164">
        <v>1531</v>
      </c>
      <c r="C1533" s="193" t="s">
        <v>2826</v>
      </c>
      <c r="D1533" s="195" t="s">
        <v>6094</v>
      </c>
      <c r="E1533" s="193" t="s">
        <v>589</v>
      </c>
      <c r="F1533" s="193" t="s">
        <v>114</v>
      </c>
      <c r="G1533" s="195" t="s">
        <v>11080</v>
      </c>
      <c r="H1533" s="166" t="s">
        <v>13436</v>
      </c>
      <c r="I1533" s="193" t="s">
        <v>12821</v>
      </c>
      <c r="J1533" s="193" t="s">
        <v>12487</v>
      </c>
      <c r="K1533" s="170"/>
      <c r="L1533" s="193" t="s">
        <v>146</v>
      </c>
    </row>
    <row r="1534" spans="1:12" ht="30">
      <c r="A1534" s="67">
        <f t="shared" si="23"/>
        <v>1532</v>
      </c>
      <c r="B1534" s="164">
        <v>1532</v>
      </c>
      <c r="C1534" s="193" t="s">
        <v>2827</v>
      </c>
      <c r="D1534" s="195" t="s">
        <v>6095</v>
      </c>
      <c r="E1534" s="193" t="s">
        <v>8865</v>
      </c>
      <c r="F1534" s="193" t="s">
        <v>114</v>
      </c>
      <c r="G1534" s="195" t="s">
        <v>11081</v>
      </c>
      <c r="H1534" s="166" t="s">
        <v>13436</v>
      </c>
      <c r="I1534" s="193" t="s">
        <v>12821</v>
      </c>
      <c r="J1534" s="193" t="s">
        <v>12488</v>
      </c>
      <c r="K1534" s="170"/>
      <c r="L1534" s="193" t="s">
        <v>146</v>
      </c>
    </row>
    <row r="1535" spans="1:12" ht="15.75">
      <c r="A1535" s="67">
        <f t="shared" si="23"/>
        <v>1533</v>
      </c>
      <c r="B1535" s="164">
        <v>1533</v>
      </c>
      <c r="C1535" s="193" t="s">
        <v>2828</v>
      </c>
      <c r="D1535" s="195" t="s">
        <v>6096</v>
      </c>
      <c r="E1535" s="193" t="s">
        <v>8807</v>
      </c>
      <c r="F1535" s="193" t="s">
        <v>114</v>
      </c>
      <c r="G1535" s="195" t="s">
        <v>926</v>
      </c>
      <c r="H1535" s="166" t="s">
        <v>13436</v>
      </c>
      <c r="I1535" s="193" t="s">
        <v>12808</v>
      </c>
      <c r="J1535" s="219" t="s">
        <v>146</v>
      </c>
      <c r="K1535" s="170"/>
      <c r="L1535" s="193" t="s">
        <v>146</v>
      </c>
    </row>
    <row r="1536" spans="1:12" ht="30">
      <c r="A1536" s="67">
        <f t="shared" si="23"/>
        <v>1534</v>
      </c>
      <c r="B1536" s="164">
        <v>1534</v>
      </c>
      <c r="C1536" s="193" t="s">
        <v>2829</v>
      </c>
      <c r="D1536" s="195" t="s">
        <v>6097</v>
      </c>
      <c r="E1536" s="193" t="s">
        <v>8866</v>
      </c>
      <c r="F1536" s="193" t="s">
        <v>114</v>
      </c>
      <c r="G1536" s="195" t="s">
        <v>967</v>
      </c>
      <c r="H1536" s="166" t="s">
        <v>13436</v>
      </c>
      <c r="I1536" s="193" t="s">
        <v>12808</v>
      </c>
      <c r="J1536" s="193" t="s">
        <v>146</v>
      </c>
      <c r="K1536" s="170"/>
      <c r="L1536" s="193" t="s">
        <v>13247</v>
      </c>
    </row>
    <row r="1537" spans="1:12" ht="15.75">
      <c r="A1537" s="67">
        <f t="shared" si="23"/>
        <v>1535</v>
      </c>
      <c r="B1537" s="164">
        <v>1535</v>
      </c>
      <c r="C1537" s="193" t="s">
        <v>2830</v>
      </c>
      <c r="D1537" s="195" t="s">
        <v>6098</v>
      </c>
      <c r="E1537" s="193" t="s">
        <v>8867</v>
      </c>
      <c r="F1537" s="193" t="s">
        <v>114</v>
      </c>
      <c r="G1537" s="195" t="s">
        <v>11068</v>
      </c>
      <c r="H1537" s="166" t="s">
        <v>13436</v>
      </c>
      <c r="I1537" s="193" t="s">
        <v>12808</v>
      </c>
      <c r="J1537" s="193" t="s">
        <v>146</v>
      </c>
      <c r="K1537" s="170"/>
      <c r="L1537" s="193" t="s">
        <v>146</v>
      </c>
    </row>
    <row r="1538" spans="1:12" ht="15.75">
      <c r="A1538" s="67">
        <f t="shared" si="23"/>
        <v>1536</v>
      </c>
      <c r="B1538" s="164">
        <v>1536</v>
      </c>
      <c r="C1538" s="193" t="s">
        <v>2831</v>
      </c>
      <c r="D1538" s="195" t="s">
        <v>6099</v>
      </c>
      <c r="E1538" s="193" t="s">
        <v>8868</v>
      </c>
      <c r="F1538" s="193" t="s">
        <v>114</v>
      </c>
      <c r="G1538" s="195" t="s">
        <v>11082</v>
      </c>
      <c r="H1538" s="166" t="s">
        <v>13436</v>
      </c>
      <c r="I1538" s="193" t="s">
        <v>12813</v>
      </c>
      <c r="J1538" s="193" t="s">
        <v>146</v>
      </c>
      <c r="K1538" s="170"/>
      <c r="L1538" s="193" t="s">
        <v>146</v>
      </c>
    </row>
    <row r="1539" spans="1:12" ht="15.75">
      <c r="A1539" s="67">
        <f t="shared" ref="A1539:A1602" si="24">IFERROR(VALUE(RIGHT(C1539,4)),"")</f>
        <v>1537</v>
      </c>
      <c r="B1539" s="164">
        <v>1537</v>
      </c>
      <c r="C1539" s="193" t="s">
        <v>2832</v>
      </c>
      <c r="D1539" s="195" t="s">
        <v>6100</v>
      </c>
      <c r="E1539" s="193" t="s">
        <v>8869</v>
      </c>
      <c r="F1539" s="193" t="s">
        <v>59</v>
      </c>
      <c r="G1539" s="195" t="s">
        <v>11083</v>
      </c>
      <c r="H1539" s="166" t="s">
        <v>13436</v>
      </c>
      <c r="I1539" s="193" t="s">
        <v>12824</v>
      </c>
      <c r="J1539" s="219" t="s">
        <v>147</v>
      </c>
      <c r="K1539" s="170"/>
      <c r="L1539" s="193"/>
    </row>
    <row r="1540" spans="1:12" ht="15.75">
      <c r="A1540" s="67">
        <f t="shared" si="24"/>
        <v>1538</v>
      </c>
      <c r="B1540" s="164">
        <v>1538</v>
      </c>
      <c r="C1540" s="193" t="s">
        <v>2833</v>
      </c>
      <c r="D1540" s="195" t="s">
        <v>6101</v>
      </c>
      <c r="E1540" s="193" t="s">
        <v>8870</v>
      </c>
      <c r="F1540" s="193" t="s">
        <v>59</v>
      </c>
      <c r="G1540" s="195" t="s">
        <v>11084</v>
      </c>
      <c r="H1540" s="166" t="s">
        <v>13436</v>
      </c>
      <c r="I1540" s="193" t="s">
        <v>12808</v>
      </c>
      <c r="J1540" s="219" t="s">
        <v>146</v>
      </c>
      <c r="K1540" s="170"/>
      <c r="L1540" s="193"/>
    </row>
    <row r="1541" spans="1:12" ht="15.75">
      <c r="A1541" s="67">
        <f t="shared" si="24"/>
        <v>1539</v>
      </c>
      <c r="B1541" s="164">
        <v>1539</v>
      </c>
      <c r="C1541" s="193" t="s">
        <v>2834</v>
      </c>
      <c r="D1541" s="195" t="s">
        <v>6102</v>
      </c>
      <c r="E1541" s="193" t="s">
        <v>8871</v>
      </c>
      <c r="F1541" s="193" t="s">
        <v>59</v>
      </c>
      <c r="G1541" s="195" t="s">
        <v>11085</v>
      </c>
      <c r="H1541" s="166" t="s">
        <v>13436</v>
      </c>
      <c r="I1541" s="193" t="s">
        <v>12808</v>
      </c>
      <c r="J1541" s="193" t="s">
        <v>146</v>
      </c>
      <c r="K1541" s="170"/>
      <c r="L1541" s="193"/>
    </row>
    <row r="1542" spans="1:12" ht="15.75">
      <c r="A1542" s="67">
        <f t="shared" si="24"/>
        <v>1540</v>
      </c>
      <c r="B1542" s="164">
        <v>1540</v>
      </c>
      <c r="C1542" s="193" t="s">
        <v>2835</v>
      </c>
      <c r="D1542" s="195" t="s">
        <v>6103</v>
      </c>
      <c r="E1542" s="193" t="s">
        <v>163</v>
      </c>
      <c r="F1542" s="193" t="s">
        <v>114</v>
      </c>
      <c r="G1542" s="195" t="s">
        <v>11086</v>
      </c>
      <c r="H1542" s="166" t="s">
        <v>13436</v>
      </c>
      <c r="I1542" s="193" t="s">
        <v>12824</v>
      </c>
      <c r="J1542" s="219" t="s">
        <v>146</v>
      </c>
      <c r="K1542" s="170"/>
      <c r="L1542" s="219" t="s">
        <v>146</v>
      </c>
    </row>
    <row r="1543" spans="1:12" ht="75">
      <c r="A1543" s="67">
        <f t="shared" si="24"/>
        <v>1541</v>
      </c>
      <c r="B1543" s="164">
        <v>1541</v>
      </c>
      <c r="C1543" s="193" t="s">
        <v>2836</v>
      </c>
      <c r="D1543" s="195" t="s">
        <v>6104</v>
      </c>
      <c r="E1543" s="193" t="s">
        <v>8872</v>
      </c>
      <c r="F1543" s="193" t="s">
        <v>114</v>
      </c>
      <c r="G1543" s="195" t="s">
        <v>11087</v>
      </c>
      <c r="H1543" s="166" t="s">
        <v>13436</v>
      </c>
      <c r="I1543" s="193" t="s">
        <v>12827</v>
      </c>
      <c r="J1543" s="193" t="s">
        <v>146</v>
      </c>
      <c r="K1543" s="170"/>
      <c r="L1543" s="193" t="s">
        <v>13248</v>
      </c>
    </row>
    <row r="1544" spans="1:12" ht="75">
      <c r="A1544" s="67">
        <f t="shared" si="24"/>
        <v>1542</v>
      </c>
      <c r="B1544" s="164">
        <v>1542</v>
      </c>
      <c r="C1544" s="193" t="s">
        <v>2837</v>
      </c>
      <c r="D1544" s="195" t="s">
        <v>6105</v>
      </c>
      <c r="E1544" s="193" t="s">
        <v>8259</v>
      </c>
      <c r="F1544" s="193" t="s">
        <v>114</v>
      </c>
      <c r="G1544" s="195" t="s">
        <v>11088</v>
      </c>
      <c r="H1544" s="166" t="s">
        <v>13436</v>
      </c>
      <c r="I1544" s="193" t="s">
        <v>12821</v>
      </c>
      <c r="J1544" s="193" t="s">
        <v>147</v>
      </c>
      <c r="K1544" s="170"/>
      <c r="L1544" s="193" t="s">
        <v>13249</v>
      </c>
    </row>
    <row r="1545" spans="1:12" ht="15.75">
      <c r="A1545" s="67">
        <f t="shared" si="24"/>
        <v>1543</v>
      </c>
      <c r="B1545" s="164">
        <v>1543</v>
      </c>
      <c r="C1545" s="193" t="s">
        <v>2838</v>
      </c>
      <c r="D1545" s="195" t="s">
        <v>6106</v>
      </c>
      <c r="E1545" s="193" t="s">
        <v>178</v>
      </c>
      <c r="F1545" s="193" t="s">
        <v>114</v>
      </c>
      <c r="G1545" s="195" t="s">
        <v>11089</v>
      </c>
      <c r="H1545" s="166" t="s">
        <v>13436</v>
      </c>
      <c r="I1545" s="193" t="s">
        <v>12821</v>
      </c>
      <c r="J1545" s="193" t="s">
        <v>146</v>
      </c>
      <c r="K1545" s="170"/>
      <c r="L1545" s="193" t="s">
        <v>146</v>
      </c>
    </row>
    <row r="1546" spans="1:12" ht="30">
      <c r="A1546" s="67">
        <f t="shared" si="24"/>
        <v>1544</v>
      </c>
      <c r="B1546" s="164">
        <v>1544</v>
      </c>
      <c r="C1546" s="193" t="s">
        <v>2839</v>
      </c>
      <c r="D1546" s="195" t="s">
        <v>6107</v>
      </c>
      <c r="E1546" s="193" t="s">
        <v>492</v>
      </c>
      <c r="F1546" s="193" t="s">
        <v>114</v>
      </c>
      <c r="G1546" s="195" t="s">
        <v>11090</v>
      </c>
      <c r="H1546" s="166" t="s">
        <v>13436</v>
      </c>
      <c r="I1546" s="193" t="s">
        <v>12821</v>
      </c>
      <c r="J1546" s="193" t="s">
        <v>12489</v>
      </c>
      <c r="K1546" s="170"/>
      <c r="L1546" s="193" t="s">
        <v>13250</v>
      </c>
    </row>
    <row r="1547" spans="1:12" ht="15.75">
      <c r="A1547" s="67">
        <f t="shared" si="24"/>
        <v>1545</v>
      </c>
      <c r="B1547" s="164">
        <v>1545</v>
      </c>
      <c r="C1547" s="193" t="s">
        <v>2840</v>
      </c>
      <c r="D1547" s="195" t="s">
        <v>6108</v>
      </c>
      <c r="E1547" s="193" t="s">
        <v>8873</v>
      </c>
      <c r="F1547" s="193" t="s">
        <v>114</v>
      </c>
      <c r="G1547" s="195" t="s">
        <v>10857</v>
      </c>
      <c r="H1547" s="166" t="s">
        <v>13436</v>
      </c>
      <c r="I1547" s="193" t="s">
        <v>12836</v>
      </c>
      <c r="J1547" s="193" t="s">
        <v>146</v>
      </c>
      <c r="K1547" s="170"/>
      <c r="L1547" s="193" t="s">
        <v>146</v>
      </c>
    </row>
    <row r="1548" spans="1:12" ht="15.75">
      <c r="A1548" s="67">
        <f t="shared" si="24"/>
        <v>1546</v>
      </c>
      <c r="B1548" s="164">
        <v>1546</v>
      </c>
      <c r="C1548" s="193" t="s">
        <v>2841</v>
      </c>
      <c r="D1548" s="195" t="s">
        <v>6109</v>
      </c>
      <c r="E1548" s="193" t="s">
        <v>8874</v>
      </c>
      <c r="F1548" s="193" t="s">
        <v>114</v>
      </c>
      <c r="G1548" s="195" t="s">
        <v>11091</v>
      </c>
      <c r="H1548" s="166" t="s">
        <v>13436</v>
      </c>
      <c r="I1548" s="193" t="s">
        <v>12836</v>
      </c>
      <c r="J1548" s="193" t="s">
        <v>146</v>
      </c>
      <c r="K1548" s="170"/>
      <c r="L1548" s="193" t="s">
        <v>146</v>
      </c>
    </row>
    <row r="1549" spans="1:12" ht="75">
      <c r="A1549" s="67">
        <f t="shared" si="24"/>
        <v>1547</v>
      </c>
      <c r="B1549" s="164">
        <v>1547</v>
      </c>
      <c r="C1549" s="193" t="s">
        <v>2842</v>
      </c>
      <c r="D1549" s="195" t="s">
        <v>6110</v>
      </c>
      <c r="E1549" s="193" t="s">
        <v>8875</v>
      </c>
      <c r="F1549" s="193" t="s">
        <v>114</v>
      </c>
      <c r="G1549" s="195" t="s">
        <v>929</v>
      </c>
      <c r="H1549" s="166" t="s">
        <v>13436</v>
      </c>
      <c r="I1549" s="193" t="s">
        <v>12836</v>
      </c>
      <c r="J1549" s="193" t="s">
        <v>1270</v>
      </c>
      <c r="K1549" s="170"/>
      <c r="L1549" s="193" t="s">
        <v>13251</v>
      </c>
    </row>
    <row r="1550" spans="1:12" ht="75">
      <c r="A1550" s="67">
        <f t="shared" si="24"/>
        <v>1548</v>
      </c>
      <c r="B1550" s="164">
        <v>1548</v>
      </c>
      <c r="C1550" s="193" t="s">
        <v>2843</v>
      </c>
      <c r="D1550" s="195" t="s">
        <v>6111</v>
      </c>
      <c r="E1550" s="193" t="s">
        <v>491</v>
      </c>
      <c r="F1550" s="193" t="s">
        <v>114</v>
      </c>
      <c r="G1550" s="195" t="s">
        <v>11092</v>
      </c>
      <c r="H1550" s="166" t="s">
        <v>13436</v>
      </c>
      <c r="I1550" s="193" t="s">
        <v>12814</v>
      </c>
      <c r="J1550" s="193" t="s">
        <v>146</v>
      </c>
      <c r="K1550" s="170"/>
      <c r="L1550" s="193" t="s">
        <v>13252</v>
      </c>
    </row>
    <row r="1551" spans="1:12" ht="15.75">
      <c r="A1551" s="67">
        <f t="shared" si="24"/>
        <v>1549</v>
      </c>
      <c r="B1551" s="164">
        <v>1549</v>
      </c>
      <c r="C1551" s="193" t="s">
        <v>2844</v>
      </c>
      <c r="D1551" s="195" t="s">
        <v>6112</v>
      </c>
      <c r="E1551" s="193" t="s">
        <v>8876</v>
      </c>
      <c r="F1551" s="193" t="s">
        <v>114</v>
      </c>
      <c r="G1551" s="195" t="s">
        <v>834</v>
      </c>
      <c r="H1551" s="166" t="s">
        <v>13436</v>
      </c>
      <c r="I1551" s="193" t="s">
        <v>12836</v>
      </c>
      <c r="J1551" s="193" t="s">
        <v>146</v>
      </c>
      <c r="K1551" s="170"/>
      <c r="L1551" s="193" t="s">
        <v>146</v>
      </c>
    </row>
    <row r="1552" spans="1:12" ht="45">
      <c r="A1552" s="67">
        <f t="shared" si="24"/>
        <v>1550</v>
      </c>
      <c r="B1552" s="164">
        <v>1550</v>
      </c>
      <c r="C1552" s="193" t="s">
        <v>2845</v>
      </c>
      <c r="D1552" s="195" t="s">
        <v>6113</v>
      </c>
      <c r="E1552" s="193" t="s">
        <v>8877</v>
      </c>
      <c r="F1552" s="193" t="s">
        <v>114</v>
      </c>
      <c r="G1552" s="195" t="s">
        <v>743</v>
      </c>
      <c r="H1552" s="166" t="s">
        <v>13436</v>
      </c>
      <c r="I1552" s="193" t="s">
        <v>12836</v>
      </c>
      <c r="J1552" s="193" t="s">
        <v>12490</v>
      </c>
      <c r="K1552" s="170"/>
      <c r="L1552" s="193" t="s">
        <v>146</v>
      </c>
    </row>
    <row r="1553" spans="1:12" ht="15.75">
      <c r="A1553" s="67">
        <f t="shared" si="24"/>
        <v>1551</v>
      </c>
      <c r="B1553" s="164">
        <v>1551</v>
      </c>
      <c r="C1553" s="193" t="s">
        <v>2846</v>
      </c>
      <c r="D1553" s="195" t="s">
        <v>6114</v>
      </c>
      <c r="E1553" s="193" t="s">
        <v>8878</v>
      </c>
      <c r="F1553" s="193" t="s">
        <v>59</v>
      </c>
      <c r="G1553" s="195" t="s">
        <v>11093</v>
      </c>
      <c r="H1553" s="166" t="s">
        <v>13436</v>
      </c>
      <c r="I1553" s="193" t="s">
        <v>12832</v>
      </c>
      <c r="J1553" s="193" t="s">
        <v>12491</v>
      </c>
      <c r="K1553" s="170"/>
      <c r="L1553" s="193"/>
    </row>
    <row r="1554" spans="1:12" ht="15.75">
      <c r="A1554" s="67">
        <f t="shared" si="24"/>
        <v>1552</v>
      </c>
      <c r="B1554" s="164">
        <v>1552</v>
      </c>
      <c r="C1554" s="193" t="s">
        <v>2847</v>
      </c>
      <c r="D1554" s="195" t="s">
        <v>6115</v>
      </c>
      <c r="E1554" s="193" t="s">
        <v>458</v>
      </c>
      <c r="F1554" s="193" t="s">
        <v>59</v>
      </c>
      <c r="G1554" s="195" t="s">
        <v>11094</v>
      </c>
      <c r="H1554" s="166" t="s">
        <v>13436</v>
      </c>
      <c r="I1554" s="193" t="s">
        <v>12825</v>
      </c>
      <c r="J1554" s="193" t="s">
        <v>146</v>
      </c>
      <c r="K1554" s="170"/>
      <c r="L1554" s="193"/>
    </row>
    <row r="1555" spans="1:12" ht="30">
      <c r="A1555" s="67">
        <f t="shared" si="24"/>
        <v>1553</v>
      </c>
      <c r="B1555" s="164">
        <v>1553</v>
      </c>
      <c r="C1555" s="193" t="s">
        <v>2848</v>
      </c>
      <c r="D1555" s="195" t="s">
        <v>6116</v>
      </c>
      <c r="E1555" s="193" t="s">
        <v>8879</v>
      </c>
      <c r="F1555" s="193" t="s">
        <v>114</v>
      </c>
      <c r="G1555" s="195" t="s">
        <v>11095</v>
      </c>
      <c r="H1555" s="166" t="s">
        <v>13436</v>
      </c>
      <c r="I1555" s="193" t="s">
        <v>12825</v>
      </c>
      <c r="J1555" s="193" t="s">
        <v>1274</v>
      </c>
      <c r="K1555" s="170"/>
      <c r="L1555" s="193" t="s">
        <v>146</v>
      </c>
    </row>
    <row r="1556" spans="1:12" ht="15.75">
      <c r="A1556" s="67">
        <f t="shared" si="24"/>
        <v>1554</v>
      </c>
      <c r="B1556" s="164">
        <v>1554</v>
      </c>
      <c r="C1556" s="193" t="s">
        <v>2849</v>
      </c>
      <c r="D1556" s="199" t="s">
        <v>6117</v>
      </c>
      <c r="E1556" s="193" t="s">
        <v>8880</v>
      </c>
      <c r="F1556" s="193" t="s">
        <v>114</v>
      </c>
      <c r="G1556" s="195" t="s">
        <v>1074</v>
      </c>
      <c r="H1556" s="166" t="s">
        <v>13436</v>
      </c>
      <c r="I1556" s="193" t="s">
        <v>12839</v>
      </c>
      <c r="J1556" s="193" t="s">
        <v>146</v>
      </c>
      <c r="K1556" s="170"/>
      <c r="L1556" s="193" t="s">
        <v>146</v>
      </c>
    </row>
    <row r="1557" spans="1:12" ht="15.75">
      <c r="A1557" s="67">
        <f t="shared" si="24"/>
        <v>1555</v>
      </c>
      <c r="B1557" s="164">
        <v>1555</v>
      </c>
      <c r="C1557" s="193" t="s">
        <v>2850</v>
      </c>
      <c r="D1557" s="195" t="s">
        <v>6118</v>
      </c>
      <c r="E1557" s="193" t="s">
        <v>7904</v>
      </c>
      <c r="F1557" s="193" t="s">
        <v>114</v>
      </c>
      <c r="G1557" s="195" t="s">
        <v>11096</v>
      </c>
      <c r="H1557" s="166" t="s">
        <v>13436</v>
      </c>
      <c r="I1557" s="193" t="s">
        <v>12825</v>
      </c>
      <c r="J1557" s="219" t="s">
        <v>286</v>
      </c>
      <c r="K1557" s="170"/>
      <c r="L1557" s="219" t="s">
        <v>146</v>
      </c>
    </row>
    <row r="1558" spans="1:12" ht="30">
      <c r="A1558" s="67">
        <f t="shared" si="24"/>
        <v>1556</v>
      </c>
      <c r="B1558" s="164">
        <v>1556</v>
      </c>
      <c r="C1558" s="193" t="s">
        <v>2851</v>
      </c>
      <c r="D1558" s="195" t="s">
        <v>6119</v>
      </c>
      <c r="E1558" s="193" t="s">
        <v>8881</v>
      </c>
      <c r="F1558" s="193" t="s">
        <v>114</v>
      </c>
      <c r="G1558" s="195" t="s">
        <v>11097</v>
      </c>
      <c r="H1558" s="166" t="s">
        <v>13436</v>
      </c>
      <c r="I1558" s="193" t="s">
        <v>12814</v>
      </c>
      <c r="J1558" s="193" t="s">
        <v>146</v>
      </c>
      <c r="K1558" s="170"/>
      <c r="L1558" s="193" t="s">
        <v>13253</v>
      </c>
    </row>
    <row r="1559" spans="1:12" ht="15.75">
      <c r="A1559" s="67">
        <f t="shared" si="24"/>
        <v>1557</v>
      </c>
      <c r="B1559" s="164">
        <v>1557</v>
      </c>
      <c r="C1559" s="193" t="s">
        <v>2852</v>
      </c>
      <c r="D1559" s="195" t="s">
        <v>6120</v>
      </c>
      <c r="E1559" s="193" t="s">
        <v>8882</v>
      </c>
      <c r="F1559" s="193" t="s">
        <v>114</v>
      </c>
      <c r="G1559" s="195" t="s">
        <v>885</v>
      </c>
      <c r="H1559" s="166" t="s">
        <v>13436</v>
      </c>
      <c r="I1559" s="193" t="s">
        <v>12814</v>
      </c>
      <c r="J1559" s="193" t="s">
        <v>12492</v>
      </c>
      <c r="K1559" s="170"/>
      <c r="L1559" s="193" t="s">
        <v>146</v>
      </c>
    </row>
    <row r="1560" spans="1:12" ht="15.75">
      <c r="A1560" s="67">
        <f t="shared" si="24"/>
        <v>1558</v>
      </c>
      <c r="B1560" s="164">
        <v>1558</v>
      </c>
      <c r="C1560" s="193" t="s">
        <v>2853</v>
      </c>
      <c r="D1560" s="195" t="s">
        <v>6121</v>
      </c>
      <c r="E1560" s="193" t="s">
        <v>8883</v>
      </c>
      <c r="F1560" s="193" t="s">
        <v>59</v>
      </c>
      <c r="G1560" s="195" t="s">
        <v>809</v>
      </c>
      <c r="H1560" s="166" t="s">
        <v>13436</v>
      </c>
      <c r="I1560" s="193" t="s">
        <v>12814</v>
      </c>
      <c r="J1560" s="193" t="s">
        <v>147</v>
      </c>
      <c r="K1560" s="170"/>
      <c r="L1560" s="193"/>
    </row>
    <row r="1561" spans="1:12" ht="15.75">
      <c r="A1561" s="67">
        <f t="shared" si="24"/>
        <v>1559</v>
      </c>
      <c r="B1561" s="164">
        <v>1559</v>
      </c>
      <c r="C1561" s="193" t="s">
        <v>2854</v>
      </c>
      <c r="D1561" s="195" t="s">
        <v>6122</v>
      </c>
      <c r="E1561" s="193" t="s">
        <v>8884</v>
      </c>
      <c r="F1561" s="193" t="s">
        <v>114</v>
      </c>
      <c r="G1561" s="195" t="s">
        <v>11098</v>
      </c>
      <c r="H1561" s="166" t="s">
        <v>13436</v>
      </c>
      <c r="I1561" s="193" t="s">
        <v>12819</v>
      </c>
      <c r="J1561" s="193" t="s">
        <v>146</v>
      </c>
      <c r="K1561" s="170"/>
      <c r="L1561" s="193" t="s">
        <v>146</v>
      </c>
    </row>
    <row r="1562" spans="1:12" ht="15.75">
      <c r="A1562" s="67">
        <f t="shared" si="24"/>
        <v>1560</v>
      </c>
      <c r="B1562" s="164">
        <v>1560</v>
      </c>
      <c r="C1562" s="193" t="s">
        <v>2855</v>
      </c>
      <c r="D1562" s="195" t="s">
        <v>6123</v>
      </c>
      <c r="E1562" s="193" t="s">
        <v>469</v>
      </c>
      <c r="F1562" s="193" t="s">
        <v>59</v>
      </c>
      <c r="G1562" s="195" t="s">
        <v>11099</v>
      </c>
      <c r="H1562" s="166" t="s">
        <v>13436</v>
      </c>
      <c r="I1562" s="193" t="s">
        <v>12819</v>
      </c>
      <c r="J1562" s="193" t="s">
        <v>147</v>
      </c>
      <c r="K1562" s="170"/>
      <c r="L1562" s="193"/>
    </row>
    <row r="1563" spans="1:12" ht="45">
      <c r="A1563" s="67">
        <f t="shared" si="24"/>
        <v>1561</v>
      </c>
      <c r="B1563" s="164">
        <v>1561</v>
      </c>
      <c r="C1563" s="193" t="s">
        <v>2856</v>
      </c>
      <c r="D1563" s="195" t="s">
        <v>6124</v>
      </c>
      <c r="E1563" s="193" t="s">
        <v>8885</v>
      </c>
      <c r="F1563" s="193" t="s">
        <v>59</v>
      </c>
      <c r="G1563" s="195" t="s">
        <v>11100</v>
      </c>
      <c r="H1563" s="166" t="s">
        <v>13436</v>
      </c>
      <c r="I1563" s="193" t="s">
        <v>12825</v>
      </c>
      <c r="J1563" s="193" t="s">
        <v>12493</v>
      </c>
      <c r="K1563" s="170"/>
      <c r="L1563" s="193"/>
    </row>
    <row r="1564" spans="1:12" ht="15.75">
      <c r="A1564" s="67">
        <f t="shared" si="24"/>
        <v>1562</v>
      </c>
      <c r="B1564" s="164">
        <v>1562</v>
      </c>
      <c r="C1564" s="193" t="s">
        <v>2857</v>
      </c>
      <c r="D1564" s="195" t="s">
        <v>6125</v>
      </c>
      <c r="E1564" s="193" t="s">
        <v>8886</v>
      </c>
      <c r="F1564" s="193" t="s">
        <v>114</v>
      </c>
      <c r="G1564" s="195" t="s">
        <v>11101</v>
      </c>
      <c r="H1564" s="166" t="s">
        <v>13436</v>
      </c>
      <c r="I1564" s="193" t="s">
        <v>12819</v>
      </c>
      <c r="J1564" s="193" t="s">
        <v>146</v>
      </c>
      <c r="K1564" s="170"/>
      <c r="L1564" s="193" t="s">
        <v>146</v>
      </c>
    </row>
    <row r="1565" spans="1:12" ht="30">
      <c r="A1565" s="67">
        <f t="shared" si="24"/>
        <v>1563</v>
      </c>
      <c r="B1565" s="164">
        <v>1563</v>
      </c>
      <c r="C1565" s="193" t="s">
        <v>2858</v>
      </c>
      <c r="D1565" s="195" t="s">
        <v>6126</v>
      </c>
      <c r="E1565" s="193" t="s">
        <v>613</v>
      </c>
      <c r="F1565" s="193" t="s">
        <v>114</v>
      </c>
      <c r="G1565" s="195" t="s">
        <v>11102</v>
      </c>
      <c r="H1565" s="166" t="s">
        <v>13436</v>
      </c>
      <c r="I1565" s="193" t="s">
        <v>12819</v>
      </c>
      <c r="J1565" s="193" t="s">
        <v>12494</v>
      </c>
      <c r="K1565" s="170"/>
      <c r="L1565" s="193" t="s">
        <v>13254</v>
      </c>
    </row>
    <row r="1566" spans="1:12" ht="15.75">
      <c r="A1566" s="67">
        <f t="shared" si="24"/>
        <v>1564</v>
      </c>
      <c r="B1566" s="164">
        <v>1564</v>
      </c>
      <c r="C1566" s="193" t="s">
        <v>2859</v>
      </c>
      <c r="D1566" s="205" t="s">
        <v>6127</v>
      </c>
      <c r="E1566" s="193" t="s">
        <v>8887</v>
      </c>
      <c r="F1566" s="193" t="s">
        <v>114</v>
      </c>
      <c r="G1566" s="195" t="s">
        <v>11103</v>
      </c>
      <c r="H1566" s="166" t="s">
        <v>13436</v>
      </c>
      <c r="I1566" s="193" t="s">
        <v>12816</v>
      </c>
      <c r="J1566" s="219" t="s">
        <v>146</v>
      </c>
      <c r="K1566" s="170"/>
      <c r="L1566" s="219" t="s">
        <v>146</v>
      </c>
    </row>
    <row r="1567" spans="1:12" ht="30">
      <c r="A1567" s="67">
        <f t="shared" si="24"/>
        <v>1565</v>
      </c>
      <c r="B1567" s="164">
        <v>1565</v>
      </c>
      <c r="C1567" s="193" t="s">
        <v>2860</v>
      </c>
      <c r="D1567" s="195" t="s">
        <v>6128</v>
      </c>
      <c r="E1567" s="193" t="s">
        <v>447</v>
      </c>
      <c r="F1567" s="193" t="s">
        <v>114</v>
      </c>
      <c r="G1567" s="195" t="s">
        <v>11104</v>
      </c>
      <c r="H1567" s="166" t="s">
        <v>13436</v>
      </c>
      <c r="I1567" s="193" t="s">
        <v>12827</v>
      </c>
      <c r="J1567" s="193" t="s">
        <v>146</v>
      </c>
      <c r="K1567" s="170"/>
      <c r="L1567" s="193" t="s">
        <v>13255</v>
      </c>
    </row>
    <row r="1568" spans="1:12" ht="15.75">
      <c r="A1568" s="67">
        <f t="shared" si="24"/>
        <v>1566</v>
      </c>
      <c r="B1568" s="164">
        <v>1566</v>
      </c>
      <c r="C1568" s="193" t="s">
        <v>2861</v>
      </c>
      <c r="D1568" s="195" t="s">
        <v>6129</v>
      </c>
      <c r="E1568" s="193" t="s">
        <v>8888</v>
      </c>
      <c r="F1568" s="193" t="s">
        <v>114</v>
      </c>
      <c r="G1568" s="195" t="s">
        <v>965</v>
      </c>
      <c r="H1568" s="166" t="s">
        <v>13436</v>
      </c>
      <c r="I1568" s="193" t="s">
        <v>12819</v>
      </c>
      <c r="J1568" s="193" t="s">
        <v>146</v>
      </c>
      <c r="K1568" s="170"/>
      <c r="L1568" s="193" t="s">
        <v>146</v>
      </c>
    </row>
    <row r="1569" spans="1:12" ht="15.75">
      <c r="A1569" s="67">
        <f t="shared" si="24"/>
        <v>1567</v>
      </c>
      <c r="B1569" s="164">
        <v>1567</v>
      </c>
      <c r="C1569" s="193" t="s">
        <v>2862</v>
      </c>
      <c r="D1569" s="195" t="s">
        <v>6130</v>
      </c>
      <c r="E1569" s="193" t="s">
        <v>8889</v>
      </c>
      <c r="F1569" s="193" t="s">
        <v>114</v>
      </c>
      <c r="G1569" s="195" t="s">
        <v>11105</v>
      </c>
      <c r="H1569" s="166" t="s">
        <v>13436</v>
      </c>
      <c r="I1569" s="193" t="s">
        <v>12819</v>
      </c>
      <c r="J1569" s="193" t="s">
        <v>146</v>
      </c>
      <c r="K1569" s="170"/>
      <c r="L1569" s="193" t="s">
        <v>146</v>
      </c>
    </row>
    <row r="1570" spans="1:12" ht="75">
      <c r="A1570" s="67">
        <f t="shared" si="24"/>
        <v>1568</v>
      </c>
      <c r="B1570" s="164">
        <v>1568</v>
      </c>
      <c r="C1570" s="193" t="s">
        <v>2863</v>
      </c>
      <c r="D1570" s="195" t="s">
        <v>6131</v>
      </c>
      <c r="E1570" s="193" t="s">
        <v>172</v>
      </c>
      <c r="F1570" s="193" t="s">
        <v>114</v>
      </c>
      <c r="G1570" s="195" t="s">
        <v>11106</v>
      </c>
      <c r="H1570" s="166" t="s">
        <v>13436</v>
      </c>
      <c r="I1570" s="193" t="s">
        <v>12819</v>
      </c>
      <c r="J1570" s="193" t="s">
        <v>146</v>
      </c>
      <c r="K1570" s="170"/>
      <c r="L1570" s="193" t="s">
        <v>13256</v>
      </c>
    </row>
    <row r="1571" spans="1:12" ht="15.75">
      <c r="A1571" s="67">
        <f t="shared" si="24"/>
        <v>1569</v>
      </c>
      <c r="B1571" s="164">
        <v>1569</v>
      </c>
      <c r="C1571" s="193" t="s">
        <v>2864</v>
      </c>
      <c r="D1571" s="195" t="s">
        <v>6132</v>
      </c>
      <c r="E1571" s="193" t="s">
        <v>196</v>
      </c>
      <c r="F1571" s="193" t="s">
        <v>114</v>
      </c>
      <c r="G1571" s="195" t="s">
        <v>11107</v>
      </c>
      <c r="H1571" s="166" t="s">
        <v>13436</v>
      </c>
      <c r="I1571" s="193" t="s">
        <v>12819</v>
      </c>
      <c r="J1571" s="193" t="s">
        <v>146</v>
      </c>
      <c r="K1571" s="170"/>
      <c r="L1571" s="193" t="s">
        <v>146</v>
      </c>
    </row>
    <row r="1572" spans="1:12" ht="30">
      <c r="A1572" s="67">
        <f t="shared" si="24"/>
        <v>1570</v>
      </c>
      <c r="B1572" s="164">
        <v>1570</v>
      </c>
      <c r="C1572" s="193" t="s">
        <v>2865</v>
      </c>
      <c r="D1572" s="195" t="s">
        <v>6133</v>
      </c>
      <c r="E1572" s="193" t="s">
        <v>8890</v>
      </c>
      <c r="F1572" s="193" t="s">
        <v>114</v>
      </c>
      <c r="G1572" s="195" t="s">
        <v>971</v>
      </c>
      <c r="H1572" s="166" t="s">
        <v>13436</v>
      </c>
      <c r="I1572" s="193" t="s">
        <v>12819</v>
      </c>
      <c r="J1572" s="193" t="s">
        <v>12495</v>
      </c>
      <c r="K1572" s="170"/>
      <c r="L1572" s="193" t="s">
        <v>146</v>
      </c>
    </row>
    <row r="1573" spans="1:12" ht="30">
      <c r="A1573" s="67">
        <f t="shared" si="24"/>
        <v>1571</v>
      </c>
      <c r="B1573" s="164">
        <v>1571</v>
      </c>
      <c r="C1573" s="193" t="s">
        <v>2866</v>
      </c>
      <c r="D1573" s="195" t="s">
        <v>6134</v>
      </c>
      <c r="E1573" s="193" t="s">
        <v>8891</v>
      </c>
      <c r="F1573" s="193" t="s">
        <v>114</v>
      </c>
      <c r="G1573" s="195" t="s">
        <v>11108</v>
      </c>
      <c r="H1573" s="166" t="s">
        <v>13436</v>
      </c>
      <c r="I1573" s="193" t="s">
        <v>12819</v>
      </c>
      <c r="J1573" s="193" t="s">
        <v>1253</v>
      </c>
      <c r="K1573" s="170"/>
      <c r="L1573" s="193" t="s">
        <v>146</v>
      </c>
    </row>
    <row r="1574" spans="1:12" ht="30">
      <c r="A1574" s="67">
        <f t="shared" si="24"/>
        <v>1572</v>
      </c>
      <c r="B1574" s="164">
        <v>1572</v>
      </c>
      <c r="C1574" s="193" t="s">
        <v>2867</v>
      </c>
      <c r="D1574" s="195" t="s">
        <v>6135</v>
      </c>
      <c r="E1574" s="193" t="s">
        <v>8892</v>
      </c>
      <c r="F1574" s="193" t="s">
        <v>114</v>
      </c>
      <c r="G1574" s="195" t="s">
        <v>10913</v>
      </c>
      <c r="H1574" s="166" t="s">
        <v>13436</v>
      </c>
      <c r="I1574" s="193" t="s">
        <v>12819</v>
      </c>
      <c r="J1574" s="193" t="s">
        <v>12496</v>
      </c>
      <c r="K1574" s="170"/>
      <c r="L1574" s="193" t="s">
        <v>146</v>
      </c>
    </row>
    <row r="1575" spans="1:12" ht="15.75">
      <c r="A1575" s="67">
        <f t="shared" si="24"/>
        <v>1573</v>
      </c>
      <c r="B1575" s="164">
        <v>1573</v>
      </c>
      <c r="C1575" s="193" t="s">
        <v>2868</v>
      </c>
      <c r="D1575" s="195" t="s">
        <v>6136</v>
      </c>
      <c r="E1575" s="193" t="s">
        <v>8893</v>
      </c>
      <c r="F1575" s="193" t="s">
        <v>59</v>
      </c>
      <c r="G1575" s="195" t="s">
        <v>759</v>
      </c>
      <c r="H1575" s="166" t="s">
        <v>13436</v>
      </c>
      <c r="I1575" s="193" t="s">
        <v>12809</v>
      </c>
      <c r="J1575" s="193" t="s">
        <v>146</v>
      </c>
      <c r="K1575" s="170"/>
      <c r="L1575" s="193"/>
    </row>
    <row r="1576" spans="1:12" ht="15.75">
      <c r="A1576" s="67">
        <f t="shared" si="24"/>
        <v>1574</v>
      </c>
      <c r="B1576" s="164">
        <v>1574</v>
      </c>
      <c r="C1576" s="193" t="s">
        <v>2869</v>
      </c>
      <c r="D1576" s="196" t="s">
        <v>6137</v>
      </c>
      <c r="E1576" s="193" t="s">
        <v>8894</v>
      </c>
      <c r="F1576" s="193" t="s">
        <v>59</v>
      </c>
      <c r="G1576" s="195" t="s">
        <v>11109</v>
      </c>
      <c r="H1576" s="166" t="s">
        <v>13436</v>
      </c>
      <c r="I1576" s="193" t="s">
        <v>12828</v>
      </c>
      <c r="J1576" s="193" t="s">
        <v>146</v>
      </c>
      <c r="K1576" s="170"/>
      <c r="L1576" s="193"/>
    </row>
    <row r="1577" spans="1:12" ht="15.75">
      <c r="A1577" s="67">
        <f t="shared" si="24"/>
        <v>1575</v>
      </c>
      <c r="B1577" s="164">
        <v>1575</v>
      </c>
      <c r="C1577" s="193" t="s">
        <v>2870</v>
      </c>
      <c r="D1577" s="195" t="s">
        <v>6138</v>
      </c>
      <c r="E1577" s="193" t="s">
        <v>8895</v>
      </c>
      <c r="F1577" s="193" t="s">
        <v>59</v>
      </c>
      <c r="G1577" s="195" t="s">
        <v>11110</v>
      </c>
      <c r="H1577" s="166" t="s">
        <v>13436</v>
      </c>
      <c r="I1577" s="193" t="s">
        <v>12832</v>
      </c>
      <c r="J1577" s="193" t="s">
        <v>146</v>
      </c>
      <c r="K1577" s="170"/>
      <c r="L1577" s="193"/>
    </row>
    <row r="1578" spans="1:12" ht="15.75">
      <c r="A1578" s="67">
        <f t="shared" si="24"/>
        <v>1576</v>
      </c>
      <c r="B1578" s="164">
        <v>1576</v>
      </c>
      <c r="C1578" s="193" t="s">
        <v>2871</v>
      </c>
      <c r="D1578" s="195" t="s">
        <v>6139</v>
      </c>
      <c r="E1578" s="193" t="s">
        <v>8896</v>
      </c>
      <c r="F1578" s="193" t="s">
        <v>59</v>
      </c>
      <c r="G1578" s="195" t="s">
        <v>10437</v>
      </c>
      <c r="H1578" s="166" t="s">
        <v>13436</v>
      </c>
      <c r="I1578" s="193" t="s">
        <v>12809</v>
      </c>
      <c r="J1578" s="193" t="s">
        <v>146</v>
      </c>
      <c r="K1578" s="170"/>
      <c r="L1578" s="193"/>
    </row>
    <row r="1579" spans="1:12" ht="15.75">
      <c r="A1579" s="67">
        <f t="shared" si="24"/>
        <v>1577</v>
      </c>
      <c r="B1579" s="164">
        <v>1577</v>
      </c>
      <c r="C1579" s="193" t="s">
        <v>2872</v>
      </c>
      <c r="D1579" s="195" t="s">
        <v>6140</v>
      </c>
      <c r="E1579" s="193" t="s">
        <v>8897</v>
      </c>
      <c r="F1579" s="193" t="s">
        <v>59</v>
      </c>
      <c r="G1579" s="195" t="s">
        <v>11111</v>
      </c>
      <c r="H1579" s="166" t="s">
        <v>13436</v>
      </c>
      <c r="I1579" s="193" t="s">
        <v>12817</v>
      </c>
      <c r="J1579" s="219" t="s">
        <v>146</v>
      </c>
      <c r="K1579" s="170"/>
      <c r="L1579" s="193"/>
    </row>
    <row r="1580" spans="1:12" ht="15.75">
      <c r="A1580" s="67">
        <f t="shared" si="24"/>
        <v>1578</v>
      </c>
      <c r="B1580" s="164">
        <v>1578</v>
      </c>
      <c r="C1580" s="193" t="s">
        <v>2873</v>
      </c>
      <c r="D1580" s="195" t="s">
        <v>6141</v>
      </c>
      <c r="E1580" s="193" t="s">
        <v>8898</v>
      </c>
      <c r="F1580" s="193" t="s">
        <v>59</v>
      </c>
      <c r="G1580" s="195" t="s">
        <v>11112</v>
      </c>
      <c r="H1580" s="166" t="s">
        <v>13436</v>
      </c>
      <c r="I1580" s="193" t="s">
        <v>12819</v>
      </c>
      <c r="J1580" s="193" t="s">
        <v>147</v>
      </c>
      <c r="K1580" s="170"/>
      <c r="L1580" s="193"/>
    </row>
    <row r="1581" spans="1:12" ht="30">
      <c r="A1581" s="67">
        <f t="shared" si="24"/>
        <v>1579</v>
      </c>
      <c r="B1581" s="164">
        <v>1579</v>
      </c>
      <c r="C1581" s="193" t="s">
        <v>2874</v>
      </c>
      <c r="D1581" s="197" t="s">
        <v>6142</v>
      </c>
      <c r="E1581" s="193" t="s">
        <v>8899</v>
      </c>
      <c r="F1581" s="193" t="s">
        <v>59</v>
      </c>
      <c r="G1581" s="195" t="s">
        <v>11113</v>
      </c>
      <c r="H1581" s="166" t="s">
        <v>13436</v>
      </c>
      <c r="I1581" s="193" t="s">
        <v>12816</v>
      </c>
      <c r="J1581" s="193" t="s">
        <v>12272</v>
      </c>
      <c r="K1581" s="170"/>
      <c r="L1581" s="193"/>
    </row>
    <row r="1582" spans="1:12" ht="15.75">
      <c r="A1582" s="67">
        <f t="shared" si="24"/>
        <v>1580</v>
      </c>
      <c r="B1582" s="164">
        <v>1580</v>
      </c>
      <c r="C1582" s="193" t="s">
        <v>2875</v>
      </c>
      <c r="D1582" s="195" t="s">
        <v>6143</v>
      </c>
      <c r="E1582" s="193" t="s">
        <v>8900</v>
      </c>
      <c r="F1582" s="193" t="s">
        <v>59</v>
      </c>
      <c r="G1582" s="195" t="s">
        <v>11114</v>
      </c>
      <c r="H1582" s="166" t="s">
        <v>13436</v>
      </c>
      <c r="I1582" s="193" t="s">
        <v>12812</v>
      </c>
      <c r="J1582" s="219" t="s">
        <v>286</v>
      </c>
      <c r="K1582" s="170"/>
      <c r="L1582" s="193"/>
    </row>
    <row r="1583" spans="1:12" ht="15.75">
      <c r="A1583" s="67">
        <f t="shared" si="24"/>
        <v>1581</v>
      </c>
      <c r="B1583" s="164">
        <v>1581</v>
      </c>
      <c r="C1583" s="193" t="s">
        <v>2876</v>
      </c>
      <c r="D1583" s="195" t="s">
        <v>6144</v>
      </c>
      <c r="E1583" s="193" t="s">
        <v>8901</v>
      </c>
      <c r="F1583" s="193" t="s">
        <v>114</v>
      </c>
      <c r="G1583" s="195" t="s">
        <v>811</v>
      </c>
      <c r="H1583" s="166" t="s">
        <v>13436</v>
      </c>
      <c r="I1583" s="193" t="s">
        <v>12827</v>
      </c>
      <c r="J1583" s="193" t="s">
        <v>147</v>
      </c>
      <c r="K1583" s="170"/>
      <c r="L1583" s="193" t="s">
        <v>146</v>
      </c>
    </row>
    <row r="1584" spans="1:12" ht="15.75">
      <c r="A1584" s="67">
        <f t="shared" si="24"/>
        <v>1582</v>
      </c>
      <c r="B1584" s="164">
        <v>1582</v>
      </c>
      <c r="C1584" s="193" t="s">
        <v>2877</v>
      </c>
      <c r="D1584" s="195" t="s">
        <v>6145</v>
      </c>
      <c r="E1584" s="193" t="s">
        <v>8902</v>
      </c>
      <c r="F1584" s="193" t="s">
        <v>59</v>
      </c>
      <c r="G1584" s="195" t="s">
        <v>1174</v>
      </c>
      <c r="H1584" s="166" t="s">
        <v>13436</v>
      </c>
      <c r="I1584" s="193" t="s">
        <v>12835</v>
      </c>
      <c r="J1584" s="193" t="s">
        <v>146</v>
      </c>
      <c r="K1584" s="170"/>
      <c r="L1584" s="193"/>
    </row>
    <row r="1585" spans="1:12" ht="15.75">
      <c r="A1585" s="67">
        <f t="shared" si="24"/>
        <v>1583</v>
      </c>
      <c r="B1585" s="164">
        <v>1583</v>
      </c>
      <c r="C1585" s="193" t="s">
        <v>2878</v>
      </c>
      <c r="D1585" s="195" t="s">
        <v>6146</v>
      </c>
      <c r="E1585" s="193" t="s">
        <v>8903</v>
      </c>
      <c r="F1585" s="193" t="s">
        <v>114</v>
      </c>
      <c r="G1585" s="195" t="s">
        <v>1112</v>
      </c>
      <c r="H1585" s="166" t="s">
        <v>13436</v>
      </c>
      <c r="I1585" s="193" t="s">
        <v>12819</v>
      </c>
      <c r="J1585" s="193" t="s">
        <v>146</v>
      </c>
      <c r="K1585" s="170"/>
      <c r="L1585" s="193" t="s">
        <v>146</v>
      </c>
    </row>
    <row r="1586" spans="1:12" ht="15.75">
      <c r="A1586" s="67">
        <f t="shared" si="24"/>
        <v>1584</v>
      </c>
      <c r="B1586" s="164">
        <v>1584</v>
      </c>
      <c r="C1586" s="193" t="s">
        <v>2879</v>
      </c>
      <c r="D1586" s="195" t="s">
        <v>6147</v>
      </c>
      <c r="E1586" s="193" t="s">
        <v>8904</v>
      </c>
      <c r="F1586" s="193" t="s">
        <v>114</v>
      </c>
      <c r="G1586" s="195" t="s">
        <v>696</v>
      </c>
      <c r="H1586" s="166" t="s">
        <v>13436</v>
      </c>
      <c r="I1586" s="193" t="s">
        <v>12835</v>
      </c>
      <c r="J1586" s="193" t="s">
        <v>146</v>
      </c>
      <c r="K1586" s="170"/>
      <c r="L1586" s="193" t="s">
        <v>146</v>
      </c>
    </row>
    <row r="1587" spans="1:12" ht="30">
      <c r="A1587" s="67">
        <f t="shared" si="24"/>
        <v>1585</v>
      </c>
      <c r="B1587" s="164">
        <v>1585</v>
      </c>
      <c r="C1587" s="193" t="s">
        <v>2880</v>
      </c>
      <c r="D1587" s="195" t="s">
        <v>6148</v>
      </c>
      <c r="E1587" s="193" t="s">
        <v>264</v>
      </c>
      <c r="F1587" s="193" t="s">
        <v>114</v>
      </c>
      <c r="G1587" s="195" t="s">
        <v>730</v>
      </c>
      <c r="H1587" s="166" t="s">
        <v>13436</v>
      </c>
      <c r="I1587" s="193" t="s">
        <v>12835</v>
      </c>
      <c r="J1587" s="219" t="s">
        <v>12497</v>
      </c>
      <c r="K1587" s="170"/>
      <c r="L1587" s="219" t="s">
        <v>146</v>
      </c>
    </row>
    <row r="1588" spans="1:12" ht="15.75">
      <c r="A1588" s="67">
        <f t="shared" si="24"/>
        <v>1586</v>
      </c>
      <c r="B1588" s="164">
        <v>1586</v>
      </c>
      <c r="C1588" s="193" t="s">
        <v>2881</v>
      </c>
      <c r="D1588" s="195" t="s">
        <v>6149</v>
      </c>
      <c r="E1588" s="193" t="s">
        <v>179</v>
      </c>
      <c r="F1588" s="193" t="s">
        <v>114</v>
      </c>
      <c r="G1588" s="195" t="s">
        <v>11115</v>
      </c>
      <c r="H1588" s="166" t="s">
        <v>13436</v>
      </c>
      <c r="I1588" s="193" t="s">
        <v>12825</v>
      </c>
      <c r="J1588" s="193" t="s">
        <v>12498</v>
      </c>
      <c r="K1588" s="170"/>
      <c r="L1588" s="193" t="s">
        <v>146</v>
      </c>
    </row>
    <row r="1589" spans="1:12" ht="15.75">
      <c r="A1589" s="67">
        <f t="shared" si="24"/>
        <v>1587</v>
      </c>
      <c r="B1589" s="164">
        <v>1587</v>
      </c>
      <c r="C1589" s="193" t="s">
        <v>2882</v>
      </c>
      <c r="D1589" s="195" t="s">
        <v>6150</v>
      </c>
      <c r="E1589" s="193" t="s">
        <v>8905</v>
      </c>
      <c r="F1589" s="193" t="s">
        <v>114</v>
      </c>
      <c r="G1589" s="195" t="s">
        <v>10876</v>
      </c>
      <c r="H1589" s="166" t="s">
        <v>13436</v>
      </c>
      <c r="I1589" s="193" t="s">
        <v>12835</v>
      </c>
      <c r="J1589" s="219" t="s">
        <v>146</v>
      </c>
      <c r="K1589" s="170"/>
      <c r="L1589" s="193" t="s">
        <v>146</v>
      </c>
    </row>
    <row r="1590" spans="1:12" ht="15.75">
      <c r="A1590" s="67">
        <f t="shared" si="24"/>
        <v>1588</v>
      </c>
      <c r="B1590" s="164">
        <v>1588</v>
      </c>
      <c r="C1590" s="193" t="s">
        <v>2883</v>
      </c>
      <c r="D1590" s="196" t="s">
        <v>6151</v>
      </c>
      <c r="E1590" s="193" t="s">
        <v>8906</v>
      </c>
      <c r="F1590" s="193" t="s">
        <v>114</v>
      </c>
      <c r="G1590" s="195" t="s">
        <v>682</v>
      </c>
      <c r="H1590" s="166" t="s">
        <v>13436</v>
      </c>
      <c r="I1590" s="193" t="s">
        <v>12823</v>
      </c>
      <c r="J1590" s="219" t="s">
        <v>146</v>
      </c>
      <c r="K1590" s="170"/>
      <c r="L1590" s="193" t="s">
        <v>146</v>
      </c>
    </row>
    <row r="1591" spans="1:12" ht="15.75">
      <c r="A1591" s="67">
        <f t="shared" si="24"/>
        <v>1589</v>
      </c>
      <c r="B1591" s="164">
        <v>1589</v>
      </c>
      <c r="C1591" s="193" t="s">
        <v>2884</v>
      </c>
      <c r="D1591" s="196" t="s">
        <v>6152</v>
      </c>
      <c r="E1591" s="193" t="s">
        <v>488</v>
      </c>
      <c r="F1591" s="193" t="s">
        <v>59</v>
      </c>
      <c r="G1591" s="195" t="s">
        <v>11116</v>
      </c>
      <c r="H1591" s="166" t="s">
        <v>13436</v>
      </c>
      <c r="I1591" s="193" t="s">
        <v>12839</v>
      </c>
      <c r="J1591" s="193" t="s">
        <v>146</v>
      </c>
      <c r="K1591" s="170"/>
      <c r="L1591" s="193"/>
    </row>
    <row r="1592" spans="1:12" ht="15.75">
      <c r="A1592" s="67">
        <f t="shared" si="24"/>
        <v>1590</v>
      </c>
      <c r="B1592" s="164">
        <v>1590</v>
      </c>
      <c r="C1592" s="193" t="s">
        <v>2885</v>
      </c>
      <c r="D1592" s="195" t="s">
        <v>6153</v>
      </c>
      <c r="E1592" s="193" t="s">
        <v>8907</v>
      </c>
      <c r="F1592" s="193" t="s">
        <v>59</v>
      </c>
      <c r="G1592" s="195" t="s">
        <v>694</v>
      </c>
      <c r="H1592" s="166" t="s">
        <v>13436</v>
      </c>
      <c r="I1592" s="193" t="s">
        <v>12821</v>
      </c>
      <c r="J1592" s="193" t="s">
        <v>146</v>
      </c>
      <c r="K1592" s="170"/>
      <c r="L1592" s="193"/>
    </row>
    <row r="1593" spans="1:12" ht="15.75">
      <c r="A1593" s="67">
        <f t="shared" si="24"/>
        <v>1591</v>
      </c>
      <c r="B1593" s="164">
        <v>1591</v>
      </c>
      <c r="C1593" s="193" t="s">
        <v>2886</v>
      </c>
      <c r="D1593" s="204" t="s">
        <v>6154</v>
      </c>
      <c r="E1593" s="193" t="s">
        <v>523</v>
      </c>
      <c r="F1593" s="193" t="s">
        <v>114</v>
      </c>
      <c r="G1593" s="195" t="s">
        <v>769</v>
      </c>
      <c r="H1593" s="166" t="s">
        <v>13436</v>
      </c>
      <c r="I1593" s="193" t="s">
        <v>12816</v>
      </c>
      <c r="J1593" s="193" t="s">
        <v>146</v>
      </c>
      <c r="K1593" s="170"/>
      <c r="L1593" s="193" t="s">
        <v>146</v>
      </c>
    </row>
    <row r="1594" spans="1:12" ht="15.75">
      <c r="A1594" s="67">
        <f t="shared" si="24"/>
        <v>1592</v>
      </c>
      <c r="B1594" s="164">
        <v>1592</v>
      </c>
      <c r="C1594" s="193" t="s">
        <v>2887</v>
      </c>
      <c r="D1594" s="195" t="s">
        <v>6155</v>
      </c>
      <c r="E1594" s="193" t="s">
        <v>392</v>
      </c>
      <c r="F1594" s="193" t="s">
        <v>114</v>
      </c>
      <c r="G1594" s="195" t="s">
        <v>11117</v>
      </c>
      <c r="H1594" s="166" t="s">
        <v>13436</v>
      </c>
      <c r="I1594" s="193" t="s">
        <v>12814</v>
      </c>
      <c r="J1594" s="193" t="s">
        <v>146</v>
      </c>
      <c r="K1594" s="170"/>
      <c r="L1594" s="193" t="s">
        <v>146</v>
      </c>
    </row>
    <row r="1595" spans="1:12" ht="15.75">
      <c r="A1595" s="67">
        <f t="shared" si="24"/>
        <v>1593</v>
      </c>
      <c r="B1595" s="164">
        <v>1593</v>
      </c>
      <c r="C1595" s="193" t="s">
        <v>2888</v>
      </c>
      <c r="D1595" s="195" t="s">
        <v>6156</v>
      </c>
      <c r="E1595" s="193" t="s">
        <v>650</v>
      </c>
      <c r="F1595" s="193" t="s">
        <v>114</v>
      </c>
      <c r="G1595" s="195" t="s">
        <v>11118</v>
      </c>
      <c r="H1595" s="166" t="s">
        <v>13436</v>
      </c>
      <c r="I1595" s="193" t="s">
        <v>12836</v>
      </c>
      <c r="J1595" s="193" t="s">
        <v>146</v>
      </c>
      <c r="K1595" s="170"/>
      <c r="L1595" s="193" t="s">
        <v>146</v>
      </c>
    </row>
    <row r="1596" spans="1:12" ht="15.75">
      <c r="A1596" s="67">
        <f t="shared" si="24"/>
        <v>1594</v>
      </c>
      <c r="B1596" s="164">
        <v>1594</v>
      </c>
      <c r="C1596" s="193" t="s">
        <v>2889</v>
      </c>
      <c r="D1596" s="195" t="s">
        <v>6157</v>
      </c>
      <c r="E1596" s="193" t="s">
        <v>8908</v>
      </c>
      <c r="F1596" s="193" t="s">
        <v>59</v>
      </c>
      <c r="G1596" s="195" t="s">
        <v>11119</v>
      </c>
      <c r="H1596" s="166" t="s">
        <v>13436</v>
      </c>
      <c r="I1596" s="193" t="s">
        <v>12836</v>
      </c>
      <c r="J1596" s="193" t="s">
        <v>146</v>
      </c>
      <c r="K1596" s="170"/>
      <c r="L1596" s="193"/>
    </row>
    <row r="1597" spans="1:12" ht="30">
      <c r="A1597" s="67">
        <f t="shared" si="24"/>
        <v>1595</v>
      </c>
      <c r="B1597" s="164">
        <v>1595</v>
      </c>
      <c r="C1597" s="193" t="s">
        <v>2890</v>
      </c>
      <c r="D1597" s="195" t="s">
        <v>6158</v>
      </c>
      <c r="E1597" s="193" t="s">
        <v>8909</v>
      </c>
      <c r="F1597" s="193" t="s">
        <v>59</v>
      </c>
      <c r="G1597" s="195" t="s">
        <v>11120</v>
      </c>
      <c r="H1597" s="166" t="s">
        <v>13436</v>
      </c>
      <c r="I1597" s="193" t="s">
        <v>12836</v>
      </c>
      <c r="J1597" s="193" t="s">
        <v>12499</v>
      </c>
      <c r="K1597" s="170"/>
      <c r="L1597" s="193"/>
    </row>
    <row r="1598" spans="1:12" ht="15.75">
      <c r="A1598" s="67">
        <f t="shared" si="24"/>
        <v>1596</v>
      </c>
      <c r="B1598" s="164">
        <v>1596</v>
      </c>
      <c r="C1598" s="193" t="s">
        <v>2891</v>
      </c>
      <c r="D1598" s="197" t="s">
        <v>6159</v>
      </c>
      <c r="E1598" s="193" t="s">
        <v>341</v>
      </c>
      <c r="F1598" s="193" t="s">
        <v>114</v>
      </c>
      <c r="G1598" s="195" t="s">
        <v>11121</v>
      </c>
      <c r="H1598" s="166" t="s">
        <v>13436</v>
      </c>
      <c r="I1598" s="193" t="s">
        <v>12816</v>
      </c>
      <c r="J1598" s="193" t="s">
        <v>1252</v>
      </c>
      <c r="K1598" s="170"/>
      <c r="L1598" s="193" t="s">
        <v>146</v>
      </c>
    </row>
    <row r="1599" spans="1:12" ht="15.75">
      <c r="A1599" s="67">
        <f t="shared" si="24"/>
        <v>1597</v>
      </c>
      <c r="B1599" s="164">
        <v>1597</v>
      </c>
      <c r="C1599" s="193" t="s">
        <v>2892</v>
      </c>
      <c r="D1599" s="195" t="s">
        <v>6160</v>
      </c>
      <c r="E1599" s="193" t="s">
        <v>8910</v>
      </c>
      <c r="F1599" s="193" t="s">
        <v>114</v>
      </c>
      <c r="G1599" s="195" t="s">
        <v>10942</v>
      </c>
      <c r="H1599" s="166" t="s">
        <v>13436</v>
      </c>
      <c r="I1599" s="193" t="s">
        <v>12814</v>
      </c>
      <c r="J1599" s="193" t="s">
        <v>146</v>
      </c>
      <c r="K1599" s="170"/>
      <c r="L1599" s="193" t="s">
        <v>146</v>
      </c>
    </row>
    <row r="1600" spans="1:12" ht="15.75">
      <c r="A1600" s="67">
        <f t="shared" si="24"/>
        <v>1598</v>
      </c>
      <c r="B1600" s="164">
        <v>1598</v>
      </c>
      <c r="C1600" s="193" t="s">
        <v>2893</v>
      </c>
      <c r="D1600" s="195" t="s">
        <v>6161</v>
      </c>
      <c r="E1600" s="193" t="s">
        <v>8911</v>
      </c>
      <c r="F1600" s="193" t="s">
        <v>114</v>
      </c>
      <c r="G1600" s="195" t="s">
        <v>11122</v>
      </c>
      <c r="H1600" s="166" t="s">
        <v>13436</v>
      </c>
      <c r="I1600" s="193" t="s">
        <v>12812</v>
      </c>
      <c r="J1600" s="219" t="s">
        <v>146</v>
      </c>
      <c r="K1600" s="170"/>
      <c r="L1600" s="219" t="s">
        <v>146</v>
      </c>
    </row>
    <row r="1601" spans="1:12" ht="30">
      <c r="A1601" s="67">
        <f t="shared" si="24"/>
        <v>1599</v>
      </c>
      <c r="B1601" s="164">
        <v>1599</v>
      </c>
      <c r="C1601" s="193" t="s">
        <v>2894</v>
      </c>
      <c r="D1601" s="195" t="s">
        <v>6162</v>
      </c>
      <c r="E1601" s="193" t="s">
        <v>8912</v>
      </c>
      <c r="F1601" s="193" t="s">
        <v>114</v>
      </c>
      <c r="G1601" s="195" t="s">
        <v>741</v>
      </c>
      <c r="H1601" s="166" t="s">
        <v>13436</v>
      </c>
      <c r="I1601" s="193" t="s">
        <v>12812</v>
      </c>
      <c r="J1601" s="193" t="s">
        <v>12500</v>
      </c>
      <c r="K1601" s="170"/>
      <c r="L1601" s="193" t="s">
        <v>146</v>
      </c>
    </row>
    <row r="1602" spans="1:12" ht="15.75">
      <c r="A1602" s="67">
        <f t="shared" si="24"/>
        <v>1600</v>
      </c>
      <c r="B1602" s="164">
        <v>1600</v>
      </c>
      <c r="C1602" s="193" t="s">
        <v>2895</v>
      </c>
      <c r="D1602" s="195" t="s">
        <v>6163</v>
      </c>
      <c r="E1602" s="193" t="s">
        <v>8913</v>
      </c>
      <c r="F1602" s="193" t="s">
        <v>114</v>
      </c>
      <c r="G1602" s="195" t="s">
        <v>748</v>
      </c>
      <c r="H1602" s="166" t="s">
        <v>13436</v>
      </c>
      <c r="I1602" s="193" t="s">
        <v>12812</v>
      </c>
      <c r="J1602" s="193" t="s">
        <v>12501</v>
      </c>
      <c r="K1602" s="170"/>
      <c r="L1602" s="193" t="s">
        <v>146</v>
      </c>
    </row>
    <row r="1603" spans="1:12" ht="15.75">
      <c r="A1603" s="67">
        <f t="shared" ref="A1603:A1666" si="25">IFERROR(VALUE(RIGHT(C1603,4)),"")</f>
        <v>1601</v>
      </c>
      <c r="B1603" s="164">
        <v>1601</v>
      </c>
      <c r="C1603" s="193" t="s">
        <v>2896</v>
      </c>
      <c r="D1603" s="195" t="s">
        <v>6164</v>
      </c>
      <c r="E1603" s="193" t="s">
        <v>8914</v>
      </c>
      <c r="F1603" s="193" t="s">
        <v>114</v>
      </c>
      <c r="G1603" s="195" t="s">
        <v>11123</v>
      </c>
      <c r="H1603" s="166" t="s">
        <v>13436</v>
      </c>
      <c r="I1603" s="193" t="s">
        <v>12812</v>
      </c>
      <c r="J1603" s="219" t="s">
        <v>146</v>
      </c>
      <c r="K1603" s="170"/>
      <c r="L1603" s="193" t="s">
        <v>146</v>
      </c>
    </row>
    <row r="1604" spans="1:12" ht="15.75">
      <c r="A1604" s="67">
        <f t="shared" si="25"/>
        <v>1602</v>
      </c>
      <c r="B1604" s="164">
        <v>1602</v>
      </c>
      <c r="C1604" s="193" t="s">
        <v>2897</v>
      </c>
      <c r="D1604" s="195" t="s">
        <v>6165</v>
      </c>
      <c r="E1604" s="193" t="s">
        <v>8915</v>
      </c>
      <c r="F1604" s="193" t="s">
        <v>114</v>
      </c>
      <c r="G1604" s="195" t="s">
        <v>10777</v>
      </c>
      <c r="H1604" s="166" t="s">
        <v>13436</v>
      </c>
      <c r="I1604" s="193" t="s">
        <v>12836</v>
      </c>
      <c r="J1604" s="193" t="s">
        <v>146</v>
      </c>
      <c r="K1604" s="170"/>
      <c r="L1604" s="193" t="s">
        <v>146</v>
      </c>
    </row>
    <row r="1605" spans="1:12" ht="30">
      <c r="A1605" s="67">
        <f t="shared" si="25"/>
        <v>1603</v>
      </c>
      <c r="B1605" s="164">
        <v>1603</v>
      </c>
      <c r="C1605" s="193" t="s">
        <v>2898</v>
      </c>
      <c r="D1605" s="195" t="s">
        <v>6166</v>
      </c>
      <c r="E1605" s="193" t="s">
        <v>8916</v>
      </c>
      <c r="F1605" s="193" t="s">
        <v>114</v>
      </c>
      <c r="G1605" s="195" t="s">
        <v>11124</v>
      </c>
      <c r="H1605" s="166" t="s">
        <v>13436</v>
      </c>
      <c r="I1605" s="193" t="s">
        <v>12814</v>
      </c>
      <c r="J1605" s="193" t="s">
        <v>12502</v>
      </c>
      <c r="K1605" s="170"/>
      <c r="L1605" s="193" t="s">
        <v>146</v>
      </c>
    </row>
    <row r="1606" spans="1:12" ht="15.75">
      <c r="A1606" s="67">
        <f t="shared" si="25"/>
        <v>1604</v>
      </c>
      <c r="B1606" s="164">
        <v>1604</v>
      </c>
      <c r="C1606" s="193" t="s">
        <v>2899</v>
      </c>
      <c r="D1606" s="195" t="s">
        <v>6167</v>
      </c>
      <c r="E1606" s="193" t="s">
        <v>8917</v>
      </c>
      <c r="F1606" s="193" t="s">
        <v>114</v>
      </c>
      <c r="G1606" s="195" t="s">
        <v>10256</v>
      </c>
      <c r="H1606" s="166" t="s">
        <v>13436</v>
      </c>
      <c r="I1606" s="193" t="s">
        <v>12814</v>
      </c>
      <c r="J1606" s="219" t="s">
        <v>146</v>
      </c>
      <c r="K1606" s="170"/>
      <c r="L1606" s="193" t="s">
        <v>146</v>
      </c>
    </row>
    <row r="1607" spans="1:12" ht="30">
      <c r="A1607" s="67">
        <f t="shared" si="25"/>
        <v>1605</v>
      </c>
      <c r="B1607" s="164">
        <v>1605</v>
      </c>
      <c r="C1607" s="193" t="s">
        <v>2900</v>
      </c>
      <c r="D1607" s="195" t="s">
        <v>6168</v>
      </c>
      <c r="E1607" s="193" t="s">
        <v>465</v>
      </c>
      <c r="F1607" s="193" t="s">
        <v>114</v>
      </c>
      <c r="G1607" s="195" t="s">
        <v>10715</v>
      </c>
      <c r="H1607" s="166" t="s">
        <v>13436</v>
      </c>
      <c r="I1607" s="193" t="s">
        <v>12817</v>
      </c>
      <c r="J1607" s="193" t="s">
        <v>146</v>
      </c>
      <c r="K1607" s="170"/>
      <c r="L1607" s="193" t="s">
        <v>13257</v>
      </c>
    </row>
    <row r="1608" spans="1:12" ht="30">
      <c r="A1608" s="67">
        <f t="shared" si="25"/>
        <v>1606</v>
      </c>
      <c r="B1608" s="164">
        <v>1606</v>
      </c>
      <c r="C1608" s="193" t="s">
        <v>2901</v>
      </c>
      <c r="D1608" s="195" t="s">
        <v>6169</v>
      </c>
      <c r="E1608" s="193" t="s">
        <v>630</v>
      </c>
      <c r="F1608" s="193" t="s">
        <v>114</v>
      </c>
      <c r="G1608" s="195" t="s">
        <v>952</v>
      </c>
      <c r="H1608" s="166" t="s">
        <v>13436</v>
      </c>
      <c r="I1608" s="193" t="s">
        <v>12814</v>
      </c>
      <c r="J1608" s="193" t="s">
        <v>12503</v>
      </c>
      <c r="K1608" s="170"/>
      <c r="L1608" s="193" t="s">
        <v>146</v>
      </c>
    </row>
    <row r="1609" spans="1:12" ht="30">
      <c r="A1609" s="67">
        <f t="shared" si="25"/>
        <v>1607</v>
      </c>
      <c r="B1609" s="164">
        <v>1607</v>
      </c>
      <c r="C1609" s="193" t="s">
        <v>2902</v>
      </c>
      <c r="D1609" s="195" t="s">
        <v>6170</v>
      </c>
      <c r="E1609" s="193" t="s">
        <v>8918</v>
      </c>
      <c r="F1609" s="193" t="s">
        <v>114</v>
      </c>
      <c r="G1609" s="195" t="s">
        <v>11125</v>
      </c>
      <c r="H1609" s="166" t="s">
        <v>13436</v>
      </c>
      <c r="I1609" s="193" t="s">
        <v>12825</v>
      </c>
      <c r="J1609" s="193" t="s">
        <v>146</v>
      </c>
      <c r="K1609" s="170"/>
      <c r="L1609" s="193" t="s">
        <v>13258</v>
      </c>
    </row>
    <row r="1610" spans="1:12" ht="30">
      <c r="A1610" s="67">
        <f t="shared" si="25"/>
        <v>1608</v>
      </c>
      <c r="B1610" s="164">
        <v>1608</v>
      </c>
      <c r="C1610" s="193" t="s">
        <v>2903</v>
      </c>
      <c r="D1610" s="195" t="s">
        <v>6171</v>
      </c>
      <c r="E1610" s="193" t="s">
        <v>8919</v>
      </c>
      <c r="F1610" s="193" t="s">
        <v>114</v>
      </c>
      <c r="G1610" s="195" t="s">
        <v>11126</v>
      </c>
      <c r="H1610" s="166" t="s">
        <v>13436</v>
      </c>
      <c r="I1610" s="193" t="s">
        <v>12835</v>
      </c>
      <c r="J1610" s="193" t="s">
        <v>12504</v>
      </c>
      <c r="K1610" s="170"/>
      <c r="L1610" s="193" t="s">
        <v>13259</v>
      </c>
    </row>
    <row r="1611" spans="1:12" ht="15.75">
      <c r="A1611" s="67">
        <f t="shared" si="25"/>
        <v>1609</v>
      </c>
      <c r="B1611" s="164">
        <v>1609</v>
      </c>
      <c r="C1611" s="193" t="s">
        <v>2904</v>
      </c>
      <c r="D1611" s="199" t="s">
        <v>6172</v>
      </c>
      <c r="E1611" s="193" t="s">
        <v>313</v>
      </c>
      <c r="F1611" s="193" t="s">
        <v>114</v>
      </c>
      <c r="G1611" s="195" t="s">
        <v>11127</v>
      </c>
      <c r="H1611" s="166" t="s">
        <v>13436</v>
      </c>
      <c r="I1611" s="193" t="s">
        <v>12831</v>
      </c>
      <c r="J1611" s="193" t="s">
        <v>146</v>
      </c>
      <c r="K1611" s="170"/>
      <c r="L1611" s="193" t="s">
        <v>146</v>
      </c>
    </row>
    <row r="1612" spans="1:12" ht="15.75">
      <c r="A1612" s="67">
        <f t="shared" si="25"/>
        <v>1610</v>
      </c>
      <c r="B1612" s="164">
        <v>1610</v>
      </c>
      <c r="C1612" s="193" t="s">
        <v>2905</v>
      </c>
      <c r="D1612" s="195" t="s">
        <v>6173</v>
      </c>
      <c r="E1612" s="193" t="s">
        <v>426</v>
      </c>
      <c r="F1612" s="193" t="s">
        <v>114</v>
      </c>
      <c r="G1612" s="195" t="s">
        <v>11128</v>
      </c>
      <c r="H1612" s="166" t="s">
        <v>13436</v>
      </c>
      <c r="I1612" s="193" t="s">
        <v>12835</v>
      </c>
      <c r="J1612" s="193" t="s">
        <v>12505</v>
      </c>
      <c r="K1612" s="170"/>
      <c r="L1612" s="193" t="s">
        <v>146</v>
      </c>
    </row>
    <row r="1613" spans="1:12" ht="15.75">
      <c r="A1613" s="67">
        <f t="shared" si="25"/>
        <v>1611</v>
      </c>
      <c r="B1613" s="164">
        <v>1611</v>
      </c>
      <c r="C1613" s="193" t="s">
        <v>2906</v>
      </c>
      <c r="D1613" s="195" t="s">
        <v>6174</v>
      </c>
      <c r="E1613" s="193" t="s">
        <v>8920</v>
      </c>
      <c r="F1613" s="193" t="s">
        <v>59</v>
      </c>
      <c r="G1613" s="195" t="s">
        <v>11129</v>
      </c>
      <c r="H1613" s="166" t="s">
        <v>13436</v>
      </c>
      <c r="I1613" s="193" t="s">
        <v>12825</v>
      </c>
      <c r="J1613" s="193" t="s">
        <v>147</v>
      </c>
      <c r="K1613" s="170"/>
      <c r="L1613" s="193"/>
    </row>
    <row r="1614" spans="1:12" ht="15.75">
      <c r="A1614" s="67">
        <f t="shared" si="25"/>
        <v>1612</v>
      </c>
      <c r="B1614" s="164">
        <v>1612</v>
      </c>
      <c r="C1614" s="193" t="s">
        <v>2907</v>
      </c>
      <c r="D1614" s="195" t="s">
        <v>6175</v>
      </c>
      <c r="E1614" s="193" t="s">
        <v>8921</v>
      </c>
      <c r="F1614" s="193" t="s">
        <v>59</v>
      </c>
      <c r="G1614" s="195" t="s">
        <v>11130</v>
      </c>
      <c r="H1614" s="166" t="s">
        <v>13436</v>
      </c>
      <c r="I1614" s="193" t="s">
        <v>12812</v>
      </c>
      <c r="J1614" s="193" t="s">
        <v>147</v>
      </c>
      <c r="K1614" s="170"/>
      <c r="L1614" s="193"/>
    </row>
    <row r="1615" spans="1:12" ht="15.75">
      <c r="A1615" s="67">
        <f t="shared" si="25"/>
        <v>1613</v>
      </c>
      <c r="B1615" s="164">
        <v>1613</v>
      </c>
      <c r="C1615" s="193" t="s">
        <v>2908</v>
      </c>
      <c r="D1615" s="196" t="s">
        <v>6176</v>
      </c>
      <c r="E1615" s="193" t="s">
        <v>324</v>
      </c>
      <c r="F1615" s="193" t="s">
        <v>59</v>
      </c>
      <c r="G1615" s="195" t="s">
        <v>11131</v>
      </c>
      <c r="H1615" s="166" t="s">
        <v>13436</v>
      </c>
      <c r="I1615" s="193" t="s">
        <v>12839</v>
      </c>
      <c r="J1615" s="193" t="s">
        <v>147</v>
      </c>
      <c r="K1615" s="170"/>
      <c r="L1615" s="193"/>
    </row>
    <row r="1616" spans="1:12" ht="15.75">
      <c r="A1616" s="67">
        <f t="shared" si="25"/>
        <v>1614</v>
      </c>
      <c r="B1616" s="164">
        <v>1614</v>
      </c>
      <c r="C1616" s="193" t="s">
        <v>2909</v>
      </c>
      <c r="D1616" s="195" t="s">
        <v>6177</v>
      </c>
      <c r="E1616" s="193" t="s">
        <v>8922</v>
      </c>
      <c r="F1616" s="193" t="s">
        <v>59</v>
      </c>
      <c r="G1616" s="195" t="s">
        <v>973</v>
      </c>
      <c r="H1616" s="166" t="s">
        <v>13436</v>
      </c>
      <c r="I1616" s="193" t="s">
        <v>12821</v>
      </c>
      <c r="J1616" s="193" t="s">
        <v>146</v>
      </c>
      <c r="K1616" s="170"/>
      <c r="L1616" s="193"/>
    </row>
    <row r="1617" spans="1:12" ht="15.75">
      <c r="A1617" s="67">
        <f t="shared" si="25"/>
        <v>1615</v>
      </c>
      <c r="B1617" s="164">
        <v>1615</v>
      </c>
      <c r="C1617" s="193" t="s">
        <v>2910</v>
      </c>
      <c r="D1617" s="195" t="s">
        <v>6178</v>
      </c>
      <c r="E1617" s="193" t="s">
        <v>8923</v>
      </c>
      <c r="F1617" s="193" t="s">
        <v>59</v>
      </c>
      <c r="G1617" s="195" t="s">
        <v>300</v>
      </c>
      <c r="H1617" s="166" t="s">
        <v>13436</v>
      </c>
      <c r="I1617" s="193" t="s">
        <v>12821</v>
      </c>
      <c r="J1617" s="219" t="s">
        <v>146</v>
      </c>
      <c r="K1617" s="170"/>
      <c r="L1617" s="193"/>
    </row>
    <row r="1618" spans="1:12" ht="30">
      <c r="A1618" s="67">
        <f t="shared" si="25"/>
        <v>1616</v>
      </c>
      <c r="B1618" s="164">
        <v>1616</v>
      </c>
      <c r="C1618" s="193" t="s">
        <v>2911</v>
      </c>
      <c r="D1618" s="195" t="s">
        <v>6179</v>
      </c>
      <c r="E1618" s="193" t="s">
        <v>8924</v>
      </c>
      <c r="F1618" s="193" t="s">
        <v>114</v>
      </c>
      <c r="G1618" s="195" t="s">
        <v>763</v>
      </c>
      <c r="H1618" s="166" t="s">
        <v>13436</v>
      </c>
      <c r="I1618" s="193" t="s">
        <v>12821</v>
      </c>
      <c r="J1618" s="193" t="s">
        <v>146</v>
      </c>
      <c r="K1618" s="170"/>
      <c r="L1618" s="193" t="s">
        <v>13260</v>
      </c>
    </row>
    <row r="1619" spans="1:12" ht="15.75">
      <c r="A1619" s="67">
        <f t="shared" si="25"/>
        <v>1617</v>
      </c>
      <c r="B1619" s="164">
        <v>1617</v>
      </c>
      <c r="C1619" s="193" t="s">
        <v>2912</v>
      </c>
      <c r="D1619" s="195" t="s">
        <v>6180</v>
      </c>
      <c r="E1619" s="193" t="s">
        <v>156</v>
      </c>
      <c r="F1619" s="193" t="s">
        <v>114</v>
      </c>
      <c r="G1619" s="195" t="s">
        <v>11132</v>
      </c>
      <c r="H1619" s="166" t="s">
        <v>13436</v>
      </c>
      <c r="I1619" s="193" t="s">
        <v>12832</v>
      </c>
      <c r="J1619" s="193" t="s">
        <v>146</v>
      </c>
      <c r="K1619" s="170"/>
      <c r="L1619" s="193" t="s">
        <v>146</v>
      </c>
    </row>
    <row r="1620" spans="1:12" ht="30">
      <c r="A1620" s="67">
        <f t="shared" si="25"/>
        <v>1618</v>
      </c>
      <c r="B1620" s="164">
        <v>1618</v>
      </c>
      <c r="C1620" s="193" t="s">
        <v>2913</v>
      </c>
      <c r="D1620" s="195" t="s">
        <v>6181</v>
      </c>
      <c r="E1620" s="193" t="s">
        <v>8925</v>
      </c>
      <c r="F1620" s="193" t="s">
        <v>59</v>
      </c>
      <c r="G1620" s="195" t="s">
        <v>11133</v>
      </c>
      <c r="H1620" s="166" t="s">
        <v>13436</v>
      </c>
      <c r="I1620" s="193" t="s">
        <v>12821</v>
      </c>
      <c r="J1620" s="193" t="s">
        <v>12506</v>
      </c>
      <c r="K1620" s="170"/>
      <c r="L1620" s="193"/>
    </row>
    <row r="1621" spans="1:12" ht="15.75">
      <c r="A1621" s="67">
        <f t="shared" si="25"/>
        <v>1619</v>
      </c>
      <c r="B1621" s="164">
        <v>1619</v>
      </c>
      <c r="C1621" s="193" t="s">
        <v>2914</v>
      </c>
      <c r="D1621" s="195" t="s">
        <v>6182</v>
      </c>
      <c r="E1621" s="193" t="s">
        <v>397</v>
      </c>
      <c r="F1621" s="193" t="s">
        <v>114</v>
      </c>
      <c r="G1621" s="195" t="s">
        <v>772</v>
      </c>
      <c r="H1621" s="166" t="s">
        <v>13436</v>
      </c>
      <c r="I1621" s="193" t="s">
        <v>12832</v>
      </c>
      <c r="J1621" s="193" t="s">
        <v>146</v>
      </c>
      <c r="K1621" s="170"/>
      <c r="L1621" s="193" t="s">
        <v>146</v>
      </c>
    </row>
    <row r="1622" spans="1:12" ht="15.75">
      <c r="A1622" s="67">
        <f t="shared" si="25"/>
        <v>1620</v>
      </c>
      <c r="B1622" s="164">
        <v>1620</v>
      </c>
      <c r="C1622" s="193" t="s">
        <v>2915</v>
      </c>
      <c r="D1622" s="195" t="s">
        <v>6183</v>
      </c>
      <c r="E1622" s="193" t="s">
        <v>8926</v>
      </c>
      <c r="F1622" s="193" t="s">
        <v>59</v>
      </c>
      <c r="G1622" s="195" t="s">
        <v>11134</v>
      </c>
      <c r="H1622" s="166" t="s">
        <v>13436</v>
      </c>
      <c r="I1622" s="193" t="s">
        <v>12808</v>
      </c>
      <c r="J1622" s="193" t="s">
        <v>147</v>
      </c>
      <c r="K1622" s="170"/>
      <c r="L1622" s="193"/>
    </row>
    <row r="1623" spans="1:12" ht="15.75">
      <c r="A1623" s="67">
        <f t="shared" si="25"/>
        <v>1621</v>
      </c>
      <c r="B1623" s="164">
        <v>1621</v>
      </c>
      <c r="C1623" s="193" t="s">
        <v>2916</v>
      </c>
      <c r="D1623" s="195" t="s">
        <v>6184</v>
      </c>
      <c r="E1623" s="193" t="s">
        <v>8927</v>
      </c>
      <c r="F1623" s="193" t="s">
        <v>114</v>
      </c>
      <c r="G1623" s="195" t="s">
        <v>11135</v>
      </c>
      <c r="H1623" s="166" t="s">
        <v>13436</v>
      </c>
      <c r="I1623" s="193" t="s">
        <v>12836</v>
      </c>
      <c r="J1623" s="193" t="s">
        <v>146</v>
      </c>
      <c r="K1623" s="170"/>
      <c r="L1623" s="193" t="s">
        <v>146</v>
      </c>
    </row>
    <row r="1624" spans="1:12" ht="30">
      <c r="A1624" s="67">
        <f t="shared" si="25"/>
        <v>1622</v>
      </c>
      <c r="B1624" s="164">
        <v>1622</v>
      </c>
      <c r="C1624" s="193" t="s">
        <v>2917</v>
      </c>
      <c r="D1624" s="195" t="s">
        <v>6185</v>
      </c>
      <c r="E1624" s="193" t="s">
        <v>8928</v>
      </c>
      <c r="F1624" s="193" t="s">
        <v>114</v>
      </c>
      <c r="G1624" s="195" t="s">
        <v>11136</v>
      </c>
      <c r="H1624" s="166" t="s">
        <v>13436</v>
      </c>
      <c r="I1624" s="193" t="s">
        <v>12836</v>
      </c>
      <c r="J1624" s="193" t="s">
        <v>146</v>
      </c>
      <c r="K1624" s="170"/>
      <c r="L1624" s="193" t="s">
        <v>13261</v>
      </c>
    </row>
    <row r="1625" spans="1:12" ht="15.75">
      <c r="A1625" s="67">
        <f t="shared" si="25"/>
        <v>1623</v>
      </c>
      <c r="B1625" s="164">
        <v>1623</v>
      </c>
      <c r="C1625" s="193" t="s">
        <v>2918</v>
      </c>
      <c r="D1625" s="195" t="s">
        <v>6186</v>
      </c>
      <c r="E1625" s="193" t="s">
        <v>343</v>
      </c>
      <c r="F1625" s="193" t="s">
        <v>114</v>
      </c>
      <c r="G1625" s="195" t="s">
        <v>11137</v>
      </c>
      <c r="H1625" s="166" t="s">
        <v>13436</v>
      </c>
      <c r="I1625" s="193" t="s">
        <v>12836</v>
      </c>
      <c r="J1625" s="193" t="s">
        <v>146</v>
      </c>
      <c r="K1625" s="170"/>
      <c r="L1625" s="193" t="s">
        <v>146</v>
      </c>
    </row>
    <row r="1626" spans="1:12" ht="30">
      <c r="A1626" s="67">
        <f t="shared" si="25"/>
        <v>1624</v>
      </c>
      <c r="B1626" s="164">
        <v>1624</v>
      </c>
      <c r="C1626" s="193" t="s">
        <v>2919</v>
      </c>
      <c r="D1626" s="195" t="s">
        <v>6187</v>
      </c>
      <c r="E1626" s="193" t="s">
        <v>170</v>
      </c>
      <c r="F1626" s="193" t="s">
        <v>114</v>
      </c>
      <c r="G1626" s="195" t="s">
        <v>11138</v>
      </c>
      <c r="H1626" s="166" t="s">
        <v>13436</v>
      </c>
      <c r="I1626" s="193" t="s">
        <v>12836</v>
      </c>
      <c r="J1626" s="193" t="s">
        <v>146</v>
      </c>
      <c r="K1626" s="170"/>
      <c r="L1626" s="193" t="s">
        <v>13262</v>
      </c>
    </row>
    <row r="1627" spans="1:12" ht="15.75">
      <c r="A1627" s="67">
        <f t="shared" si="25"/>
        <v>1625</v>
      </c>
      <c r="B1627" s="164">
        <v>1625</v>
      </c>
      <c r="C1627" s="193" t="s">
        <v>2920</v>
      </c>
      <c r="D1627" s="195" t="s">
        <v>6188</v>
      </c>
      <c r="E1627" s="193" t="s">
        <v>8929</v>
      </c>
      <c r="F1627" s="193" t="s">
        <v>114</v>
      </c>
      <c r="G1627" s="195" t="s">
        <v>11139</v>
      </c>
      <c r="H1627" s="166" t="s">
        <v>13436</v>
      </c>
      <c r="I1627" s="193" t="s">
        <v>12836</v>
      </c>
      <c r="J1627" s="193" t="s">
        <v>146</v>
      </c>
      <c r="K1627" s="170"/>
      <c r="L1627" s="193" t="s">
        <v>146</v>
      </c>
    </row>
    <row r="1628" spans="1:12" ht="15.75">
      <c r="A1628" s="67">
        <f t="shared" si="25"/>
        <v>1626</v>
      </c>
      <c r="B1628" s="164">
        <v>1626</v>
      </c>
      <c r="C1628" s="193" t="s">
        <v>2921</v>
      </c>
      <c r="D1628" s="195" t="s">
        <v>6189</v>
      </c>
      <c r="E1628" s="193" t="s">
        <v>372</v>
      </c>
      <c r="F1628" s="193" t="s">
        <v>114</v>
      </c>
      <c r="G1628" s="195" t="s">
        <v>11140</v>
      </c>
      <c r="H1628" s="166" t="s">
        <v>13436</v>
      </c>
      <c r="I1628" s="193" t="s">
        <v>12836</v>
      </c>
      <c r="J1628" s="193" t="s">
        <v>146</v>
      </c>
      <c r="K1628" s="170"/>
      <c r="L1628" s="193" t="s">
        <v>146</v>
      </c>
    </row>
    <row r="1629" spans="1:12" ht="15.75">
      <c r="A1629" s="67">
        <f t="shared" si="25"/>
        <v>1627</v>
      </c>
      <c r="B1629" s="164">
        <v>1627</v>
      </c>
      <c r="C1629" s="193" t="s">
        <v>2922</v>
      </c>
      <c r="D1629" s="195" t="s">
        <v>6190</v>
      </c>
      <c r="E1629" s="193" t="s">
        <v>8930</v>
      </c>
      <c r="F1629" s="193" t="s">
        <v>114</v>
      </c>
      <c r="G1629" s="195" t="s">
        <v>11141</v>
      </c>
      <c r="H1629" s="166" t="s">
        <v>13436</v>
      </c>
      <c r="I1629" s="193" t="s">
        <v>12836</v>
      </c>
      <c r="J1629" s="219" t="s">
        <v>146</v>
      </c>
      <c r="K1629" s="170"/>
      <c r="L1629" s="193" t="s">
        <v>146</v>
      </c>
    </row>
    <row r="1630" spans="1:12" ht="15.75">
      <c r="A1630" s="67">
        <f t="shared" si="25"/>
        <v>1628</v>
      </c>
      <c r="B1630" s="164">
        <v>1628</v>
      </c>
      <c r="C1630" s="193" t="s">
        <v>2923</v>
      </c>
      <c r="D1630" s="195" t="s">
        <v>6191</v>
      </c>
      <c r="E1630" s="193" t="s">
        <v>8931</v>
      </c>
      <c r="F1630" s="193" t="s">
        <v>114</v>
      </c>
      <c r="G1630" s="195" t="s">
        <v>682</v>
      </c>
      <c r="H1630" s="166" t="s">
        <v>13436</v>
      </c>
      <c r="I1630" s="193" t="s">
        <v>12836</v>
      </c>
      <c r="J1630" s="193" t="s">
        <v>146</v>
      </c>
      <c r="K1630" s="170"/>
      <c r="L1630" s="193" t="s">
        <v>146</v>
      </c>
    </row>
    <row r="1631" spans="1:12" ht="15.75">
      <c r="A1631" s="67">
        <f t="shared" si="25"/>
        <v>1629</v>
      </c>
      <c r="B1631" s="164">
        <v>1629</v>
      </c>
      <c r="C1631" s="193" t="s">
        <v>2924</v>
      </c>
      <c r="D1631" s="206" t="s">
        <v>6192</v>
      </c>
      <c r="E1631" s="193" t="s">
        <v>8932</v>
      </c>
      <c r="F1631" s="193" t="s">
        <v>114</v>
      </c>
      <c r="G1631" s="195" t="s">
        <v>11142</v>
      </c>
      <c r="H1631" s="166" t="s">
        <v>13436</v>
      </c>
      <c r="I1631" s="193" t="s">
        <v>12836</v>
      </c>
      <c r="J1631" s="193" t="s">
        <v>146</v>
      </c>
      <c r="K1631" s="170"/>
      <c r="L1631" s="193" t="s">
        <v>146</v>
      </c>
    </row>
    <row r="1632" spans="1:12" ht="15.75">
      <c r="A1632" s="67">
        <f t="shared" si="25"/>
        <v>1630</v>
      </c>
      <c r="B1632" s="164">
        <v>1630</v>
      </c>
      <c r="C1632" s="193" t="s">
        <v>2925</v>
      </c>
      <c r="D1632" s="195" t="s">
        <v>6193</v>
      </c>
      <c r="E1632" s="193" t="s">
        <v>8933</v>
      </c>
      <c r="F1632" s="193" t="s">
        <v>114</v>
      </c>
      <c r="G1632" s="195" t="s">
        <v>11143</v>
      </c>
      <c r="H1632" s="166" t="s">
        <v>13436</v>
      </c>
      <c r="I1632" s="193" t="s">
        <v>12836</v>
      </c>
      <c r="J1632" s="193" t="s">
        <v>146</v>
      </c>
      <c r="K1632" s="170"/>
      <c r="L1632" s="193" t="s">
        <v>146</v>
      </c>
    </row>
    <row r="1633" spans="1:12" ht="15.75">
      <c r="A1633" s="67">
        <f t="shared" si="25"/>
        <v>1631</v>
      </c>
      <c r="B1633" s="164">
        <v>1631</v>
      </c>
      <c r="C1633" s="193" t="s">
        <v>2926</v>
      </c>
      <c r="D1633" s="195" t="s">
        <v>6194</v>
      </c>
      <c r="E1633" s="193" t="s">
        <v>343</v>
      </c>
      <c r="F1633" s="193" t="s">
        <v>114</v>
      </c>
      <c r="G1633" s="195" t="s">
        <v>11144</v>
      </c>
      <c r="H1633" s="166" t="s">
        <v>13436</v>
      </c>
      <c r="I1633" s="193" t="s">
        <v>12814</v>
      </c>
      <c r="J1633" s="193" t="s">
        <v>146</v>
      </c>
      <c r="K1633" s="170"/>
      <c r="L1633" s="193" t="s">
        <v>146</v>
      </c>
    </row>
    <row r="1634" spans="1:12" ht="30">
      <c r="A1634" s="67">
        <f t="shared" si="25"/>
        <v>1632</v>
      </c>
      <c r="B1634" s="164">
        <v>1632</v>
      </c>
      <c r="C1634" s="193" t="s">
        <v>2927</v>
      </c>
      <c r="D1634" s="195" t="s">
        <v>6195</v>
      </c>
      <c r="E1634" s="193" t="s">
        <v>8934</v>
      </c>
      <c r="F1634" s="193" t="s">
        <v>114</v>
      </c>
      <c r="G1634" s="195" t="s">
        <v>10195</v>
      </c>
      <c r="H1634" s="166" t="s">
        <v>13436</v>
      </c>
      <c r="I1634" s="193" t="s">
        <v>12836</v>
      </c>
      <c r="J1634" s="193" t="s">
        <v>146</v>
      </c>
      <c r="K1634" s="170"/>
      <c r="L1634" s="193" t="s">
        <v>13263</v>
      </c>
    </row>
    <row r="1635" spans="1:12" ht="15.75">
      <c r="A1635" s="67">
        <f t="shared" si="25"/>
        <v>1633</v>
      </c>
      <c r="B1635" s="164">
        <v>1633</v>
      </c>
      <c r="C1635" s="193" t="s">
        <v>2928</v>
      </c>
      <c r="D1635" s="195" t="s">
        <v>6196</v>
      </c>
      <c r="E1635" s="193" t="s">
        <v>8935</v>
      </c>
      <c r="F1635" s="193" t="s">
        <v>114</v>
      </c>
      <c r="G1635" s="195" t="s">
        <v>11145</v>
      </c>
      <c r="H1635" s="166" t="s">
        <v>13436</v>
      </c>
      <c r="I1635" s="193" t="s">
        <v>12836</v>
      </c>
      <c r="J1635" s="193" t="s">
        <v>146</v>
      </c>
      <c r="K1635" s="170"/>
      <c r="L1635" s="193" t="s">
        <v>146</v>
      </c>
    </row>
    <row r="1636" spans="1:12" ht="15.75">
      <c r="A1636" s="67">
        <f t="shared" si="25"/>
        <v>1634</v>
      </c>
      <c r="B1636" s="164">
        <v>1634</v>
      </c>
      <c r="C1636" s="193" t="s">
        <v>2929</v>
      </c>
      <c r="D1636" s="195" t="s">
        <v>6197</v>
      </c>
      <c r="E1636" s="193" t="s">
        <v>8936</v>
      </c>
      <c r="F1636" s="193" t="s">
        <v>114</v>
      </c>
      <c r="G1636" s="195" t="s">
        <v>11006</v>
      </c>
      <c r="H1636" s="166" t="s">
        <v>13436</v>
      </c>
      <c r="I1636" s="193" t="s">
        <v>12836</v>
      </c>
      <c r="J1636" s="193" t="s">
        <v>146</v>
      </c>
      <c r="K1636" s="170"/>
      <c r="L1636" s="193" t="s">
        <v>146</v>
      </c>
    </row>
    <row r="1637" spans="1:12" ht="15.75">
      <c r="A1637" s="67">
        <f t="shared" si="25"/>
        <v>1635</v>
      </c>
      <c r="B1637" s="164">
        <v>1635</v>
      </c>
      <c r="C1637" s="193" t="s">
        <v>2930</v>
      </c>
      <c r="D1637" s="195" t="s">
        <v>6198</v>
      </c>
      <c r="E1637" s="193" t="s">
        <v>8937</v>
      </c>
      <c r="F1637" s="193" t="s">
        <v>114</v>
      </c>
      <c r="G1637" s="195" t="s">
        <v>11146</v>
      </c>
      <c r="H1637" s="166" t="s">
        <v>13436</v>
      </c>
      <c r="I1637" s="193" t="s">
        <v>12836</v>
      </c>
      <c r="J1637" s="193" t="s">
        <v>146</v>
      </c>
      <c r="K1637" s="170"/>
      <c r="L1637" s="193" t="s">
        <v>146</v>
      </c>
    </row>
    <row r="1638" spans="1:12" ht="15.75">
      <c r="A1638" s="67">
        <f t="shared" si="25"/>
        <v>1636</v>
      </c>
      <c r="B1638" s="164">
        <v>1636</v>
      </c>
      <c r="C1638" s="193" t="s">
        <v>2931</v>
      </c>
      <c r="D1638" s="195" t="s">
        <v>6199</v>
      </c>
      <c r="E1638" s="193" t="s">
        <v>169</v>
      </c>
      <c r="F1638" s="193" t="s">
        <v>114</v>
      </c>
      <c r="G1638" s="195" t="s">
        <v>11147</v>
      </c>
      <c r="H1638" s="166" t="s">
        <v>13436</v>
      </c>
      <c r="I1638" s="193" t="s">
        <v>12836</v>
      </c>
      <c r="J1638" s="219" t="s">
        <v>146</v>
      </c>
      <c r="K1638" s="170"/>
      <c r="L1638" s="193" t="s">
        <v>146</v>
      </c>
    </row>
    <row r="1639" spans="1:12" ht="15.75">
      <c r="A1639" s="67">
        <f t="shared" si="25"/>
        <v>1637</v>
      </c>
      <c r="B1639" s="164">
        <v>1637</v>
      </c>
      <c r="C1639" s="193" t="s">
        <v>2932</v>
      </c>
      <c r="D1639" s="195" t="s">
        <v>6200</v>
      </c>
      <c r="E1639" s="193" t="s">
        <v>356</v>
      </c>
      <c r="F1639" s="193" t="s">
        <v>114</v>
      </c>
      <c r="G1639" s="195" t="s">
        <v>11148</v>
      </c>
      <c r="H1639" s="166" t="s">
        <v>13436</v>
      </c>
      <c r="I1639" s="193" t="s">
        <v>12836</v>
      </c>
      <c r="J1639" s="193" t="s">
        <v>146</v>
      </c>
      <c r="K1639" s="170"/>
      <c r="L1639" s="193" t="s">
        <v>146</v>
      </c>
    </row>
    <row r="1640" spans="1:12" ht="15.75">
      <c r="A1640" s="67">
        <f t="shared" si="25"/>
        <v>1638</v>
      </c>
      <c r="B1640" s="164">
        <v>1638</v>
      </c>
      <c r="C1640" s="193" t="s">
        <v>2933</v>
      </c>
      <c r="D1640" s="195" t="s">
        <v>6201</v>
      </c>
      <c r="E1640" s="193" t="s">
        <v>8477</v>
      </c>
      <c r="F1640" s="193" t="s">
        <v>114</v>
      </c>
      <c r="G1640" s="195" t="s">
        <v>848</v>
      </c>
      <c r="H1640" s="166" t="s">
        <v>13436</v>
      </c>
      <c r="I1640" s="193" t="s">
        <v>12836</v>
      </c>
      <c r="J1640" s="193" t="s">
        <v>146</v>
      </c>
      <c r="K1640" s="170"/>
      <c r="L1640" s="193" t="s">
        <v>146</v>
      </c>
    </row>
    <row r="1641" spans="1:12" ht="30">
      <c r="A1641" s="67">
        <f t="shared" si="25"/>
        <v>1639</v>
      </c>
      <c r="B1641" s="164">
        <v>1639</v>
      </c>
      <c r="C1641" s="193" t="s">
        <v>2934</v>
      </c>
      <c r="D1641" s="195" t="s">
        <v>6202</v>
      </c>
      <c r="E1641" s="193" t="s">
        <v>8938</v>
      </c>
      <c r="F1641" s="193" t="s">
        <v>114</v>
      </c>
      <c r="G1641" s="195" t="s">
        <v>231</v>
      </c>
      <c r="H1641" s="166" t="s">
        <v>13436</v>
      </c>
      <c r="I1641" s="193" t="s">
        <v>12836</v>
      </c>
      <c r="J1641" s="193" t="s">
        <v>146</v>
      </c>
      <c r="K1641" s="170"/>
      <c r="L1641" s="193" t="s">
        <v>13264</v>
      </c>
    </row>
    <row r="1642" spans="1:12" ht="15.75">
      <c r="A1642" s="67">
        <f t="shared" si="25"/>
        <v>1640</v>
      </c>
      <c r="B1642" s="164">
        <v>1640</v>
      </c>
      <c r="C1642" s="193" t="s">
        <v>2935</v>
      </c>
      <c r="D1642" s="195" t="s">
        <v>6203</v>
      </c>
      <c r="E1642" s="193" t="s">
        <v>8939</v>
      </c>
      <c r="F1642" s="193" t="s">
        <v>114</v>
      </c>
      <c r="G1642" s="195" t="s">
        <v>11120</v>
      </c>
      <c r="H1642" s="166" t="s">
        <v>13436</v>
      </c>
      <c r="I1642" s="193" t="s">
        <v>12836</v>
      </c>
      <c r="J1642" s="193" t="s">
        <v>12507</v>
      </c>
      <c r="K1642" s="170"/>
      <c r="L1642" s="193" t="s">
        <v>146</v>
      </c>
    </row>
    <row r="1643" spans="1:12" ht="15.75">
      <c r="A1643" s="67">
        <f t="shared" si="25"/>
        <v>1641</v>
      </c>
      <c r="B1643" s="164">
        <v>1641</v>
      </c>
      <c r="C1643" s="193" t="s">
        <v>2936</v>
      </c>
      <c r="D1643" s="195" t="s">
        <v>6204</v>
      </c>
      <c r="E1643" s="193" t="s">
        <v>8940</v>
      </c>
      <c r="F1643" s="193" t="s">
        <v>114</v>
      </c>
      <c r="G1643" s="195" t="s">
        <v>11149</v>
      </c>
      <c r="H1643" s="166" t="s">
        <v>13436</v>
      </c>
      <c r="I1643" s="193" t="s">
        <v>12819</v>
      </c>
      <c r="J1643" s="193" t="s">
        <v>1252</v>
      </c>
      <c r="K1643" s="170"/>
      <c r="L1643" s="193" t="s">
        <v>146</v>
      </c>
    </row>
    <row r="1644" spans="1:12" ht="15.75">
      <c r="A1644" s="67">
        <f t="shared" si="25"/>
        <v>1642</v>
      </c>
      <c r="B1644" s="164">
        <v>1642</v>
      </c>
      <c r="C1644" s="193" t="s">
        <v>2937</v>
      </c>
      <c r="D1644" s="195" t="s">
        <v>6205</v>
      </c>
      <c r="E1644" s="193" t="s">
        <v>8941</v>
      </c>
      <c r="F1644" s="193" t="s">
        <v>59</v>
      </c>
      <c r="G1644" s="195" t="s">
        <v>11150</v>
      </c>
      <c r="H1644" s="166" t="s">
        <v>13436</v>
      </c>
      <c r="I1644" s="193" t="s">
        <v>12821</v>
      </c>
      <c r="J1644" s="193" t="s">
        <v>147</v>
      </c>
      <c r="K1644" s="170"/>
      <c r="L1644" s="193"/>
    </row>
    <row r="1645" spans="1:12" ht="15.75">
      <c r="A1645" s="67">
        <f t="shared" si="25"/>
        <v>1643</v>
      </c>
      <c r="B1645" s="164">
        <v>1643</v>
      </c>
      <c r="C1645" s="193" t="s">
        <v>2938</v>
      </c>
      <c r="D1645" s="195" t="s">
        <v>6206</v>
      </c>
      <c r="E1645" s="193" t="s">
        <v>523</v>
      </c>
      <c r="F1645" s="193" t="s">
        <v>114</v>
      </c>
      <c r="G1645" s="195" t="s">
        <v>903</v>
      </c>
      <c r="H1645" s="166" t="s">
        <v>13436</v>
      </c>
      <c r="I1645" s="193" t="s">
        <v>12826</v>
      </c>
      <c r="J1645" s="193" t="s">
        <v>146</v>
      </c>
      <c r="K1645" s="170"/>
      <c r="L1645" s="193" t="s">
        <v>146</v>
      </c>
    </row>
    <row r="1646" spans="1:12" ht="15.75">
      <c r="A1646" s="67">
        <f t="shared" si="25"/>
        <v>1644</v>
      </c>
      <c r="B1646" s="164">
        <v>1644</v>
      </c>
      <c r="C1646" s="193" t="s">
        <v>2939</v>
      </c>
      <c r="D1646" s="195" t="s">
        <v>6207</v>
      </c>
      <c r="E1646" s="193" t="s">
        <v>8942</v>
      </c>
      <c r="F1646" s="193" t="s">
        <v>114</v>
      </c>
      <c r="G1646" s="195" t="s">
        <v>11151</v>
      </c>
      <c r="H1646" s="166" t="s">
        <v>13436</v>
      </c>
      <c r="I1646" s="193" t="s">
        <v>12826</v>
      </c>
      <c r="J1646" s="193" t="s">
        <v>146</v>
      </c>
      <c r="K1646" s="170"/>
      <c r="L1646" s="193" t="s">
        <v>146</v>
      </c>
    </row>
    <row r="1647" spans="1:12" ht="15.75">
      <c r="A1647" s="67">
        <f t="shared" si="25"/>
        <v>1645</v>
      </c>
      <c r="B1647" s="164">
        <v>1645</v>
      </c>
      <c r="C1647" s="193" t="s">
        <v>2940</v>
      </c>
      <c r="D1647" s="195" t="s">
        <v>6208</v>
      </c>
      <c r="E1647" s="193" t="s">
        <v>8943</v>
      </c>
      <c r="F1647" s="193" t="s">
        <v>114</v>
      </c>
      <c r="G1647" s="195" t="s">
        <v>11048</v>
      </c>
      <c r="H1647" s="166" t="s">
        <v>13436</v>
      </c>
      <c r="I1647" s="193" t="s">
        <v>12826</v>
      </c>
      <c r="J1647" s="193" t="s">
        <v>12508</v>
      </c>
      <c r="K1647" s="170"/>
      <c r="L1647" s="193" t="s">
        <v>146</v>
      </c>
    </row>
    <row r="1648" spans="1:12" ht="15.75">
      <c r="A1648" s="67">
        <f t="shared" si="25"/>
        <v>1646</v>
      </c>
      <c r="B1648" s="164">
        <v>1646</v>
      </c>
      <c r="C1648" s="193" t="s">
        <v>2941</v>
      </c>
      <c r="D1648" s="195" t="s">
        <v>6209</v>
      </c>
      <c r="E1648" s="193" t="s">
        <v>8944</v>
      </c>
      <c r="F1648" s="193" t="s">
        <v>114</v>
      </c>
      <c r="G1648" s="195" t="s">
        <v>11152</v>
      </c>
      <c r="H1648" s="166" t="s">
        <v>13436</v>
      </c>
      <c r="I1648" s="193" t="s">
        <v>12826</v>
      </c>
      <c r="J1648" s="193" t="s">
        <v>146</v>
      </c>
      <c r="K1648" s="170"/>
      <c r="L1648" s="193" t="s">
        <v>146</v>
      </c>
    </row>
    <row r="1649" spans="1:12" ht="15.75">
      <c r="A1649" s="67">
        <f t="shared" si="25"/>
        <v>1647</v>
      </c>
      <c r="B1649" s="164">
        <v>1647</v>
      </c>
      <c r="C1649" s="193" t="s">
        <v>2942</v>
      </c>
      <c r="D1649" s="195" t="s">
        <v>6210</v>
      </c>
      <c r="E1649" s="193" t="s">
        <v>8945</v>
      </c>
      <c r="F1649" s="193" t="s">
        <v>114</v>
      </c>
      <c r="G1649" s="195" t="s">
        <v>11153</v>
      </c>
      <c r="H1649" s="166" t="s">
        <v>13436</v>
      </c>
      <c r="I1649" s="193" t="s">
        <v>12826</v>
      </c>
      <c r="J1649" s="193" t="s">
        <v>146</v>
      </c>
      <c r="K1649" s="170"/>
      <c r="L1649" s="193" t="s">
        <v>146</v>
      </c>
    </row>
    <row r="1650" spans="1:12" ht="75">
      <c r="A1650" s="67">
        <f t="shared" si="25"/>
        <v>1648</v>
      </c>
      <c r="B1650" s="164">
        <v>1648</v>
      </c>
      <c r="C1650" s="193" t="s">
        <v>2943</v>
      </c>
      <c r="D1650" s="195" t="s">
        <v>6211</v>
      </c>
      <c r="E1650" s="193" t="s">
        <v>172</v>
      </c>
      <c r="F1650" s="193" t="s">
        <v>114</v>
      </c>
      <c r="G1650" s="195" t="s">
        <v>11154</v>
      </c>
      <c r="H1650" s="166" t="s">
        <v>13436</v>
      </c>
      <c r="I1650" s="193" t="s">
        <v>12808</v>
      </c>
      <c r="J1650" s="193" t="s">
        <v>12509</v>
      </c>
      <c r="K1650" s="170"/>
      <c r="L1650" s="193" t="s">
        <v>13265</v>
      </c>
    </row>
    <row r="1651" spans="1:12" ht="15.75">
      <c r="A1651" s="67">
        <f t="shared" si="25"/>
        <v>1649</v>
      </c>
      <c r="B1651" s="164">
        <v>1649</v>
      </c>
      <c r="C1651" s="193" t="s">
        <v>2944</v>
      </c>
      <c r="D1651" s="195" t="s">
        <v>6212</v>
      </c>
      <c r="E1651" s="193" t="s">
        <v>209</v>
      </c>
      <c r="F1651" s="193" t="s">
        <v>114</v>
      </c>
      <c r="G1651" s="195" t="s">
        <v>11155</v>
      </c>
      <c r="H1651" s="166" t="s">
        <v>13436</v>
      </c>
      <c r="I1651" s="193" t="s">
        <v>1250</v>
      </c>
      <c r="J1651" s="219" t="s">
        <v>146</v>
      </c>
      <c r="K1651" s="170"/>
      <c r="L1651" s="193" t="s">
        <v>146</v>
      </c>
    </row>
    <row r="1652" spans="1:12" ht="15.75">
      <c r="A1652" s="67">
        <f t="shared" si="25"/>
        <v>1650</v>
      </c>
      <c r="B1652" s="164">
        <v>1650</v>
      </c>
      <c r="C1652" s="193" t="s">
        <v>2945</v>
      </c>
      <c r="D1652" s="195" t="s">
        <v>6213</v>
      </c>
      <c r="E1652" s="193" t="s">
        <v>264</v>
      </c>
      <c r="F1652" s="193" t="s">
        <v>114</v>
      </c>
      <c r="G1652" s="195" t="s">
        <v>10857</v>
      </c>
      <c r="H1652" s="166" t="s">
        <v>13436</v>
      </c>
      <c r="I1652" s="193" t="s">
        <v>12837</v>
      </c>
      <c r="J1652" s="193" t="s">
        <v>146</v>
      </c>
      <c r="K1652" s="170"/>
      <c r="L1652" s="193" t="s">
        <v>146</v>
      </c>
    </row>
    <row r="1653" spans="1:12" ht="15.75">
      <c r="A1653" s="67">
        <f t="shared" si="25"/>
        <v>1651</v>
      </c>
      <c r="B1653" s="164">
        <v>1651</v>
      </c>
      <c r="C1653" s="193" t="s">
        <v>2946</v>
      </c>
      <c r="D1653" s="199" t="s">
        <v>6214</v>
      </c>
      <c r="E1653" s="193" t="s">
        <v>8946</v>
      </c>
      <c r="F1653" s="193" t="s">
        <v>59</v>
      </c>
      <c r="G1653" s="195" t="s">
        <v>11156</v>
      </c>
      <c r="H1653" s="166" t="s">
        <v>13436</v>
      </c>
      <c r="I1653" s="193" t="s">
        <v>12828</v>
      </c>
      <c r="J1653" s="193" t="s">
        <v>147</v>
      </c>
      <c r="K1653" s="170"/>
      <c r="L1653" s="193"/>
    </row>
    <row r="1654" spans="1:12" ht="15.75">
      <c r="A1654" s="67">
        <f t="shared" si="25"/>
        <v>1652</v>
      </c>
      <c r="B1654" s="164">
        <v>1652</v>
      </c>
      <c r="C1654" s="193" t="s">
        <v>2947</v>
      </c>
      <c r="D1654" s="195" t="s">
        <v>6215</v>
      </c>
      <c r="E1654" s="193" t="s">
        <v>8947</v>
      </c>
      <c r="F1654" s="193" t="s">
        <v>59</v>
      </c>
      <c r="G1654" s="195" t="s">
        <v>11157</v>
      </c>
      <c r="H1654" s="166" t="s">
        <v>13436</v>
      </c>
      <c r="I1654" s="193" t="s">
        <v>1249</v>
      </c>
      <c r="J1654" s="219" t="s">
        <v>146</v>
      </c>
      <c r="K1654" s="170"/>
      <c r="L1654" s="193"/>
    </row>
    <row r="1655" spans="1:12" ht="15.75">
      <c r="A1655" s="67">
        <f t="shared" si="25"/>
        <v>1653</v>
      </c>
      <c r="B1655" s="164">
        <v>1653</v>
      </c>
      <c r="C1655" s="193" t="s">
        <v>2948</v>
      </c>
      <c r="D1655" s="195" t="s">
        <v>6216</v>
      </c>
      <c r="E1655" s="193" t="s">
        <v>372</v>
      </c>
      <c r="F1655" s="193" t="s">
        <v>114</v>
      </c>
      <c r="G1655" s="195" t="s">
        <v>11158</v>
      </c>
      <c r="H1655" s="166" t="s">
        <v>13436</v>
      </c>
      <c r="I1655" s="193" t="s">
        <v>12809</v>
      </c>
      <c r="J1655" s="193" t="s">
        <v>1252</v>
      </c>
      <c r="K1655" s="170"/>
      <c r="L1655" s="193" t="s">
        <v>146</v>
      </c>
    </row>
    <row r="1656" spans="1:12" ht="15.75">
      <c r="A1656" s="67">
        <f t="shared" si="25"/>
        <v>1654</v>
      </c>
      <c r="B1656" s="164">
        <v>1654</v>
      </c>
      <c r="C1656" s="193" t="s">
        <v>2949</v>
      </c>
      <c r="D1656" s="195" t="s">
        <v>6217</v>
      </c>
      <c r="E1656" s="193" t="s">
        <v>8373</v>
      </c>
      <c r="F1656" s="193" t="s">
        <v>59</v>
      </c>
      <c r="G1656" s="195" t="s">
        <v>11159</v>
      </c>
      <c r="H1656" s="166" t="s">
        <v>13436</v>
      </c>
      <c r="I1656" s="193" t="s">
        <v>12825</v>
      </c>
      <c r="J1656" s="219" t="s">
        <v>146</v>
      </c>
      <c r="K1656" s="170"/>
      <c r="L1656" s="193"/>
    </row>
    <row r="1657" spans="1:12" ht="15.75">
      <c r="A1657" s="67">
        <f t="shared" si="25"/>
        <v>1655</v>
      </c>
      <c r="B1657" s="164">
        <v>1655</v>
      </c>
      <c r="C1657" s="193" t="s">
        <v>2950</v>
      </c>
      <c r="D1657" s="195" t="s">
        <v>6218</v>
      </c>
      <c r="E1657" s="193" t="s">
        <v>8948</v>
      </c>
      <c r="F1657" s="193" t="s">
        <v>59</v>
      </c>
      <c r="G1657" s="195" t="s">
        <v>11160</v>
      </c>
      <c r="H1657" s="166" t="s">
        <v>13436</v>
      </c>
      <c r="I1657" s="193" t="s">
        <v>12825</v>
      </c>
      <c r="J1657" s="193" t="s">
        <v>146</v>
      </c>
      <c r="K1657" s="170"/>
      <c r="L1657" s="193"/>
    </row>
    <row r="1658" spans="1:12" ht="15.75">
      <c r="A1658" s="67">
        <f t="shared" si="25"/>
        <v>1656</v>
      </c>
      <c r="B1658" s="164">
        <v>1656</v>
      </c>
      <c r="C1658" s="193" t="s">
        <v>2951</v>
      </c>
      <c r="D1658" s="195" t="s">
        <v>6219</v>
      </c>
      <c r="E1658" s="193" t="s">
        <v>8949</v>
      </c>
      <c r="F1658" s="193" t="s">
        <v>59</v>
      </c>
      <c r="G1658" s="195" t="s">
        <v>11161</v>
      </c>
      <c r="H1658" s="166" t="s">
        <v>13436</v>
      </c>
      <c r="I1658" s="193" t="s">
        <v>12825</v>
      </c>
      <c r="J1658" s="219" t="s">
        <v>146</v>
      </c>
      <c r="K1658" s="170"/>
      <c r="L1658" s="193"/>
    </row>
    <row r="1659" spans="1:12" ht="15.75">
      <c r="A1659" s="67">
        <f t="shared" si="25"/>
        <v>1657</v>
      </c>
      <c r="B1659" s="164">
        <v>1657</v>
      </c>
      <c r="C1659" s="193" t="s">
        <v>2952</v>
      </c>
      <c r="D1659" s="195" t="s">
        <v>6220</v>
      </c>
      <c r="E1659" s="193" t="s">
        <v>184</v>
      </c>
      <c r="F1659" s="193" t="s">
        <v>114</v>
      </c>
      <c r="G1659" s="195" t="s">
        <v>11162</v>
      </c>
      <c r="H1659" s="166" t="s">
        <v>13436</v>
      </c>
      <c r="I1659" s="193" t="s">
        <v>12825</v>
      </c>
      <c r="J1659" s="193" t="s">
        <v>146</v>
      </c>
      <c r="K1659" s="170"/>
      <c r="L1659" s="193" t="s">
        <v>146</v>
      </c>
    </row>
    <row r="1660" spans="1:12" ht="30">
      <c r="A1660" s="67">
        <f t="shared" si="25"/>
        <v>1658</v>
      </c>
      <c r="B1660" s="164">
        <v>1658</v>
      </c>
      <c r="C1660" s="193" t="s">
        <v>2953</v>
      </c>
      <c r="D1660" s="195" t="s">
        <v>6221</v>
      </c>
      <c r="E1660" s="193" t="s">
        <v>8950</v>
      </c>
      <c r="F1660" s="193" t="s">
        <v>114</v>
      </c>
      <c r="G1660" s="195" t="s">
        <v>849</v>
      </c>
      <c r="H1660" s="166" t="s">
        <v>13436</v>
      </c>
      <c r="I1660" s="193" t="s">
        <v>12825</v>
      </c>
      <c r="J1660" s="193" t="s">
        <v>12510</v>
      </c>
      <c r="K1660" s="170"/>
      <c r="L1660" s="193" t="s">
        <v>146</v>
      </c>
    </row>
    <row r="1661" spans="1:12" ht="30">
      <c r="A1661" s="67">
        <f t="shared" si="25"/>
        <v>1659</v>
      </c>
      <c r="B1661" s="164">
        <v>1659</v>
      </c>
      <c r="C1661" s="193" t="s">
        <v>2954</v>
      </c>
      <c r="D1661" s="195" t="s">
        <v>6222</v>
      </c>
      <c r="E1661" s="193" t="s">
        <v>8951</v>
      </c>
      <c r="F1661" s="193" t="s">
        <v>114</v>
      </c>
      <c r="G1661" s="195" t="s">
        <v>11163</v>
      </c>
      <c r="H1661" s="166" t="s">
        <v>13436</v>
      </c>
      <c r="I1661" s="193" t="s">
        <v>12825</v>
      </c>
      <c r="J1661" s="193" t="s">
        <v>146</v>
      </c>
      <c r="K1661" s="170"/>
      <c r="L1661" s="193" t="s">
        <v>13266</v>
      </c>
    </row>
    <row r="1662" spans="1:12" ht="60">
      <c r="A1662" s="67">
        <f t="shared" si="25"/>
        <v>1660</v>
      </c>
      <c r="B1662" s="164">
        <v>1660</v>
      </c>
      <c r="C1662" s="193" t="s">
        <v>2955</v>
      </c>
      <c r="D1662" s="199" t="s">
        <v>6223</v>
      </c>
      <c r="E1662" s="193" t="s">
        <v>8179</v>
      </c>
      <c r="F1662" s="193" t="s">
        <v>114</v>
      </c>
      <c r="G1662" s="195" t="s">
        <v>760</v>
      </c>
      <c r="H1662" s="166" t="s">
        <v>13436</v>
      </c>
      <c r="I1662" s="193" t="s">
        <v>12828</v>
      </c>
      <c r="J1662" s="193" t="s">
        <v>12511</v>
      </c>
      <c r="K1662" s="170"/>
      <c r="L1662" s="193" t="s">
        <v>13267</v>
      </c>
    </row>
    <row r="1663" spans="1:12" ht="15.75">
      <c r="A1663" s="67">
        <f t="shared" si="25"/>
        <v>1661</v>
      </c>
      <c r="B1663" s="164">
        <v>1661</v>
      </c>
      <c r="C1663" s="193" t="s">
        <v>2956</v>
      </c>
      <c r="D1663" s="195" t="s">
        <v>6224</v>
      </c>
      <c r="E1663" s="193" t="s">
        <v>8952</v>
      </c>
      <c r="F1663" s="193" t="s">
        <v>59</v>
      </c>
      <c r="G1663" s="195" t="s">
        <v>11164</v>
      </c>
      <c r="H1663" s="166" t="s">
        <v>13436</v>
      </c>
      <c r="I1663" s="193" t="s">
        <v>12812</v>
      </c>
      <c r="J1663" s="193" t="s">
        <v>146</v>
      </c>
      <c r="K1663" s="170"/>
      <c r="L1663" s="193"/>
    </row>
    <row r="1664" spans="1:12" ht="30">
      <c r="A1664" s="67">
        <f t="shared" si="25"/>
        <v>1662</v>
      </c>
      <c r="B1664" s="164">
        <v>1662</v>
      </c>
      <c r="C1664" s="193" t="s">
        <v>2957</v>
      </c>
      <c r="D1664" s="195" t="s">
        <v>6225</v>
      </c>
      <c r="E1664" s="193" t="s">
        <v>8953</v>
      </c>
      <c r="F1664" s="193" t="s">
        <v>59</v>
      </c>
      <c r="G1664" s="195" t="s">
        <v>11165</v>
      </c>
      <c r="H1664" s="166" t="s">
        <v>13436</v>
      </c>
      <c r="I1664" s="193" t="s">
        <v>12812</v>
      </c>
      <c r="J1664" s="193" t="s">
        <v>12512</v>
      </c>
      <c r="K1664" s="170"/>
      <c r="L1664" s="193"/>
    </row>
    <row r="1665" spans="1:12" ht="30">
      <c r="A1665" s="67">
        <f t="shared" si="25"/>
        <v>1663</v>
      </c>
      <c r="B1665" s="164">
        <v>1663</v>
      </c>
      <c r="C1665" s="193" t="s">
        <v>2958</v>
      </c>
      <c r="D1665" s="197" t="s">
        <v>6226</v>
      </c>
      <c r="E1665" s="193" t="s">
        <v>298</v>
      </c>
      <c r="F1665" s="193" t="s">
        <v>59</v>
      </c>
      <c r="G1665" s="195" t="s">
        <v>225</v>
      </c>
      <c r="H1665" s="166" t="s">
        <v>13436</v>
      </c>
      <c r="I1665" s="193" t="s">
        <v>12816</v>
      </c>
      <c r="J1665" s="193" t="s">
        <v>12513</v>
      </c>
      <c r="K1665" s="170"/>
      <c r="L1665" s="193"/>
    </row>
    <row r="1666" spans="1:12" ht="15.75">
      <c r="A1666" s="67">
        <f t="shared" si="25"/>
        <v>1664</v>
      </c>
      <c r="B1666" s="164">
        <v>1664</v>
      </c>
      <c r="C1666" s="193" t="s">
        <v>2959</v>
      </c>
      <c r="D1666" s="195" t="s">
        <v>6227</v>
      </c>
      <c r="E1666" s="193" t="s">
        <v>8954</v>
      </c>
      <c r="F1666" s="193" t="s">
        <v>59</v>
      </c>
      <c r="G1666" s="195" t="s">
        <v>10878</v>
      </c>
      <c r="H1666" s="166" t="s">
        <v>13436</v>
      </c>
      <c r="I1666" s="193" t="s">
        <v>12812</v>
      </c>
      <c r="J1666" s="219" t="s">
        <v>146</v>
      </c>
      <c r="K1666" s="170"/>
      <c r="L1666" s="193"/>
    </row>
    <row r="1667" spans="1:12" ht="15.75">
      <c r="A1667" s="67">
        <f t="shared" ref="A1667:A1730" si="26">IFERROR(VALUE(RIGHT(C1667,4)),"")</f>
        <v>1665</v>
      </c>
      <c r="B1667" s="164">
        <v>1665</v>
      </c>
      <c r="C1667" s="193" t="s">
        <v>2960</v>
      </c>
      <c r="D1667" s="195" t="s">
        <v>6228</v>
      </c>
      <c r="E1667" s="193" t="s">
        <v>8955</v>
      </c>
      <c r="F1667" s="193" t="s">
        <v>59</v>
      </c>
      <c r="G1667" s="195" t="s">
        <v>823</v>
      </c>
      <c r="H1667" s="166" t="s">
        <v>13436</v>
      </c>
      <c r="I1667" s="193" t="s">
        <v>12821</v>
      </c>
      <c r="J1667" s="193" t="s">
        <v>164</v>
      </c>
      <c r="K1667" s="170"/>
      <c r="L1667" s="193"/>
    </row>
    <row r="1668" spans="1:12" ht="15.75">
      <c r="A1668" s="67">
        <f t="shared" si="26"/>
        <v>1666</v>
      </c>
      <c r="B1668" s="164">
        <v>1666</v>
      </c>
      <c r="C1668" s="193" t="s">
        <v>2961</v>
      </c>
      <c r="D1668" s="195" t="s">
        <v>6229</v>
      </c>
      <c r="E1668" s="193" t="s">
        <v>8956</v>
      </c>
      <c r="F1668" s="193" t="s">
        <v>59</v>
      </c>
      <c r="G1668" s="195" t="s">
        <v>11166</v>
      </c>
      <c r="H1668" s="166" t="s">
        <v>13436</v>
      </c>
      <c r="I1668" s="193" t="s">
        <v>12825</v>
      </c>
      <c r="J1668" s="193" t="s">
        <v>146</v>
      </c>
      <c r="K1668" s="170"/>
      <c r="L1668" s="193"/>
    </row>
    <row r="1669" spans="1:12" ht="15.75">
      <c r="A1669" s="67">
        <f t="shared" si="26"/>
        <v>1667</v>
      </c>
      <c r="B1669" s="164">
        <v>1667</v>
      </c>
      <c r="C1669" s="193" t="s">
        <v>2962</v>
      </c>
      <c r="D1669" s="195" t="s">
        <v>6230</v>
      </c>
      <c r="E1669" s="193" t="s">
        <v>8957</v>
      </c>
      <c r="F1669" s="193" t="s">
        <v>59</v>
      </c>
      <c r="G1669" s="195" t="s">
        <v>906</v>
      </c>
      <c r="H1669" s="166" t="s">
        <v>13436</v>
      </c>
      <c r="I1669" s="193" t="s">
        <v>12812</v>
      </c>
      <c r="J1669" s="219" t="s">
        <v>146</v>
      </c>
      <c r="K1669" s="170"/>
      <c r="L1669" s="193"/>
    </row>
    <row r="1670" spans="1:12" ht="15.75">
      <c r="A1670" s="67">
        <f t="shared" si="26"/>
        <v>1668</v>
      </c>
      <c r="B1670" s="164">
        <v>1668</v>
      </c>
      <c r="C1670" s="193" t="s">
        <v>2963</v>
      </c>
      <c r="D1670" s="195" t="s">
        <v>6231</v>
      </c>
      <c r="E1670" s="193" t="s">
        <v>8958</v>
      </c>
      <c r="F1670" s="193" t="s">
        <v>59</v>
      </c>
      <c r="G1670" s="195" t="s">
        <v>11167</v>
      </c>
      <c r="H1670" s="166" t="s">
        <v>13436</v>
      </c>
      <c r="I1670" s="193" t="s">
        <v>12812</v>
      </c>
      <c r="J1670" s="219" t="s">
        <v>146</v>
      </c>
      <c r="K1670" s="170"/>
      <c r="L1670" s="193"/>
    </row>
    <row r="1671" spans="1:12" ht="15.75">
      <c r="A1671" s="67">
        <f t="shared" si="26"/>
        <v>1669</v>
      </c>
      <c r="B1671" s="164">
        <v>1669</v>
      </c>
      <c r="C1671" s="193" t="s">
        <v>2964</v>
      </c>
      <c r="D1671" s="195" t="s">
        <v>6232</v>
      </c>
      <c r="E1671" s="193" t="s">
        <v>306</v>
      </c>
      <c r="F1671" s="193" t="s">
        <v>114</v>
      </c>
      <c r="G1671" s="195" t="s">
        <v>11168</v>
      </c>
      <c r="H1671" s="166" t="s">
        <v>13436</v>
      </c>
      <c r="I1671" s="193" t="s">
        <v>12812</v>
      </c>
      <c r="J1671" s="193" t="s">
        <v>146</v>
      </c>
      <c r="K1671" s="170"/>
      <c r="L1671" s="193" t="s">
        <v>146</v>
      </c>
    </row>
    <row r="1672" spans="1:12" ht="15.75">
      <c r="A1672" s="67">
        <f t="shared" si="26"/>
        <v>1670</v>
      </c>
      <c r="B1672" s="164">
        <v>1670</v>
      </c>
      <c r="C1672" s="193" t="s">
        <v>2965</v>
      </c>
      <c r="D1672" s="195" t="s">
        <v>6233</v>
      </c>
      <c r="E1672" s="193" t="s">
        <v>8783</v>
      </c>
      <c r="F1672" s="193" t="s">
        <v>114</v>
      </c>
      <c r="G1672" s="195" t="s">
        <v>11169</v>
      </c>
      <c r="H1672" s="166" t="s">
        <v>13436</v>
      </c>
      <c r="I1672" s="193" t="s">
        <v>12821</v>
      </c>
      <c r="J1672" s="219" t="s">
        <v>146</v>
      </c>
      <c r="K1672" s="170"/>
      <c r="L1672" s="219" t="s">
        <v>146</v>
      </c>
    </row>
    <row r="1673" spans="1:12" ht="30">
      <c r="A1673" s="67">
        <f t="shared" si="26"/>
        <v>1671</v>
      </c>
      <c r="B1673" s="164">
        <v>1671</v>
      </c>
      <c r="C1673" s="193" t="s">
        <v>2966</v>
      </c>
      <c r="D1673" s="195" t="s">
        <v>6234</v>
      </c>
      <c r="E1673" s="193" t="s">
        <v>402</v>
      </c>
      <c r="F1673" s="193" t="s">
        <v>114</v>
      </c>
      <c r="G1673" s="195" t="s">
        <v>10857</v>
      </c>
      <c r="H1673" s="166" t="s">
        <v>13436</v>
      </c>
      <c r="I1673" s="193" t="s">
        <v>12814</v>
      </c>
      <c r="J1673" s="193" t="s">
        <v>12514</v>
      </c>
      <c r="K1673" s="170"/>
      <c r="L1673" s="193" t="s">
        <v>146</v>
      </c>
    </row>
    <row r="1674" spans="1:12" ht="15.75">
      <c r="A1674" s="67">
        <f t="shared" si="26"/>
        <v>1672</v>
      </c>
      <c r="B1674" s="164">
        <v>1672</v>
      </c>
      <c r="C1674" s="193" t="s">
        <v>2967</v>
      </c>
      <c r="D1674" s="195" t="s">
        <v>6235</v>
      </c>
      <c r="E1674" s="193" t="s">
        <v>8224</v>
      </c>
      <c r="F1674" s="193" t="s">
        <v>114</v>
      </c>
      <c r="G1674" s="195" t="s">
        <v>11170</v>
      </c>
      <c r="H1674" s="166" t="s">
        <v>13436</v>
      </c>
      <c r="I1674" s="193" t="s">
        <v>12812</v>
      </c>
      <c r="J1674" s="193" t="s">
        <v>146</v>
      </c>
      <c r="K1674" s="170"/>
      <c r="L1674" s="193" t="s">
        <v>146</v>
      </c>
    </row>
    <row r="1675" spans="1:12" ht="15.75">
      <c r="A1675" s="67">
        <f t="shared" si="26"/>
        <v>1673</v>
      </c>
      <c r="B1675" s="164">
        <v>1673</v>
      </c>
      <c r="C1675" s="193" t="s">
        <v>2968</v>
      </c>
      <c r="D1675" s="195" t="s">
        <v>6236</v>
      </c>
      <c r="E1675" s="193" t="s">
        <v>8959</v>
      </c>
      <c r="F1675" s="193" t="s">
        <v>114</v>
      </c>
      <c r="G1675" s="195" t="s">
        <v>175</v>
      </c>
      <c r="H1675" s="166" t="s">
        <v>13436</v>
      </c>
      <c r="I1675" s="193" t="s">
        <v>12827</v>
      </c>
      <c r="J1675" s="219" t="s">
        <v>146</v>
      </c>
      <c r="K1675" s="170"/>
      <c r="L1675" s="193" t="s">
        <v>146</v>
      </c>
    </row>
    <row r="1676" spans="1:12" ht="15.75">
      <c r="A1676" s="67">
        <f t="shared" si="26"/>
        <v>1674</v>
      </c>
      <c r="B1676" s="164">
        <v>1674</v>
      </c>
      <c r="C1676" s="193" t="s">
        <v>2969</v>
      </c>
      <c r="D1676" s="197" t="s">
        <v>6237</v>
      </c>
      <c r="E1676" s="193" t="s">
        <v>8960</v>
      </c>
      <c r="F1676" s="193" t="s">
        <v>114</v>
      </c>
      <c r="G1676" s="195" t="s">
        <v>753</v>
      </c>
      <c r="H1676" s="166" t="s">
        <v>13436</v>
      </c>
      <c r="I1676" s="193" t="s">
        <v>12816</v>
      </c>
      <c r="J1676" s="193" t="s">
        <v>146</v>
      </c>
      <c r="K1676" s="170"/>
      <c r="L1676" s="193" t="s">
        <v>146</v>
      </c>
    </row>
    <row r="1677" spans="1:12" ht="15.75">
      <c r="A1677" s="67">
        <f t="shared" si="26"/>
        <v>1675</v>
      </c>
      <c r="B1677" s="164">
        <v>1675</v>
      </c>
      <c r="C1677" s="193" t="s">
        <v>2970</v>
      </c>
      <c r="D1677" s="197" t="s">
        <v>6238</v>
      </c>
      <c r="E1677" s="193" t="s">
        <v>504</v>
      </c>
      <c r="F1677" s="193" t="s">
        <v>114</v>
      </c>
      <c r="G1677" s="195" t="s">
        <v>11171</v>
      </c>
      <c r="H1677" s="166" t="s">
        <v>13436</v>
      </c>
      <c r="I1677" s="193" t="s">
        <v>12816</v>
      </c>
      <c r="J1677" s="193" t="s">
        <v>12515</v>
      </c>
      <c r="K1677" s="170"/>
      <c r="L1677" s="193" t="s">
        <v>146</v>
      </c>
    </row>
    <row r="1678" spans="1:12" ht="15.75">
      <c r="A1678" s="67">
        <f t="shared" si="26"/>
        <v>1676</v>
      </c>
      <c r="B1678" s="164">
        <v>1676</v>
      </c>
      <c r="C1678" s="193" t="s">
        <v>2971</v>
      </c>
      <c r="D1678" s="195" t="s">
        <v>6239</v>
      </c>
      <c r="E1678" s="193" t="s">
        <v>7973</v>
      </c>
      <c r="F1678" s="193" t="s">
        <v>114</v>
      </c>
      <c r="G1678" s="195" t="s">
        <v>847</v>
      </c>
      <c r="H1678" s="166" t="s">
        <v>13436</v>
      </c>
      <c r="I1678" s="193" t="s">
        <v>12827</v>
      </c>
      <c r="J1678" s="193" t="s">
        <v>147</v>
      </c>
      <c r="K1678" s="170"/>
      <c r="L1678" s="193" t="s">
        <v>146</v>
      </c>
    </row>
    <row r="1679" spans="1:12" ht="15.75">
      <c r="A1679" s="67">
        <f t="shared" si="26"/>
        <v>1677</v>
      </c>
      <c r="B1679" s="164">
        <v>1677</v>
      </c>
      <c r="C1679" s="193" t="s">
        <v>2972</v>
      </c>
      <c r="D1679" s="195" t="s">
        <v>6240</v>
      </c>
      <c r="E1679" s="193" t="s">
        <v>8961</v>
      </c>
      <c r="F1679" s="193" t="s">
        <v>59</v>
      </c>
      <c r="G1679" s="195" t="s">
        <v>11172</v>
      </c>
      <c r="H1679" s="166" t="s">
        <v>13436</v>
      </c>
      <c r="I1679" s="193" t="s">
        <v>12835</v>
      </c>
      <c r="J1679" s="219" t="s">
        <v>146</v>
      </c>
      <c r="K1679" s="170"/>
      <c r="L1679" s="193"/>
    </row>
    <row r="1680" spans="1:12" ht="60">
      <c r="A1680" s="67">
        <f t="shared" si="26"/>
        <v>1678</v>
      </c>
      <c r="B1680" s="164">
        <v>1678</v>
      </c>
      <c r="C1680" s="193" t="s">
        <v>2973</v>
      </c>
      <c r="D1680" s="195" t="s">
        <v>6241</v>
      </c>
      <c r="E1680" s="193" t="s">
        <v>8962</v>
      </c>
      <c r="F1680" s="193" t="s">
        <v>114</v>
      </c>
      <c r="G1680" s="195" t="s">
        <v>11173</v>
      </c>
      <c r="H1680" s="166" t="s">
        <v>13436</v>
      </c>
      <c r="I1680" s="193" t="s">
        <v>12836</v>
      </c>
      <c r="J1680" s="193" t="s">
        <v>146</v>
      </c>
      <c r="K1680" s="170"/>
      <c r="L1680" s="193" t="s">
        <v>13268</v>
      </c>
    </row>
    <row r="1681" spans="1:12" ht="60">
      <c r="A1681" s="67">
        <f t="shared" si="26"/>
        <v>1679</v>
      </c>
      <c r="B1681" s="164">
        <v>1679</v>
      </c>
      <c r="C1681" s="193" t="s">
        <v>2974</v>
      </c>
      <c r="D1681" s="195" t="s">
        <v>6242</v>
      </c>
      <c r="E1681" s="193" t="s">
        <v>8963</v>
      </c>
      <c r="F1681" s="193" t="s">
        <v>114</v>
      </c>
      <c r="G1681" s="195" t="s">
        <v>11174</v>
      </c>
      <c r="H1681" s="166" t="s">
        <v>13436</v>
      </c>
      <c r="I1681" s="193" t="s">
        <v>12835</v>
      </c>
      <c r="J1681" s="193" t="s">
        <v>146</v>
      </c>
      <c r="K1681" s="170"/>
      <c r="L1681" s="193" t="s">
        <v>13269</v>
      </c>
    </row>
    <row r="1682" spans="1:12" ht="15.75">
      <c r="A1682" s="67">
        <f t="shared" si="26"/>
        <v>1680</v>
      </c>
      <c r="B1682" s="164">
        <v>1680</v>
      </c>
      <c r="C1682" s="193" t="s">
        <v>2975</v>
      </c>
      <c r="D1682" s="195" t="s">
        <v>6243</v>
      </c>
      <c r="E1682" s="193" t="s">
        <v>7816</v>
      </c>
      <c r="F1682" s="193" t="s">
        <v>114</v>
      </c>
      <c r="G1682" s="195" t="s">
        <v>11175</v>
      </c>
      <c r="H1682" s="166" t="s">
        <v>13436</v>
      </c>
      <c r="I1682" s="193" t="s">
        <v>12814</v>
      </c>
      <c r="J1682" s="193" t="s">
        <v>146</v>
      </c>
      <c r="K1682" s="170"/>
      <c r="L1682" s="193" t="s">
        <v>146</v>
      </c>
    </row>
    <row r="1683" spans="1:12" ht="15.75">
      <c r="A1683" s="67">
        <f t="shared" si="26"/>
        <v>1681</v>
      </c>
      <c r="B1683" s="164">
        <v>1681</v>
      </c>
      <c r="C1683" s="193" t="s">
        <v>2976</v>
      </c>
      <c r="D1683" s="195" t="s">
        <v>6244</v>
      </c>
      <c r="E1683" s="193" t="s">
        <v>8964</v>
      </c>
      <c r="F1683" s="193" t="s">
        <v>114</v>
      </c>
      <c r="G1683" s="195" t="s">
        <v>11148</v>
      </c>
      <c r="H1683" s="166" t="s">
        <v>13436</v>
      </c>
      <c r="I1683" s="193" t="s">
        <v>12835</v>
      </c>
      <c r="J1683" s="193" t="s">
        <v>146</v>
      </c>
      <c r="K1683" s="170"/>
      <c r="L1683" s="193" t="s">
        <v>146</v>
      </c>
    </row>
    <row r="1684" spans="1:12" ht="15.75">
      <c r="A1684" s="67">
        <f t="shared" si="26"/>
        <v>1682</v>
      </c>
      <c r="B1684" s="164">
        <v>1682</v>
      </c>
      <c r="C1684" s="193" t="s">
        <v>2977</v>
      </c>
      <c r="D1684" s="195" t="s">
        <v>6245</v>
      </c>
      <c r="E1684" s="193" t="s">
        <v>8965</v>
      </c>
      <c r="F1684" s="193" t="s">
        <v>114</v>
      </c>
      <c r="G1684" s="195" t="s">
        <v>11176</v>
      </c>
      <c r="H1684" s="166" t="s">
        <v>13436</v>
      </c>
      <c r="I1684" s="193" t="s">
        <v>12814</v>
      </c>
      <c r="J1684" s="193" t="s">
        <v>146</v>
      </c>
      <c r="K1684" s="170"/>
      <c r="L1684" s="193" t="s">
        <v>146</v>
      </c>
    </row>
    <row r="1685" spans="1:12" ht="15.75">
      <c r="A1685" s="67">
        <f t="shared" si="26"/>
        <v>1683</v>
      </c>
      <c r="B1685" s="164">
        <v>1683</v>
      </c>
      <c r="C1685" s="193" t="s">
        <v>2978</v>
      </c>
      <c r="D1685" s="195" t="s">
        <v>6246</v>
      </c>
      <c r="E1685" s="193" t="s">
        <v>8966</v>
      </c>
      <c r="F1685" s="193" t="s">
        <v>114</v>
      </c>
      <c r="G1685" s="195" t="s">
        <v>11177</v>
      </c>
      <c r="H1685" s="166" t="s">
        <v>13436</v>
      </c>
      <c r="I1685" s="193" t="s">
        <v>12835</v>
      </c>
      <c r="J1685" s="193" t="s">
        <v>146</v>
      </c>
      <c r="K1685" s="170"/>
      <c r="L1685" s="193" t="s">
        <v>146</v>
      </c>
    </row>
    <row r="1686" spans="1:12" ht="15.75">
      <c r="A1686" s="67">
        <f t="shared" si="26"/>
        <v>1684</v>
      </c>
      <c r="B1686" s="164">
        <v>1684</v>
      </c>
      <c r="C1686" s="193" t="s">
        <v>2979</v>
      </c>
      <c r="D1686" s="195" t="s">
        <v>6247</v>
      </c>
      <c r="E1686" s="193" t="s">
        <v>8967</v>
      </c>
      <c r="F1686" s="193" t="s">
        <v>114</v>
      </c>
      <c r="G1686" s="195" t="s">
        <v>1186</v>
      </c>
      <c r="H1686" s="166" t="s">
        <v>13436</v>
      </c>
      <c r="I1686" s="193" t="s">
        <v>12814</v>
      </c>
      <c r="J1686" s="193" t="s">
        <v>146</v>
      </c>
      <c r="K1686" s="170"/>
      <c r="L1686" s="193" t="s">
        <v>146</v>
      </c>
    </row>
    <row r="1687" spans="1:12" ht="15.75">
      <c r="A1687" s="67">
        <f t="shared" si="26"/>
        <v>1685</v>
      </c>
      <c r="B1687" s="164">
        <v>1685</v>
      </c>
      <c r="C1687" s="193" t="s">
        <v>2980</v>
      </c>
      <c r="D1687" s="195" t="s">
        <v>6248</v>
      </c>
      <c r="E1687" s="193" t="s">
        <v>309</v>
      </c>
      <c r="F1687" s="193" t="s">
        <v>114</v>
      </c>
      <c r="G1687" s="195" t="s">
        <v>11178</v>
      </c>
      <c r="H1687" s="166" t="s">
        <v>13436</v>
      </c>
      <c r="I1687" s="193" t="s">
        <v>12814</v>
      </c>
      <c r="J1687" s="193" t="s">
        <v>146</v>
      </c>
      <c r="K1687" s="170"/>
      <c r="L1687" s="193" t="s">
        <v>146</v>
      </c>
    </row>
    <row r="1688" spans="1:12" ht="60">
      <c r="A1688" s="67">
        <f t="shared" si="26"/>
        <v>1686</v>
      </c>
      <c r="B1688" s="164">
        <v>1686</v>
      </c>
      <c r="C1688" s="193" t="s">
        <v>2981</v>
      </c>
      <c r="D1688" s="195" t="s">
        <v>6249</v>
      </c>
      <c r="E1688" s="193" t="s">
        <v>8968</v>
      </c>
      <c r="F1688" s="193" t="s">
        <v>114</v>
      </c>
      <c r="G1688" s="195" t="s">
        <v>11179</v>
      </c>
      <c r="H1688" s="166" t="s">
        <v>13436</v>
      </c>
      <c r="I1688" s="193" t="s">
        <v>12835</v>
      </c>
      <c r="J1688" s="193" t="s">
        <v>146</v>
      </c>
      <c r="K1688" s="170"/>
      <c r="L1688" s="193" t="s">
        <v>13270</v>
      </c>
    </row>
    <row r="1689" spans="1:12" ht="15.75">
      <c r="A1689" s="67">
        <f t="shared" si="26"/>
        <v>1687</v>
      </c>
      <c r="B1689" s="164">
        <v>1687</v>
      </c>
      <c r="C1689" s="193" t="s">
        <v>2982</v>
      </c>
      <c r="D1689" s="195" t="s">
        <v>6250</v>
      </c>
      <c r="E1689" s="193" t="s">
        <v>658</v>
      </c>
      <c r="F1689" s="193" t="s">
        <v>59</v>
      </c>
      <c r="G1689" s="195" t="s">
        <v>11180</v>
      </c>
      <c r="H1689" s="166" t="s">
        <v>13436</v>
      </c>
      <c r="I1689" s="193" t="s">
        <v>12827</v>
      </c>
      <c r="J1689" s="219" t="s">
        <v>146</v>
      </c>
      <c r="K1689" s="170"/>
      <c r="L1689" s="193"/>
    </row>
    <row r="1690" spans="1:12" ht="15.75">
      <c r="A1690" s="67">
        <f t="shared" si="26"/>
        <v>1688</v>
      </c>
      <c r="B1690" s="164">
        <v>1688</v>
      </c>
      <c r="C1690" s="193" t="s">
        <v>2983</v>
      </c>
      <c r="D1690" s="195" t="s">
        <v>6251</v>
      </c>
      <c r="E1690" s="193" t="s">
        <v>8969</v>
      </c>
      <c r="F1690" s="193" t="s">
        <v>59</v>
      </c>
      <c r="G1690" s="195" t="s">
        <v>11181</v>
      </c>
      <c r="H1690" s="166" t="s">
        <v>13436</v>
      </c>
      <c r="I1690" s="193" t="s">
        <v>12821</v>
      </c>
      <c r="J1690" s="193" t="s">
        <v>146</v>
      </c>
      <c r="K1690" s="170"/>
      <c r="L1690" s="193"/>
    </row>
    <row r="1691" spans="1:12" ht="15.75">
      <c r="A1691" s="67">
        <f t="shared" si="26"/>
        <v>1689</v>
      </c>
      <c r="B1691" s="164">
        <v>1689</v>
      </c>
      <c r="C1691" s="193" t="s">
        <v>2984</v>
      </c>
      <c r="D1691" s="195" t="s">
        <v>6252</v>
      </c>
      <c r="E1691" s="193" t="s">
        <v>509</v>
      </c>
      <c r="F1691" s="193" t="s">
        <v>59</v>
      </c>
      <c r="G1691" s="195" t="s">
        <v>737</v>
      </c>
      <c r="H1691" s="166" t="s">
        <v>13436</v>
      </c>
      <c r="I1691" s="193" t="s">
        <v>12821</v>
      </c>
      <c r="J1691" s="193" t="s">
        <v>146</v>
      </c>
      <c r="K1691" s="170"/>
      <c r="L1691" s="193"/>
    </row>
    <row r="1692" spans="1:12" ht="15.75">
      <c r="A1692" s="67">
        <f t="shared" si="26"/>
        <v>1690</v>
      </c>
      <c r="B1692" s="164">
        <v>1690</v>
      </c>
      <c r="C1692" s="193" t="s">
        <v>2985</v>
      </c>
      <c r="D1692" s="195" t="s">
        <v>6253</v>
      </c>
      <c r="E1692" s="193" t="s">
        <v>8970</v>
      </c>
      <c r="F1692" s="193" t="s">
        <v>59</v>
      </c>
      <c r="G1692" s="195" t="s">
        <v>11182</v>
      </c>
      <c r="H1692" s="166" t="s">
        <v>13436</v>
      </c>
      <c r="I1692" s="193" t="s">
        <v>12821</v>
      </c>
      <c r="J1692" s="193" t="s">
        <v>147</v>
      </c>
      <c r="K1692" s="170"/>
      <c r="L1692" s="193"/>
    </row>
    <row r="1693" spans="1:12" ht="15.75">
      <c r="A1693" s="67">
        <f t="shared" si="26"/>
        <v>1691</v>
      </c>
      <c r="B1693" s="164">
        <v>1691</v>
      </c>
      <c r="C1693" s="193" t="s">
        <v>2986</v>
      </c>
      <c r="D1693" s="195" t="s">
        <v>6254</v>
      </c>
      <c r="E1693" s="193" t="s">
        <v>8971</v>
      </c>
      <c r="F1693" s="193" t="s">
        <v>114</v>
      </c>
      <c r="G1693" s="195" t="s">
        <v>11183</v>
      </c>
      <c r="H1693" s="166" t="s">
        <v>13436</v>
      </c>
      <c r="I1693" s="193" t="s">
        <v>12836</v>
      </c>
      <c r="J1693" s="193" t="s">
        <v>164</v>
      </c>
      <c r="K1693" s="170"/>
      <c r="L1693" s="193" t="s">
        <v>146</v>
      </c>
    </row>
    <row r="1694" spans="1:12" ht="15.75">
      <c r="A1694" s="67">
        <f t="shared" si="26"/>
        <v>1692</v>
      </c>
      <c r="B1694" s="164">
        <v>1692</v>
      </c>
      <c r="C1694" s="193" t="s">
        <v>2987</v>
      </c>
      <c r="D1694" s="195" t="s">
        <v>6255</v>
      </c>
      <c r="E1694" s="193" t="s">
        <v>8972</v>
      </c>
      <c r="F1694" s="193" t="s">
        <v>59</v>
      </c>
      <c r="G1694" s="195" t="s">
        <v>11184</v>
      </c>
      <c r="H1694" s="166" t="s">
        <v>13436</v>
      </c>
      <c r="I1694" s="193" t="s">
        <v>12821</v>
      </c>
      <c r="J1694" s="193" t="s">
        <v>12516</v>
      </c>
      <c r="K1694" s="170"/>
      <c r="L1694" s="193"/>
    </row>
    <row r="1695" spans="1:12" ht="15.75">
      <c r="A1695" s="67">
        <f t="shared" si="26"/>
        <v>1693</v>
      </c>
      <c r="B1695" s="164">
        <v>1693</v>
      </c>
      <c r="C1695" s="193" t="s">
        <v>2988</v>
      </c>
      <c r="D1695" s="195" t="s">
        <v>6256</v>
      </c>
      <c r="E1695" s="193" t="s">
        <v>8973</v>
      </c>
      <c r="F1695" s="193" t="s">
        <v>59</v>
      </c>
      <c r="G1695" s="195" t="s">
        <v>11185</v>
      </c>
      <c r="H1695" s="166" t="s">
        <v>13436</v>
      </c>
      <c r="I1695" s="193" t="s">
        <v>12821</v>
      </c>
      <c r="J1695" s="219" t="s">
        <v>146</v>
      </c>
      <c r="K1695" s="170"/>
      <c r="L1695" s="193"/>
    </row>
    <row r="1696" spans="1:12" ht="30">
      <c r="A1696" s="67">
        <f t="shared" si="26"/>
        <v>1694</v>
      </c>
      <c r="B1696" s="164">
        <v>1694</v>
      </c>
      <c r="C1696" s="193" t="s">
        <v>2989</v>
      </c>
      <c r="D1696" s="195" t="s">
        <v>6257</v>
      </c>
      <c r="E1696" s="193" t="s">
        <v>8290</v>
      </c>
      <c r="F1696" s="193" t="s">
        <v>114</v>
      </c>
      <c r="G1696" s="195" t="s">
        <v>11186</v>
      </c>
      <c r="H1696" s="166" t="s">
        <v>13436</v>
      </c>
      <c r="I1696" s="193" t="s">
        <v>12827</v>
      </c>
      <c r="J1696" s="193" t="s">
        <v>12177</v>
      </c>
      <c r="K1696" s="170"/>
      <c r="L1696" s="193" t="s">
        <v>146</v>
      </c>
    </row>
    <row r="1697" spans="1:12" ht="15.75">
      <c r="A1697" s="67">
        <f t="shared" si="26"/>
        <v>1695</v>
      </c>
      <c r="B1697" s="164">
        <v>1695</v>
      </c>
      <c r="C1697" s="193" t="s">
        <v>2990</v>
      </c>
      <c r="D1697" s="195" t="s">
        <v>6258</v>
      </c>
      <c r="E1697" s="193" t="s">
        <v>600</v>
      </c>
      <c r="F1697" s="193" t="s">
        <v>114</v>
      </c>
      <c r="G1697" s="195" t="s">
        <v>10799</v>
      </c>
      <c r="H1697" s="166" t="s">
        <v>13436</v>
      </c>
      <c r="I1697" s="193" t="s">
        <v>12827</v>
      </c>
      <c r="J1697" s="193" t="s">
        <v>146</v>
      </c>
      <c r="K1697" s="170"/>
      <c r="L1697" s="193" t="s">
        <v>146</v>
      </c>
    </row>
    <row r="1698" spans="1:12" ht="15.75">
      <c r="A1698" s="67">
        <f t="shared" si="26"/>
        <v>1696</v>
      </c>
      <c r="B1698" s="164">
        <v>1696</v>
      </c>
      <c r="C1698" s="193" t="s">
        <v>2991</v>
      </c>
      <c r="D1698" s="195" t="s">
        <v>6259</v>
      </c>
      <c r="E1698" s="193" t="s">
        <v>8974</v>
      </c>
      <c r="F1698" s="193" t="s">
        <v>114</v>
      </c>
      <c r="G1698" s="195" t="s">
        <v>11187</v>
      </c>
      <c r="H1698" s="166" t="s">
        <v>13436</v>
      </c>
      <c r="I1698" s="193" t="s">
        <v>12827</v>
      </c>
      <c r="J1698" s="193" t="s">
        <v>1252</v>
      </c>
      <c r="K1698" s="170"/>
      <c r="L1698" s="193" t="s">
        <v>146</v>
      </c>
    </row>
    <row r="1699" spans="1:12" ht="30">
      <c r="A1699" s="67">
        <f t="shared" si="26"/>
        <v>1697</v>
      </c>
      <c r="B1699" s="164">
        <v>1697</v>
      </c>
      <c r="C1699" s="193" t="s">
        <v>2992</v>
      </c>
      <c r="D1699" s="195" t="s">
        <v>6260</v>
      </c>
      <c r="E1699" s="193" t="s">
        <v>578</v>
      </c>
      <c r="F1699" s="193" t="s">
        <v>114</v>
      </c>
      <c r="G1699" s="195" t="s">
        <v>11188</v>
      </c>
      <c r="H1699" s="166" t="s">
        <v>13436</v>
      </c>
      <c r="I1699" s="193" t="s">
        <v>12827</v>
      </c>
      <c r="J1699" s="193" t="s">
        <v>146</v>
      </c>
      <c r="K1699" s="170"/>
      <c r="L1699" s="193" t="s">
        <v>13271</v>
      </c>
    </row>
    <row r="1700" spans="1:12" ht="30">
      <c r="A1700" s="67">
        <f t="shared" si="26"/>
        <v>1698</v>
      </c>
      <c r="B1700" s="164">
        <v>1698</v>
      </c>
      <c r="C1700" s="193" t="s">
        <v>2993</v>
      </c>
      <c r="D1700" s="195" t="s">
        <v>6261</v>
      </c>
      <c r="E1700" s="193" t="s">
        <v>8975</v>
      </c>
      <c r="F1700" s="193" t="s">
        <v>114</v>
      </c>
      <c r="G1700" s="195" t="s">
        <v>11189</v>
      </c>
      <c r="H1700" s="166" t="s">
        <v>13436</v>
      </c>
      <c r="I1700" s="193" t="s">
        <v>12827</v>
      </c>
      <c r="J1700" s="193" t="s">
        <v>12517</v>
      </c>
      <c r="K1700" s="170"/>
      <c r="L1700" s="193" t="s">
        <v>146</v>
      </c>
    </row>
    <row r="1701" spans="1:12" ht="15.75">
      <c r="A1701" s="67">
        <f t="shared" si="26"/>
        <v>1699</v>
      </c>
      <c r="B1701" s="164">
        <v>1699</v>
      </c>
      <c r="C1701" s="193" t="s">
        <v>2994</v>
      </c>
      <c r="D1701" s="195" t="s">
        <v>6262</v>
      </c>
      <c r="E1701" s="193" t="s">
        <v>8976</v>
      </c>
      <c r="F1701" s="193" t="s">
        <v>114</v>
      </c>
      <c r="G1701" s="195" t="s">
        <v>11190</v>
      </c>
      <c r="H1701" s="166" t="s">
        <v>13436</v>
      </c>
      <c r="I1701" s="193" t="s">
        <v>12827</v>
      </c>
      <c r="J1701" s="193" t="s">
        <v>146</v>
      </c>
      <c r="K1701" s="170"/>
      <c r="L1701" s="193" t="s">
        <v>146</v>
      </c>
    </row>
    <row r="1702" spans="1:12" ht="30">
      <c r="A1702" s="67">
        <f t="shared" si="26"/>
        <v>1700</v>
      </c>
      <c r="B1702" s="164">
        <v>1700</v>
      </c>
      <c r="C1702" s="193" t="s">
        <v>2995</v>
      </c>
      <c r="D1702" s="195" t="s">
        <v>6263</v>
      </c>
      <c r="E1702" s="193" t="s">
        <v>8977</v>
      </c>
      <c r="F1702" s="193" t="s">
        <v>114</v>
      </c>
      <c r="G1702" s="195" t="s">
        <v>1013</v>
      </c>
      <c r="H1702" s="166" t="s">
        <v>13436</v>
      </c>
      <c r="I1702" s="193" t="s">
        <v>12827</v>
      </c>
      <c r="J1702" s="193" t="s">
        <v>146</v>
      </c>
      <c r="K1702" s="170"/>
      <c r="L1702" s="193" t="s">
        <v>13272</v>
      </c>
    </row>
    <row r="1703" spans="1:12" ht="15.75">
      <c r="A1703" s="67">
        <f t="shared" si="26"/>
        <v>1701</v>
      </c>
      <c r="B1703" s="164">
        <v>1701</v>
      </c>
      <c r="C1703" s="193" t="s">
        <v>2996</v>
      </c>
      <c r="D1703" s="195" t="s">
        <v>6264</v>
      </c>
      <c r="E1703" s="193" t="s">
        <v>8978</v>
      </c>
      <c r="F1703" s="193" t="s">
        <v>59</v>
      </c>
      <c r="G1703" s="195" t="s">
        <v>964</v>
      </c>
      <c r="H1703" s="166" t="s">
        <v>13436</v>
      </c>
      <c r="I1703" s="193" t="s">
        <v>12821</v>
      </c>
      <c r="J1703" s="193" t="s">
        <v>147</v>
      </c>
      <c r="K1703" s="170"/>
      <c r="L1703" s="193"/>
    </row>
    <row r="1704" spans="1:12" ht="15.75">
      <c r="A1704" s="67">
        <f t="shared" si="26"/>
        <v>1702</v>
      </c>
      <c r="B1704" s="164">
        <v>1702</v>
      </c>
      <c r="C1704" s="193" t="s">
        <v>2997</v>
      </c>
      <c r="D1704" s="195" t="s">
        <v>6265</v>
      </c>
      <c r="E1704" s="193" t="s">
        <v>8979</v>
      </c>
      <c r="F1704" s="193" t="s">
        <v>59</v>
      </c>
      <c r="G1704" s="195" t="s">
        <v>11183</v>
      </c>
      <c r="H1704" s="166" t="s">
        <v>13436</v>
      </c>
      <c r="I1704" s="193" t="s">
        <v>12821</v>
      </c>
      <c r="J1704" s="193" t="s">
        <v>146</v>
      </c>
      <c r="K1704" s="170"/>
      <c r="L1704" s="193"/>
    </row>
    <row r="1705" spans="1:12" ht="15.75">
      <c r="A1705" s="67">
        <f t="shared" si="26"/>
        <v>1703</v>
      </c>
      <c r="B1705" s="164">
        <v>1703</v>
      </c>
      <c r="C1705" s="193" t="s">
        <v>2998</v>
      </c>
      <c r="D1705" s="195" t="s">
        <v>6266</v>
      </c>
      <c r="E1705" s="193" t="s">
        <v>8980</v>
      </c>
      <c r="F1705" s="193" t="s">
        <v>59</v>
      </c>
      <c r="G1705" s="195" t="s">
        <v>11191</v>
      </c>
      <c r="H1705" s="166" t="s">
        <v>13436</v>
      </c>
      <c r="I1705" s="193" t="s">
        <v>12821</v>
      </c>
      <c r="J1705" s="193" t="s">
        <v>146</v>
      </c>
      <c r="K1705" s="170"/>
      <c r="L1705" s="193"/>
    </row>
    <row r="1706" spans="1:12" ht="15.75">
      <c r="A1706" s="67">
        <f t="shared" si="26"/>
        <v>1704</v>
      </c>
      <c r="B1706" s="164">
        <v>1704</v>
      </c>
      <c r="C1706" s="193" t="s">
        <v>2999</v>
      </c>
      <c r="D1706" s="195" t="s">
        <v>6267</v>
      </c>
      <c r="E1706" s="193" t="s">
        <v>8981</v>
      </c>
      <c r="F1706" s="193" t="s">
        <v>114</v>
      </c>
      <c r="G1706" s="195" t="s">
        <v>11192</v>
      </c>
      <c r="H1706" s="166" t="s">
        <v>13436</v>
      </c>
      <c r="I1706" s="193" t="s">
        <v>12821</v>
      </c>
      <c r="J1706" s="193" t="s">
        <v>146</v>
      </c>
      <c r="K1706" s="170"/>
      <c r="L1706" s="193" t="s">
        <v>146</v>
      </c>
    </row>
    <row r="1707" spans="1:12" ht="30">
      <c r="A1707" s="67">
        <f t="shared" si="26"/>
        <v>1705</v>
      </c>
      <c r="B1707" s="164">
        <v>1705</v>
      </c>
      <c r="C1707" s="193" t="s">
        <v>3000</v>
      </c>
      <c r="D1707" s="195" t="s">
        <v>6268</v>
      </c>
      <c r="E1707" s="193" t="s">
        <v>361</v>
      </c>
      <c r="F1707" s="193" t="s">
        <v>114</v>
      </c>
      <c r="G1707" s="195" t="s">
        <v>11193</v>
      </c>
      <c r="H1707" s="166" t="s">
        <v>13436</v>
      </c>
      <c r="I1707" s="193" t="s">
        <v>12821</v>
      </c>
      <c r="J1707" s="193" t="s">
        <v>146</v>
      </c>
      <c r="K1707" s="170"/>
      <c r="L1707" s="193" t="s">
        <v>13273</v>
      </c>
    </row>
    <row r="1708" spans="1:12" ht="15.75">
      <c r="A1708" s="67">
        <f t="shared" si="26"/>
        <v>1706</v>
      </c>
      <c r="B1708" s="164">
        <v>1706</v>
      </c>
      <c r="C1708" s="193" t="s">
        <v>3001</v>
      </c>
      <c r="D1708" s="195" t="s">
        <v>6269</v>
      </c>
      <c r="E1708" s="193" t="s">
        <v>8982</v>
      </c>
      <c r="F1708" s="193" t="s">
        <v>59</v>
      </c>
      <c r="G1708" s="195" t="s">
        <v>11194</v>
      </c>
      <c r="H1708" s="166" t="s">
        <v>13436</v>
      </c>
      <c r="I1708" s="193" t="s">
        <v>12821</v>
      </c>
      <c r="J1708" s="193" t="s">
        <v>164</v>
      </c>
      <c r="K1708" s="170"/>
      <c r="L1708" s="193"/>
    </row>
    <row r="1709" spans="1:12" ht="30">
      <c r="A1709" s="67">
        <f t="shared" si="26"/>
        <v>1707</v>
      </c>
      <c r="B1709" s="164">
        <v>1707</v>
      </c>
      <c r="C1709" s="193" t="s">
        <v>3002</v>
      </c>
      <c r="D1709" s="199" t="s">
        <v>6270</v>
      </c>
      <c r="E1709" s="193" t="s">
        <v>8983</v>
      </c>
      <c r="F1709" s="193" t="s">
        <v>59</v>
      </c>
      <c r="G1709" s="195" t="s">
        <v>11195</v>
      </c>
      <c r="H1709" s="166" t="s">
        <v>13436</v>
      </c>
      <c r="I1709" s="193" t="s">
        <v>12828</v>
      </c>
      <c r="J1709" s="193" t="s">
        <v>12518</v>
      </c>
      <c r="K1709" s="170"/>
      <c r="L1709" s="193"/>
    </row>
    <row r="1710" spans="1:12" ht="15.75">
      <c r="A1710" s="67">
        <f t="shared" si="26"/>
        <v>1708</v>
      </c>
      <c r="B1710" s="164">
        <v>1708</v>
      </c>
      <c r="C1710" s="193" t="s">
        <v>3003</v>
      </c>
      <c r="D1710" s="195" t="s">
        <v>6271</v>
      </c>
      <c r="E1710" s="193" t="s">
        <v>410</v>
      </c>
      <c r="F1710" s="193" t="s">
        <v>114</v>
      </c>
      <c r="G1710" s="195" t="s">
        <v>11196</v>
      </c>
      <c r="H1710" s="166" t="s">
        <v>13436</v>
      </c>
      <c r="I1710" s="193" t="s">
        <v>12808</v>
      </c>
      <c r="J1710" s="193" t="s">
        <v>146</v>
      </c>
      <c r="K1710" s="170"/>
      <c r="L1710" s="193" t="s">
        <v>146</v>
      </c>
    </row>
    <row r="1711" spans="1:12" ht="15.75">
      <c r="A1711" s="67">
        <f t="shared" si="26"/>
        <v>1709</v>
      </c>
      <c r="B1711" s="164">
        <v>1709</v>
      </c>
      <c r="C1711" s="193" t="s">
        <v>3004</v>
      </c>
      <c r="D1711" s="195" t="s">
        <v>6272</v>
      </c>
      <c r="E1711" s="193" t="s">
        <v>8984</v>
      </c>
      <c r="F1711" s="193" t="s">
        <v>114</v>
      </c>
      <c r="G1711" s="195" t="s">
        <v>11197</v>
      </c>
      <c r="H1711" s="166" t="s">
        <v>13436</v>
      </c>
      <c r="I1711" s="193" t="s">
        <v>12808</v>
      </c>
      <c r="J1711" s="193" t="s">
        <v>146</v>
      </c>
      <c r="K1711" s="170"/>
      <c r="L1711" s="193" t="s">
        <v>146</v>
      </c>
    </row>
    <row r="1712" spans="1:12" ht="15.75">
      <c r="A1712" s="67">
        <f t="shared" si="26"/>
        <v>1710</v>
      </c>
      <c r="B1712" s="164">
        <v>1710</v>
      </c>
      <c r="C1712" s="193" t="s">
        <v>3005</v>
      </c>
      <c r="D1712" s="195" t="s">
        <v>6273</v>
      </c>
      <c r="E1712" s="193" t="s">
        <v>8985</v>
      </c>
      <c r="F1712" s="193" t="s">
        <v>59</v>
      </c>
      <c r="G1712" s="195" t="s">
        <v>1103</v>
      </c>
      <c r="H1712" s="166" t="s">
        <v>13436</v>
      </c>
      <c r="I1712" s="193" t="s">
        <v>12820</v>
      </c>
      <c r="J1712" s="219" t="s">
        <v>146</v>
      </c>
      <c r="K1712" s="170"/>
      <c r="L1712" s="193"/>
    </row>
    <row r="1713" spans="1:12" ht="30">
      <c r="A1713" s="67">
        <f t="shared" si="26"/>
        <v>1711</v>
      </c>
      <c r="B1713" s="164">
        <v>1711</v>
      </c>
      <c r="C1713" s="193" t="s">
        <v>3006</v>
      </c>
      <c r="D1713" s="195" t="s">
        <v>6274</v>
      </c>
      <c r="E1713" s="193" t="s">
        <v>8986</v>
      </c>
      <c r="F1713" s="193" t="s">
        <v>114</v>
      </c>
      <c r="G1713" s="195" t="s">
        <v>11198</v>
      </c>
      <c r="H1713" s="166" t="s">
        <v>13436</v>
      </c>
      <c r="I1713" s="193" t="s">
        <v>12820</v>
      </c>
      <c r="J1713" s="193" t="s">
        <v>146</v>
      </c>
      <c r="K1713" s="170"/>
      <c r="L1713" s="193" t="s">
        <v>13274</v>
      </c>
    </row>
    <row r="1714" spans="1:12" ht="15.75">
      <c r="A1714" s="67">
        <f t="shared" si="26"/>
        <v>1712</v>
      </c>
      <c r="B1714" s="164">
        <v>1712</v>
      </c>
      <c r="C1714" s="193" t="s">
        <v>3007</v>
      </c>
      <c r="D1714" s="195" t="s">
        <v>6275</v>
      </c>
      <c r="E1714" s="193" t="s">
        <v>8018</v>
      </c>
      <c r="F1714" s="193" t="s">
        <v>114</v>
      </c>
      <c r="G1714" s="195" t="s">
        <v>11199</v>
      </c>
      <c r="H1714" s="166" t="s">
        <v>13436</v>
      </c>
      <c r="I1714" s="193" t="s">
        <v>12820</v>
      </c>
      <c r="J1714" s="193" t="s">
        <v>146</v>
      </c>
      <c r="K1714" s="170"/>
      <c r="L1714" s="193" t="s">
        <v>146</v>
      </c>
    </row>
    <row r="1715" spans="1:12" ht="15.75">
      <c r="A1715" s="67">
        <f t="shared" si="26"/>
        <v>1713</v>
      </c>
      <c r="B1715" s="164">
        <v>1713</v>
      </c>
      <c r="C1715" s="193" t="s">
        <v>3008</v>
      </c>
      <c r="D1715" s="195" t="s">
        <v>6276</v>
      </c>
      <c r="E1715" s="193" t="s">
        <v>8987</v>
      </c>
      <c r="F1715" s="193" t="s">
        <v>114</v>
      </c>
      <c r="G1715" s="195" t="s">
        <v>11200</v>
      </c>
      <c r="H1715" s="166" t="s">
        <v>13436</v>
      </c>
      <c r="I1715" s="193" t="s">
        <v>12836</v>
      </c>
      <c r="J1715" s="193" t="s">
        <v>146</v>
      </c>
      <c r="K1715" s="170"/>
      <c r="L1715" s="193" t="s">
        <v>146</v>
      </c>
    </row>
    <row r="1716" spans="1:12" ht="15.75">
      <c r="A1716" s="67">
        <f t="shared" si="26"/>
        <v>1714</v>
      </c>
      <c r="B1716" s="164">
        <v>1714</v>
      </c>
      <c r="C1716" s="193" t="s">
        <v>3009</v>
      </c>
      <c r="D1716" s="195" t="s">
        <v>6277</v>
      </c>
      <c r="E1716" s="193" t="s">
        <v>324</v>
      </c>
      <c r="F1716" s="193" t="s">
        <v>114</v>
      </c>
      <c r="G1716" s="195" t="s">
        <v>11201</v>
      </c>
      <c r="H1716" s="166" t="s">
        <v>13436</v>
      </c>
      <c r="I1716" s="193" t="s">
        <v>12827</v>
      </c>
      <c r="J1716" s="193" t="s">
        <v>146</v>
      </c>
      <c r="K1716" s="170"/>
      <c r="L1716" s="193" t="s">
        <v>146</v>
      </c>
    </row>
    <row r="1717" spans="1:12" ht="15.75">
      <c r="A1717" s="67">
        <f t="shared" si="26"/>
        <v>1715</v>
      </c>
      <c r="B1717" s="164">
        <v>1715</v>
      </c>
      <c r="C1717" s="193" t="s">
        <v>3010</v>
      </c>
      <c r="D1717" s="195" t="s">
        <v>6278</v>
      </c>
      <c r="E1717" s="193" t="s">
        <v>497</v>
      </c>
      <c r="F1717" s="193" t="s">
        <v>114</v>
      </c>
      <c r="G1717" s="195" t="s">
        <v>766</v>
      </c>
      <c r="H1717" s="166" t="s">
        <v>13436</v>
      </c>
      <c r="I1717" s="193" t="s">
        <v>12820</v>
      </c>
      <c r="J1717" s="193" t="s">
        <v>146</v>
      </c>
      <c r="K1717" s="170"/>
      <c r="L1717" s="193" t="s">
        <v>146</v>
      </c>
    </row>
    <row r="1718" spans="1:12" ht="30">
      <c r="A1718" s="67">
        <f t="shared" si="26"/>
        <v>1716</v>
      </c>
      <c r="B1718" s="164">
        <v>1716</v>
      </c>
      <c r="C1718" s="193" t="s">
        <v>3011</v>
      </c>
      <c r="D1718" s="195" t="s">
        <v>6279</v>
      </c>
      <c r="E1718" s="193" t="s">
        <v>8988</v>
      </c>
      <c r="F1718" s="193" t="s">
        <v>114</v>
      </c>
      <c r="G1718" s="195" t="s">
        <v>11202</v>
      </c>
      <c r="H1718" s="166" t="s">
        <v>13436</v>
      </c>
      <c r="I1718" s="193" t="s">
        <v>12820</v>
      </c>
      <c r="J1718" s="193" t="s">
        <v>146</v>
      </c>
      <c r="K1718" s="170"/>
      <c r="L1718" s="193" t="s">
        <v>13275</v>
      </c>
    </row>
    <row r="1719" spans="1:12" ht="105">
      <c r="A1719" s="67">
        <f t="shared" si="26"/>
        <v>1717</v>
      </c>
      <c r="B1719" s="164">
        <v>1717</v>
      </c>
      <c r="C1719" s="193" t="s">
        <v>3012</v>
      </c>
      <c r="D1719" s="195" t="s">
        <v>6280</v>
      </c>
      <c r="E1719" s="193" t="s">
        <v>8989</v>
      </c>
      <c r="F1719" s="193" t="s">
        <v>114</v>
      </c>
      <c r="G1719" s="195" t="s">
        <v>11203</v>
      </c>
      <c r="H1719" s="166" t="s">
        <v>13436</v>
      </c>
      <c r="I1719" s="193" t="s">
        <v>12820</v>
      </c>
      <c r="J1719" s="193" t="s">
        <v>12519</v>
      </c>
      <c r="K1719" s="170"/>
      <c r="L1719" s="193" t="s">
        <v>13276</v>
      </c>
    </row>
    <row r="1720" spans="1:12" ht="15.75">
      <c r="A1720" s="67">
        <f t="shared" si="26"/>
        <v>1718</v>
      </c>
      <c r="B1720" s="164">
        <v>1718</v>
      </c>
      <c r="C1720" s="193" t="s">
        <v>3013</v>
      </c>
      <c r="D1720" s="195" t="s">
        <v>6281</v>
      </c>
      <c r="E1720" s="193" t="s">
        <v>406</v>
      </c>
      <c r="F1720" s="193" t="s">
        <v>114</v>
      </c>
      <c r="G1720" s="195" t="s">
        <v>966</v>
      </c>
      <c r="H1720" s="166" t="s">
        <v>13436</v>
      </c>
      <c r="I1720" s="193" t="s">
        <v>12820</v>
      </c>
      <c r="J1720" s="193" t="s">
        <v>146</v>
      </c>
      <c r="K1720" s="170"/>
      <c r="L1720" s="193" t="s">
        <v>146</v>
      </c>
    </row>
    <row r="1721" spans="1:12" ht="15.75">
      <c r="A1721" s="67">
        <f t="shared" si="26"/>
        <v>1719</v>
      </c>
      <c r="B1721" s="164">
        <v>1719</v>
      </c>
      <c r="C1721" s="193" t="s">
        <v>3014</v>
      </c>
      <c r="D1721" s="195" t="s">
        <v>6282</v>
      </c>
      <c r="E1721" s="193" t="s">
        <v>8990</v>
      </c>
      <c r="F1721" s="193" t="s">
        <v>59</v>
      </c>
      <c r="G1721" s="195" t="s">
        <v>11026</v>
      </c>
      <c r="H1721" s="166" t="s">
        <v>13436</v>
      </c>
      <c r="I1721" s="193" t="s">
        <v>12836</v>
      </c>
      <c r="J1721" s="193" t="s">
        <v>146</v>
      </c>
      <c r="K1721" s="170"/>
      <c r="L1721" s="193"/>
    </row>
    <row r="1722" spans="1:12" ht="15.75">
      <c r="A1722" s="67">
        <f t="shared" si="26"/>
        <v>1720</v>
      </c>
      <c r="B1722" s="164">
        <v>1720</v>
      </c>
      <c r="C1722" s="193" t="s">
        <v>3015</v>
      </c>
      <c r="D1722" s="195" t="s">
        <v>6283</v>
      </c>
      <c r="E1722" s="193" t="s">
        <v>8991</v>
      </c>
      <c r="F1722" s="193" t="s">
        <v>114</v>
      </c>
      <c r="G1722" s="195" t="s">
        <v>11204</v>
      </c>
      <c r="H1722" s="166" t="s">
        <v>13436</v>
      </c>
      <c r="I1722" s="193" t="s">
        <v>12813</v>
      </c>
      <c r="J1722" s="193" t="s">
        <v>146</v>
      </c>
      <c r="K1722" s="170"/>
      <c r="L1722" s="193" t="s">
        <v>146</v>
      </c>
    </row>
    <row r="1723" spans="1:12" ht="45">
      <c r="A1723" s="67">
        <f t="shared" si="26"/>
        <v>1721</v>
      </c>
      <c r="B1723" s="164">
        <v>1721</v>
      </c>
      <c r="C1723" s="193" t="s">
        <v>3016</v>
      </c>
      <c r="D1723" s="195" t="s">
        <v>6284</v>
      </c>
      <c r="E1723" s="193" t="s">
        <v>8992</v>
      </c>
      <c r="F1723" s="193" t="s">
        <v>114</v>
      </c>
      <c r="G1723" s="195" t="s">
        <v>10828</v>
      </c>
      <c r="H1723" s="166" t="s">
        <v>13436</v>
      </c>
      <c r="I1723" s="193" t="s">
        <v>12836</v>
      </c>
      <c r="J1723" s="193" t="s">
        <v>146</v>
      </c>
      <c r="K1723" s="170"/>
      <c r="L1723" s="193" t="s">
        <v>13277</v>
      </c>
    </row>
    <row r="1724" spans="1:12" ht="30">
      <c r="A1724" s="67">
        <f t="shared" si="26"/>
        <v>1722</v>
      </c>
      <c r="B1724" s="164">
        <v>1722</v>
      </c>
      <c r="C1724" s="193" t="s">
        <v>3017</v>
      </c>
      <c r="D1724" s="195" t="s">
        <v>6285</v>
      </c>
      <c r="E1724" s="193" t="s">
        <v>8139</v>
      </c>
      <c r="F1724" s="193" t="s">
        <v>114</v>
      </c>
      <c r="G1724" s="195" t="s">
        <v>11205</v>
      </c>
      <c r="H1724" s="166" t="s">
        <v>13436</v>
      </c>
      <c r="I1724" s="193" t="s">
        <v>12836</v>
      </c>
      <c r="J1724" s="193" t="s">
        <v>12520</v>
      </c>
      <c r="K1724" s="170"/>
      <c r="L1724" s="193" t="s">
        <v>146</v>
      </c>
    </row>
    <row r="1725" spans="1:12" ht="15.75">
      <c r="A1725" s="67">
        <f t="shared" si="26"/>
        <v>1723</v>
      </c>
      <c r="B1725" s="164">
        <v>1723</v>
      </c>
      <c r="C1725" s="193" t="s">
        <v>3018</v>
      </c>
      <c r="D1725" s="195" t="s">
        <v>6286</v>
      </c>
      <c r="E1725" s="193" t="s">
        <v>8993</v>
      </c>
      <c r="F1725" s="193" t="s">
        <v>114</v>
      </c>
      <c r="G1725" s="195" t="s">
        <v>712</v>
      </c>
      <c r="H1725" s="166" t="s">
        <v>13436</v>
      </c>
      <c r="I1725" s="193" t="s">
        <v>12836</v>
      </c>
      <c r="J1725" s="193" t="s">
        <v>146</v>
      </c>
      <c r="K1725" s="170"/>
      <c r="L1725" s="193" t="s">
        <v>146</v>
      </c>
    </row>
    <row r="1726" spans="1:12" ht="15.75">
      <c r="A1726" s="67">
        <f t="shared" si="26"/>
        <v>1724</v>
      </c>
      <c r="B1726" s="164">
        <v>1724</v>
      </c>
      <c r="C1726" s="193" t="s">
        <v>3019</v>
      </c>
      <c r="D1726" s="195" t="s">
        <v>6287</v>
      </c>
      <c r="E1726" s="193" t="s">
        <v>293</v>
      </c>
      <c r="F1726" s="193" t="s">
        <v>114</v>
      </c>
      <c r="G1726" s="195" t="s">
        <v>993</v>
      </c>
      <c r="H1726" s="166" t="s">
        <v>13436</v>
      </c>
      <c r="I1726" s="193" t="s">
        <v>12817</v>
      </c>
      <c r="J1726" s="193" t="s">
        <v>146</v>
      </c>
      <c r="K1726" s="170"/>
      <c r="L1726" s="193" t="s">
        <v>146</v>
      </c>
    </row>
    <row r="1727" spans="1:12" ht="15.75">
      <c r="A1727" s="67">
        <f t="shared" si="26"/>
        <v>1725</v>
      </c>
      <c r="B1727" s="164">
        <v>1725</v>
      </c>
      <c r="C1727" s="193" t="s">
        <v>3020</v>
      </c>
      <c r="D1727" s="195" t="s">
        <v>6288</v>
      </c>
      <c r="E1727" s="193" t="s">
        <v>8994</v>
      </c>
      <c r="F1727" s="193" t="s">
        <v>114</v>
      </c>
      <c r="G1727" s="195" t="s">
        <v>11206</v>
      </c>
      <c r="H1727" s="166" t="s">
        <v>13436</v>
      </c>
      <c r="I1727" s="193" t="s">
        <v>12836</v>
      </c>
      <c r="J1727" s="193" t="s">
        <v>12521</v>
      </c>
      <c r="K1727" s="170"/>
      <c r="L1727" s="193" t="s">
        <v>146</v>
      </c>
    </row>
    <row r="1728" spans="1:12" ht="15.75">
      <c r="A1728" s="67">
        <f t="shared" si="26"/>
        <v>1726</v>
      </c>
      <c r="B1728" s="164">
        <v>1726</v>
      </c>
      <c r="C1728" s="193" t="s">
        <v>3021</v>
      </c>
      <c r="D1728" s="195" t="s">
        <v>6289</v>
      </c>
      <c r="E1728" s="193" t="s">
        <v>8995</v>
      </c>
      <c r="F1728" s="193" t="s">
        <v>114</v>
      </c>
      <c r="G1728" s="195" t="s">
        <v>1182</v>
      </c>
      <c r="H1728" s="166" t="s">
        <v>13436</v>
      </c>
      <c r="I1728" s="193" t="s">
        <v>12836</v>
      </c>
      <c r="J1728" s="193" t="s">
        <v>146</v>
      </c>
      <c r="K1728" s="170"/>
      <c r="L1728" s="193" t="s">
        <v>146</v>
      </c>
    </row>
    <row r="1729" spans="1:12" ht="30">
      <c r="A1729" s="67">
        <f t="shared" si="26"/>
        <v>1727</v>
      </c>
      <c r="B1729" s="164">
        <v>1727</v>
      </c>
      <c r="C1729" s="193" t="s">
        <v>3022</v>
      </c>
      <c r="D1729" s="195" t="s">
        <v>6290</v>
      </c>
      <c r="E1729" s="193" t="s">
        <v>600</v>
      </c>
      <c r="F1729" s="193" t="s">
        <v>114</v>
      </c>
      <c r="G1729" s="195" t="s">
        <v>11207</v>
      </c>
      <c r="H1729" s="166" t="s">
        <v>13436</v>
      </c>
      <c r="I1729" s="193" t="s">
        <v>12836</v>
      </c>
      <c r="J1729" s="193" t="s">
        <v>12522</v>
      </c>
      <c r="K1729" s="170"/>
      <c r="L1729" s="193" t="s">
        <v>146</v>
      </c>
    </row>
    <row r="1730" spans="1:12" ht="15.75">
      <c r="A1730" s="67">
        <f t="shared" si="26"/>
        <v>1728</v>
      </c>
      <c r="B1730" s="164">
        <v>1728</v>
      </c>
      <c r="C1730" s="193" t="s">
        <v>3023</v>
      </c>
      <c r="D1730" s="195" t="s">
        <v>6291</v>
      </c>
      <c r="E1730" s="193" t="s">
        <v>516</v>
      </c>
      <c r="F1730" s="193" t="s">
        <v>114</v>
      </c>
      <c r="G1730" s="195" t="s">
        <v>11208</v>
      </c>
      <c r="H1730" s="166" t="s">
        <v>13436</v>
      </c>
      <c r="I1730" s="193" t="s">
        <v>12825</v>
      </c>
      <c r="J1730" s="193" t="s">
        <v>12523</v>
      </c>
      <c r="K1730" s="170"/>
      <c r="L1730" s="193" t="s">
        <v>146</v>
      </c>
    </row>
    <row r="1731" spans="1:12" ht="30">
      <c r="A1731" s="67">
        <f t="shared" ref="A1731:A1794" si="27">IFERROR(VALUE(RIGHT(C1731,4)),"")</f>
        <v>1729</v>
      </c>
      <c r="B1731" s="164">
        <v>1729</v>
      </c>
      <c r="C1731" s="193" t="s">
        <v>3024</v>
      </c>
      <c r="D1731" s="195" t="s">
        <v>6292</v>
      </c>
      <c r="E1731" s="193" t="s">
        <v>8996</v>
      </c>
      <c r="F1731" s="193" t="s">
        <v>114</v>
      </c>
      <c r="G1731" s="195" t="s">
        <v>239</v>
      </c>
      <c r="H1731" s="166" t="s">
        <v>13436</v>
      </c>
      <c r="I1731" s="193" t="s">
        <v>12812</v>
      </c>
      <c r="J1731" s="193" t="s">
        <v>12524</v>
      </c>
      <c r="K1731" s="170"/>
      <c r="L1731" s="193" t="s">
        <v>146</v>
      </c>
    </row>
    <row r="1732" spans="1:12" ht="90">
      <c r="A1732" s="67">
        <f t="shared" si="27"/>
        <v>1730</v>
      </c>
      <c r="B1732" s="164">
        <v>1730</v>
      </c>
      <c r="C1732" s="193" t="s">
        <v>3025</v>
      </c>
      <c r="D1732" s="195" t="s">
        <v>6293</v>
      </c>
      <c r="E1732" s="193" t="s">
        <v>8741</v>
      </c>
      <c r="F1732" s="193" t="s">
        <v>114</v>
      </c>
      <c r="G1732" s="195" t="s">
        <v>723</v>
      </c>
      <c r="H1732" s="166" t="s">
        <v>13436</v>
      </c>
      <c r="I1732" s="193" t="s">
        <v>12825</v>
      </c>
      <c r="J1732" s="193" t="s">
        <v>146</v>
      </c>
      <c r="K1732" s="170"/>
      <c r="L1732" s="193" t="s">
        <v>13278</v>
      </c>
    </row>
    <row r="1733" spans="1:12" ht="30">
      <c r="A1733" s="67">
        <f t="shared" si="27"/>
        <v>1731</v>
      </c>
      <c r="B1733" s="164">
        <v>1731</v>
      </c>
      <c r="C1733" s="193" t="s">
        <v>3026</v>
      </c>
      <c r="D1733" s="195" t="s">
        <v>6294</v>
      </c>
      <c r="E1733" s="193" t="s">
        <v>527</v>
      </c>
      <c r="F1733" s="193" t="s">
        <v>114</v>
      </c>
      <c r="G1733" s="195" t="s">
        <v>11209</v>
      </c>
      <c r="H1733" s="166" t="s">
        <v>13436</v>
      </c>
      <c r="I1733" s="193" t="s">
        <v>12825</v>
      </c>
      <c r="J1733" s="193" t="s">
        <v>146</v>
      </c>
      <c r="K1733" s="170"/>
      <c r="L1733" s="193" t="s">
        <v>13279</v>
      </c>
    </row>
    <row r="1734" spans="1:12" ht="15.75">
      <c r="A1734" s="67">
        <f t="shared" si="27"/>
        <v>1732</v>
      </c>
      <c r="B1734" s="164">
        <v>1732</v>
      </c>
      <c r="C1734" s="193" t="s">
        <v>3027</v>
      </c>
      <c r="D1734" s="195" t="s">
        <v>6295</v>
      </c>
      <c r="E1734" s="193" t="s">
        <v>411</v>
      </c>
      <c r="F1734" s="193" t="s">
        <v>114</v>
      </c>
      <c r="G1734" s="195" t="s">
        <v>11210</v>
      </c>
      <c r="H1734" s="166" t="s">
        <v>13436</v>
      </c>
      <c r="I1734" s="193" t="s">
        <v>12814</v>
      </c>
      <c r="J1734" s="193" t="s">
        <v>146</v>
      </c>
      <c r="K1734" s="170"/>
      <c r="L1734" s="193" t="s">
        <v>146</v>
      </c>
    </row>
    <row r="1735" spans="1:12" ht="15.75">
      <c r="A1735" s="67">
        <f t="shared" si="27"/>
        <v>1733</v>
      </c>
      <c r="B1735" s="164">
        <v>1733</v>
      </c>
      <c r="C1735" s="193" t="s">
        <v>3028</v>
      </c>
      <c r="D1735" s="195" t="s">
        <v>6296</v>
      </c>
      <c r="E1735" s="193" t="s">
        <v>8997</v>
      </c>
      <c r="F1735" s="193" t="s">
        <v>114</v>
      </c>
      <c r="G1735" s="195" t="s">
        <v>11211</v>
      </c>
      <c r="H1735" s="166" t="s">
        <v>13436</v>
      </c>
      <c r="I1735" s="193" t="s">
        <v>12835</v>
      </c>
      <c r="J1735" s="193" t="s">
        <v>146</v>
      </c>
      <c r="K1735" s="170"/>
      <c r="L1735" s="193" t="s">
        <v>146</v>
      </c>
    </row>
    <row r="1736" spans="1:12" ht="45">
      <c r="A1736" s="67">
        <f t="shared" si="27"/>
        <v>1734</v>
      </c>
      <c r="B1736" s="164">
        <v>1734</v>
      </c>
      <c r="C1736" s="193" t="s">
        <v>3029</v>
      </c>
      <c r="D1736" s="195" t="s">
        <v>6297</v>
      </c>
      <c r="E1736" s="193" t="s">
        <v>8998</v>
      </c>
      <c r="F1736" s="193" t="s">
        <v>114</v>
      </c>
      <c r="G1736" s="195" t="s">
        <v>11212</v>
      </c>
      <c r="H1736" s="166" t="s">
        <v>13436</v>
      </c>
      <c r="I1736" s="193" t="s">
        <v>12835</v>
      </c>
      <c r="J1736" s="193" t="s">
        <v>12525</v>
      </c>
      <c r="K1736" s="170"/>
      <c r="L1736" s="193" t="s">
        <v>13280</v>
      </c>
    </row>
    <row r="1737" spans="1:12" ht="15.75">
      <c r="A1737" s="67">
        <f t="shared" si="27"/>
        <v>1735</v>
      </c>
      <c r="B1737" s="164">
        <v>1735</v>
      </c>
      <c r="C1737" s="193" t="s">
        <v>3030</v>
      </c>
      <c r="D1737" s="195" t="s">
        <v>6298</v>
      </c>
      <c r="E1737" s="193" t="s">
        <v>8999</v>
      </c>
      <c r="F1737" s="193" t="s">
        <v>114</v>
      </c>
      <c r="G1737" s="195" t="s">
        <v>829</v>
      </c>
      <c r="H1737" s="166" t="s">
        <v>13436</v>
      </c>
      <c r="I1737" s="193" t="s">
        <v>12835</v>
      </c>
      <c r="J1737" s="193" t="s">
        <v>146</v>
      </c>
      <c r="K1737" s="170"/>
      <c r="L1737" s="193" t="s">
        <v>146</v>
      </c>
    </row>
    <row r="1738" spans="1:12" ht="15.75">
      <c r="A1738" s="67">
        <f t="shared" si="27"/>
        <v>1736</v>
      </c>
      <c r="B1738" s="164">
        <v>1736</v>
      </c>
      <c r="C1738" s="193" t="s">
        <v>3031</v>
      </c>
      <c r="D1738" s="195" t="s">
        <v>6299</v>
      </c>
      <c r="E1738" s="193" t="s">
        <v>9000</v>
      </c>
      <c r="F1738" s="193" t="s">
        <v>114</v>
      </c>
      <c r="G1738" s="195" t="s">
        <v>11038</v>
      </c>
      <c r="H1738" s="166" t="s">
        <v>13436</v>
      </c>
      <c r="I1738" s="193" t="s">
        <v>12814</v>
      </c>
      <c r="J1738" s="193" t="s">
        <v>146</v>
      </c>
      <c r="K1738" s="170"/>
      <c r="L1738" s="193" t="s">
        <v>146</v>
      </c>
    </row>
    <row r="1739" spans="1:12" ht="30">
      <c r="A1739" s="67">
        <f t="shared" si="27"/>
        <v>1737</v>
      </c>
      <c r="B1739" s="164">
        <v>1737</v>
      </c>
      <c r="C1739" s="193" t="s">
        <v>3032</v>
      </c>
      <c r="D1739" s="195" t="s">
        <v>6300</v>
      </c>
      <c r="E1739" s="193" t="s">
        <v>9001</v>
      </c>
      <c r="F1739" s="193" t="s">
        <v>114</v>
      </c>
      <c r="G1739" s="195" t="s">
        <v>807</v>
      </c>
      <c r="H1739" s="166" t="s">
        <v>13436</v>
      </c>
      <c r="I1739" s="193" t="s">
        <v>12835</v>
      </c>
      <c r="J1739" s="193" t="s">
        <v>12526</v>
      </c>
      <c r="K1739" s="170"/>
      <c r="L1739" s="193" t="s">
        <v>146</v>
      </c>
    </row>
    <row r="1740" spans="1:12" ht="15.75">
      <c r="A1740" s="67">
        <f t="shared" si="27"/>
        <v>1738</v>
      </c>
      <c r="B1740" s="164">
        <v>1738</v>
      </c>
      <c r="C1740" s="193" t="s">
        <v>3033</v>
      </c>
      <c r="D1740" s="195" t="s">
        <v>6301</v>
      </c>
      <c r="E1740" s="193" t="s">
        <v>217</v>
      </c>
      <c r="F1740" s="193" t="s">
        <v>114</v>
      </c>
      <c r="G1740" s="195" t="s">
        <v>11213</v>
      </c>
      <c r="H1740" s="166" t="s">
        <v>13436</v>
      </c>
      <c r="I1740" s="193" t="s">
        <v>12814</v>
      </c>
      <c r="J1740" s="193" t="s">
        <v>146</v>
      </c>
      <c r="K1740" s="170"/>
      <c r="L1740" s="193" t="s">
        <v>146</v>
      </c>
    </row>
    <row r="1741" spans="1:12" ht="30">
      <c r="A1741" s="67">
        <f t="shared" si="27"/>
        <v>1739</v>
      </c>
      <c r="B1741" s="164">
        <v>1739</v>
      </c>
      <c r="C1741" s="193" t="s">
        <v>3034</v>
      </c>
      <c r="D1741" s="195" t="s">
        <v>6302</v>
      </c>
      <c r="E1741" s="193" t="s">
        <v>9002</v>
      </c>
      <c r="F1741" s="193" t="s">
        <v>114</v>
      </c>
      <c r="G1741" s="195" t="s">
        <v>696</v>
      </c>
      <c r="H1741" s="166" t="s">
        <v>13436</v>
      </c>
      <c r="I1741" s="193" t="s">
        <v>12810</v>
      </c>
      <c r="J1741" s="193" t="s">
        <v>146</v>
      </c>
      <c r="K1741" s="170"/>
      <c r="L1741" s="193" t="s">
        <v>13281</v>
      </c>
    </row>
    <row r="1742" spans="1:12" ht="15.75">
      <c r="A1742" s="67">
        <f t="shared" si="27"/>
        <v>1740</v>
      </c>
      <c r="B1742" s="164">
        <v>1740</v>
      </c>
      <c r="C1742" s="193" t="s">
        <v>3035</v>
      </c>
      <c r="D1742" s="195" t="s">
        <v>6303</v>
      </c>
      <c r="E1742" s="193" t="s">
        <v>385</v>
      </c>
      <c r="F1742" s="193" t="s">
        <v>114</v>
      </c>
      <c r="G1742" s="195" t="s">
        <v>11214</v>
      </c>
      <c r="H1742" s="166" t="s">
        <v>13436</v>
      </c>
      <c r="I1742" s="193" t="s">
        <v>12821</v>
      </c>
      <c r="J1742" s="193" t="s">
        <v>146</v>
      </c>
      <c r="K1742" s="170"/>
      <c r="L1742" s="193" t="s">
        <v>146</v>
      </c>
    </row>
    <row r="1743" spans="1:12" ht="15.75">
      <c r="A1743" s="67">
        <f t="shared" si="27"/>
        <v>1741</v>
      </c>
      <c r="B1743" s="164">
        <v>1741</v>
      </c>
      <c r="C1743" s="193" t="s">
        <v>3036</v>
      </c>
      <c r="D1743" s="195" t="s">
        <v>6304</v>
      </c>
      <c r="E1743" s="193" t="s">
        <v>365</v>
      </c>
      <c r="F1743" s="193" t="s">
        <v>114</v>
      </c>
      <c r="G1743" s="195" t="s">
        <v>11215</v>
      </c>
      <c r="H1743" s="166" t="s">
        <v>13436</v>
      </c>
      <c r="I1743" s="193" t="s">
        <v>12832</v>
      </c>
      <c r="J1743" s="193" t="s">
        <v>146</v>
      </c>
      <c r="K1743" s="170"/>
      <c r="L1743" s="193" t="s">
        <v>146</v>
      </c>
    </row>
    <row r="1744" spans="1:12" ht="30">
      <c r="A1744" s="67">
        <f t="shared" si="27"/>
        <v>1742</v>
      </c>
      <c r="B1744" s="164">
        <v>1742</v>
      </c>
      <c r="C1744" s="193" t="s">
        <v>3037</v>
      </c>
      <c r="D1744" s="195" t="s">
        <v>6305</v>
      </c>
      <c r="E1744" s="193" t="s">
        <v>9003</v>
      </c>
      <c r="F1744" s="193" t="s">
        <v>114</v>
      </c>
      <c r="G1744" s="195" t="s">
        <v>11216</v>
      </c>
      <c r="H1744" s="166" t="s">
        <v>13436</v>
      </c>
      <c r="I1744" s="193" t="s">
        <v>12832</v>
      </c>
      <c r="J1744" s="193" t="s">
        <v>146</v>
      </c>
      <c r="K1744" s="170"/>
      <c r="L1744" s="193" t="s">
        <v>13282</v>
      </c>
    </row>
    <row r="1745" spans="1:12" ht="45">
      <c r="A1745" s="67">
        <f t="shared" si="27"/>
        <v>1743</v>
      </c>
      <c r="B1745" s="164">
        <v>1743</v>
      </c>
      <c r="C1745" s="193" t="s">
        <v>3038</v>
      </c>
      <c r="D1745" s="195" t="s">
        <v>6306</v>
      </c>
      <c r="E1745" s="193" t="s">
        <v>9004</v>
      </c>
      <c r="F1745" s="193" t="s">
        <v>114</v>
      </c>
      <c r="G1745" s="195" t="s">
        <v>11217</v>
      </c>
      <c r="H1745" s="166" t="s">
        <v>13436</v>
      </c>
      <c r="I1745" s="193" t="s">
        <v>12827</v>
      </c>
      <c r="J1745" s="193" t="s">
        <v>12527</v>
      </c>
      <c r="K1745" s="170"/>
      <c r="L1745" s="193" t="s">
        <v>146</v>
      </c>
    </row>
    <row r="1746" spans="1:12" ht="75">
      <c r="A1746" s="67">
        <f t="shared" si="27"/>
        <v>1744</v>
      </c>
      <c r="B1746" s="164">
        <v>1744</v>
      </c>
      <c r="C1746" s="193" t="s">
        <v>3039</v>
      </c>
      <c r="D1746" s="195" t="s">
        <v>6307</v>
      </c>
      <c r="E1746" s="193" t="s">
        <v>151</v>
      </c>
      <c r="F1746" s="193" t="s">
        <v>114</v>
      </c>
      <c r="G1746" s="195" t="s">
        <v>11218</v>
      </c>
      <c r="H1746" s="166" t="s">
        <v>13436</v>
      </c>
      <c r="I1746" s="193" t="s">
        <v>12836</v>
      </c>
      <c r="J1746" s="193" t="s">
        <v>146</v>
      </c>
      <c r="K1746" s="170"/>
      <c r="L1746" s="193" t="s">
        <v>13283</v>
      </c>
    </row>
    <row r="1747" spans="1:12" ht="30">
      <c r="A1747" s="67">
        <f t="shared" si="27"/>
        <v>1745</v>
      </c>
      <c r="B1747" s="164">
        <v>1745</v>
      </c>
      <c r="C1747" s="193" t="s">
        <v>3040</v>
      </c>
      <c r="D1747" s="195" t="s">
        <v>6308</v>
      </c>
      <c r="E1747" s="193" t="s">
        <v>497</v>
      </c>
      <c r="F1747" s="193" t="s">
        <v>114</v>
      </c>
      <c r="G1747" s="195" t="s">
        <v>1069</v>
      </c>
      <c r="H1747" s="166" t="s">
        <v>13436</v>
      </c>
      <c r="I1747" s="193" t="s">
        <v>12821</v>
      </c>
      <c r="J1747" s="193" t="s">
        <v>1286</v>
      </c>
      <c r="K1747" s="170"/>
      <c r="L1747" s="193" t="s">
        <v>13284</v>
      </c>
    </row>
    <row r="1748" spans="1:12" ht="15.75">
      <c r="A1748" s="67">
        <f t="shared" si="27"/>
        <v>1746</v>
      </c>
      <c r="B1748" s="164">
        <v>1746</v>
      </c>
      <c r="C1748" s="193" t="s">
        <v>3041</v>
      </c>
      <c r="D1748" s="195" t="s">
        <v>6309</v>
      </c>
      <c r="E1748" s="193" t="s">
        <v>9005</v>
      </c>
      <c r="F1748" s="193" t="s">
        <v>114</v>
      </c>
      <c r="G1748" s="195" t="s">
        <v>950</v>
      </c>
      <c r="H1748" s="166" t="s">
        <v>13436</v>
      </c>
      <c r="I1748" s="193" t="s">
        <v>12827</v>
      </c>
      <c r="J1748" s="193" t="s">
        <v>146</v>
      </c>
      <c r="K1748" s="170"/>
      <c r="L1748" s="193" t="s">
        <v>146</v>
      </c>
    </row>
    <row r="1749" spans="1:12" ht="75">
      <c r="A1749" s="67">
        <f t="shared" si="27"/>
        <v>1747</v>
      </c>
      <c r="B1749" s="164">
        <v>1747</v>
      </c>
      <c r="C1749" s="193" t="s">
        <v>3042</v>
      </c>
      <c r="D1749" s="195" t="s">
        <v>6310</v>
      </c>
      <c r="E1749" s="193" t="s">
        <v>367</v>
      </c>
      <c r="F1749" s="193" t="s">
        <v>114</v>
      </c>
      <c r="G1749" s="195" t="s">
        <v>10945</v>
      </c>
      <c r="H1749" s="166" t="s">
        <v>13436</v>
      </c>
      <c r="I1749" s="193" t="s">
        <v>12837</v>
      </c>
      <c r="J1749" s="193" t="s">
        <v>146</v>
      </c>
      <c r="K1749" s="170"/>
      <c r="L1749" s="193" t="s">
        <v>13285</v>
      </c>
    </row>
    <row r="1750" spans="1:12" ht="15.75">
      <c r="A1750" s="67">
        <f t="shared" si="27"/>
        <v>1748</v>
      </c>
      <c r="B1750" s="164">
        <v>1748</v>
      </c>
      <c r="C1750" s="193" t="s">
        <v>3043</v>
      </c>
      <c r="D1750" s="195" t="s">
        <v>6311</v>
      </c>
      <c r="E1750" s="193" t="s">
        <v>9006</v>
      </c>
      <c r="F1750" s="193" t="s">
        <v>114</v>
      </c>
      <c r="G1750" s="195" t="s">
        <v>11219</v>
      </c>
      <c r="H1750" s="166" t="s">
        <v>13436</v>
      </c>
      <c r="I1750" s="193" t="s">
        <v>12827</v>
      </c>
      <c r="J1750" s="193" t="s">
        <v>146</v>
      </c>
      <c r="K1750" s="170"/>
      <c r="L1750" s="193" t="s">
        <v>146</v>
      </c>
    </row>
    <row r="1751" spans="1:12" ht="30">
      <c r="A1751" s="67">
        <f t="shared" si="27"/>
        <v>1749</v>
      </c>
      <c r="B1751" s="164">
        <v>1749</v>
      </c>
      <c r="C1751" s="193" t="s">
        <v>3044</v>
      </c>
      <c r="D1751" s="195" t="s">
        <v>6312</v>
      </c>
      <c r="E1751" s="193" t="s">
        <v>9007</v>
      </c>
      <c r="F1751" s="193" t="s">
        <v>114</v>
      </c>
      <c r="G1751" s="195" t="s">
        <v>11220</v>
      </c>
      <c r="H1751" s="166" t="s">
        <v>13436</v>
      </c>
      <c r="I1751" s="193" t="s">
        <v>12827</v>
      </c>
      <c r="J1751" s="193" t="s">
        <v>12528</v>
      </c>
      <c r="K1751" s="170"/>
      <c r="L1751" s="193" t="s">
        <v>146</v>
      </c>
    </row>
    <row r="1752" spans="1:12" ht="15.75">
      <c r="A1752" s="67">
        <f t="shared" si="27"/>
        <v>1750</v>
      </c>
      <c r="B1752" s="164">
        <v>1750</v>
      </c>
      <c r="C1752" s="193" t="s">
        <v>3045</v>
      </c>
      <c r="D1752" s="195" t="s">
        <v>6313</v>
      </c>
      <c r="E1752" s="193" t="s">
        <v>9008</v>
      </c>
      <c r="F1752" s="193" t="s">
        <v>114</v>
      </c>
      <c r="G1752" s="195" t="s">
        <v>831</v>
      </c>
      <c r="H1752" s="166" t="s">
        <v>13436</v>
      </c>
      <c r="I1752" s="193" t="s">
        <v>12827</v>
      </c>
      <c r="J1752" s="193" t="s">
        <v>146</v>
      </c>
      <c r="K1752" s="170"/>
      <c r="L1752" s="193" t="s">
        <v>146</v>
      </c>
    </row>
    <row r="1753" spans="1:12" ht="15.75">
      <c r="A1753" s="67">
        <f t="shared" si="27"/>
        <v>1751</v>
      </c>
      <c r="B1753" s="164">
        <v>1751</v>
      </c>
      <c r="C1753" s="193" t="s">
        <v>3046</v>
      </c>
      <c r="D1753" s="195" t="s">
        <v>6314</v>
      </c>
      <c r="E1753" s="193" t="s">
        <v>9009</v>
      </c>
      <c r="F1753" s="193" t="s">
        <v>114</v>
      </c>
      <c r="G1753" s="195" t="s">
        <v>11221</v>
      </c>
      <c r="H1753" s="166" t="s">
        <v>13436</v>
      </c>
      <c r="I1753" s="193" t="s">
        <v>12821</v>
      </c>
      <c r="J1753" s="193" t="s">
        <v>146</v>
      </c>
      <c r="K1753" s="170"/>
      <c r="L1753" s="193" t="s">
        <v>146</v>
      </c>
    </row>
    <row r="1754" spans="1:12" ht="15.75">
      <c r="A1754" s="67">
        <f t="shared" si="27"/>
        <v>1752</v>
      </c>
      <c r="B1754" s="164">
        <v>1752</v>
      </c>
      <c r="C1754" s="193" t="s">
        <v>3047</v>
      </c>
      <c r="D1754" s="195" t="s">
        <v>6315</v>
      </c>
      <c r="E1754" s="193" t="s">
        <v>9010</v>
      </c>
      <c r="F1754" s="193" t="s">
        <v>114</v>
      </c>
      <c r="G1754" s="195" t="s">
        <v>11222</v>
      </c>
      <c r="H1754" s="166" t="s">
        <v>13436</v>
      </c>
      <c r="I1754" s="193" t="s">
        <v>12827</v>
      </c>
      <c r="J1754" s="219" t="s">
        <v>164</v>
      </c>
      <c r="K1754" s="170"/>
      <c r="L1754" s="219" t="s">
        <v>146</v>
      </c>
    </row>
    <row r="1755" spans="1:12" ht="30">
      <c r="A1755" s="67">
        <f t="shared" si="27"/>
        <v>1753</v>
      </c>
      <c r="B1755" s="164">
        <v>1753</v>
      </c>
      <c r="C1755" s="193" t="s">
        <v>3048</v>
      </c>
      <c r="D1755" s="195" t="s">
        <v>6316</v>
      </c>
      <c r="E1755" s="193" t="s">
        <v>9011</v>
      </c>
      <c r="F1755" s="193" t="s">
        <v>114</v>
      </c>
      <c r="G1755" s="195" t="s">
        <v>933</v>
      </c>
      <c r="H1755" s="166" t="s">
        <v>13436</v>
      </c>
      <c r="I1755" s="193" t="s">
        <v>12814</v>
      </c>
      <c r="J1755" s="193" t="s">
        <v>12529</v>
      </c>
      <c r="K1755" s="170"/>
      <c r="L1755" s="193" t="s">
        <v>146</v>
      </c>
    </row>
    <row r="1756" spans="1:12" ht="15.75">
      <c r="A1756" s="67">
        <f t="shared" si="27"/>
        <v>1754</v>
      </c>
      <c r="B1756" s="164">
        <v>1754</v>
      </c>
      <c r="C1756" s="193" t="s">
        <v>3049</v>
      </c>
      <c r="D1756" s="195" t="s">
        <v>6317</v>
      </c>
      <c r="E1756" s="193" t="s">
        <v>9012</v>
      </c>
      <c r="F1756" s="193" t="s">
        <v>114</v>
      </c>
      <c r="G1756" s="195" t="s">
        <v>11223</v>
      </c>
      <c r="H1756" s="166" t="s">
        <v>13436</v>
      </c>
      <c r="I1756" s="193" t="s">
        <v>12813</v>
      </c>
      <c r="J1756" s="193" t="s">
        <v>146</v>
      </c>
      <c r="K1756" s="170"/>
      <c r="L1756" s="193" t="s">
        <v>146</v>
      </c>
    </row>
    <row r="1757" spans="1:12" ht="15.75">
      <c r="A1757" s="67">
        <f t="shared" si="27"/>
        <v>1755</v>
      </c>
      <c r="B1757" s="164">
        <v>1755</v>
      </c>
      <c r="C1757" s="193" t="s">
        <v>3050</v>
      </c>
      <c r="D1757" s="195" t="s">
        <v>6318</v>
      </c>
      <c r="E1757" s="193" t="s">
        <v>9013</v>
      </c>
      <c r="F1757" s="193" t="s">
        <v>59</v>
      </c>
      <c r="G1757" s="195" t="s">
        <v>10468</v>
      </c>
      <c r="H1757" s="166" t="s">
        <v>13436</v>
      </c>
      <c r="I1757" s="193" t="s">
        <v>12813</v>
      </c>
      <c r="J1757" s="193" t="s">
        <v>148</v>
      </c>
      <c r="K1757" s="170"/>
      <c r="L1757" s="193"/>
    </row>
    <row r="1758" spans="1:12" ht="15.75">
      <c r="A1758" s="67">
        <f t="shared" si="27"/>
        <v>1756</v>
      </c>
      <c r="B1758" s="164">
        <v>1756</v>
      </c>
      <c r="C1758" s="193" t="s">
        <v>3051</v>
      </c>
      <c r="D1758" s="195" t="s">
        <v>6319</v>
      </c>
      <c r="E1758" s="193" t="s">
        <v>9014</v>
      </c>
      <c r="F1758" s="193" t="s">
        <v>114</v>
      </c>
      <c r="G1758" s="195" t="s">
        <v>11224</v>
      </c>
      <c r="H1758" s="166" t="s">
        <v>13436</v>
      </c>
      <c r="I1758" s="193" t="s">
        <v>12813</v>
      </c>
      <c r="J1758" s="193" t="s">
        <v>146</v>
      </c>
      <c r="K1758" s="170"/>
      <c r="L1758" s="193" t="s">
        <v>146</v>
      </c>
    </row>
    <row r="1759" spans="1:12" ht="15.75">
      <c r="A1759" s="67">
        <f t="shared" si="27"/>
        <v>1757</v>
      </c>
      <c r="B1759" s="164">
        <v>1757</v>
      </c>
      <c r="C1759" s="193" t="s">
        <v>3052</v>
      </c>
      <c r="D1759" s="199" t="s">
        <v>6320</v>
      </c>
      <c r="E1759" s="193" t="s">
        <v>9015</v>
      </c>
      <c r="F1759" s="193" t="s">
        <v>59</v>
      </c>
      <c r="G1759" s="195" t="s">
        <v>11225</v>
      </c>
      <c r="H1759" s="166" t="s">
        <v>13436</v>
      </c>
      <c r="I1759" s="193" t="s">
        <v>12828</v>
      </c>
      <c r="J1759" s="193"/>
      <c r="K1759" s="170"/>
      <c r="L1759" s="193"/>
    </row>
    <row r="1760" spans="1:12" ht="15.75">
      <c r="A1760" s="67">
        <f t="shared" si="27"/>
        <v>1758</v>
      </c>
      <c r="B1760" s="164">
        <v>1758</v>
      </c>
      <c r="C1760" s="193" t="s">
        <v>3053</v>
      </c>
      <c r="D1760" s="196" t="s">
        <v>6321</v>
      </c>
      <c r="E1760" s="193" t="s">
        <v>8684</v>
      </c>
      <c r="F1760" s="193" t="s">
        <v>114</v>
      </c>
      <c r="G1760" s="195" t="s">
        <v>10951</v>
      </c>
      <c r="H1760" s="166" t="s">
        <v>13436</v>
      </c>
      <c r="I1760" s="193" t="s">
        <v>1248</v>
      </c>
      <c r="J1760" s="193" t="s">
        <v>146</v>
      </c>
      <c r="K1760" s="170"/>
      <c r="L1760" s="193" t="s">
        <v>146</v>
      </c>
    </row>
    <row r="1761" spans="1:12" ht="15.75">
      <c r="A1761" s="67">
        <f t="shared" si="27"/>
        <v>1759</v>
      </c>
      <c r="B1761" s="164">
        <v>1759</v>
      </c>
      <c r="C1761" s="193" t="s">
        <v>3054</v>
      </c>
      <c r="D1761" s="196" t="s">
        <v>6322</v>
      </c>
      <c r="E1761" s="193" t="s">
        <v>9016</v>
      </c>
      <c r="F1761" s="193" t="s">
        <v>114</v>
      </c>
      <c r="G1761" s="195" t="s">
        <v>11226</v>
      </c>
      <c r="H1761" s="166" t="s">
        <v>13436</v>
      </c>
      <c r="I1761" s="193" t="s">
        <v>1248</v>
      </c>
      <c r="J1761" s="193" t="s">
        <v>146</v>
      </c>
      <c r="K1761" s="170"/>
      <c r="L1761" s="193" t="s">
        <v>146</v>
      </c>
    </row>
    <row r="1762" spans="1:12" ht="45">
      <c r="A1762" s="67">
        <f t="shared" si="27"/>
        <v>1760</v>
      </c>
      <c r="B1762" s="164">
        <v>1760</v>
      </c>
      <c r="C1762" s="193" t="s">
        <v>3055</v>
      </c>
      <c r="D1762" s="199" t="s">
        <v>6323</v>
      </c>
      <c r="E1762" s="193" t="s">
        <v>9017</v>
      </c>
      <c r="F1762" s="193" t="s">
        <v>114</v>
      </c>
      <c r="G1762" s="195" t="s">
        <v>761</v>
      </c>
      <c r="H1762" s="166" t="s">
        <v>13436</v>
      </c>
      <c r="I1762" s="193" t="s">
        <v>12828</v>
      </c>
      <c r="J1762" s="193" t="s">
        <v>12530</v>
      </c>
      <c r="K1762" s="170"/>
      <c r="L1762" s="193" t="s">
        <v>146</v>
      </c>
    </row>
    <row r="1763" spans="1:12" ht="30">
      <c r="A1763" s="67">
        <f t="shared" si="27"/>
        <v>1761</v>
      </c>
      <c r="B1763" s="164">
        <v>1761</v>
      </c>
      <c r="C1763" s="193" t="s">
        <v>3056</v>
      </c>
      <c r="D1763" s="195" t="s">
        <v>6324</v>
      </c>
      <c r="E1763" s="193" t="s">
        <v>8202</v>
      </c>
      <c r="F1763" s="193" t="s">
        <v>114</v>
      </c>
      <c r="G1763" s="195" t="s">
        <v>984</v>
      </c>
      <c r="H1763" s="166" t="s">
        <v>13436</v>
      </c>
      <c r="I1763" s="193" t="s">
        <v>1250</v>
      </c>
      <c r="J1763" s="193" t="s">
        <v>12531</v>
      </c>
      <c r="K1763" s="170"/>
      <c r="L1763" s="193" t="s">
        <v>146</v>
      </c>
    </row>
    <row r="1764" spans="1:12" ht="15.75">
      <c r="A1764" s="67">
        <f t="shared" si="27"/>
        <v>1762</v>
      </c>
      <c r="B1764" s="164">
        <v>1762</v>
      </c>
      <c r="C1764" s="193" t="s">
        <v>3057</v>
      </c>
      <c r="D1764" s="195" t="s">
        <v>6325</v>
      </c>
      <c r="E1764" s="193" t="s">
        <v>223</v>
      </c>
      <c r="F1764" s="193" t="s">
        <v>114</v>
      </c>
      <c r="G1764" s="195" t="s">
        <v>1123</v>
      </c>
      <c r="H1764" s="166" t="s">
        <v>13436</v>
      </c>
      <c r="I1764" s="193" t="s">
        <v>12813</v>
      </c>
      <c r="J1764" s="193" t="s">
        <v>146</v>
      </c>
      <c r="K1764" s="170"/>
      <c r="L1764" s="193" t="s">
        <v>146</v>
      </c>
    </row>
    <row r="1765" spans="1:12" ht="15.75">
      <c r="A1765" s="67">
        <f t="shared" si="27"/>
        <v>1763</v>
      </c>
      <c r="B1765" s="164">
        <v>1763</v>
      </c>
      <c r="C1765" s="193" t="s">
        <v>3058</v>
      </c>
      <c r="D1765" s="199" t="s">
        <v>6326</v>
      </c>
      <c r="E1765" s="193" t="s">
        <v>9018</v>
      </c>
      <c r="F1765" s="193" t="s">
        <v>59</v>
      </c>
      <c r="G1765" s="195" t="s">
        <v>10633</v>
      </c>
      <c r="H1765" s="166" t="s">
        <v>13436</v>
      </c>
      <c r="I1765" s="193" t="s">
        <v>12839</v>
      </c>
      <c r="J1765" s="193" t="s">
        <v>146</v>
      </c>
      <c r="K1765" s="170"/>
      <c r="L1765" s="193"/>
    </row>
    <row r="1766" spans="1:12" ht="30">
      <c r="A1766" s="67">
        <f t="shared" si="27"/>
        <v>1764</v>
      </c>
      <c r="B1766" s="164">
        <v>1764</v>
      </c>
      <c r="C1766" s="193" t="s">
        <v>3059</v>
      </c>
      <c r="D1766" s="195" t="s">
        <v>6327</v>
      </c>
      <c r="E1766" s="193" t="s">
        <v>9019</v>
      </c>
      <c r="F1766" s="193" t="s">
        <v>114</v>
      </c>
      <c r="G1766" s="195" t="s">
        <v>10121</v>
      </c>
      <c r="H1766" s="166" t="s">
        <v>13436</v>
      </c>
      <c r="I1766" s="193" t="s">
        <v>12822</v>
      </c>
      <c r="J1766" s="219" t="s">
        <v>12532</v>
      </c>
      <c r="K1766" s="170"/>
      <c r="L1766" s="193" t="s">
        <v>146</v>
      </c>
    </row>
    <row r="1767" spans="1:12" ht="15.75">
      <c r="A1767" s="67">
        <f t="shared" si="27"/>
        <v>1765</v>
      </c>
      <c r="B1767" s="164">
        <v>1765</v>
      </c>
      <c r="C1767" s="193" t="s">
        <v>3060</v>
      </c>
      <c r="D1767" s="195" t="s">
        <v>6328</v>
      </c>
      <c r="E1767" s="193" t="s">
        <v>9020</v>
      </c>
      <c r="F1767" s="193" t="s">
        <v>114</v>
      </c>
      <c r="G1767" s="195" t="s">
        <v>11227</v>
      </c>
      <c r="H1767" s="166" t="s">
        <v>13436</v>
      </c>
      <c r="I1767" s="193" t="s">
        <v>12821</v>
      </c>
      <c r="J1767" s="193" t="s">
        <v>146</v>
      </c>
      <c r="K1767" s="170"/>
      <c r="L1767" s="193" t="s">
        <v>146</v>
      </c>
    </row>
    <row r="1768" spans="1:12" ht="75">
      <c r="A1768" s="67">
        <f t="shared" si="27"/>
        <v>1766</v>
      </c>
      <c r="B1768" s="164">
        <v>1766</v>
      </c>
      <c r="C1768" s="193" t="s">
        <v>3061</v>
      </c>
      <c r="D1768" s="195" t="s">
        <v>6329</v>
      </c>
      <c r="E1768" s="193" t="s">
        <v>9021</v>
      </c>
      <c r="F1768" s="193" t="s">
        <v>114</v>
      </c>
      <c r="G1768" s="195" t="s">
        <v>11228</v>
      </c>
      <c r="H1768" s="166" t="s">
        <v>13436</v>
      </c>
      <c r="I1768" s="193" t="s">
        <v>12825</v>
      </c>
      <c r="J1768" s="193" t="s">
        <v>146</v>
      </c>
      <c r="K1768" s="170"/>
      <c r="L1768" s="193" t="s">
        <v>13286</v>
      </c>
    </row>
    <row r="1769" spans="1:12" ht="15.75">
      <c r="A1769" s="67">
        <f t="shared" si="27"/>
        <v>1767</v>
      </c>
      <c r="B1769" s="164">
        <v>1767</v>
      </c>
      <c r="C1769" s="193" t="s">
        <v>3062</v>
      </c>
      <c r="D1769" s="195" t="s">
        <v>6330</v>
      </c>
      <c r="E1769" s="193" t="s">
        <v>9022</v>
      </c>
      <c r="F1769" s="193" t="s">
        <v>114</v>
      </c>
      <c r="G1769" s="195" t="s">
        <v>11229</v>
      </c>
      <c r="H1769" s="166" t="s">
        <v>13436</v>
      </c>
      <c r="I1769" s="193" t="s">
        <v>12825</v>
      </c>
      <c r="J1769" s="193" t="s">
        <v>146</v>
      </c>
      <c r="K1769" s="170"/>
      <c r="L1769" s="193" t="s">
        <v>146</v>
      </c>
    </row>
    <row r="1770" spans="1:12" ht="15.75">
      <c r="A1770" s="67">
        <f t="shared" si="27"/>
        <v>1768</v>
      </c>
      <c r="B1770" s="164">
        <v>1768</v>
      </c>
      <c r="C1770" s="193" t="s">
        <v>3063</v>
      </c>
      <c r="D1770" s="195" t="s">
        <v>6331</v>
      </c>
      <c r="E1770" s="193" t="s">
        <v>9023</v>
      </c>
      <c r="F1770" s="193" t="s">
        <v>59</v>
      </c>
      <c r="G1770" s="195" t="s">
        <v>11230</v>
      </c>
      <c r="H1770" s="166" t="s">
        <v>13436</v>
      </c>
      <c r="I1770" s="193" t="s">
        <v>12825</v>
      </c>
      <c r="J1770" s="219" t="s">
        <v>146</v>
      </c>
      <c r="K1770" s="170"/>
      <c r="L1770" s="193"/>
    </row>
    <row r="1771" spans="1:12" ht="30">
      <c r="A1771" s="67">
        <f t="shared" si="27"/>
        <v>1769</v>
      </c>
      <c r="B1771" s="164">
        <v>1769</v>
      </c>
      <c r="C1771" s="193" t="s">
        <v>3064</v>
      </c>
      <c r="D1771" s="195" t="s">
        <v>6332</v>
      </c>
      <c r="E1771" s="193" t="s">
        <v>157</v>
      </c>
      <c r="F1771" s="193" t="s">
        <v>114</v>
      </c>
      <c r="G1771" s="195" t="s">
        <v>11231</v>
      </c>
      <c r="H1771" s="166" t="s">
        <v>13436</v>
      </c>
      <c r="I1771" s="193" t="s">
        <v>12824</v>
      </c>
      <c r="J1771" s="219" t="s">
        <v>146</v>
      </c>
      <c r="K1771" s="170"/>
      <c r="L1771" s="193" t="s">
        <v>13287</v>
      </c>
    </row>
    <row r="1772" spans="1:12" ht="15.75">
      <c r="A1772" s="67">
        <f t="shared" si="27"/>
        <v>1770</v>
      </c>
      <c r="B1772" s="164">
        <v>1770</v>
      </c>
      <c r="C1772" s="193" t="s">
        <v>3065</v>
      </c>
      <c r="D1772" s="195" t="s">
        <v>6333</v>
      </c>
      <c r="E1772" s="193" t="s">
        <v>9024</v>
      </c>
      <c r="F1772" s="193" t="s">
        <v>59</v>
      </c>
      <c r="G1772" s="195" t="s">
        <v>11232</v>
      </c>
      <c r="H1772" s="166" t="s">
        <v>13436</v>
      </c>
      <c r="I1772" s="193" t="s">
        <v>12825</v>
      </c>
      <c r="J1772" s="193" t="s">
        <v>146</v>
      </c>
      <c r="K1772" s="170"/>
      <c r="L1772" s="193"/>
    </row>
    <row r="1773" spans="1:12" ht="30">
      <c r="A1773" s="67">
        <f t="shared" si="27"/>
        <v>1771</v>
      </c>
      <c r="B1773" s="164">
        <v>1771</v>
      </c>
      <c r="C1773" s="193" t="s">
        <v>3066</v>
      </c>
      <c r="D1773" s="195" t="s">
        <v>6334</v>
      </c>
      <c r="E1773" s="193" t="s">
        <v>9025</v>
      </c>
      <c r="F1773" s="193" t="s">
        <v>114</v>
      </c>
      <c r="G1773" s="195" t="s">
        <v>11233</v>
      </c>
      <c r="H1773" s="166" t="s">
        <v>13436</v>
      </c>
      <c r="I1773" s="193" t="s">
        <v>12824</v>
      </c>
      <c r="J1773" s="193" t="s">
        <v>146</v>
      </c>
      <c r="K1773" s="170"/>
      <c r="L1773" s="193" t="s">
        <v>13288</v>
      </c>
    </row>
    <row r="1774" spans="1:12" ht="15.75">
      <c r="A1774" s="67">
        <f t="shared" si="27"/>
        <v>1772</v>
      </c>
      <c r="B1774" s="164">
        <v>1772</v>
      </c>
      <c r="C1774" s="193" t="s">
        <v>3067</v>
      </c>
      <c r="D1774" s="195" t="s">
        <v>6335</v>
      </c>
      <c r="E1774" s="193" t="s">
        <v>9026</v>
      </c>
      <c r="F1774" s="193" t="s">
        <v>59</v>
      </c>
      <c r="G1774" s="195" t="s">
        <v>763</v>
      </c>
      <c r="H1774" s="166" t="s">
        <v>13436</v>
      </c>
      <c r="I1774" s="193" t="s">
        <v>12825</v>
      </c>
      <c r="J1774" s="193" t="s">
        <v>146</v>
      </c>
      <c r="K1774" s="170"/>
      <c r="L1774" s="193"/>
    </row>
    <row r="1775" spans="1:12" ht="45">
      <c r="A1775" s="67">
        <f t="shared" si="27"/>
        <v>1773</v>
      </c>
      <c r="B1775" s="164">
        <v>1773</v>
      </c>
      <c r="C1775" s="193" t="s">
        <v>3068</v>
      </c>
      <c r="D1775" s="195" t="s">
        <v>6336</v>
      </c>
      <c r="E1775" s="193" t="s">
        <v>165</v>
      </c>
      <c r="F1775" s="193" t="s">
        <v>114</v>
      </c>
      <c r="G1775" s="195" t="s">
        <v>11234</v>
      </c>
      <c r="H1775" s="166" t="s">
        <v>13436</v>
      </c>
      <c r="I1775" s="193" t="s">
        <v>12825</v>
      </c>
      <c r="J1775" s="193" t="s">
        <v>12533</v>
      </c>
      <c r="K1775" s="170"/>
      <c r="L1775" s="193" t="s">
        <v>146</v>
      </c>
    </row>
    <row r="1776" spans="1:12" ht="15.75">
      <c r="A1776" s="67">
        <f t="shared" si="27"/>
        <v>1774</v>
      </c>
      <c r="B1776" s="164">
        <v>1774</v>
      </c>
      <c r="C1776" s="193" t="s">
        <v>3069</v>
      </c>
      <c r="D1776" s="195" t="s">
        <v>6337</v>
      </c>
      <c r="E1776" s="193" t="s">
        <v>9027</v>
      </c>
      <c r="F1776" s="193" t="s">
        <v>59</v>
      </c>
      <c r="G1776" s="195" t="s">
        <v>851</v>
      </c>
      <c r="H1776" s="166" t="s">
        <v>13436</v>
      </c>
      <c r="I1776" s="193" t="s">
        <v>12825</v>
      </c>
      <c r="J1776" s="219" t="s">
        <v>146</v>
      </c>
      <c r="K1776" s="170"/>
      <c r="L1776" s="193"/>
    </row>
    <row r="1777" spans="1:12" ht="15.75">
      <c r="A1777" s="67">
        <f t="shared" si="27"/>
        <v>1775</v>
      </c>
      <c r="B1777" s="164">
        <v>1775</v>
      </c>
      <c r="C1777" s="193" t="s">
        <v>3070</v>
      </c>
      <c r="D1777" s="195" t="s">
        <v>6338</v>
      </c>
      <c r="E1777" s="193" t="s">
        <v>9028</v>
      </c>
      <c r="F1777" s="193" t="s">
        <v>59</v>
      </c>
      <c r="G1777" s="195" t="s">
        <v>11235</v>
      </c>
      <c r="H1777" s="166" t="s">
        <v>13436</v>
      </c>
      <c r="I1777" s="193" t="s">
        <v>12825</v>
      </c>
      <c r="J1777" s="193" t="s">
        <v>12534</v>
      </c>
      <c r="K1777" s="170"/>
      <c r="L1777" s="193"/>
    </row>
    <row r="1778" spans="1:12" ht="15.75">
      <c r="A1778" s="67">
        <f t="shared" si="27"/>
        <v>1776</v>
      </c>
      <c r="B1778" s="164">
        <v>1776</v>
      </c>
      <c r="C1778" s="193" t="s">
        <v>3071</v>
      </c>
      <c r="D1778" s="195" t="s">
        <v>6339</v>
      </c>
      <c r="E1778" s="193" t="s">
        <v>9029</v>
      </c>
      <c r="F1778" s="193" t="s">
        <v>59</v>
      </c>
      <c r="G1778" s="195" t="s">
        <v>11097</v>
      </c>
      <c r="H1778" s="166" t="s">
        <v>13436</v>
      </c>
      <c r="I1778" s="193" t="s">
        <v>12812</v>
      </c>
      <c r="J1778" s="193" t="s">
        <v>146</v>
      </c>
      <c r="K1778" s="170"/>
      <c r="L1778" s="193"/>
    </row>
    <row r="1779" spans="1:12" ht="15.75">
      <c r="A1779" s="67">
        <f t="shared" si="27"/>
        <v>1777</v>
      </c>
      <c r="B1779" s="164">
        <v>1777</v>
      </c>
      <c r="C1779" s="193" t="s">
        <v>3072</v>
      </c>
      <c r="D1779" s="195" t="s">
        <v>6340</v>
      </c>
      <c r="E1779" s="193" t="s">
        <v>547</v>
      </c>
      <c r="F1779" s="193" t="s">
        <v>114</v>
      </c>
      <c r="G1779" s="195" t="s">
        <v>10946</v>
      </c>
      <c r="H1779" s="166" t="s">
        <v>13436</v>
      </c>
      <c r="I1779" s="193" t="s">
        <v>12824</v>
      </c>
      <c r="J1779" s="193" t="s">
        <v>146</v>
      </c>
      <c r="K1779" s="170"/>
      <c r="L1779" s="193" t="s">
        <v>146</v>
      </c>
    </row>
    <row r="1780" spans="1:12" ht="15.75">
      <c r="A1780" s="67">
        <f t="shared" si="27"/>
        <v>1778</v>
      </c>
      <c r="B1780" s="164">
        <v>1778</v>
      </c>
      <c r="C1780" s="193" t="s">
        <v>3073</v>
      </c>
      <c r="D1780" s="195" t="s">
        <v>6341</v>
      </c>
      <c r="E1780" s="193" t="s">
        <v>299</v>
      </c>
      <c r="F1780" s="193" t="s">
        <v>114</v>
      </c>
      <c r="G1780" s="195" t="s">
        <v>11236</v>
      </c>
      <c r="H1780" s="166" t="s">
        <v>13436</v>
      </c>
      <c r="I1780" s="193" t="s">
        <v>12824</v>
      </c>
      <c r="J1780" s="193" t="s">
        <v>146</v>
      </c>
      <c r="K1780" s="170"/>
      <c r="L1780" s="193" t="s">
        <v>146</v>
      </c>
    </row>
    <row r="1781" spans="1:12" ht="30">
      <c r="A1781" s="67">
        <f t="shared" si="27"/>
        <v>1779</v>
      </c>
      <c r="B1781" s="164">
        <v>1779</v>
      </c>
      <c r="C1781" s="193" t="s">
        <v>3074</v>
      </c>
      <c r="D1781" s="195" t="s">
        <v>6342</v>
      </c>
      <c r="E1781" s="193" t="s">
        <v>9030</v>
      </c>
      <c r="F1781" s="193" t="s">
        <v>114</v>
      </c>
      <c r="G1781" s="195" t="s">
        <v>11237</v>
      </c>
      <c r="H1781" s="166" t="s">
        <v>13436</v>
      </c>
      <c r="I1781" s="193" t="s">
        <v>12824</v>
      </c>
      <c r="J1781" s="193" t="s">
        <v>12496</v>
      </c>
      <c r="K1781" s="170"/>
      <c r="L1781" s="193" t="s">
        <v>146</v>
      </c>
    </row>
    <row r="1782" spans="1:12" ht="15.75">
      <c r="A1782" s="67">
        <f t="shared" si="27"/>
        <v>1780</v>
      </c>
      <c r="B1782" s="164">
        <v>1780</v>
      </c>
      <c r="C1782" s="193" t="s">
        <v>3075</v>
      </c>
      <c r="D1782" s="195" t="s">
        <v>6343</v>
      </c>
      <c r="E1782" s="193" t="s">
        <v>9031</v>
      </c>
      <c r="F1782" s="193" t="s">
        <v>114</v>
      </c>
      <c r="G1782" s="195" t="s">
        <v>11238</v>
      </c>
      <c r="H1782" s="166" t="s">
        <v>13436</v>
      </c>
      <c r="I1782" s="193" t="s">
        <v>12826</v>
      </c>
      <c r="J1782" s="193" t="s">
        <v>146</v>
      </c>
      <c r="K1782" s="170"/>
      <c r="L1782" s="193" t="s">
        <v>146</v>
      </c>
    </row>
    <row r="1783" spans="1:12" ht="15.75">
      <c r="A1783" s="67">
        <f t="shared" si="27"/>
        <v>1781</v>
      </c>
      <c r="B1783" s="164">
        <v>1781</v>
      </c>
      <c r="C1783" s="193" t="s">
        <v>3076</v>
      </c>
      <c r="D1783" s="195" t="s">
        <v>6344</v>
      </c>
      <c r="E1783" s="193" t="s">
        <v>9032</v>
      </c>
      <c r="F1783" s="193" t="s">
        <v>114</v>
      </c>
      <c r="G1783" s="195" t="s">
        <v>735</v>
      </c>
      <c r="H1783" s="166" t="s">
        <v>13436</v>
      </c>
      <c r="I1783" s="193" t="s">
        <v>12821</v>
      </c>
      <c r="J1783" s="193" t="s">
        <v>146</v>
      </c>
      <c r="K1783" s="170"/>
      <c r="L1783" s="193" t="s">
        <v>146</v>
      </c>
    </row>
    <row r="1784" spans="1:12" ht="15.75">
      <c r="A1784" s="67">
        <f t="shared" si="27"/>
        <v>1782</v>
      </c>
      <c r="B1784" s="164">
        <v>1782</v>
      </c>
      <c r="C1784" s="193" t="s">
        <v>3077</v>
      </c>
      <c r="D1784" s="195" t="s">
        <v>6345</v>
      </c>
      <c r="E1784" s="193" t="s">
        <v>9033</v>
      </c>
      <c r="F1784" s="193" t="s">
        <v>114</v>
      </c>
      <c r="G1784" s="195" t="s">
        <v>11239</v>
      </c>
      <c r="H1784" s="166" t="s">
        <v>13436</v>
      </c>
      <c r="I1784" s="193" t="s">
        <v>12826</v>
      </c>
      <c r="J1784" s="193" t="s">
        <v>146</v>
      </c>
      <c r="K1784" s="170"/>
      <c r="L1784" s="193" t="s">
        <v>146</v>
      </c>
    </row>
    <row r="1785" spans="1:12" ht="15.75">
      <c r="A1785" s="67">
        <f t="shared" si="27"/>
        <v>1783</v>
      </c>
      <c r="B1785" s="164">
        <v>1783</v>
      </c>
      <c r="C1785" s="193" t="s">
        <v>3078</v>
      </c>
      <c r="D1785" s="195" t="s">
        <v>6346</v>
      </c>
      <c r="E1785" s="193" t="s">
        <v>407</v>
      </c>
      <c r="F1785" s="193" t="s">
        <v>114</v>
      </c>
      <c r="G1785" s="195" t="s">
        <v>11240</v>
      </c>
      <c r="H1785" s="166" t="s">
        <v>13436</v>
      </c>
      <c r="I1785" s="193" t="s">
        <v>12835</v>
      </c>
      <c r="J1785" s="193" t="s">
        <v>12535</v>
      </c>
      <c r="K1785" s="170"/>
      <c r="L1785" s="193" t="s">
        <v>146</v>
      </c>
    </row>
    <row r="1786" spans="1:12" ht="15.75">
      <c r="A1786" s="67">
        <f t="shared" si="27"/>
        <v>1784</v>
      </c>
      <c r="B1786" s="164">
        <v>1784</v>
      </c>
      <c r="C1786" s="193" t="s">
        <v>3079</v>
      </c>
      <c r="D1786" s="195" t="s">
        <v>6347</v>
      </c>
      <c r="E1786" s="193" t="s">
        <v>9034</v>
      </c>
      <c r="F1786" s="193" t="s">
        <v>114</v>
      </c>
      <c r="G1786" s="195" t="s">
        <v>11241</v>
      </c>
      <c r="H1786" s="166" t="s">
        <v>13436</v>
      </c>
      <c r="I1786" s="193" t="s">
        <v>12826</v>
      </c>
      <c r="J1786" s="193" t="s">
        <v>146</v>
      </c>
      <c r="K1786" s="170"/>
      <c r="L1786" s="193" t="s">
        <v>146</v>
      </c>
    </row>
    <row r="1787" spans="1:12" ht="15.75">
      <c r="A1787" s="67">
        <f t="shared" si="27"/>
        <v>1785</v>
      </c>
      <c r="B1787" s="164">
        <v>1785</v>
      </c>
      <c r="C1787" s="193" t="s">
        <v>3080</v>
      </c>
      <c r="D1787" s="195" t="s">
        <v>6348</v>
      </c>
      <c r="E1787" s="193" t="s">
        <v>9035</v>
      </c>
      <c r="F1787" s="193" t="s">
        <v>114</v>
      </c>
      <c r="G1787" s="195" t="s">
        <v>11107</v>
      </c>
      <c r="H1787" s="166" t="s">
        <v>13436</v>
      </c>
      <c r="I1787" s="193" t="s">
        <v>12826</v>
      </c>
      <c r="J1787" s="193" t="s">
        <v>146</v>
      </c>
      <c r="K1787" s="170"/>
      <c r="L1787" s="193" t="s">
        <v>146</v>
      </c>
    </row>
    <row r="1788" spans="1:12" ht="30">
      <c r="A1788" s="67">
        <f t="shared" si="27"/>
        <v>1786</v>
      </c>
      <c r="B1788" s="164">
        <v>1786</v>
      </c>
      <c r="C1788" s="193" t="s">
        <v>3081</v>
      </c>
      <c r="D1788" s="195" t="s">
        <v>6349</v>
      </c>
      <c r="E1788" s="193" t="s">
        <v>9036</v>
      </c>
      <c r="F1788" s="193" t="s">
        <v>114</v>
      </c>
      <c r="G1788" s="195" t="s">
        <v>837</v>
      </c>
      <c r="H1788" s="166" t="s">
        <v>13436</v>
      </c>
      <c r="I1788" s="193" t="s">
        <v>12826</v>
      </c>
      <c r="J1788" s="193" t="s">
        <v>12536</v>
      </c>
      <c r="K1788" s="170"/>
      <c r="L1788" s="193" t="s">
        <v>146</v>
      </c>
    </row>
    <row r="1789" spans="1:12" ht="15.75">
      <c r="A1789" s="67">
        <f t="shared" si="27"/>
        <v>1787</v>
      </c>
      <c r="B1789" s="164">
        <v>1787</v>
      </c>
      <c r="C1789" s="193" t="s">
        <v>3082</v>
      </c>
      <c r="D1789" s="195" t="s">
        <v>6350</v>
      </c>
      <c r="E1789" s="193" t="s">
        <v>9037</v>
      </c>
      <c r="F1789" s="193" t="s">
        <v>114</v>
      </c>
      <c r="G1789" s="195" t="s">
        <v>839</v>
      </c>
      <c r="H1789" s="166" t="s">
        <v>13436</v>
      </c>
      <c r="I1789" s="193" t="s">
        <v>12826</v>
      </c>
      <c r="J1789" s="193" t="s">
        <v>146</v>
      </c>
      <c r="K1789" s="170"/>
      <c r="L1789" s="193" t="s">
        <v>146</v>
      </c>
    </row>
    <row r="1790" spans="1:12" ht="15.75">
      <c r="A1790" s="67">
        <f t="shared" si="27"/>
        <v>1788</v>
      </c>
      <c r="B1790" s="164">
        <v>1788</v>
      </c>
      <c r="C1790" s="193" t="s">
        <v>3083</v>
      </c>
      <c r="D1790" s="195" t="s">
        <v>6351</v>
      </c>
      <c r="E1790" s="193" t="s">
        <v>177</v>
      </c>
      <c r="F1790" s="193" t="s">
        <v>114</v>
      </c>
      <c r="G1790" s="195" t="s">
        <v>842</v>
      </c>
      <c r="H1790" s="166" t="s">
        <v>13436</v>
      </c>
      <c r="I1790" s="193" t="s">
        <v>12826</v>
      </c>
      <c r="J1790" s="193" t="s">
        <v>146</v>
      </c>
      <c r="K1790" s="170"/>
      <c r="L1790" s="193" t="s">
        <v>146</v>
      </c>
    </row>
    <row r="1791" spans="1:12" ht="30">
      <c r="A1791" s="67">
        <f t="shared" si="27"/>
        <v>1789</v>
      </c>
      <c r="B1791" s="164">
        <v>1789</v>
      </c>
      <c r="C1791" s="193" t="s">
        <v>3084</v>
      </c>
      <c r="D1791" s="195" t="s">
        <v>6352</v>
      </c>
      <c r="E1791" s="193" t="s">
        <v>9038</v>
      </c>
      <c r="F1791" s="193" t="s">
        <v>114</v>
      </c>
      <c r="G1791" s="195" t="s">
        <v>11242</v>
      </c>
      <c r="H1791" s="166" t="s">
        <v>13436</v>
      </c>
      <c r="I1791" s="193" t="s">
        <v>12826</v>
      </c>
      <c r="J1791" s="193" t="s">
        <v>146</v>
      </c>
      <c r="K1791" s="170"/>
      <c r="L1791" s="193" t="s">
        <v>13289</v>
      </c>
    </row>
    <row r="1792" spans="1:12" ht="30">
      <c r="A1792" s="67">
        <f t="shared" si="27"/>
        <v>1790</v>
      </c>
      <c r="B1792" s="164">
        <v>1790</v>
      </c>
      <c r="C1792" s="193" t="s">
        <v>3085</v>
      </c>
      <c r="D1792" s="195" t="s">
        <v>6353</v>
      </c>
      <c r="E1792" s="193" t="s">
        <v>8203</v>
      </c>
      <c r="F1792" s="193" t="s">
        <v>114</v>
      </c>
      <c r="G1792" s="195" t="s">
        <v>11243</v>
      </c>
      <c r="H1792" s="166" t="s">
        <v>13436</v>
      </c>
      <c r="I1792" s="193" t="s">
        <v>12824</v>
      </c>
      <c r="J1792" s="219" t="s">
        <v>12537</v>
      </c>
      <c r="K1792" s="170"/>
      <c r="L1792" s="219" t="s">
        <v>146</v>
      </c>
    </row>
    <row r="1793" spans="1:12" ht="15.75">
      <c r="A1793" s="67">
        <f t="shared" si="27"/>
        <v>1791</v>
      </c>
      <c r="B1793" s="164">
        <v>1791</v>
      </c>
      <c r="C1793" s="193" t="s">
        <v>3086</v>
      </c>
      <c r="D1793" s="195" t="s">
        <v>6354</v>
      </c>
      <c r="E1793" s="193" t="s">
        <v>9039</v>
      </c>
      <c r="F1793" s="193" t="s">
        <v>114</v>
      </c>
      <c r="G1793" s="195" t="s">
        <v>1019</v>
      </c>
      <c r="H1793" s="166" t="s">
        <v>13436</v>
      </c>
      <c r="I1793" s="193" t="s">
        <v>12826</v>
      </c>
      <c r="J1793" s="193" t="s">
        <v>146</v>
      </c>
      <c r="K1793" s="170"/>
      <c r="L1793" s="193" t="s">
        <v>146</v>
      </c>
    </row>
    <row r="1794" spans="1:12" ht="15.75">
      <c r="A1794" s="67">
        <f t="shared" si="27"/>
        <v>1792</v>
      </c>
      <c r="B1794" s="164">
        <v>1792</v>
      </c>
      <c r="C1794" s="193" t="s">
        <v>3087</v>
      </c>
      <c r="D1794" s="195" t="s">
        <v>6355</v>
      </c>
      <c r="E1794" s="193" t="s">
        <v>9040</v>
      </c>
      <c r="F1794" s="193" t="s">
        <v>114</v>
      </c>
      <c r="G1794" s="195" t="s">
        <v>11244</v>
      </c>
      <c r="H1794" s="166" t="s">
        <v>13436</v>
      </c>
      <c r="I1794" s="193" t="s">
        <v>12826</v>
      </c>
      <c r="J1794" s="193" t="s">
        <v>146</v>
      </c>
      <c r="K1794" s="170"/>
      <c r="L1794" s="193" t="s">
        <v>146</v>
      </c>
    </row>
    <row r="1795" spans="1:12" ht="15.75">
      <c r="A1795" s="67">
        <f t="shared" ref="A1795:A1858" si="28">IFERROR(VALUE(RIGHT(C1795,4)),"")</f>
        <v>1793</v>
      </c>
      <c r="B1795" s="164">
        <v>1793</v>
      </c>
      <c r="C1795" s="193" t="s">
        <v>3088</v>
      </c>
      <c r="D1795" s="197" t="s">
        <v>6356</v>
      </c>
      <c r="E1795" s="193" t="s">
        <v>9041</v>
      </c>
      <c r="F1795" s="193" t="s">
        <v>114</v>
      </c>
      <c r="G1795" s="195" t="s">
        <v>11245</v>
      </c>
      <c r="H1795" s="166" t="s">
        <v>13436</v>
      </c>
      <c r="I1795" s="193" t="s">
        <v>12816</v>
      </c>
      <c r="J1795" s="193" t="s">
        <v>146</v>
      </c>
      <c r="K1795" s="170"/>
      <c r="L1795" s="193" t="s">
        <v>146</v>
      </c>
    </row>
    <row r="1796" spans="1:12" ht="30">
      <c r="A1796" s="67">
        <f t="shared" si="28"/>
        <v>1794</v>
      </c>
      <c r="B1796" s="164">
        <v>1794</v>
      </c>
      <c r="C1796" s="193" t="s">
        <v>3089</v>
      </c>
      <c r="D1796" s="195" t="s">
        <v>6357</v>
      </c>
      <c r="E1796" s="193" t="s">
        <v>8677</v>
      </c>
      <c r="F1796" s="193" t="s">
        <v>114</v>
      </c>
      <c r="G1796" s="195" t="s">
        <v>964</v>
      </c>
      <c r="H1796" s="166" t="s">
        <v>13436</v>
      </c>
      <c r="I1796" s="193" t="s">
        <v>12826</v>
      </c>
      <c r="J1796" s="193" t="s">
        <v>146</v>
      </c>
      <c r="K1796" s="170"/>
      <c r="L1796" s="193" t="s">
        <v>13290</v>
      </c>
    </row>
    <row r="1797" spans="1:12" ht="15.75">
      <c r="A1797" s="67">
        <f t="shared" si="28"/>
        <v>1795</v>
      </c>
      <c r="B1797" s="164">
        <v>1795</v>
      </c>
      <c r="C1797" s="193" t="s">
        <v>3090</v>
      </c>
      <c r="D1797" s="195" t="s">
        <v>6358</v>
      </c>
      <c r="E1797" s="193" t="s">
        <v>9042</v>
      </c>
      <c r="F1797" s="193" t="s">
        <v>114</v>
      </c>
      <c r="G1797" s="195" t="s">
        <v>11246</v>
      </c>
      <c r="H1797" s="166" t="s">
        <v>13436</v>
      </c>
      <c r="I1797" s="193" t="s">
        <v>12826</v>
      </c>
      <c r="J1797" s="193" t="s">
        <v>146</v>
      </c>
      <c r="K1797" s="170"/>
      <c r="L1797" s="193" t="s">
        <v>146</v>
      </c>
    </row>
    <row r="1798" spans="1:12" ht="15.75">
      <c r="A1798" s="67">
        <f t="shared" si="28"/>
        <v>1796</v>
      </c>
      <c r="B1798" s="164">
        <v>1796</v>
      </c>
      <c r="C1798" s="193" t="s">
        <v>3091</v>
      </c>
      <c r="D1798" s="195" t="s">
        <v>6359</v>
      </c>
      <c r="E1798" s="193" t="s">
        <v>9043</v>
      </c>
      <c r="F1798" s="193" t="s">
        <v>114</v>
      </c>
      <c r="G1798" s="195" t="s">
        <v>902</v>
      </c>
      <c r="H1798" s="166" t="s">
        <v>13436</v>
      </c>
      <c r="I1798" s="193" t="s">
        <v>12826</v>
      </c>
      <c r="J1798" s="193" t="s">
        <v>146</v>
      </c>
      <c r="K1798" s="170"/>
      <c r="L1798" s="193" t="s">
        <v>146</v>
      </c>
    </row>
    <row r="1799" spans="1:12" ht="15.75">
      <c r="A1799" s="67">
        <f t="shared" si="28"/>
        <v>1797</v>
      </c>
      <c r="B1799" s="164">
        <v>1797</v>
      </c>
      <c r="C1799" s="193" t="s">
        <v>3092</v>
      </c>
      <c r="D1799" s="195" t="s">
        <v>6360</v>
      </c>
      <c r="E1799" s="193" t="s">
        <v>9044</v>
      </c>
      <c r="F1799" s="193" t="s">
        <v>114</v>
      </c>
      <c r="G1799" s="195" t="s">
        <v>11247</v>
      </c>
      <c r="H1799" s="166" t="s">
        <v>13436</v>
      </c>
      <c r="I1799" s="193" t="s">
        <v>12826</v>
      </c>
      <c r="J1799" s="193" t="s">
        <v>146</v>
      </c>
      <c r="K1799" s="170"/>
      <c r="L1799" s="193" t="s">
        <v>146</v>
      </c>
    </row>
    <row r="1800" spans="1:12" ht="60">
      <c r="A1800" s="67">
        <f t="shared" si="28"/>
        <v>1798</v>
      </c>
      <c r="B1800" s="164">
        <v>1798</v>
      </c>
      <c r="C1800" s="193" t="s">
        <v>3093</v>
      </c>
      <c r="D1800" s="195" t="s">
        <v>6361</v>
      </c>
      <c r="E1800" s="193" t="s">
        <v>347</v>
      </c>
      <c r="F1800" s="193" t="s">
        <v>114</v>
      </c>
      <c r="G1800" s="195" t="s">
        <v>11248</v>
      </c>
      <c r="H1800" s="166" t="s">
        <v>13436</v>
      </c>
      <c r="I1800" s="193" t="s">
        <v>12824</v>
      </c>
      <c r="J1800" s="193" t="s">
        <v>146</v>
      </c>
      <c r="K1800" s="170"/>
      <c r="L1800" s="193" t="s">
        <v>13291</v>
      </c>
    </row>
    <row r="1801" spans="1:12" ht="15.75">
      <c r="A1801" s="67">
        <f t="shared" si="28"/>
        <v>1799</v>
      </c>
      <c r="B1801" s="164">
        <v>1799</v>
      </c>
      <c r="C1801" s="193" t="s">
        <v>3094</v>
      </c>
      <c r="D1801" s="196" t="s">
        <v>6362</v>
      </c>
      <c r="E1801" s="193" t="s">
        <v>172</v>
      </c>
      <c r="F1801" s="193" t="s">
        <v>114</v>
      </c>
      <c r="G1801" s="195" t="s">
        <v>11249</v>
      </c>
      <c r="H1801" s="166" t="s">
        <v>13436</v>
      </c>
      <c r="I1801" s="193" t="s">
        <v>12833</v>
      </c>
      <c r="J1801" s="193" t="s">
        <v>146</v>
      </c>
      <c r="K1801" s="170"/>
      <c r="L1801" s="193" t="s">
        <v>146</v>
      </c>
    </row>
    <row r="1802" spans="1:12" ht="30">
      <c r="A1802" s="67">
        <f t="shared" si="28"/>
        <v>1800</v>
      </c>
      <c r="B1802" s="164">
        <v>1800</v>
      </c>
      <c r="C1802" s="193" t="s">
        <v>3095</v>
      </c>
      <c r="D1802" s="195" t="s">
        <v>6363</v>
      </c>
      <c r="E1802" s="193" t="s">
        <v>593</v>
      </c>
      <c r="F1802" s="193" t="s">
        <v>114</v>
      </c>
      <c r="G1802" s="195" t="s">
        <v>11250</v>
      </c>
      <c r="H1802" s="166" t="s">
        <v>13436</v>
      </c>
      <c r="I1802" s="193" t="s">
        <v>12826</v>
      </c>
      <c r="J1802" s="193" t="s">
        <v>12538</v>
      </c>
      <c r="K1802" s="170"/>
      <c r="L1802" s="193" t="s">
        <v>13292</v>
      </c>
    </row>
    <row r="1803" spans="1:12" ht="15.75">
      <c r="A1803" s="67">
        <f t="shared" si="28"/>
        <v>1801</v>
      </c>
      <c r="B1803" s="164">
        <v>1801</v>
      </c>
      <c r="C1803" s="193" t="s">
        <v>3096</v>
      </c>
      <c r="D1803" s="195" t="s">
        <v>6364</v>
      </c>
      <c r="E1803" s="193" t="s">
        <v>189</v>
      </c>
      <c r="F1803" s="193" t="s">
        <v>114</v>
      </c>
      <c r="G1803" s="195" t="s">
        <v>922</v>
      </c>
      <c r="H1803" s="166" t="s">
        <v>13436</v>
      </c>
      <c r="I1803" s="193" t="s">
        <v>12819</v>
      </c>
      <c r="J1803" s="193" t="s">
        <v>146</v>
      </c>
      <c r="K1803" s="170"/>
      <c r="L1803" s="193" t="s">
        <v>146</v>
      </c>
    </row>
    <row r="1804" spans="1:12" ht="30">
      <c r="A1804" s="67">
        <f t="shared" si="28"/>
        <v>1802</v>
      </c>
      <c r="B1804" s="164">
        <v>1802</v>
      </c>
      <c r="C1804" s="193" t="s">
        <v>3097</v>
      </c>
      <c r="D1804" s="195" t="s">
        <v>6365</v>
      </c>
      <c r="E1804" s="193" t="s">
        <v>9045</v>
      </c>
      <c r="F1804" s="193" t="s">
        <v>114</v>
      </c>
      <c r="G1804" s="195" t="s">
        <v>797</v>
      </c>
      <c r="H1804" s="166" t="s">
        <v>13436</v>
      </c>
      <c r="I1804" s="193" t="s">
        <v>12826</v>
      </c>
      <c r="J1804" s="193" t="s">
        <v>12539</v>
      </c>
      <c r="K1804" s="170"/>
      <c r="L1804" s="193" t="s">
        <v>146</v>
      </c>
    </row>
    <row r="1805" spans="1:12" ht="15.75">
      <c r="A1805" s="67">
        <f t="shared" si="28"/>
        <v>1803</v>
      </c>
      <c r="B1805" s="164">
        <v>1803</v>
      </c>
      <c r="C1805" s="193" t="s">
        <v>3098</v>
      </c>
      <c r="D1805" s="195" t="s">
        <v>6366</v>
      </c>
      <c r="E1805" s="193" t="s">
        <v>9046</v>
      </c>
      <c r="F1805" s="193" t="s">
        <v>114</v>
      </c>
      <c r="G1805" s="195" t="s">
        <v>11251</v>
      </c>
      <c r="H1805" s="166" t="s">
        <v>13436</v>
      </c>
      <c r="I1805" s="193" t="s">
        <v>12826</v>
      </c>
      <c r="J1805" s="193" t="s">
        <v>146</v>
      </c>
      <c r="K1805" s="170"/>
      <c r="L1805" s="193" t="s">
        <v>146</v>
      </c>
    </row>
    <row r="1806" spans="1:12" ht="30">
      <c r="A1806" s="67">
        <f t="shared" si="28"/>
        <v>1804</v>
      </c>
      <c r="B1806" s="164">
        <v>1804</v>
      </c>
      <c r="C1806" s="193" t="s">
        <v>3099</v>
      </c>
      <c r="D1806" s="201" t="s">
        <v>6367</v>
      </c>
      <c r="E1806" s="193" t="s">
        <v>9047</v>
      </c>
      <c r="F1806" s="193" t="s">
        <v>59</v>
      </c>
      <c r="G1806" s="195" t="s">
        <v>11252</v>
      </c>
      <c r="H1806" s="166" t="s">
        <v>13436</v>
      </c>
      <c r="I1806" s="193" t="s">
        <v>12834</v>
      </c>
      <c r="J1806" s="193" t="s">
        <v>12540</v>
      </c>
      <c r="K1806" s="170"/>
      <c r="L1806" s="193"/>
    </row>
    <row r="1807" spans="1:12" ht="30">
      <c r="A1807" s="67">
        <f t="shared" si="28"/>
        <v>1805</v>
      </c>
      <c r="B1807" s="164">
        <v>1805</v>
      </c>
      <c r="C1807" s="193" t="s">
        <v>3100</v>
      </c>
      <c r="D1807" s="195" t="s">
        <v>6368</v>
      </c>
      <c r="E1807" s="193" t="s">
        <v>9048</v>
      </c>
      <c r="F1807" s="193" t="s">
        <v>59</v>
      </c>
      <c r="G1807" s="195" t="s">
        <v>1103</v>
      </c>
      <c r="H1807" s="166" t="s">
        <v>13436</v>
      </c>
      <c r="I1807" s="193" t="s">
        <v>12812</v>
      </c>
      <c r="J1807" s="193" t="s">
        <v>12541</v>
      </c>
      <c r="K1807" s="170"/>
      <c r="L1807" s="193"/>
    </row>
    <row r="1808" spans="1:12" ht="30">
      <c r="A1808" s="67">
        <f t="shared" si="28"/>
        <v>1806</v>
      </c>
      <c r="B1808" s="164">
        <v>1806</v>
      </c>
      <c r="C1808" s="193" t="s">
        <v>3101</v>
      </c>
      <c r="D1808" s="201" t="s">
        <v>6369</v>
      </c>
      <c r="E1808" s="193" t="s">
        <v>9049</v>
      </c>
      <c r="F1808" s="193" t="s">
        <v>59</v>
      </c>
      <c r="G1808" s="195" t="s">
        <v>11253</v>
      </c>
      <c r="H1808" s="166" t="s">
        <v>13436</v>
      </c>
      <c r="I1808" s="193" t="s">
        <v>12834</v>
      </c>
      <c r="J1808" s="193" t="s">
        <v>12542</v>
      </c>
      <c r="K1808" s="170"/>
      <c r="L1808" s="193"/>
    </row>
    <row r="1809" spans="1:12" ht="45">
      <c r="A1809" s="67">
        <f t="shared" si="28"/>
        <v>1807</v>
      </c>
      <c r="B1809" s="164">
        <v>1807</v>
      </c>
      <c r="C1809" s="193" t="s">
        <v>3102</v>
      </c>
      <c r="D1809" s="201" t="s">
        <v>6370</v>
      </c>
      <c r="E1809" s="193" t="s">
        <v>514</v>
      </c>
      <c r="F1809" s="193" t="s">
        <v>59</v>
      </c>
      <c r="G1809" s="195" t="s">
        <v>11254</v>
      </c>
      <c r="H1809" s="166" t="s">
        <v>13436</v>
      </c>
      <c r="I1809" s="193" t="s">
        <v>12834</v>
      </c>
      <c r="J1809" s="193" t="s">
        <v>12543</v>
      </c>
      <c r="K1809" s="170"/>
      <c r="L1809" s="193"/>
    </row>
    <row r="1810" spans="1:12" ht="30">
      <c r="A1810" s="67">
        <f t="shared" si="28"/>
        <v>1808</v>
      </c>
      <c r="B1810" s="164">
        <v>1808</v>
      </c>
      <c r="C1810" s="193" t="s">
        <v>3103</v>
      </c>
      <c r="D1810" s="195" t="s">
        <v>6371</v>
      </c>
      <c r="E1810" s="193" t="s">
        <v>9050</v>
      </c>
      <c r="F1810" s="193" t="s">
        <v>59</v>
      </c>
      <c r="G1810" s="195" t="s">
        <v>857</v>
      </c>
      <c r="H1810" s="166" t="s">
        <v>13436</v>
      </c>
      <c r="I1810" s="193" t="s">
        <v>12825</v>
      </c>
      <c r="J1810" s="193" t="s">
        <v>12544</v>
      </c>
      <c r="K1810" s="170"/>
      <c r="L1810" s="193"/>
    </row>
    <row r="1811" spans="1:12" ht="15.75">
      <c r="A1811" s="67">
        <f t="shared" si="28"/>
        <v>1809</v>
      </c>
      <c r="B1811" s="164">
        <v>1809</v>
      </c>
      <c r="C1811" s="193" t="s">
        <v>3104</v>
      </c>
      <c r="D1811" s="195" t="s">
        <v>6372</v>
      </c>
      <c r="E1811" s="193" t="s">
        <v>9051</v>
      </c>
      <c r="F1811" s="193" t="s">
        <v>59</v>
      </c>
      <c r="G1811" s="195" t="s">
        <v>10990</v>
      </c>
      <c r="H1811" s="166" t="s">
        <v>13436</v>
      </c>
      <c r="I1811" s="193" t="s">
        <v>12809</v>
      </c>
      <c r="J1811" s="193" t="s">
        <v>146</v>
      </c>
      <c r="K1811" s="170"/>
      <c r="L1811" s="193"/>
    </row>
    <row r="1812" spans="1:12" ht="15.75">
      <c r="A1812" s="67">
        <f t="shared" si="28"/>
        <v>1810</v>
      </c>
      <c r="B1812" s="164">
        <v>1810</v>
      </c>
      <c r="C1812" s="193" t="s">
        <v>3105</v>
      </c>
      <c r="D1812" s="195" t="s">
        <v>6373</v>
      </c>
      <c r="E1812" s="193" t="s">
        <v>9052</v>
      </c>
      <c r="F1812" s="193" t="s">
        <v>59</v>
      </c>
      <c r="G1812" s="195" t="s">
        <v>10910</v>
      </c>
      <c r="H1812" s="166" t="s">
        <v>13436</v>
      </c>
      <c r="I1812" s="193" t="s">
        <v>12821</v>
      </c>
      <c r="J1812" s="193" t="s">
        <v>147</v>
      </c>
      <c r="K1812" s="170"/>
      <c r="L1812" s="193"/>
    </row>
    <row r="1813" spans="1:12" ht="60">
      <c r="A1813" s="67">
        <f t="shared" si="28"/>
        <v>1811</v>
      </c>
      <c r="B1813" s="164">
        <v>1811</v>
      </c>
      <c r="C1813" s="193" t="s">
        <v>3106</v>
      </c>
      <c r="D1813" s="195" t="s">
        <v>6374</v>
      </c>
      <c r="E1813" s="193" t="s">
        <v>9053</v>
      </c>
      <c r="F1813" s="193" t="s">
        <v>114</v>
      </c>
      <c r="G1813" s="195" t="s">
        <v>10883</v>
      </c>
      <c r="H1813" s="166" t="s">
        <v>13436</v>
      </c>
      <c r="I1813" s="193" t="s">
        <v>12819</v>
      </c>
      <c r="J1813" s="193" t="s">
        <v>12545</v>
      </c>
      <c r="K1813" s="170"/>
      <c r="L1813" s="193" t="s">
        <v>13293</v>
      </c>
    </row>
    <row r="1814" spans="1:12" ht="15.75">
      <c r="A1814" s="67">
        <f t="shared" si="28"/>
        <v>1812</v>
      </c>
      <c r="B1814" s="164">
        <v>1812</v>
      </c>
      <c r="C1814" s="193" t="s">
        <v>3107</v>
      </c>
      <c r="D1814" s="195" t="s">
        <v>6375</v>
      </c>
      <c r="E1814" s="193" t="s">
        <v>8995</v>
      </c>
      <c r="F1814" s="193" t="s">
        <v>114</v>
      </c>
      <c r="G1814" s="195" t="s">
        <v>11255</v>
      </c>
      <c r="H1814" s="166" t="s">
        <v>13436</v>
      </c>
      <c r="I1814" s="193" t="s">
        <v>12812</v>
      </c>
      <c r="J1814" s="193" t="s">
        <v>146</v>
      </c>
      <c r="K1814" s="170"/>
      <c r="L1814" s="193" t="s">
        <v>146</v>
      </c>
    </row>
    <row r="1815" spans="1:12" ht="15.75">
      <c r="A1815" s="67">
        <f t="shared" si="28"/>
        <v>1813</v>
      </c>
      <c r="B1815" s="164">
        <v>1813</v>
      </c>
      <c r="C1815" s="193" t="s">
        <v>3108</v>
      </c>
      <c r="D1815" s="195" t="s">
        <v>6376</v>
      </c>
      <c r="E1815" s="193" t="s">
        <v>9054</v>
      </c>
      <c r="F1815" s="193" t="s">
        <v>114</v>
      </c>
      <c r="G1815" s="195" t="s">
        <v>985</v>
      </c>
      <c r="H1815" s="166" t="s">
        <v>13436</v>
      </c>
      <c r="I1815" s="193" t="s">
        <v>12814</v>
      </c>
      <c r="J1815" s="193" t="s">
        <v>146</v>
      </c>
      <c r="K1815" s="170"/>
      <c r="L1815" s="193" t="s">
        <v>146</v>
      </c>
    </row>
    <row r="1816" spans="1:12" ht="15.75">
      <c r="A1816" s="67">
        <f t="shared" si="28"/>
        <v>1814</v>
      </c>
      <c r="B1816" s="164">
        <v>1814</v>
      </c>
      <c r="C1816" s="193" t="s">
        <v>3109</v>
      </c>
      <c r="D1816" s="195" t="s">
        <v>6377</v>
      </c>
      <c r="E1816" s="193" t="s">
        <v>188</v>
      </c>
      <c r="F1816" s="193" t="s">
        <v>114</v>
      </c>
      <c r="G1816" s="195" t="s">
        <v>11256</v>
      </c>
      <c r="H1816" s="166" t="s">
        <v>13436</v>
      </c>
      <c r="I1816" s="193" t="s">
        <v>12812</v>
      </c>
      <c r="J1816" s="193" t="s">
        <v>146</v>
      </c>
      <c r="K1816" s="170"/>
      <c r="L1816" s="193" t="s">
        <v>146</v>
      </c>
    </row>
    <row r="1817" spans="1:12" ht="15.75">
      <c r="A1817" s="67">
        <f t="shared" si="28"/>
        <v>1815</v>
      </c>
      <c r="B1817" s="164">
        <v>1815</v>
      </c>
      <c r="C1817" s="193" t="s">
        <v>3110</v>
      </c>
      <c r="D1817" s="195" t="s">
        <v>6378</v>
      </c>
      <c r="E1817" s="193" t="s">
        <v>9055</v>
      </c>
      <c r="F1817" s="193" t="s">
        <v>114</v>
      </c>
      <c r="G1817" s="195" t="s">
        <v>882</v>
      </c>
      <c r="H1817" s="166" t="s">
        <v>13436</v>
      </c>
      <c r="I1817" s="193" t="s">
        <v>12812</v>
      </c>
      <c r="J1817" s="193" t="s">
        <v>146</v>
      </c>
      <c r="K1817" s="170"/>
      <c r="L1817" s="193" t="s">
        <v>146</v>
      </c>
    </row>
    <row r="1818" spans="1:12" ht="15.75">
      <c r="A1818" s="67">
        <f t="shared" si="28"/>
        <v>1816</v>
      </c>
      <c r="B1818" s="164">
        <v>1816</v>
      </c>
      <c r="C1818" s="193" t="s">
        <v>3111</v>
      </c>
      <c r="D1818" s="197" t="s">
        <v>6379</v>
      </c>
      <c r="E1818" s="193" t="s">
        <v>525</v>
      </c>
      <c r="F1818" s="193" t="s">
        <v>59</v>
      </c>
      <c r="G1818" s="195" t="s">
        <v>11257</v>
      </c>
      <c r="H1818" s="166" t="s">
        <v>13436</v>
      </c>
      <c r="I1818" s="193" t="s">
        <v>12816</v>
      </c>
      <c r="J1818" s="193" t="s">
        <v>147</v>
      </c>
      <c r="K1818" s="170"/>
      <c r="L1818" s="193"/>
    </row>
    <row r="1819" spans="1:12" ht="15.75">
      <c r="A1819" s="67">
        <f t="shared" si="28"/>
        <v>1817</v>
      </c>
      <c r="B1819" s="164">
        <v>1817</v>
      </c>
      <c r="C1819" s="193" t="s">
        <v>3112</v>
      </c>
      <c r="D1819" s="195" t="s">
        <v>6380</v>
      </c>
      <c r="E1819" s="193" t="s">
        <v>9056</v>
      </c>
      <c r="F1819" s="193" t="s">
        <v>59</v>
      </c>
      <c r="G1819" s="195" t="s">
        <v>11258</v>
      </c>
      <c r="H1819" s="166" t="s">
        <v>13436</v>
      </c>
      <c r="I1819" s="193" t="s">
        <v>12812</v>
      </c>
      <c r="J1819" s="193"/>
      <c r="K1819" s="170"/>
      <c r="L1819" s="193"/>
    </row>
    <row r="1820" spans="1:12" ht="15.75">
      <c r="A1820" s="67">
        <f t="shared" si="28"/>
        <v>1818</v>
      </c>
      <c r="B1820" s="164">
        <v>1818</v>
      </c>
      <c r="C1820" s="193" t="s">
        <v>3113</v>
      </c>
      <c r="D1820" s="197" t="s">
        <v>6381</v>
      </c>
      <c r="E1820" s="193" t="s">
        <v>9057</v>
      </c>
      <c r="F1820" s="193" t="s">
        <v>59</v>
      </c>
      <c r="G1820" s="195" t="s">
        <v>11259</v>
      </c>
      <c r="H1820" s="166" t="s">
        <v>13436</v>
      </c>
      <c r="I1820" s="193" t="s">
        <v>12816</v>
      </c>
      <c r="J1820" s="219" t="s">
        <v>146</v>
      </c>
      <c r="K1820" s="170"/>
      <c r="L1820" s="193"/>
    </row>
    <row r="1821" spans="1:12" ht="15.75">
      <c r="A1821" s="67">
        <f t="shared" si="28"/>
        <v>1819</v>
      </c>
      <c r="B1821" s="164">
        <v>1819</v>
      </c>
      <c r="C1821" s="193" t="s">
        <v>3114</v>
      </c>
      <c r="D1821" s="197" t="s">
        <v>6382</v>
      </c>
      <c r="E1821" s="193" t="s">
        <v>9058</v>
      </c>
      <c r="F1821" s="193" t="s">
        <v>59</v>
      </c>
      <c r="G1821" s="195" t="s">
        <v>977</v>
      </c>
      <c r="H1821" s="166" t="s">
        <v>13436</v>
      </c>
      <c r="I1821" s="193" t="s">
        <v>12816</v>
      </c>
      <c r="J1821" s="219" t="s">
        <v>146</v>
      </c>
      <c r="K1821" s="170"/>
      <c r="L1821" s="193"/>
    </row>
    <row r="1822" spans="1:12" ht="15.75">
      <c r="A1822" s="67">
        <f t="shared" si="28"/>
        <v>1820</v>
      </c>
      <c r="B1822" s="164">
        <v>1820</v>
      </c>
      <c r="C1822" s="193" t="s">
        <v>3115</v>
      </c>
      <c r="D1822" s="195" t="s">
        <v>6383</v>
      </c>
      <c r="E1822" s="193" t="s">
        <v>9059</v>
      </c>
      <c r="F1822" s="193" t="s">
        <v>59</v>
      </c>
      <c r="G1822" s="195" t="s">
        <v>11260</v>
      </c>
      <c r="H1822" s="166" t="s">
        <v>13436</v>
      </c>
      <c r="I1822" s="193" t="s">
        <v>12817</v>
      </c>
      <c r="J1822" s="193" t="s">
        <v>146</v>
      </c>
      <c r="K1822" s="170"/>
      <c r="L1822" s="193"/>
    </row>
    <row r="1823" spans="1:12" ht="15.75">
      <c r="A1823" s="67">
        <f t="shared" si="28"/>
        <v>1821</v>
      </c>
      <c r="B1823" s="164">
        <v>1821</v>
      </c>
      <c r="C1823" s="193" t="s">
        <v>3116</v>
      </c>
      <c r="D1823" s="195" t="s">
        <v>6384</v>
      </c>
      <c r="E1823" s="193" t="s">
        <v>9060</v>
      </c>
      <c r="F1823" s="193" t="s">
        <v>114</v>
      </c>
      <c r="G1823" s="195" t="s">
        <v>10384</v>
      </c>
      <c r="H1823" s="166" t="s">
        <v>13436</v>
      </c>
      <c r="I1823" s="193" t="s">
        <v>12819</v>
      </c>
      <c r="J1823" s="193" t="s">
        <v>146</v>
      </c>
      <c r="K1823" s="170"/>
      <c r="L1823" s="193" t="s">
        <v>146</v>
      </c>
    </row>
    <row r="1824" spans="1:12" ht="30">
      <c r="A1824" s="67">
        <f t="shared" si="28"/>
        <v>1822</v>
      </c>
      <c r="B1824" s="164">
        <v>1822</v>
      </c>
      <c r="C1824" s="193" t="s">
        <v>3117</v>
      </c>
      <c r="D1824" s="195" t="s">
        <v>6385</v>
      </c>
      <c r="E1824" s="193" t="s">
        <v>9061</v>
      </c>
      <c r="F1824" s="193" t="s">
        <v>59</v>
      </c>
      <c r="G1824" s="195" t="s">
        <v>992</v>
      </c>
      <c r="H1824" s="166" t="s">
        <v>13436</v>
      </c>
      <c r="I1824" s="193" t="s">
        <v>12821</v>
      </c>
      <c r="J1824" s="219" t="s">
        <v>12112</v>
      </c>
      <c r="K1824" s="170"/>
      <c r="L1824" s="193"/>
    </row>
    <row r="1825" spans="1:12" ht="15.75">
      <c r="A1825" s="67">
        <f t="shared" si="28"/>
        <v>1823</v>
      </c>
      <c r="B1825" s="164">
        <v>1823</v>
      </c>
      <c r="C1825" s="193" t="s">
        <v>3118</v>
      </c>
      <c r="D1825" s="195" t="s">
        <v>6386</v>
      </c>
      <c r="E1825" s="193" t="s">
        <v>555</v>
      </c>
      <c r="F1825" s="193" t="s">
        <v>114</v>
      </c>
      <c r="G1825" s="195" t="s">
        <v>1182</v>
      </c>
      <c r="H1825" s="166" t="s">
        <v>13436</v>
      </c>
      <c r="I1825" s="193" t="s">
        <v>12835</v>
      </c>
      <c r="J1825" s="193" t="s">
        <v>146</v>
      </c>
      <c r="K1825" s="170"/>
      <c r="L1825" s="193" t="s">
        <v>146</v>
      </c>
    </row>
    <row r="1826" spans="1:12" ht="15.75">
      <c r="A1826" s="67">
        <f t="shared" si="28"/>
        <v>1824</v>
      </c>
      <c r="B1826" s="164">
        <v>1824</v>
      </c>
      <c r="C1826" s="193" t="s">
        <v>3119</v>
      </c>
      <c r="D1826" s="195" t="s">
        <v>6387</v>
      </c>
      <c r="E1826" s="193" t="s">
        <v>344</v>
      </c>
      <c r="F1826" s="193" t="s">
        <v>114</v>
      </c>
      <c r="G1826" s="195" t="s">
        <v>11261</v>
      </c>
      <c r="H1826" s="166" t="s">
        <v>13436</v>
      </c>
      <c r="I1826" s="193" t="s">
        <v>12835</v>
      </c>
      <c r="J1826" s="219" t="s">
        <v>146</v>
      </c>
      <c r="K1826" s="170"/>
      <c r="L1826" s="219" t="s">
        <v>146</v>
      </c>
    </row>
    <row r="1827" spans="1:12" ht="30">
      <c r="A1827" s="67">
        <f t="shared" si="28"/>
        <v>1825</v>
      </c>
      <c r="B1827" s="164">
        <v>1825</v>
      </c>
      <c r="C1827" s="193" t="s">
        <v>3120</v>
      </c>
      <c r="D1827" s="195" t="s">
        <v>6388</v>
      </c>
      <c r="E1827" s="193" t="s">
        <v>9062</v>
      </c>
      <c r="F1827" s="193" t="s">
        <v>114</v>
      </c>
      <c r="G1827" s="195" t="s">
        <v>283</v>
      </c>
      <c r="H1827" s="166" t="s">
        <v>13436</v>
      </c>
      <c r="I1827" s="193" t="s">
        <v>12835</v>
      </c>
      <c r="J1827" s="193" t="s">
        <v>12546</v>
      </c>
      <c r="K1827" s="170"/>
      <c r="L1827" s="193" t="s">
        <v>146</v>
      </c>
    </row>
    <row r="1828" spans="1:12" ht="15.75">
      <c r="A1828" s="67">
        <f t="shared" si="28"/>
        <v>1826</v>
      </c>
      <c r="B1828" s="164">
        <v>1826</v>
      </c>
      <c r="C1828" s="193" t="s">
        <v>3121</v>
      </c>
      <c r="D1828" s="195" t="s">
        <v>6389</v>
      </c>
      <c r="E1828" s="193" t="s">
        <v>9063</v>
      </c>
      <c r="F1828" s="193" t="s">
        <v>114</v>
      </c>
      <c r="G1828" s="195" t="s">
        <v>11039</v>
      </c>
      <c r="H1828" s="166" t="s">
        <v>13436</v>
      </c>
      <c r="I1828" s="193" t="s">
        <v>12821</v>
      </c>
      <c r="J1828" s="193" t="s">
        <v>146</v>
      </c>
      <c r="K1828" s="170"/>
      <c r="L1828" s="193" t="s">
        <v>146</v>
      </c>
    </row>
    <row r="1829" spans="1:12" ht="15.75">
      <c r="A1829" s="67">
        <f t="shared" si="28"/>
        <v>1827</v>
      </c>
      <c r="B1829" s="164">
        <v>1827</v>
      </c>
      <c r="C1829" s="193" t="s">
        <v>3122</v>
      </c>
      <c r="D1829" s="195" t="s">
        <v>6390</v>
      </c>
      <c r="E1829" s="193" t="s">
        <v>8194</v>
      </c>
      <c r="F1829" s="193" t="s">
        <v>114</v>
      </c>
      <c r="G1829" s="195" t="s">
        <v>11262</v>
      </c>
      <c r="H1829" s="166" t="s">
        <v>13436</v>
      </c>
      <c r="I1829" s="193" t="s">
        <v>12814</v>
      </c>
      <c r="J1829" s="219" t="s">
        <v>146</v>
      </c>
      <c r="K1829" s="170"/>
      <c r="L1829" s="193" t="s">
        <v>146</v>
      </c>
    </row>
    <row r="1830" spans="1:12" ht="15.75">
      <c r="A1830" s="67">
        <f t="shared" si="28"/>
        <v>1828</v>
      </c>
      <c r="B1830" s="164">
        <v>1828</v>
      </c>
      <c r="C1830" s="193" t="s">
        <v>3123</v>
      </c>
      <c r="D1830" s="195" t="s">
        <v>6391</v>
      </c>
      <c r="E1830" s="193" t="s">
        <v>368</v>
      </c>
      <c r="F1830" s="193" t="s">
        <v>114</v>
      </c>
      <c r="G1830" s="195" t="s">
        <v>193</v>
      </c>
      <c r="H1830" s="166" t="s">
        <v>13436</v>
      </c>
      <c r="I1830" s="193" t="s">
        <v>12836</v>
      </c>
      <c r="J1830" s="193" t="s">
        <v>146</v>
      </c>
      <c r="K1830" s="170"/>
      <c r="L1830" s="193" t="s">
        <v>146</v>
      </c>
    </row>
    <row r="1831" spans="1:12" ht="15.75">
      <c r="A1831" s="67">
        <f t="shared" si="28"/>
        <v>1829</v>
      </c>
      <c r="B1831" s="164">
        <v>1829</v>
      </c>
      <c r="C1831" s="193" t="s">
        <v>3124</v>
      </c>
      <c r="D1831" s="195" t="s">
        <v>6392</v>
      </c>
      <c r="E1831" s="193" t="s">
        <v>9064</v>
      </c>
      <c r="F1831" s="193" t="s">
        <v>114</v>
      </c>
      <c r="G1831" s="195" t="s">
        <v>903</v>
      </c>
      <c r="H1831" s="166" t="s">
        <v>13436</v>
      </c>
      <c r="I1831" s="193" t="s">
        <v>12814</v>
      </c>
      <c r="J1831" s="193" t="s">
        <v>146</v>
      </c>
      <c r="K1831" s="170"/>
      <c r="L1831" s="193" t="s">
        <v>146</v>
      </c>
    </row>
    <row r="1832" spans="1:12" ht="45">
      <c r="A1832" s="67">
        <f t="shared" si="28"/>
        <v>1830</v>
      </c>
      <c r="B1832" s="164">
        <v>1830</v>
      </c>
      <c r="C1832" s="193" t="s">
        <v>3125</v>
      </c>
      <c r="D1832" s="196" t="s">
        <v>6393</v>
      </c>
      <c r="E1832" s="193" t="s">
        <v>9065</v>
      </c>
      <c r="F1832" s="193" t="s">
        <v>114</v>
      </c>
      <c r="G1832" s="195" t="s">
        <v>1124</v>
      </c>
      <c r="H1832" s="166" t="s">
        <v>13436</v>
      </c>
      <c r="I1832" s="193" t="s">
        <v>1248</v>
      </c>
      <c r="J1832" s="193" t="s">
        <v>12547</v>
      </c>
      <c r="K1832" s="170"/>
      <c r="L1832" s="193" t="s">
        <v>146</v>
      </c>
    </row>
    <row r="1833" spans="1:12" ht="15.75">
      <c r="A1833" s="67">
        <f t="shared" si="28"/>
        <v>1831</v>
      </c>
      <c r="B1833" s="164">
        <v>1831</v>
      </c>
      <c r="C1833" s="193" t="s">
        <v>3126</v>
      </c>
      <c r="D1833" s="195" t="s">
        <v>6394</v>
      </c>
      <c r="E1833" s="193" t="s">
        <v>9066</v>
      </c>
      <c r="F1833" s="193" t="s">
        <v>114</v>
      </c>
      <c r="G1833" s="195" t="s">
        <v>11263</v>
      </c>
      <c r="H1833" s="166" t="s">
        <v>13436</v>
      </c>
      <c r="I1833" s="193" t="s">
        <v>12824</v>
      </c>
      <c r="J1833" s="193" t="s">
        <v>146</v>
      </c>
      <c r="K1833" s="170"/>
      <c r="L1833" s="193" t="s">
        <v>146</v>
      </c>
    </row>
    <row r="1834" spans="1:12" ht="15.75">
      <c r="A1834" s="67">
        <f t="shared" si="28"/>
        <v>1832</v>
      </c>
      <c r="B1834" s="164">
        <v>1832</v>
      </c>
      <c r="C1834" s="193" t="s">
        <v>3127</v>
      </c>
      <c r="D1834" s="195" t="s">
        <v>6395</v>
      </c>
      <c r="E1834" s="193" t="s">
        <v>9067</v>
      </c>
      <c r="F1834" s="193" t="s">
        <v>114</v>
      </c>
      <c r="G1834" s="195" t="s">
        <v>934</v>
      </c>
      <c r="H1834" s="166" t="s">
        <v>13436</v>
      </c>
      <c r="I1834" s="193" t="s">
        <v>12825</v>
      </c>
      <c r="J1834" s="193" t="s">
        <v>148</v>
      </c>
      <c r="K1834" s="170"/>
      <c r="L1834" s="193" t="s">
        <v>146</v>
      </c>
    </row>
    <row r="1835" spans="1:12" ht="30">
      <c r="A1835" s="67">
        <f t="shared" si="28"/>
        <v>1833</v>
      </c>
      <c r="B1835" s="164">
        <v>1833</v>
      </c>
      <c r="C1835" s="193" t="s">
        <v>3128</v>
      </c>
      <c r="D1835" s="195" t="s">
        <v>6396</v>
      </c>
      <c r="E1835" s="193" t="s">
        <v>9068</v>
      </c>
      <c r="F1835" s="193" t="s">
        <v>114</v>
      </c>
      <c r="G1835" s="195" t="s">
        <v>1202</v>
      </c>
      <c r="H1835" s="166" t="s">
        <v>13436</v>
      </c>
      <c r="I1835" s="193" t="s">
        <v>12814</v>
      </c>
      <c r="J1835" s="193" t="s">
        <v>12548</v>
      </c>
      <c r="K1835" s="170"/>
      <c r="L1835" s="193" t="s">
        <v>13294</v>
      </c>
    </row>
    <row r="1836" spans="1:12" ht="15.75">
      <c r="A1836" s="67">
        <f t="shared" si="28"/>
        <v>1834</v>
      </c>
      <c r="B1836" s="164">
        <v>1834</v>
      </c>
      <c r="C1836" s="193" t="s">
        <v>3129</v>
      </c>
      <c r="D1836" s="195" t="s">
        <v>6397</v>
      </c>
      <c r="E1836" s="193" t="s">
        <v>204</v>
      </c>
      <c r="F1836" s="193" t="s">
        <v>114</v>
      </c>
      <c r="G1836" s="195" t="s">
        <v>11264</v>
      </c>
      <c r="H1836" s="166" t="s">
        <v>13436</v>
      </c>
      <c r="I1836" s="193" t="s">
        <v>12819</v>
      </c>
      <c r="J1836" s="219" t="s">
        <v>146</v>
      </c>
      <c r="K1836" s="170"/>
      <c r="L1836" s="193" t="s">
        <v>146</v>
      </c>
    </row>
    <row r="1837" spans="1:12" ht="15.75">
      <c r="A1837" s="67">
        <f t="shared" si="28"/>
        <v>1835</v>
      </c>
      <c r="B1837" s="164">
        <v>1835</v>
      </c>
      <c r="C1837" s="193" t="s">
        <v>3130</v>
      </c>
      <c r="D1837" s="195" t="s">
        <v>6398</v>
      </c>
      <c r="E1837" s="193" t="s">
        <v>9069</v>
      </c>
      <c r="F1837" s="193" t="s">
        <v>59</v>
      </c>
      <c r="G1837" s="195" t="s">
        <v>10562</v>
      </c>
      <c r="H1837" s="166" t="s">
        <v>13436</v>
      </c>
      <c r="I1837" s="193" t="s">
        <v>12821</v>
      </c>
      <c r="J1837" s="193" t="s">
        <v>12549</v>
      </c>
      <c r="K1837" s="170"/>
      <c r="L1837" s="193"/>
    </row>
    <row r="1838" spans="1:12" ht="45">
      <c r="A1838" s="67">
        <f t="shared" si="28"/>
        <v>1836</v>
      </c>
      <c r="B1838" s="164">
        <v>1836</v>
      </c>
      <c r="C1838" s="193" t="s">
        <v>3131</v>
      </c>
      <c r="D1838" s="195" t="s">
        <v>6399</v>
      </c>
      <c r="E1838" s="193" t="s">
        <v>9070</v>
      </c>
      <c r="F1838" s="193" t="s">
        <v>114</v>
      </c>
      <c r="G1838" s="195" t="s">
        <v>757</v>
      </c>
      <c r="H1838" s="166" t="s">
        <v>13436</v>
      </c>
      <c r="I1838" s="193" t="s">
        <v>12827</v>
      </c>
      <c r="J1838" s="193" t="s">
        <v>12550</v>
      </c>
      <c r="K1838" s="170"/>
      <c r="L1838" s="193" t="s">
        <v>146</v>
      </c>
    </row>
    <row r="1839" spans="1:12" ht="15.75">
      <c r="A1839" s="67">
        <f t="shared" si="28"/>
        <v>1837</v>
      </c>
      <c r="B1839" s="164">
        <v>1837</v>
      </c>
      <c r="C1839" s="193" t="s">
        <v>3132</v>
      </c>
      <c r="D1839" s="195" t="s">
        <v>6400</v>
      </c>
      <c r="E1839" s="193" t="s">
        <v>544</v>
      </c>
      <c r="F1839" s="193" t="s">
        <v>114</v>
      </c>
      <c r="G1839" s="195" t="s">
        <v>11265</v>
      </c>
      <c r="H1839" s="166" t="s">
        <v>13436</v>
      </c>
      <c r="I1839" s="193" t="s">
        <v>12827</v>
      </c>
      <c r="J1839" s="193" t="s">
        <v>146</v>
      </c>
      <c r="K1839" s="170"/>
      <c r="L1839" s="193" t="s">
        <v>146</v>
      </c>
    </row>
    <row r="1840" spans="1:12" ht="15.75">
      <c r="A1840" s="67">
        <f t="shared" si="28"/>
        <v>1838</v>
      </c>
      <c r="B1840" s="164">
        <v>1838</v>
      </c>
      <c r="C1840" s="193" t="s">
        <v>3133</v>
      </c>
      <c r="D1840" s="195" t="s">
        <v>6401</v>
      </c>
      <c r="E1840" s="193" t="s">
        <v>8135</v>
      </c>
      <c r="F1840" s="193" t="s">
        <v>114</v>
      </c>
      <c r="G1840" s="195" t="s">
        <v>11266</v>
      </c>
      <c r="H1840" s="166" t="s">
        <v>13436</v>
      </c>
      <c r="I1840" s="193" t="s">
        <v>12821</v>
      </c>
      <c r="J1840" s="193" t="s">
        <v>146</v>
      </c>
      <c r="K1840" s="170"/>
      <c r="L1840" s="193" t="s">
        <v>146</v>
      </c>
    </row>
    <row r="1841" spans="1:12" ht="15.75">
      <c r="A1841" s="67">
        <f t="shared" si="28"/>
        <v>1839</v>
      </c>
      <c r="B1841" s="164">
        <v>1839</v>
      </c>
      <c r="C1841" s="193" t="s">
        <v>3134</v>
      </c>
      <c r="D1841" s="195" t="s">
        <v>6402</v>
      </c>
      <c r="E1841" s="193" t="s">
        <v>9071</v>
      </c>
      <c r="F1841" s="193" t="s">
        <v>114</v>
      </c>
      <c r="G1841" s="195" t="s">
        <v>240</v>
      </c>
      <c r="H1841" s="166" t="s">
        <v>13436</v>
      </c>
      <c r="I1841" s="193" t="s">
        <v>12817</v>
      </c>
      <c r="J1841" s="219" t="s">
        <v>146</v>
      </c>
      <c r="K1841" s="170"/>
      <c r="L1841" s="219" t="s">
        <v>146</v>
      </c>
    </row>
    <row r="1842" spans="1:12" ht="15.75">
      <c r="A1842" s="67">
        <f t="shared" si="28"/>
        <v>1840</v>
      </c>
      <c r="B1842" s="164">
        <v>1840</v>
      </c>
      <c r="C1842" s="193" t="s">
        <v>3135</v>
      </c>
      <c r="D1842" s="195" t="s">
        <v>6403</v>
      </c>
      <c r="E1842" s="193" t="s">
        <v>614</v>
      </c>
      <c r="F1842" s="193" t="s">
        <v>114</v>
      </c>
      <c r="G1842" s="195" t="s">
        <v>749</v>
      </c>
      <c r="H1842" s="166" t="s">
        <v>13436</v>
      </c>
      <c r="I1842" s="193" t="s">
        <v>12827</v>
      </c>
      <c r="J1842" s="219" t="s">
        <v>146</v>
      </c>
      <c r="K1842" s="170"/>
      <c r="L1842" s="219" t="s">
        <v>146</v>
      </c>
    </row>
    <row r="1843" spans="1:12" ht="15.75">
      <c r="A1843" s="67">
        <f t="shared" si="28"/>
        <v>1841</v>
      </c>
      <c r="B1843" s="164">
        <v>1841</v>
      </c>
      <c r="C1843" s="193" t="s">
        <v>3136</v>
      </c>
      <c r="D1843" s="195" t="s">
        <v>6404</v>
      </c>
      <c r="E1843" s="193" t="s">
        <v>9072</v>
      </c>
      <c r="F1843" s="193" t="s">
        <v>59</v>
      </c>
      <c r="G1843" s="195" t="s">
        <v>11267</v>
      </c>
      <c r="H1843" s="166" t="s">
        <v>13436</v>
      </c>
      <c r="I1843" s="193" t="s">
        <v>12821</v>
      </c>
      <c r="J1843" s="193" t="s">
        <v>146</v>
      </c>
      <c r="K1843" s="170"/>
      <c r="L1843" s="193"/>
    </row>
    <row r="1844" spans="1:12" ht="15.75">
      <c r="A1844" s="67">
        <f t="shared" si="28"/>
        <v>1842</v>
      </c>
      <c r="B1844" s="164">
        <v>1842</v>
      </c>
      <c r="C1844" s="193" t="s">
        <v>3137</v>
      </c>
      <c r="D1844" s="195" t="s">
        <v>6405</v>
      </c>
      <c r="E1844" s="193" t="s">
        <v>9073</v>
      </c>
      <c r="F1844" s="193" t="s">
        <v>59</v>
      </c>
      <c r="G1844" s="195" t="s">
        <v>11268</v>
      </c>
      <c r="H1844" s="166" t="s">
        <v>13436</v>
      </c>
      <c r="I1844" s="193" t="s">
        <v>12821</v>
      </c>
      <c r="J1844" s="193" t="s">
        <v>12551</v>
      </c>
      <c r="K1844" s="170"/>
      <c r="L1844" s="193"/>
    </row>
    <row r="1845" spans="1:12" ht="30">
      <c r="A1845" s="67">
        <f t="shared" si="28"/>
        <v>1843</v>
      </c>
      <c r="B1845" s="164">
        <v>1843</v>
      </c>
      <c r="C1845" s="193" t="s">
        <v>3138</v>
      </c>
      <c r="D1845" s="195" t="s">
        <v>6406</v>
      </c>
      <c r="E1845" s="193" t="s">
        <v>8171</v>
      </c>
      <c r="F1845" s="193" t="s">
        <v>114</v>
      </c>
      <c r="G1845" s="195" t="s">
        <v>11269</v>
      </c>
      <c r="H1845" s="166" t="s">
        <v>13436</v>
      </c>
      <c r="I1845" s="193" t="s">
        <v>12827</v>
      </c>
      <c r="J1845" s="193" t="s">
        <v>146</v>
      </c>
      <c r="K1845" s="170"/>
      <c r="L1845" s="193" t="s">
        <v>13295</v>
      </c>
    </row>
    <row r="1846" spans="1:12" ht="15.75">
      <c r="A1846" s="67">
        <f t="shared" si="28"/>
        <v>1844</v>
      </c>
      <c r="B1846" s="164">
        <v>1844</v>
      </c>
      <c r="C1846" s="193" t="s">
        <v>3139</v>
      </c>
      <c r="D1846" s="195" t="s">
        <v>6407</v>
      </c>
      <c r="E1846" s="193" t="s">
        <v>576</v>
      </c>
      <c r="F1846" s="193" t="s">
        <v>114</v>
      </c>
      <c r="G1846" s="195" t="s">
        <v>11193</v>
      </c>
      <c r="H1846" s="166" t="s">
        <v>13436</v>
      </c>
      <c r="I1846" s="193" t="s">
        <v>12827</v>
      </c>
      <c r="J1846" s="193"/>
      <c r="K1846" s="170"/>
      <c r="L1846" s="193"/>
    </row>
    <row r="1847" spans="1:12" ht="15.75">
      <c r="A1847" s="67">
        <f t="shared" si="28"/>
        <v>1845</v>
      </c>
      <c r="B1847" s="164">
        <v>1845</v>
      </c>
      <c r="C1847" s="193" t="s">
        <v>3140</v>
      </c>
      <c r="D1847" s="195" t="s">
        <v>6408</v>
      </c>
      <c r="E1847" s="193" t="s">
        <v>9074</v>
      </c>
      <c r="F1847" s="193" t="s">
        <v>114</v>
      </c>
      <c r="G1847" s="195" t="s">
        <v>11270</v>
      </c>
      <c r="H1847" s="166" t="s">
        <v>13436</v>
      </c>
      <c r="I1847" s="193" t="s">
        <v>12827</v>
      </c>
      <c r="J1847" s="193" t="s">
        <v>146</v>
      </c>
      <c r="K1847" s="170"/>
      <c r="L1847" s="193" t="s">
        <v>146</v>
      </c>
    </row>
    <row r="1848" spans="1:12" ht="15.75">
      <c r="A1848" s="67">
        <f t="shared" si="28"/>
        <v>1846</v>
      </c>
      <c r="B1848" s="164">
        <v>1846</v>
      </c>
      <c r="C1848" s="193" t="s">
        <v>3141</v>
      </c>
      <c r="D1848" s="195" t="s">
        <v>6409</v>
      </c>
      <c r="E1848" s="193" t="s">
        <v>9075</v>
      </c>
      <c r="F1848" s="193" t="s">
        <v>59</v>
      </c>
      <c r="G1848" s="195" t="s">
        <v>826</v>
      </c>
      <c r="H1848" s="166" t="s">
        <v>13436</v>
      </c>
      <c r="I1848" s="193" t="s">
        <v>12813</v>
      </c>
      <c r="J1848" s="193" t="s">
        <v>147</v>
      </c>
      <c r="K1848" s="170"/>
      <c r="L1848" s="193"/>
    </row>
    <row r="1849" spans="1:12" ht="30">
      <c r="A1849" s="67">
        <f t="shared" si="28"/>
        <v>1847</v>
      </c>
      <c r="B1849" s="164">
        <v>1847</v>
      </c>
      <c r="C1849" s="193" t="s">
        <v>3142</v>
      </c>
      <c r="D1849" s="195" t="s">
        <v>6410</v>
      </c>
      <c r="E1849" s="193" t="s">
        <v>345</v>
      </c>
      <c r="F1849" s="193" t="s">
        <v>114</v>
      </c>
      <c r="G1849" s="195" t="s">
        <v>228</v>
      </c>
      <c r="H1849" s="166" t="s">
        <v>13436</v>
      </c>
      <c r="I1849" s="193" t="s">
        <v>12813</v>
      </c>
      <c r="J1849" s="193" t="s">
        <v>12552</v>
      </c>
      <c r="K1849" s="170"/>
      <c r="L1849" s="193" t="s">
        <v>146</v>
      </c>
    </row>
    <row r="1850" spans="1:12" ht="15.75">
      <c r="A1850" s="67">
        <f t="shared" si="28"/>
        <v>1848</v>
      </c>
      <c r="B1850" s="164">
        <v>1848</v>
      </c>
      <c r="C1850" s="193" t="s">
        <v>3143</v>
      </c>
      <c r="D1850" s="195" t="s">
        <v>6411</v>
      </c>
      <c r="E1850" s="193" t="s">
        <v>317</v>
      </c>
      <c r="F1850" s="193" t="s">
        <v>114</v>
      </c>
      <c r="G1850" s="195" t="s">
        <v>837</v>
      </c>
      <c r="H1850" s="166" t="s">
        <v>13436</v>
      </c>
      <c r="I1850" s="193" t="s">
        <v>12813</v>
      </c>
      <c r="J1850" s="193" t="s">
        <v>146</v>
      </c>
      <c r="K1850" s="170"/>
      <c r="L1850" s="193" t="s">
        <v>146</v>
      </c>
    </row>
    <row r="1851" spans="1:12" ht="30">
      <c r="A1851" s="67">
        <f t="shared" si="28"/>
        <v>1849</v>
      </c>
      <c r="B1851" s="164">
        <v>1849</v>
      </c>
      <c r="C1851" s="193" t="s">
        <v>3144</v>
      </c>
      <c r="D1851" s="195" t="s">
        <v>6412</v>
      </c>
      <c r="E1851" s="193" t="s">
        <v>657</v>
      </c>
      <c r="F1851" s="193" t="s">
        <v>59</v>
      </c>
      <c r="G1851" s="195" t="s">
        <v>11271</v>
      </c>
      <c r="H1851" s="166" t="s">
        <v>13436</v>
      </c>
      <c r="I1851" s="193" t="s">
        <v>12817</v>
      </c>
      <c r="J1851" s="193" t="s">
        <v>12553</v>
      </c>
      <c r="K1851" s="170"/>
      <c r="L1851" s="193"/>
    </row>
    <row r="1852" spans="1:12" ht="15.75">
      <c r="A1852" s="67">
        <f t="shared" si="28"/>
        <v>1850</v>
      </c>
      <c r="B1852" s="164">
        <v>1850</v>
      </c>
      <c r="C1852" s="193" t="s">
        <v>3145</v>
      </c>
      <c r="D1852" s="195" t="s">
        <v>6413</v>
      </c>
      <c r="E1852" s="193" t="s">
        <v>208</v>
      </c>
      <c r="F1852" s="193" t="s">
        <v>114</v>
      </c>
      <c r="G1852" s="195" t="s">
        <v>267</v>
      </c>
      <c r="H1852" s="166" t="s">
        <v>13436</v>
      </c>
      <c r="I1852" s="193" t="s">
        <v>12813</v>
      </c>
      <c r="J1852" s="193" t="s">
        <v>146</v>
      </c>
      <c r="K1852" s="170"/>
      <c r="L1852" s="193" t="s">
        <v>146</v>
      </c>
    </row>
    <row r="1853" spans="1:12" ht="75">
      <c r="A1853" s="67">
        <f t="shared" si="28"/>
        <v>1851</v>
      </c>
      <c r="B1853" s="164">
        <v>1851</v>
      </c>
      <c r="C1853" s="193" t="s">
        <v>3146</v>
      </c>
      <c r="D1853" s="195" t="s">
        <v>6414</v>
      </c>
      <c r="E1853" s="193" t="s">
        <v>9076</v>
      </c>
      <c r="F1853" s="193" t="s">
        <v>114</v>
      </c>
      <c r="G1853" s="195" t="s">
        <v>11272</v>
      </c>
      <c r="H1853" s="166" t="s">
        <v>13436</v>
      </c>
      <c r="I1853" s="193" t="s">
        <v>12827</v>
      </c>
      <c r="J1853" s="193" t="s">
        <v>146</v>
      </c>
      <c r="K1853" s="170"/>
      <c r="L1853" s="193" t="s">
        <v>13296</v>
      </c>
    </row>
    <row r="1854" spans="1:12" ht="15.75">
      <c r="A1854" s="67">
        <f t="shared" si="28"/>
        <v>1852</v>
      </c>
      <c r="B1854" s="164">
        <v>1852</v>
      </c>
      <c r="C1854" s="193" t="s">
        <v>3147</v>
      </c>
      <c r="D1854" s="195" t="s">
        <v>6415</v>
      </c>
      <c r="E1854" s="193" t="s">
        <v>169</v>
      </c>
      <c r="F1854" s="193" t="s">
        <v>114</v>
      </c>
      <c r="G1854" s="195" t="s">
        <v>790</v>
      </c>
      <c r="H1854" s="166" t="s">
        <v>13436</v>
      </c>
      <c r="I1854" s="193" t="s">
        <v>12813</v>
      </c>
      <c r="J1854" s="219" t="s">
        <v>146</v>
      </c>
      <c r="K1854" s="170"/>
      <c r="L1854" s="193" t="s">
        <v>146</v>
      </c>
    </row>
    <row r="1855" spans="1:12" ht="15.75">
      <c r="A1855" s="67">
        <f t="shared" si="28"/>
        <v>1853</v>
      </c>
      <c r="B1855" s="164">
        <v>1853</v>
      </c>
      <c r="C1855" s="193" t="s">
        <v>3148</v>
      </c>
      <c r="D1855" s="212" t="s">
        <v>6416</v>
      </c>
      <c r="E1855" s="193" t="s">
        <v>9077</v>
      </c>
      <c r="F1855" s="193" t="s">
        <v>114</v>
      </c>
      <c r="G1855" s="195" t="s">
        <v>11273</v>
      </c>
      <c r="H1855" s="166" t="s">
        <v>13436</v>
      </c>
      <c r="I1855" s="193" t="s">
        <v>12816</v>
      </c>
      <c r="J1855" s="193" t="s">
        <v>146</v>
      </c>
      <c r="K1855" s="170"/>
      <c r="L1855" s="193" t="s">
        <v>146</v>
      </c>
    </row>
    <row r="1856" spans="1:12" ht="15.75">
      <c r="A1856" s="67">
        <f t="shared" si="28"/>
        <v>1854</v>
      </c>
      <c r="B1856" s="164">
        <v>1854</v>
      </c>
      <c r="C1856" s="193" t="s">
        <v>3149</v>
      </c>
      <c r="D1856" s="195" t="s">
        <v>6417</v>
      </c>
      <c r="E1856" s="193" t="s">
        <v>9078</v>
      </c>
      <c r="F1856" s="193" t="s">
        <v>59</v>
      </c>
      <c r="G1856" s="195" t="s">
        <v>11274</v>
      </c>
      <c r="H1856" s="166" t="s">
        <v>13436</v>
      </c>
      <c r="I1856" s="193" t="s">
        <v>12813</v>
      </c>
      <c r="J1856" s="193" t="s">
        <v>164</v>
      </c>
      <c r="K1856" s="170"/>
      <c r="L1856" s="193"/>
    </row>
    <row r="1857" spans="1:12" ht="45">
      <c r="A1857" s="67">
        <f t="shared" si="28"/>
        <v>1855</v>
      </c>
      <c r="B1857" s="164">
        <v>1855</v>
      </c>
      <c r="C1857" s="193" t="s">
        <v>3150</v>
      </c>
      <c r="D1857" s="195" t="s">
        <v>6418</v>
      </c>
      <c r="E1857" s="193" t="s">
        <v>9079</v>
      </c>
      <c r="F1857" s="193" t="s">
        <v>114</v>
      </c>
      <c r="G1857" s="195" t="s">
        <v>226</v>
      </c>
      <c r="H1857" s="166" t="s">
        <v>13436</v>
      </c>
      <c r="I1857" s="193" t="s">
        <v>12813</v>
      </c>
      <c r="J1857" s="193" t="s">
        <v>12554</v>
      </c>
      <c r="K1857" s="170"/>
      <c r="L1857" s="193" t="s">
        <v>13297</v>
      </c>
    </row>
    <row r="1858" spans="1:12" ht="30">
      <c r="A1858" s="67">
        <f t="shared" si="28"/>
        <v>1856</v>
      </c>
      <c r="B1858" s="164">
        <v>1856</v>
      </c>
      <c r="C1858" s="193" t="s">
        <v>3151</v>
      </c>
      <c r="D1858" s="208" t="s">
        <v>6419</v>
      </c>
      <c r="E1858" s="193" t="s">
        <v>309</v>
      </c>
      <c r="F1858" s="193" t="s">
        <v>114</v>
      </c>
      <c r="G1858" s="195" t="s">
        <v>11275</v>
      </c>
      <c r="H1858" s="166" t="s">
        <v>13436</v>
      </c>
      <c r="I1858" s="193" t="s">
        <v>12816</v>
      </c>
      <c r="J1858" s="193" t="s">
        <v>12555</v>
      </c>
      <c r="K1858" s="170"/>
      <c r="L1858" s="193" t="s">
        <v>146</v>
      </c>
    </row>
    <row r="1859" spans="1:12" ht="15.75">
      <c r="A1859" s="67">
        <f t="shared" ref="A1859:A1922" si="29">IFERROR(VALUE(RIGHT(C1859,4)),"")</f>
        <v>1857</v>
      </c>
      <c r="B1859" s="164">
        <v>1857</v>
      </c>
      <c r="C1859" s="193" t="s">
        <v>3152</v>
      </c>
      <c r="D1859" s="195" t="s">
        <v>6420</v>
      </c>
      <c r="E1859" s="193" t="s">
        <v>9080</v>
      </c>
      <c r="F1859" s="193" t="s">
        <v>114</v>
      </c>
      <c r="G1859" s="195" t="s">
        <v>11276</v>
      </c>
      <c r="H1859" s="166" t="s">
        <v>13436</v>
      </c>
      <c r="I1859" s="193" t="s">
        <v>12813</v>
      </c>
      <c r="J1859" s="193" t="s">
        <v>146</v>
      </c>
      <c r="K1859" s="170"/>
      <c r="L1859" s="193" t="s">
        <v>146</v>
      </c>
    </row>
    <row r="1860" spans="1:12" ht="15.75">
      <c r="A1860" s="67">
        <f t="shared" si="29"/>
        <v>1858</v>
      </c>
      <c r="B1860" s="164">
        <v>1858</v>
      </c>
      <c r="C1860" s="193" t="s">
        <v>3153</v>
      </c>
      <c r="D1860" s="195" t="s">
        <v>6421</v>
      </c>
      <c r="E1860" s="193" t="s">
        <v>9081</v>
      </c>
      <c r="F1860" s="193" t="s">
        <v>59</v>
      </c>
      <c r="G1860" s="195" t="s">
        <v>11277</v>
      </c>
      <c r="H1860" s="166" t="s">
        <v>13436</v>
      </c>
      <c r="I1860" s="193" t="s">
        <v>12819</v>
      </c>
      <c r="J1860" s="219" t="s">
        <v>146</v>
      </c>
      <c r="K1860" s="170"/>
      <c r="L1860" s="193"/>
    </row>
    <row r="1861" spans="1:12" ht="15.75">
      <c r="A1861" s="67">
        <f t="shared" si="29"/>
        <v>1859</v>
      </c>
      <c r="B1861" s="164">
        <v>1859</v>
      </c>
      <c r="C1861" s="193" t="s">
        <v>3154</v>
      </c>
      <c r="D1861" s="195" t="s">
        <v>6422</v>
      </c>
      <c r="E1861" s="193" t="s">
        <v>9082</v>
      </c>
      <c r="F1861" s="193" t="s">
        <v>59</v>
      </c>
      <c r="G1861" s="195" t="s">
        <v>11278</v>
      </c>
      <c r="H1861" s="166" t="s">
        <v>13436</v>
      </c>
      <c r="I1861" s="193" t="s">
        <v>12813</v>
      </c>
      <c r="J1861" s="193" t="s">
        <v>146</v>
      </c>
      <c r="K1861" s="170"/>
      <c r="L1861" s="193"/>
    </row>
    <row r="1862" spans="1:12" ht="15.75">
      <c r="A1862" s="67">
        <f t="shared" si="29"/>
        <v>1860</v>
      </c>
      <c r="B1862" s="164">
        <v>1860</v>
      </c>
      <c r="C1862" s="193" t="s">
        <v>3155</v>
      </c>
      <c r="D1862" s="195" t="s">
        <v>6423</v>
      </c>
      <c r="E1862" s="193" t="s">
        <v>9083</v>
      </c>
      <c r="F1862" s="193" t="s">
        <v>59</v>
      </c>
      <c r="G1862" s="195" t="s">
        <v>11224</v>
      </c>
      <c r="H1862" s="166" t="s">
        <v>13436</v>
      </c>
      <c r="I1862" s="193" t="s">
        <v>12813</v>
      </c>
      <c r="J1862" s="193" t="s">
        <v>146</v>
      </c>
      <c r="K1862" s="170"/>
      <c r="L1862" s="193"/>
    </row>
    <row r="1863" spans="1:12" ht="15.75">
      <c r="A1863" s="67">
        <f t="shared" si="29"/>
        <v>1861</v>
      </c>
      <c r="B1863" s="164">
        <v>1861</v>
      </c>
      <c r="C1863" s="193" t="s">
        <v>3156</v>
      </c>
      <c r="D1863" s="195" t="s">
        <v>6424</v>
      </c>
      <c r="E1863" s="193" t="s">
        <v>9084</v>
      </c>
      <c r="F1863" s="193" t="s">
        <v>59</v>
      </c>
      <c r="G1863" s="195" t="s">
        <v>11279</v>
      </c>
      <c r="H1863" s="166" t="s">
        <v>13436</v>
      </c>
      <c r="I1863" s="193" t="s">
        <v>12813</v>
      </c>
      <c r="J1863" s="193" t="s">
        <v>164</v>
      </c>
      <c r="K1863" s="170"/>
      <c r="L1863" s="193"/>
    </row>
    <row r="1864" spans="1:12" ht="15.75">
      <c r="A1864" s="67">
        <f t="shared" si="29"/>
        <v>1862</v>
      </c>
      <c r="B1864" s="164">
        <v>1862</v>
      </c>
      <c r="C1864" s="193" t="s">
        <v>3157</v>
      </c>
      <c r="D1864" s="195" t="s">
        <v>6425</v>
      </c>
      <c r="E1864" s="193" t="s">
        <v>9085</v>
      </c>
      <c r="F1864" s="193" t="s">
        <v>114</v>
      </c>
      <c r="G1864" s="195" t="s">
        <v>11280</v>
      </c>
      <c r="H1864" s="166" t="s">
        <v>13436</v>
      </c>
      <c r="I1864" s="193" t="s">
        <v>12808</v>
      </c>
      <c r="J1864" s="193" t="s">
        <v>146</v>
      </c>
      <c r="K1864" s="170"/>
      <c r="L1864" s="193" t="s">
        <v>146</v>
      </c>
    </row>
    <row r="1865" spans="1:12" ht="15.75">
      <c r="A1865" s="67">
        <f t="shared" si="29"/>
        <v>1863</v>
      </c>
      <c r="B1865" s="164">
        <v>1863</v>
      </c>
      <c r="C1865" s="193" t="s">
        <v>3158</v>
      </c>
      <c r="D1865" s="195" t="s">
        <v>6426</v>
      </c>
      <c r="E1865" s="193" t="s">
        <v>9086</v>
      </c>
      <c r="F1865" s="193" t="s">
        <v>114</v>
      </c>
      <c r="G1865" s="195" t="s">
        <v>824</v>
      </c>
      <c r="H1865" s="166" t="s">
        <v>13436</v>
      </c>
      <c r="I1865" s="193" t="s">
        <v>12813</v>
      </c>
      <c r="J1865" s="193" t="s">
        <v>146</v>
      </c>
      <c r="K1865" s="170"/>
      <c r="L1865" s="193" t="s">
        <v>146</v>
      </c>
    </row>
    <row r="1866" spans="1:12" ht="15.75">
      <c r="A1866" s="67">
        <f t="shared" si="29"/>
        <v>1864</v>
      </c>
      <c r="B1866" s="164">
        <v>1864</v>
      </c>
      <c r="C1866" s="193" t="s">
        <v>3159</v>
      </c>
      <c r="D1866" s="195" t="s">
        <v>6427</v>
      </c>
      <c r="E1866" s="193" t="s">
        <v>9087</v>
      </c>
      <c r="F1866" s="193" t="s">
        <v>59</v>
      </c>
      <c r="G1866" s="195" t="s">
        <v>11281</v>
      </c>
      <c r="H1866" s="166" t="s">
        <v>13436</v>
      </c>
      <c r="I1866" s="193" t="s">
        <v>12813</v>
      </c>
      <c r="J1866" s="193" t="s">
        <v>146</v>
      </c>
      <c r="K1866" s="170"/>
      <c r="L1866" s="193"/>
    </row>
    <row r="1867" spans="1:12" ht="15.75">
      <c r="A1867" s="67">
        <f t="shared" si="29"/>
        <v>1865</v>
      </c>
      <c r="B1867" s="164">
        <v>1865</v>
      </c>
      <c r="C1867" s="193" t="s">
        <v>3160</v>
      </c>
      <c r="D1867" s="195" t="s">
        <v>6428</v>
      </c>
      <c r="E1867" s="193" t="s">
        <v>9088</v>
      </c>
      <c r="F1867" s="193" t="s">
        <v>114</v>
      </c>
      <c r="G1867" s="195" t="s">
        <v>1080</v>
      </c>
      <c r="H1867" s="166" t="s">
        <v>13436</v>
      </c>
      <c r="I1867" s="193" t="s">
        <v>12813</v>
      </c>
      <c r="J1867" s="193" t="s">
        <v>146</v>
      </c>
      <c r="K1867" s="170"/>
      <c r="L1867" s="193" t="s">
        <v>146</v>
      </c>
    </row>
    <row r="1868" spans="1:12" ht="15.75">
      <c r="A1868" s="67">
        <f t="shared" si="29"/>
        <v>1866</v>
      </c>
      <c r="B1868" s="164">
        <v>1866</v>
      </c>
      <c r="C1868" s="193" t="s">
        <v>3161</v>
      </c>
      <c r="D1868" s="199" t="s">
        <v>6429</v>
      </c>
      <c r="E1868" s="193" t="s">
        <v>9089</v>
      </c>
      <c r="F1868" s="193" t="s">
        <v>59</v>
      </c>
      <c r="G1868" s="195" t="s">
        <v>11282</v>
      </c>
      <c r="H1868" s="166" t="s">
        <v>13436</v>
      </c>
      <c r="I1868" s="193" t="s">
        <v>12839</v>
      </c>
      <c r="J1868" s="193" t="s">
        <v>146</v>
      </c>
      <c r="K1868" s="170"/>
      <c r="L1868" s="193"/>
    </row>
    <row r="1869" spans="1:12" ht="30">
      <c r="A1869" s="67">
        <f t="shared" si="29"/>
        <v>1867</v>
      </c>
      <c r="B1869" s="164">
        <v>1867</v>
      </c>
      <c r="C1869" s="193" t="s">
        <v>3162</v>
      </c>
      <c r="D1869" s="197" t="s">
        <v>6430</v>
      </c>
      <c r="E1869" s="193" t="s">
        <v>9090</v>
      </c>
      <c r="F1869" s="193" t="s">
        <v>59</v>
      </c>
      <c r="G1869" s="195" t="s">
        <v>844</v>
      </c>
      <c r="H1869" s="166" t="s">
        <v>13436</v>
      </c>
      <c r="I1869" s="193" t="s">
        <v>12816</v>
      </c>
      <c r="J1869" s="193" t="s">
        <v>12556</v>
      </c>
      <c r="K1869" s="170"/>
      <c r="L1869" s="193"/>
    </row>
    <row r="1870" spans="1:12" ht="30">
      <c r="A1870" s="67">
        <f t="shared" si="29"/>
        <v>1868</v>
      </c>
      <c r="B1870" s="164">
        <v>1868</v>
      </c>
      <c r="C1870" s="193" t="s">
        <v>3163</v>
      </c>
      <c r="D1870" s="195" t="s">
        <v>6431</v>
      </c>
      <c r="E1870" s="193" t="s">
        <v>9091</v>
      </c>
      <c r="F1870" s="193" t="s">
        <v>59</v>
      </c>
      <c r="G1870" s="195" t="s">
        <v>11283</v>
      </c>
      <c r="H1870" s="166" t="s">
        <v>13436</v>
      </c>
      <c r="I1870" s="193" t="s">
        <v>12817</v>
      </c>
      <c r="J1870" s="193" t="s">
        <v>12557</v>
      </c>
      <c r="K1870" s="170"/>
      <c r="L1870" s="193"/>
    </row>
    <row r="1871" spans="1:12" ht="15.75">
      <c r="A1871" s="67">
        <f t="shared" si="29"/>
        <v>1869</v>
      </c>
      <c r="B1871" s="164">
        <v>1869</v>
      </c>
      <c r="C1871" s="193" t="s">
        <v>3164</v>
      </c>
      <c r="D1871" s="205" t="s">
        <v>6432</v>
      </c>
      <c r="E1871" s="193" t="s">
        <v>9092</v>
      </c>
      <c r="F1871" s="193" t="s">
        <v>59</v>
      </c>
      <c r="G1871" s="195" t="s">
        <v>11246</v>
      </c>
      <c r="H1871" s="166" t="s">
        <v>13436</v>
      </c>
      <c r="I1871" s="193" t="s">
        <v>12816</v>
      </c>
      <c r="J1871" s="193" t="s">
        <v>12558</v>
      </c>
      <c r="K1871" s="170"/>
      <c r="L1871" s="193"/>
    </row>
    <row r="1872" spans="1:12" ht="75">
      <c r="A1872" s="67">
        <f t="shared" si="29"/>
        <v>1870</v>
      </c>
      <c r="B1872" s="164">
        <v>1870</v>
      </c>
      <c r="C1872" s="193" t="s">
        <v>3165</v>
      </c>
      <c r="D1872" s="197" t="s">
        <v>6433</v>
      </c>
      <c r="E1872" s="193" t="s">
        <v>9093</v>
      </c>
      <c r="F1872" s="193" t="s">
        <v>114</v>
      </c>
      <c r="G1872" s="195" t="s">
        <v>11284</v>
      </c>
      <c r="H1872" s="166" t="s">
        <v>13436</v>
      </c>
      <c r="I1872" s="193" t="s">
        <v>12816</v>
      </c>
      <c r="J1872" s="193" t="s">
        <v>146</v>
      </c>
      <c r="K1872" s="170"/>
      <c r="L1872" s="193" t="s">
        <v>13298</v>
      </c>
    </row>
    <row r="1873" spans="1:12" ht="15.75">
      <c r="A1873" s="67">
        <f t="shared" si="29"/>
        <v>1871</v>
      </c>
      <c r="B1873" s="164">
        <v>1871</v>
      </c>
      <c r="C1873" s="193" t="s">
        <v>3166</v>
      </c>
      <c r="D1873" s="197" t="s">
        <v>6434</v>
      </c>
      <c r="E1873" s="193" t="s">
        <v>9094</v>
      </c>
      <c r="F1873" s="193" t="s">
        <v>114</v>
      </c>
      <c r="G1873" s="195" t="s">
        <v>11285</v>
      </c>
      <c r="H1873" s="166" t="s">
        <v>13436</v>
      </c>
      <c r="I1873" s="193" t="s">
        <v>12816</v>
      </c>
      <c r="J1873" s="193" t="s">
        <v>146</v>
      </c>
      <c r="K1873" s="170"/>
      <c r="L1873" s="193" t="s">
        <v>146</v>
      </c>
    </row>
    <row r="1874" spans="1:12" ht="15.75">
      <c r="A1874" s="67">
        <f t="shared" si="29"/>
        <v>1872</v>
      </c>
      <c r="B1874" s="164">
        <v>1872</v>
      </c>
      <c r="C1874" s="193" t="s">
        <v>3167</v>
      </c>
      <c r="D1874" s="197" t="s">
        <v>6435</v>
      </c>
      <c r="E1874" s="193" t="s">
        <v>9008</v>
      </c>
      <c r="F1874" s="193" t="s">
        <v>114</v>
      </c>
      <c r="G1874" s="195" t="s">
        <v>11286</v>
      </c>
      <c r="H1874" s="166" t="s">
        <v>13436</v>
      </c>
      <c r="I1874" s="193" t="s">
        <v>12816</v>
      </c>
      <c r="J1874" s="219" t="s">
        <v>147</v>
      </c>
      <c r="K1874" s="170"/>
      <c r="L1874" s="193" t="s">
        <v>146</v>
      </c>
    </row>
    <row r="1875" spans="1:12" ht="15.75">
      <c r="A1875" s="67">
        <f t="shared" si="29"/>
        <v>1873</v>
      </c>
      <c r="B1875" s="164">
        <v>1873</v>
      </c>
      <c r="C1875" s="193" t="s">
        <v>3168</v>
      </c>
      <c r="D1875" s="197" t="s">
        <v>6436</v>
      </c>
      <c r="E1875" s="193" t="s">
        <v>495</v>
      </c>
      <c r="F1875" s="193" t="s">
        <v>114</v>
      </c>
      <c r="G1875" s="195" t="s">
        <v>776</v>
      </c>
      <c r="H1875" s="166" t="s">
        <v>13436</v>
      </c>
      <c r="I1875" s="193" t="s">
        <v>12816</v>
      </c>
      <c r="J1875" s="219" t="s">
        <v>146</v>
      </c>
      <c r="K1875" s="170"/>
      <c r="L1875" s="193" t="s">
        <v>146</v>
      </c>
    </row>
    <row r="1876" spans="1:12" ht="15.75">
      <c r="A1876" s="67">
        <f t="shared" si="29"/>
        <v>1874</v>
      </c>
      <c r="B1876" s="164">
        <v>1874</v>
      </c>
      <c r="C1876" s="193" t="s">
        <v>3169</v>
      </c>
      <c r="D1876" s="205" t="s">
        <v>6437</v>
      </c>
      <c r="E1876" s="193" t="s">
        <v>9095</v>
      </c>
      <c r="F1876" s="193" t="s">
        <v>114</v>
      </c>
      <c r="G1876" s="195" t="s">
        <v>11287</v>
      </c>
      <c r="H1876" s="166" t="s">
        <v>13436</v>
      </c>
      <c r="I1876" s="193" t="s">
        <v>12816</v>
      </c>
      <c r="J1876" s="193" t="s">
        <v>146</v>
      </c>
      <c r="K1876" s="170"/>
      <c r="L1876" s="193" t="s">
        <v>146</v>
      </c>
    </row>
    <row r="1877" spans="1:12" ht="15.75">
      <c r="A1877" s="67">
        <f t="shared" si="29"/>
        <v>1875</v>
      </c>
      <c r="B1877" s="164">
        <v>1875</v>
      </c>
      <c r="C1877" s="193" t="s">
        <v>3170</v>
      </c>
      <c r="D1877" s="195" t="s">
        <v>6438</v>
      </c>
      <c r="E1877" s="193" t="s">
        <v>9096</v>
      </c>
      <c r="F1877" s="193" t="s">
        <v>59</v>
      </c>
      <c r="G1877" s="195" t="s">
        <v>11288</v>
      </c>
      <c r="H1877" s="166" t="s">
        <v>13436</v>
      </c>
      <c r="I1877" s="193" t="s">
        <v>12818</v>
      </c>
      <c r="J1877" s="193" t="s">
        <v>146</v>
      </c>
      <c r="K1877" s="170"/>
      <c r="L1877" s="193"/>
    </row>
    <row r="1878" spans="1:12" ht="15.75">
      <c r="A1878" s="67">
        <f t="shared" si="29"/>
        <v>1876</v>
      </c>
      <c r="B1878" s="164">
        <v>1876</v>
      </c>
      <c r="C1878" s="193" t="s">
        <v>3171</v>
      </c>
      <c r="D1878" s="195" t="s">
        <v>6439</v>
      </c>
      <c r="E1878" s="193" t="s">
        <v>9097</v>
      </c>
      <c r="F1878" s="193" t="s">
        <v>114</v>
      </c>
      <c r="G1878" s="195" t="s">
        <v>11289</v>
      </c>
      <c r="H1878" s="166" t="s">
        <v>13436</v>
      </c>
      <c r="I1878" s="193" t="s">
        <v>12827</v>
      </c>
      <c r="J1878" s="193" t="s">
        <v>146</v>
      </c>
      <c r="K1878" s="170"/>
      <c r="L1878" s="193" t="s">
        <v>146</v>
      </c>
    </row>
    <row r="1879" spans="1:12" ht="15.75">
      <c r="A1879" s="67">
        <f t="shared" si="29"/>
        <v>1877</v>
      </c>
      <c r="B1879" s="164">
        <v>1877</v>
      </c>
      <c r="C1879" s="193" t="s">
        <v>3172</v>
      </c>
      <c r="D1879" s="195" t="s">
        <v>6440</v>
      </c>
      <c r="E1879" s="193" t="s">
        <v>318</v>
      </c>
      <c r="F1879" s="193" t="s">
        <v>114</v>
      </c>
      <c r="G1879" s="195" t="s">
        <v>11290</v>
      </c>
      <c r="H1879" s="166" t="s">
        <v>13436</v>
      </c>
      <c r="I1879" s="193" t="s">
        <v>12818</v>
      </c>
      <c r="J1879" s="219" t="s">
        <v>146</v>
      </c>
      <c r="K1879" s="170"/>
      <c r="L1879" s="193" t="s">
        <v>146</v>
      </c>
    </row>
    <row r="1880" spans="1:12" ht="15.75">
      <c r="A1880" s="67">
        <f t="shared" si="29"/>
        <v>1878</v>
      </c>
      <c r="B1880" s="164">
        <v>1878</v>
      </c>
      <c r="C1880" s="193" t="s">
        <v>3173</v>
      </c>
      <c r="D1880" s="195" t="s">
        <v>6441</v>
      </c>
      <c r="E1880" s="193" t="s">
        <v>9098</v>
      </c>
      <c r="F1880" s="193" t="s">
        <v>114</v>
      </c>
      <c r="G1880" s="195" t="s">
        <v>11291</v>
      </c>
      <c r="H1880" s="166" t="s">
        <v>13436</v>
      </c>
      <c r="I1880" s="193" t="s">
        <v>12818</v>
      </c>
      <c r="J1880" s="193" t="s">
        <v>146</v>
      </c>
      <c r="K1880" s="170"/>
      <c r="L1880" s="193" t="s">
        <v>146</v>
      </c>
    </row>
    <row r="1881" spans="1:12" ht="30">
      <c r="A1881" s="67">
        <f t="shared" si="29"/>
        <v>1879</v>
      </c>
      <c r="B1881" s="164">
        <v>1879</v>
      </c>
      <c r="C1881" s="193" t="s">
        <v>3174</v>
      </c>
      <c r="D1881" s="195" t="s">
        <v>6442</v>
      </c>
      <c r="E1881" s="193" t="s">
        <v>9099</v>
      </c>
      <c r="F1881" s="193" t="s">
        <v>114</v>
      </c>
      <c r="G1881" s="195" t="s">
        <v>995</v>
      </c>
      <c r="H1881" s="166" t="s">
        <v>13436</v>
      </c>
      <c r="I1881" s="193" t="s">
        <v>12836</v>
      </c>
      <c r="J1881" s="193" t="s">
        <v>146</v>
      </c>
      <c r="K1881" s="170"/>
      <c r="L1881" s="193" t="s">
        <v>13299</v>
      </c>
    </row>
    <row r="1882" spans="1:12" ht="15.75">
      <c r="A1882" s="67">
        <f t="shared" si="29"/>
        <v>1880</v>
      </c>
      <c r="B1882" s="164">
        <v>1880</v>
      </c>
      <c r="C1882" s="193" t="s">
        <v>3175</v>
      </c>
      <c r="D1882" s="195" t="s">
        <v>6443</v>
      </c>
      <c r="E1882" s="193" t="s">
        <v>9100</v>
      </c>
      <c r="F1882" s="193" t="s">
        <v>114</v>
      </c>
      <c r="G1882" s="195" t="s">
        <v>11288</v>
      </c>
      <c r="H1882" s="166" t="s">
        <v>13436</v>
      </c>
      <c r="I1882" s="193" t="s">
        <v>12814</v>
      </c>
      <c r="J1882" s="193" t="s">
        <v>146</v>
      </c>
      <c r="K1882" s="170"/>
      <c r="L1882" s="193" t="s">
        <v>146</v>
      </c>
    </row>
    <row r="1883" spans="1:12" ht="15.75">
      <c r="A1883" s="67">
        <f t="shared" si="29"/>
        <v>1881</v>
      </c>
      <c r="B1883" s="164">
        <v>1881</v>
      </c>
      <c r="C1883" s="193" t="s">
        <v>3176</v>
      </c>
      <c r="D1883" s="195" t="s">
        <v>6444</v>
      </c>
      <c r="E1883" s="193" t="s">
        <v>9101</v>
      </c>
      <c r="F1883" s="193" t="s">
        <v>114</v>
      </c>
      <c r="G1883" s="195" t="s">
        <v>11224</v>
      </c>
      <c r="H1883" s="166" t="s">
        <v>13436</v>
      </c>
      <c r="I1883" s="193" t="s">
        <v>12825</v>
      </c>
      <c r="J1883" s="193" t="s">
        <v>164</v>
      </c>
      <c r="K1883" s="170"/>
      <c r="L1883" s="193" t="s">
        <v>146</v>
      </c>
    </row>
    <row r="1884" spans="1:12" ht="15.75">
      <c r="A1884" s="67">
        <f t="shared" si="29"/>
        <v>1882</v>
      </c>
      <c r="B1884" s="164">
        <v>1882</v>
      </c>
      <c r="C1884" s="193" t="s">
        <v>3177</v>
      </c>
      <c r="D1884" s="195" t="s">
        <v>6445</v>
      </c>
      <c r="E1884" s="193" t="s">
        <v>9102</v>
      </c>
      <c r="F1884" s="193" t="s">
        <v>114</v>
      </c>
      <c r="G1884" s="195" t="s">
        <v>11292</v>
      </c>
      <c r="H1884" s="166" t="s">
        <v>13436</v>
      </c>
      <c r="I1884" s="193" t="s">
        <v>12814</v>
      </c>
      <c r="J1884" s="193" t="s">
        <v>12559</v>
      </c>
      <c r="K1884" s="170"/>
      <c r="L1884" s="193" t="s">
        <v>146</v>
      </c>
    </row>
    <row r="1885" spans="1:12" ht="15.75">
      <c r="A1885" s="67">
        <f t="shared" si="29"/>
        <v>1883</v>
      </c>
      <c r="B1885" s="164">
        <v>1883</v>
      </c>
      <c r="C1885" s="193" t="s">
        <v>3178</v>
      </c>
      <c r="D1885" s="195" t="s">
        <v>6446</v>
      </c>
      <c r="E1885" s="193" t="s">
        <v>9103</v>
      </c>
      <c r="F1885" s="193" t="s">
        <v>114</v>
      </c>
      <c r="G1885" s="195" t="s">
        <v>766</v>
      </c>
      <c r="H1885" s="166" t="s">
        <v>13436</v>
      </c>
      <c r="I1885" s="193" t="s">
        <v>12814</v>
      </c>
      <c r="J1885" s="193" t="s">
        <v>147</v>
      </c>
      <c r="K1885" s="170"/>
      <c r="L1885" s="193" t="s">
        <v>146</v>
      </c>
    </row>
    <row r="1886" spans="1:12" ht="30">
      <c r="A1886" s="67">
        <f t="shared" si="29"/>
        <v>1884</v>
      </c>
      <c r="B1886" s="164">
        <v>1884</v>
      </c>
      <c r="C1886" s="193" t="s">
        <v>3179</v>
      </c>
      <c r="D1886" s="195" t="s">
        <v>6447</v>
      </c>
      <c r="E1886" s="193" t="s">
        <v>9104</v>
      </c>
      <c r="F1886" s="193" t="s">
        <v>114</v>
      </c>
      <c r="G1886" s="195" t="s">
        <v>789</v>
      </c>
      <c r="H1886" s="166" t="s">
        <v>13436</v>
      </c>
      <c r="I1886" s="193" t="s">
        <v>12817</v>
      </c>
      <c r="J1886" s="193" t="s">
        <v>12560</v>
      </c>
      <c r="K1886" s="170"/>
      <c r="L1886" s="193" t="s">
        <v>146</v>
      </c>
    </row>
    <row r="1887" spans="1:12" ht="15.75">
      <c r="A1887" s="67">
        <f t="shared" si="29"/>
        <v>1885</v>
      </c>
      <c r="B1887" s="164">
        <v>1885</v>
      </c>
      <c r="C1887" s="193" t="s">
        <v>3180</v>
      </c>
      <c r="D1887" s="195" t="s">
        <v>6448</v>
      </c>
      <c r="E1887" s="193" t="s">
        <v>507</v>
      </c>
      <c r="F1887" s="193" t="s">
        <v>114</v>
      </c>
      <c r="G1887" s="195" t="s">
        <v>11293</v>
      </c>
      <c r="H1887" s="166" t="s">
        <v>13436</v>
      </c>
      <c r="I1887" s="193" t="s">
        <v>12814</v>
      </c>
      <c r="J1887" s="193" t="s">
        <v>146</v>
      </c>
      <c r="K1887" s="170"/>
      <c r="L1887" s="193" t="s">
        <v>146</v>
      </c>
    </row>
    <row r="1888" spans="1:12" ht="15.75">
      <c r="A1888" s="67">
        <f t="shared" si="29"/>
        <v>1886</v>
      </c>
      <c r="B1888" s="164">
        <v>1886</v>
      </c>
      <c r="C1888" s="193" t="s">
        <v>3181</v>
      </c>
      <c r="D1888" s="195" t="s">
        <v>6449</v>
      </c>
      <c r="E1888" s="193" t="s">
        <v>9105</v>
      </c>
      <c r="F1888" s="193" t="s">
        <v>114</v>
      </c>
      <c r="G1888" s="195" t="s">
        <v>11294</v>
      </c>
      <c r="H1888" s="166" t="s">
        <v>13436</v>
      </c>
      <c r="I1888" s="193" t="s">
        <v>12814</v>
      </c>
      <c r="J1888" s="219" t="s">
        <v>146</v>
      </c>
      <c r="K1888" s="170"/>
      <c r="L1888" s="193" t="s">
        <v>146</v>
      </c>
    </row>
    <row r="1889" spans="1:12" ht="15.75">
      <c r="A1889" s="67">
        <f t="shared" si="29"/>
        <v>1887</v>
      </c>
      <c r="B1889" s="164">
        <v>1887</v>
      </c>
      <c r="C1889" s="193" t="s">
        <v>3182</v>
      </c>
      <c r="D1889" s="195" t="s">
        <v>6450</v>
      </c>
      <c r="E1889" s="193" t="s">
        <v>9106</v>
      </c>
      <c r="F1889" s="193" t="s">
        <v>114</v>
      </c>
      <c r="G1889" s="195" t="s">
        <v>793</v>
      </c>
      <c r="H1889" s="166" t="s">
        <v>13436</v>
      </c>
      <c r="I1889" s="193" t="s">
        <v>12814</v>
      </c>
      <c r="J1889" s="193" t="s">
        <v>147</v>
      </c>
      <c r="K1889" s="170"/>
      <c r="L1889" s="193" t="s">
        <v>146</v>
      </c>
    </row>
    <row r="1890" spans="1:12" ht="45">
      <c r="A1890" s="67">
        <f t="shared" si="29"/>
        <v>1888</v>
      </c>
      <c r="B1890" s="164">
        <v>1888</v>
      </c>
      <c r="C1890" s="193" t="s">
        <v>3183</v>
      </c>
      <c r="D1890" s="195" t="s">
        <v>6451</v>
      </c>
      <c r="E1890" s="193" t="s">
        <v>9107</v>
      </c>
      <c r="F1890" s="193" t="s">
        <v>114</v>
      </c>
      <c r="G1890" s="195" t="s">
        <v>11295</v>
      </c>
      <c r="H1890" s="166" t="s">
        <v>13436</v>
      </c>
      <c r="I1890" s="193" t="s">
        <v>12814</v>
      </c>
      <c r="J1890" s="193" t="s">
        <v>146</v>
      </c>
      <c r="K1890" s="170"/>
      <c r="L1890" s="193" t="s">
        <v>13300</v>
      </c>
    </row>
    <row r="1891" spans="1:12" ht="30">
      <c r="A1891" s="67">
        <f t="shared" si="29"/>
        <v>1889</v>
      </c>
      <c r="B1891" s="164">
        <v>1889</v>
      </c>
      <c r="C1891" s="193" t="s">
        <v>3184</v>
      </c>
      <c r="D1891" s="195" t="s">
        <v>6452</v>
      </c>
      <c r="E1891" s="193" t="s">
        <v>9108</v>
      </c>
      <c r="F1891" s="193" t="s">
        <v>114</v>
      </c>
      <c r="G1891" s="195" t="s">
        <v>853</v>
      </c>
      <c r="H1891" s="166" t="s">
        <v>13436</v>
      </c>
      <c r="I1891" s="193" t="s">
        <v>12814</v>
      </c>
      <c r="J1891" s="219" t="s">
        <v>12561</v>
      </c>
      <c r="K1891" s="170"/>
      <c r="L1891" s="193" t="s">
        <v>146</v>
      </c>
    </row>
    <row r="1892" spans="1:12" ht="15.75">
      <c r="A1892" s="67">
        <f t="shared" si="29"/>
        <v>1890</v>
      </c>
      <c r="B1892" s="164">
        <v>1890</v>
      </c>
      <c r="C1892" s="193" t="s">
        <v>3185</v>
      </c>
      <c r="D1892" s="195" t="s">
        <v>6453</v>
      </c>
      <c r="E1892" s="193" t="s">
        <v>8104</v>
      </c>
      <c r="F1892" s="193" t="s">
        <v>114</v>
      </c>
      <c r="G1892" s="195" t="s">
        <v>1085</v>
      </c>
      <c r="H1892" s="166" t="s">
        <v>13436</v>
      </c>
      <c r="I1892" s="193" t="s">
        <v>12814</v>
      </c>
      <c r="J1892" s="193" t="s">
        <v>146</v>
      </c>
      <c r="K1892" s="170"/>
      <c r="L1892" s="193" t="s">
        <v>146</v>
      </c>
    </row>
    <row r="1893" spans="1:12" ht="75">
      <c r="A1893" s="67">
        <f t="shared" si="29"/>
        <v>1891</v>
      </c>
      <c r="B1893" s="164">
        <v>1891</v>
      </c>
      <c r="C1893" s="193" t="s">
        <v>3186</v>
      </c>
      <c r="D1893" s="195" t="s">
        <v>6454</v>
      </c>
      <c r="E1893" s="193" t="s">
        <v>653</v>
      </c>
      <c r="F1893" s="193" t="s">
        <v>114</v>
      </c>
      <c r="G1893" s="195" t="s">
        <v>1201</v>
      </c>
      <c r="H1893" s="166" t="s">
        <v>13436</v>
      </c>
      <c r="I1893" s="193" t="s">
        <v>12814</v>
      </c>
      <c r="J1893" s="193" t="s">
        <v>146</v>
      </c>
      <c r="K1893" s="170"/>
      <c r="L1893" s="193" t="s">
        <v>13301</v>
      </c>
    </row>
    <row r="1894" spans="1:12" ht="15.75">
      <c r="A1894" s="67">
        <f t="shared" si="29"/>
        <v>1892</v>
      </c>
      <c r="B1894" s="164">
        <v>1892</v>
      </c>
      <c r="C1894" s="193" t="s">
        <v>3187</v>
      </c>
      <c r="D1894" s="195" t="s">
        <v>6455</v>
      </c>
      <c r="E1894" s="193" t="s">
        <v>9109</v>
      </c>
      <c r="F1894" s="193" t="s">
        <v>114</v>
      </c>
      <c r="G1894" s="195" t="s">
        <v>11296</v>
      </c>
      <c r="H1894" s="166" t="s">
        <v>13436</v>
      </c>
      <c r="I1894" s="193" t="s">
        <v>12814</v>
      </c>
      <c r="J1894" s="193" t="s">
        <v>146</v>
      </c>
      <c r="K1894" s="170"/>
      <c r="L1894" s="193" t="s">
        <v>146</v>
      </c>
    </row>
    <row r="1895" spans="1:12" ht="30">
      <c r="A1895" s="67">
        <f t="shared" si="29"/>
        <v>1893</v>
      </c>
      <c r="B1895" s="164">
        <v>1893</v>
      </c>
      <c r="C1895" s="193" t="s">
        <v>3188</v>
      </c>
      <c r="D1895" s="195" t="s">
        <v>6456</v>
      </c>
      <c r="E1895" s="193" t="s">
        <v>9110</v>
      </c>
      <c r="F1895" s="193" t="s">
        <v>114</v>
      </c>
      <c r="G1895" s="195" t="s">
        <v>11297</v>
      </c>
      <c r="H1895" s="166" t="s">
        <v>13436</v>
      </c>
      <c r="I1895" s="193" t="s">
        <v>12814</v>
      </c>
      <c r="J1895" s="193" t="s">
        <v>146</v>
      </c>
      <c r="K1895" s="170"/>
      <c r="L1895" s="193" t="s">
        <v>13302</v>
      </c>
    </row>
    <row r="1896" spans="1:12" ht="15.75">
      <c r="A1896" s="67">
        <f t="shared" si="29"/>
        <v>1894</v>
      </c>
      <c r="B1896" s="164">
        <v>1894</v>
      </c>
      <c r="C1896" s="193" t="s">
        <v>3189</v>
      </c>
      <c r="D1896" s="195" t="s">
        <v>6457</v>
      </c>
      <c r="E1896" s="193" t="s">
        <v>9111</v>
      </c>
      <c r="F1896" s="193" t="s">
        <v>114</v>
      </c>
      <c r="G1896" s="195" t="s">
        <v>987</v>
      </c>
      <c r="H1896" s="166" t="s">
        <v>13436</v>
      </c>
      <c r="I1896" s="193" t="s">
        <v>12814</v>
      </c>
      <c r="J1896" s="193" t="s">
        <v>12562</v>
      </c>
      <c r="K1896" s="170"/>
      <c r="L1896" s="193" t="s">
        <v>146</v>
      </c>
    </row>
    <row r="1897" spans="1:12" ht="30">
      <c r="A1897" s="67">
        <f t="shared" si="29"/>
        <v>1895</v>
      </c>
      <c r="B1897" s="164">
        <v>1895</v>
      </c>
      <c r="C1897" s="193" t="s">
        <v>3190</v>
      </c>
      <c r="D1897" s="195" t="s">
        <v>6458</v>
      </c>
      <c r="E1897" s="193" t="s">
        <v>182</v>
      </c>
      <c r="F1897" s="193" t="s">
        <v>114</v>
      </c>
      <c r="G1897" s="195" t="s">
        <v>1174</v>
      </c>
      <c r="H1897" s="166" t="s">
        <v>13436</v>
      </c>
      <c r="I1897" s="193" t="s">
        <v>12819</v>
      </c>
      <c r="J1897" s="193" t="s">
        <v>12563</v>
      </c>
      <c r="K1897" s="170"/>
      <c r="L1897" s="193" t="s">
        <v>13303</v>
      </c>
    </row>
    <row r="1898" spans="1:12" ht="15.75">
      <c r="A1898" s="67">
        <f t="shared" si="29"/>
        <v>1896</v>
      </c>
      <c r="B1898" s="164">
        <v>1896</v>
      </c>
      <c r="C1898" s="193" t="s">
        <v>3191</v>
      </c>
      <c r="D1898" s="195" t="s">
        <v>6459</v>
      </c>
      <c r="E1898" s="193" t="s">
        <v>153</v>
      </c>
      <c r="F1898" s="193" t="s">
        <v>114</v>
      </c>
      <c r="G1898" s="195" t="s">
        <v>11298</v>
      </c>
      <c r="H1898" s="166" t="s">
        <v>13436</v>
      </c>
      <c r="I1898" s="193" t="s">
        <v>12819</v>
      </c>
      <c r="J1898" s="193" t="s">
        <v>146</v>
      </c>
      <c r="K1898" s="170"/>
      <c r="L1898" s="193" t="s">
        <v>146</v>
      </c>
    </row>
    <row r="1899" spans="1:12" ht="15.75">
      <c r="A1899" s="67">
        <f t="shared" si="29"/>
        <v>1897</v>
      </c>
      <c r="B1899" s="164">
        <v>1897</v>
      </c>
      <c r="C1899" s="193" t="s">
        <v>3192</v>
      </c>
      <c r="D1899" s="195" t="s">
        <v>6460</v>
      </c>
      <c r="E1899" s="193" t="s">
        <v>9112</v>
      </c>
      <c r="F1899" s="193" t="s">
        <v>114</v>
      </c>
      <c r="G1899" s="195" t="s">
        <v>1220</v>
      </c>
      <c r="H1899" s="166" t="s">
        <v>13436</v>
      </c>
      <c r="I1899" s="193" t="s">
        <v>12819</v>
      </c>
      <c r="J1899" s="193" t="s">
        <v>146</v>
      </c>
      <c r="K1899" s="170"/>
      <c r="L1899" s="193" t="s">
        <v>146</v>
      </c>
    </row>
    <row r="1900" spans="1:12" ht="15.75">
      <c r="A1900" s="67">
        <f t="shared" si="29"/>
        <v>1898</v>
      </c>
      <c r="B1900" s="164">
        <v>1898</v>
      </c>
      <c r="C1900" s="193" t="s">
        <v>3193</v>
      </c>
      <c r="D1900" s="195" t="s">
        <v>6461</v>
      </c>
      <c r="E1900" s="193" t="s">
        <v>572</v>
      </c>
      <c r="F1900" s="193" t="s">
        <v>114</v>
      </c>
      <c r="G1900" s="195" t="s">
        <v>11289</v>
      </c>
      <c r="H1900" s="166" t="s">
        <v>13436</v>
      </c>
      <c r="I1900" s="193" t="s">
        <v>12819</v>
      </c>
      <c r="J1900" s="193" t="s">
        <v>146</v>
      </c>
      <c r="K1900" s="170"/>
      <c r="L1900" s="193" t="s">
        <v>146</v>
      </c>
    </row>
    <row r="1901" spans="1:12" ht="30">
      <c r="A1901" s="67">
        <f t="shared" si="29"/>
        <v>1899</v>
      </c>
      <c r="B1901" s="164">
        <v>1899</v>
      </c>
      <c r="C1901" s="193" t="s">
        <v>3194</v>
      </c>
      <c r="D1901" s="195" t="s">
        <v>6462</v>
      </c>
      <c r="E1901" s="193" t="s">
        <v>9113</v>
      </c>
      <c r="F1901" s="193" t="s">
        <v>114</v>
      </c>
      <c r="G1901" s="195" t="s">
        <v>897</v>
      </c>
      <c r="H1901" s="166" t="s">
        <v>13436</v>
      </c>
      <c r="I1901" s="193" t="s">
        <v>12813</v>
      </c>
      <c r="J1901" s="193" t="s">
        <v>146</v>
      </c>
      <c r="K1901" s="170"/>
      <c r="L1901" s="193" t="s">
        <v>13304</v>
      </c>
    </row>
    <row r="1902" spans="1:12" ht="30">
      <c r="A1902" s="67">
        <f t="shared" si="29"/>
        <v>1900</v>
      </c>
      <c r="B1902" s="164">
        <v>1900</v>
      </c>
      <c r="C1902" s="193" t="s">
        <v>3195</v>
      </c>
      <c r="D1902" s="195" t="s">
        <v>6463</v>
      </c>
      <c r="E1902" s="193" t="s">
        <v>9114</v>
      </c>
      <c r="F1902" s="193" t="s">
        <v>114</v>
      </c>
      <c r="G1902" s="195" t="s">
        <v>11299</v>
      </c>
      <c r="H1902" s="166" t="s">
        <v>13436</v>
      </c>
      <c r="I1902" s="193" t="s">
        <v>12819</v>
      </c>
      <c r="J1902" s="193" t="s">
        <v>12564</v>
      </c>
      <c r="K1902" s="170"/>
      <c r="L1902" s="193" t="s">
        <v>146</v>
      </c>
    </row>
    <row r="1903" spans="1:12" ht="15.75">
      <c r="A1903" s="67">
        <f t="shared" si="29"/>
        <v>1901</v>
      </c>
      <c r="B1903" s="164">
        <v>1901</v>
      </c>
      <c r="C1903" s="193" t="s">
        <v>3196</v>
      </c>
      <c r="D1903" s="195" t="s">
        <v>6464</v>
      </c>
      <c r="E1903" s="193" t="s">
        <v>9115</v>
      </c>
      <c r="F1903" s="193" t="s">
        <v>114</v>
      </c>
      <c r="G1903" s="195" t="s">
        <v>11300</v>
      </c>
      <c r="H1903" s="166" t="s">
        <v>13436</v>
      </c>
      <c r="I1903" s="193" t="s">
        <v>12824</v>
      </c>
      <c r="J1903" s="193" t="s">
        <v>146</v>
      </c>
      <c r="K1903" s="170"/>
      <c r="L1903" s="193" t="s">
        <v>146</v>
      </c>
    </row>
    <row r="1904" spans="1:12" ht="30">
      <c r="A1904" s="67">
        <f t="shared" si="29"/>
        <v>1902</v>
      </c>
      <c r="B1904" s="164">
        <v>1902</v>
      </c>
      <c r="C1904" s="193" t="s">
        <v>3197</v>
      </c>
      <c r="D1904" s="195" t="s">
        <v>6465</v>
      </c>
      <c r="E1904" s="193" t="s">
        <v>9116</v>
      </c>
      <c r="F1904" s="193" t="s">
        <v>114</v>
      </c>
      <c r="G1904" s="195" t="s">
        <v>11301</v>
      </c>
      <c r="H1904" s="166" t="s">
        <v>13436</v>
      </c>
      <c r="I1904" s="193" t="s">
        <v>12825</v>
      </c>
      <c r="J1904" s="193" t="s">
        <v>12565</v>
      </c>
      <c r="K1904" s="170"/>
      <c r="L1904" s="193" t="s">
        <v>146</v>
      </c>
    </row>
    <row r="1905" spans="1:12" ht="15.75">
      <c r="A1905" s="67">
        <f t="shared" si="29"/>
        <v>1903</v>
      </c>
      <c r="B1905" s="164">
        <v>1903</v>
      </c>
      <c r="C1905" s="193" t="s">
        <v>3198</v>
      </c>
      <c r="D1905" s="195" t="s">
        <v>6466</v>
      </c>
      <c r="E1905" s="193" t="s">
        <v>150</v>
      </c>
      <c r="F1905" s="193" t="s">
        <v>114</v>
      </c>
      <c r="G1905" s="195" t="s">
        <v>1013</v>
      </c>
      <c r="H1905" s="166" t="s">
        <v>13436</v>
      </c>
      <c r="I1905" s="193" t="s">
        <v>12819</v>
      </c>
      <c r="J1905" s="193" t="s">
        <v>146</v>
      </c>
      <c r="K1905" s="170"/>
      <c r="L1905" s="193" t="s">
        <v>146</v>
      </c>
    </row>
    <row r="1906" spans="1:12" ht="15.75">
      <c r="A1906" s="67">
        <f t="shared" si="29"/>
        <v>1904</v>
      </c>
      <c r="B1906" s="164">
        <v>1904</v>
      </c>
      <c r="C1906" s="193" t="s">
        <v>3199</v>
      </c>
      <c r="D1906" s="195" t="s">
        <v>6467</v>
      </c>
      <c r="E1906" s="193" t="s">
        <v>563</v>
      </c>
      <c r="F1906" s="193" t="s">
        <v>114</v>
      </c>
      <c r="G1906" s="195" t="s">
        <v>11302</v>
      </c>
      <c r="H1906" s="166" t="s">
        <v>13436</v>
      </c>
      <c r="I1906" s="193" t="s">
        <v>12808</v>
      </c>
      <c r="J1906" s="193" t="s">
        <v>164</v>
      </c>
      <c r="K1906" s="170"/>
      <c r="L1906" s="193" t="s">
        <v>146</v>
      </c>
    </row>
    <row r="1907" spans="1:12" ht="15.75">
      <c r="A1907" s="67">
        <f t="shared" si="29"/>
        <v>1905</v>
      </c>
      <c r="B1907" s="164">
        <v>1905</v>
      </c>
      <c r="C1907" s="193" t="s">
        <v>3200</v>
      </c>
      <c r="D1907" s="195" t="s">
        <v>6468</v>
      </c>
      <c r="E1907" s="193" t="s">
        <v>159</v>
      </c>
      <c r="F1907" s="193" t="s">
        <v>114</v>
      </c>
      <c r="G1907" s="195" t="s">
        <v>11303</v>
      </c>
      <c r="H1907" s="166" t="s">
        <v>13436</v>
      </c>
      <c r="I1907" s="193" t="s">
        <v>12819</v>
      </c>
      <c r="J1907" s="193" t="s">
        <v>146</v>
      </c>
      <c r="K1907" s="170"/>
      <c r="L1907" s="193" t="s">
        <v>146</v>
      </c>
    </row>
    <row r="1908" spans="1:12" ht="15.75">
      <c r="A1908" s="67">
        <f t="shared" si="29"/>
        <v>1906</v>
      </c>
      <c r="B1908" s="164">
        <v>1906</v>
      </c>
      <c r="C1908" s="193" t="s">
        <v>3201</v>
      </c>
      <c r="D1908" s="213" t="s">
        <v>6469</v>
      </c>
      <c r="E1908" s="193" t="s">
        <v>9117</v>
      </c>
      <c r="F1908" s="193" t="s">
        <v>114</v>
      </c>
      <c r="G1908" s="195" t="s">
        <v>11304</v>
      </c>
      <c r="H1908" s="166" t="s">
        <v>13436</v>
      </c>
      <c r="I1908" s="193" t="s">
        <v>12819</v>
      </c>
      <c r="J1908" s="193" t="s">
        <v>146</v>
      </c>
      <c r="K1908" s="170"/>
      <c r="L1908" s="193" t="s">
        <v>146</v>
      </c>
    </row>
    <row r="1909" spans="1:12" ht="15.75">
      <c r="A1909" s="67">
        <f t="shared" si="29"/>
        <v>1907</v>
      </c>
      <c r="B1909" s="164">
        <v>1907</v>
      </c>
      <c r="C1909" s="193" t="s">
        <v>3202</v>
      </c>
      <c r="D1909" s="195" t="s">
        <v>6470</v>
      </c>
      <c r="E1909" s="193" t="s">
        <v>189</v>
      </c>
      <c r="F1909" s="193" t="s">
        <v>114</v>
      </c>
      <c r="G1909" s="195" t="s">
        <v>11273</v>
      </c>
      <c r="H1909" s="166" t="s">
        <v>13436</v>
      </c>
      <c r="I1909" s="193" t="s">
        <v>12819</v>
      </c>
      <c r="J1909" s="193" t="s">
        <v>12566</v>
      </c>
      <c r="K1909" s="170"/>
      <c r="L1909" s="193" t="s">
        <v>146</v>
      </c>
    </row>
    <row r="1910" spans="1:12" ht="15.75">
      <c r="A1910" s="67">
        <f t="shared" si="29"/>
        <v>1908</v>
      </c>
      <c r="B1910" s="164">
        <v>1908</v>
      </c>
      <c r="C1910" s="193" t="s">
        <v>3203</v>
      </c>
      <c r="D1910" s="195" t="s">
        <v>6471</v>
      </c>
      <c r="E1910" s="193" t="s">
        <v>9118</v>
      </c>
      <c r="F1910" s="193" t="s">
        <v>114</v>
      </c>
      <c r="G1910" s="195" t="s">
        <v>11305</v>
      </c>
      <c r="H1910" s="166" t="s">
        <v>13436</v>
      </c>
      <c r="I1910" s="193" t="s">
        <v>12819</v>
      </c>
      <c r="J1910" s="193" t="s">
        <v>146</v>
      </c>
      <c r="K1910" s="170"/>
      <c r="L1910" s="193" t="s">
        <v>146</v>
      </c>
    </row>
    <row r="1911" spans="1:12" ht="15.75">
      <c r="A1911" s="67">
        <f t="shared" si="29"/>
        <v>1909</v>
      </c>
      <c r="B1911" s="164">
        <v>1909</v>
      </c>
      <c r="C1911" s="193" t="s">
        <v>3204</v>
      </c>
      <c r="D1911" s="195" t="s">
        <v>6472</v>
      </c>
      <c r="E1911" s="193" t="s">
        <v>8824</v>
      </c>
      <c r="F1911" s="193" t="s">
        <v>59</v>
      </c>
      <c r="G1911" s="195" t="s">
        <v>11306</v>
      </c>
      <c r="H1911" s="166" t="s">
        <v>13436</v>
      </c>
      <c r="I1911" s="193" t="s">
        <v>12809</v>
      </c>
      <c r="J1911" s="193" t="s">
        <v>146</v>
      </c>
      <c r="K1911" s="170"/>
      <c r="L1911" s="193"/>
    </row>
    <row r="1912" spans="1:12" ht="15.75">
      <c r="A1912" s="67">
        <f t="shared" si="29"/>
        <v>1910</v>
      </c>
      <c r="B1912" s="164">
        <v>1910</v>
      </c>
      <c r="C1912" s="193" t="s">
        <v>3205</v>
      </c>
      <c r="D1912" s="198" t="s">
        <v>6473</v>
      </c>
      <c r="E1912" s="193" t="s">
        <v>652</v>
      </c>
      <c r="F1912" s="193" t="s">
        <v>114</v>
      </c>
      <c r="G1912" s="195" t="s">
        <v>10985</v>
      </c>
      <c r="H1912" s="166" t="s">
        <v>13436</v>
      </c>
      <c r="I1912" s="193" t="s">
        <v>1247</v>
      </c>
      <c r="J1912" s="193" t="s">
        <v>146</v>
      </c>
      <c r="K1912" s="170"/>
      <c r="L1912" s="193" t="s">
        <v>146</v>
      </c>
    </row>
    <row r="1913" spans="1:12" ht="15.75">
      <c r="A1913" s="67">
        <f t="shared" si="29"/>
        <v>1911</v>
      </c>
      <c r="B1913" s="164">
        <v>1911</v>
      </c>
      <c r="C1913" s="193" t="s">
        <v>3206</v>
      </c>
      <c r="D1913" s="195" t="s">
        <v>6474</v>
      </c>
      <c r="E1913" s="193" t="s">
        <v>9119</v>
      </c>
      <c r="F1913" s="193" t="s">
        <v>59</v>
      </c>
      <c r="G1913" s="195" t="s">
        <v>1194</v>
      </c>
      <c r="H1913" s="166" t="s">
        <v>13436</v>
      </c>
      <c r="I1913" s="193" t="s">
        <v>12825</v>
      </c>
      <c r="J1913" s="193" t="s">
        <v>146</v>
      </c>
      <c r="K1913" s="170"/>
      <c r="L1913" s="193"/>
    </row>
    <row r="1914" spans="1:12" ht="15.75">
      <c r="A1914" s="67">
        <f t="shared" si="29"/>
        <v>1912</v>
      </c>
      <c r="B1914" s="164">
        <v>1912</v>
      </c>
      <c r="C1914" s="193" t="s">
        <v>3207</v>
      </c>
      <c r="D1914" s="195" t="s">
        <v>6475</v>
      </c>
      <c r="E1914" s="193" t="s">
        <v>386</v>
      </c>
      <c r="F1914" s="193" t="s">
        <v>59</v>
      </c>
      <c r="G1914" s="195" t="s">
        <v>11307</v>
      </c>
      <c r="H1914" s="166" t="s">
        <v>13436</v>
      </c>
      <c r="I1914" s="193" t="s">
        <v>12825</v>
      </c>
      <c r="J1914" s="219" t="s">
        <v>146</v>
      </c>
      <c r="K1914" s="170"/>
      <c r="L1914" s="193"/>
    </row>
    <row r="1915" spans="1:12" ht="15.75">
      <c r="A1915" s="67">
        <f t="shared" si="29"/>
        <v>1913</v>
      </c>
      <c r="B1915" s="164">
        <v>1913</v>
      </c>
      <c r="C1915" s="193" t="s">
        <v>3208</v>
      </c>
      <c r="D1915" s="195" t="s">
        <v>6476</v>
      </c>
      <c r="E1915" s="193" t="s">
        <v>9120</v>
      </c>
      <c r="F1915" s="193" t="s">
        <v>114</v>
      </c>
      <c r="G1915" s="195" t="s">
        <v>11308</v>
      </c>
      <c r="H1915" s="166" t="s">
        <v>13436</v>
      </c>
      <c r="I1915" s="193" t="s">
        <v>12824</v>
      </c>
      <c r="J1915" s="193"/>
      <c r="K1915" s="170"/>
      <c r="L1915" s="193" t="s">
        <v>146</v>
      </c>
    </row>
    <row r="1916" spans="1:12" ht="60">
      <c r="A1916" s="67">
        <f t="shared" si="29"/>
        <v>1914</v>
      </c>
      <c r="B1916" s="164">
        <v>1914</v>
      </c>
      <c r="C1916" s="193" t="s">
        <v>3209</v>
      </c>
      <c r="D1916" s="195" t="s">
        <v>6477</v>
      </c>
      <c r="E1916" s="193" t="s">
        <v>9121</v>
      </c>
      <c r="F1916" s="193" t="s">
        <v>114</v>
      </c>
      <c r="G1916" s="195" t="s">
        <v>11309</v>
      </c>
      <c r="H1916" s="166" t="s">
        <v>13436</v>
      </c>
      <c r="I1916" s="193" t="s">
        <v>12824</v>
      </c>
      <c r="J1916" s="193" t="s">
        <v>146</v>
      </c>
      <c r="K1916" s="170"/>
      <c r="L1916" s="193" t="s">
        <v>13305</v>
      </c>
    </row>
    <row r="1917" spans="1:12" ht="15.75">
      <c r="A1917" s="67">
        <f t="shared" si="29"/>
        <v>1915</v>
      </c>
      <c r="B1917" s="164">
        <v>1915</v>
      </c>
      <c r="C1917" s="193" t="s">
        <v>3210</v>
      </c>
      <c r="D1917" s="195" t="s">
        <v>6478</v>
      </c>
      <c r="E1917" s="193" t="s">
        <v>355</v>
      </c>
      <c r="F1917" s="193" t="s">
        <v>114</v>
      </c>
      <c r="G1917" s="195" t="s">
        <v>11310</v>
      </c>
      <c r="H1917" s="166" t="s">
        <v>13436</v>
      </c>
      <c r="I1917" s="193" t="s">
        <v>12824</v>
      </c>
      <c r="J1917" s="193" t="s">
        <v>146</v>
      </c>
      <c r="K1917" s="170"/>
      <c r="L1917" s="193" t="s">
        <v>146</v>
      </c>
    </row>
    <row r="1918" spans="1:12" ht="30">
      <c r="A1918" s="67">
        <f t="shared" si="29"/>
        <v>1916</v>
      </c>
      <c r="B1918" s="164">
        <v>1916</v>
      </c>
      <c r="C1918" s="193" t="s">
        <v>3211</v>
      </c>
      <c r="D1918" s="195" t="s">
        <v>6479</v>
      </c>
      <c r="E1918" s="193" t="s">
        <v>9122</v>
      </c>
      <c r="F1918" s="193" t="s">
        <v>114</v>
      </c>
      <c r="G1918" s="195" t="s">
        <v>11311</v>
      </c>
      <c r="H1918" s="166" t="s">
        <v>13436</v>
      </c>
      <c r="I1918" s="193" t="s">
        <v>12824</v>
      </c>
      <c r="J1918" s="193" t="s">
        <v>146</v>
      </c>
      <c r="K1918" s="170"/>
      <c r="L1918" s="193" t="s">
        <v>13306</v>
      </c>
    </row>
    <row r="1919" spans="1:12" ht="15.75">
      <c r="A1919" s="67">
        <f t="shared" si="29"/>
        <v>1917</v>
      </c>
      <c r="B1919" s="164">
        <v>1917</v>
      </c>
      <c r="C1919" s="193" t="s">
        <v>3212</v>
      </c>
      <c r="D1919" s="195" t="s">
        <v>6480</v>
      </c>
      <c r="E1919" s="193" t="s">
        <v>651</v>
      </c>
      <c r="F1919" s="193" t="s">
        <v>114</v>
      </c>
      <c r="G1919" s="195" t="s">
        <v>11312</v>
      </c>
      <c r="H1919" s="166" t="s">
        <v>13436</v>
      </c>
      <c r="I1919" s="193" t="s">
        <v>12825</v>
      </c>
      <c r="J1919" s="193" t="s">
        <v>146</v>
      </c>
      <c r="K1919" s="170"/>
      <c r="L1919" s="193" t="s">
        <v>146</v>
      </c>
    </row>
    <row r="1920" spans="1:12" ht="15.75">
      <c r="A1920" s="67">
        <f t="shared" si="29"/>
        <v>1918</v>
      </c>
      <c r="B1920" s="164">
        <v>1918</v>
      </c>
      <c r="C1920" s="193" t="s">
        <v>3213</v>
      </c>
      <c r="D1920" s="195" t="s">
        <v>6481</v>
      </c>
      <c r="E1920" s="193" t="s">
        <v>9123</v>
      </c>
      <c r="F1920" s="193" t="s">
        <v>114</v>
      </c>
      <c r="G1920" s="195" t="s">
        <v>1244</v>
      </c>
      <c r="H1920" s="166" t="s">
        <v>13436</v>
      </c>
      <c r="I1920" s="193" t="s">
        <v>12825</v>
      </c>
      <c r="J1920" s="193" t="s">
        <v>146</v>
      </c>
      <c r="K1920" s="170"/>
      <c r="L1920" s="193" t="s">
        <v>146</v>
      </c>
    </row>
    <row r="1921" spans="1:12" ht="15.75">
      <c r="A1921" s="67">
        <f t="shared" si="29"/>
        <v>1919</v>
      </c>
      <c r="B1921" s="164">
        <v>1919</v>
      </c>
      <c r="C1921" s="193" t="s">
        <v>3214</v>
      </c>
      <c r="D1921" s="205" t="s">
        <v>6482</v>
      </c>
      <c r="E1921" s="193" t="s">
        <v>9124</v>
      </c>
      <c r="F1921" s="193" t="s">
        <v>59</v>
      </c>
      <c r="G1921" s="195" t="s">
        <v>11313</v>
      </c>
      <c r="H1921" s="166" t="s">
        <v>13436</v>
      </c>
      <c r="I1921" s="193" t="s">
        <v>12816</v>
      </c>
      <c r="J1921" s="193" t="s">
        <v>1254</v>
      </c>
      <c r="K1921" s="170"/>
      <c r="L1921" s="193"/>
    </row>
    <row r="1922" spans="1:12" ht="15.75">
      <c r="A1922" s="67">
        <f t="shared" si="29"/>
        <v>1920</v>
      </c>
      <c r="B1922" s="164">
        <v>1920</v>
      </c>
      <c r="C1922" s="193" t="s">
        <v>3215</v>
      </c>
      <c r="D1922" s="197" t="s">
        <v>6483</v>
      </c>
      <c r="E1922" s="193" t="s">
        <v>9125</v>
      </c>
      <c r="F1922" s="193" t="s">
        <v>114</v>
      </c>
      <c r="G1922" s="195" t="s">
        <v>11314</v>
      </c>
      <c r="H1922" s="166" t="s">
        <v>13436</v>
      </c>
      <c r="I1922" s="193" t="s">
        <v>12816</v>
      </c>
      <c r="J1922" s="193" t="s">
        <v>12567</v>
      </c>
      <c r="K1922" s="170"/>
      <c r="L1922" s="193" t="s">
        <v>146</v>
      </c>
    </row>
    <row r="1923" spans="1:12" ht="15.75">
      <c r="A1923" s="67">
        <f t="shared" ref="A1923:A1986" si="30">IFERROR(VALUE(RIGHT(C1923,4)),"")</f>
        <v>1921</v>
      </c>
      <c r="B1923" s="164">
        <v>1921</v>
      </c>
      <c r="C1923" s="193" t="s">
        <v>3216</v>
      </c>
      <c r="D1923" s="197" t="s">
        <v>6484</v>
      </c>
      <c r="E1923" s="193" t="s">
        <v>9126</v>
      </c>
      <c r="F1923" s="193" t="s">
        <v>114</v>
      </c>
      <c r="G1923" s="195" t="s">
        <v>827</v>
      </c>
      <c r="H1923" s="166" t="s">
        <v>13436</v>
      </c>
      <c r="I1923" s="193" t="s">
        <v>12816</v>
      </c>
      <c r="J1923" s="193" t="s">
        <v>12568</v>
      </c>
      <c r="K1923" s="170"/>
      <c r="L1923" s="193" t="s">
        <v>146</v>
      </c>
    </row>
    <row r="1924" spans="1:12" ht="30">
      <c r="A1924" s="67">
        <f t="shared" si="30"/>
        <v>1922</v>
      </c>
      <c r="B1924" s="164">
        <v>1922</v>
      </c>
      <c r="C1924" s="193" t="s">
        <v>3217</v>
      </c>
      <c r="D1924" s="205" t="s">
        <v>6485</v>
      </c>
      <c r="E1924" s="193" t="s">
        <v>9127</v>
      </c>
      <c r="F1924" s="193" t="s">
        <v>114</v>
      </c>
      <c r="G1924" s="195" t="s">
        <v>11315</v>
      </c>
      <c r="H1924" s="166" t="s">
        <v>13436</v>
      </c>
      <c r="I1924" s="193" t="s">
        <v>12816</v>
      </c>
      <c r="J1924" s="193" t="s">
        <v>146</v>
      </c>
      <c r="K1924" s="170"/>
      <c r="L1924" s="193" t="s">
        <v>13307</v>
      </c>
    </row>
    <row r="1925" spans="1:12" ht="30">
      <c r="A1925" s="67">
        <f t="shared" si="30"/>
        <v>1923</v>
      </c>
      <c r="B1925" s="164">
        <v>1923</v>
      </c>
      <c r="C1925" s="193" t="s">
        <v>3218</v>
      </c>
      <c r="D1925" s="205" t="s">
        <v>6486</v>
      </c>
      <c r="E1925" s="193" t="s">
        <v>9128</v>
      </c>
      <c r="F1925" s="193" t="s">
        <v>114</v>
      </c>
      <c r="G1925" s="195" t="s">
        <v>1155</v>
      </c>
      <c r="H1925" s="166" t="s">
        <v>13436</v>
      </c>
      <c r="I1925" s="193" t="s">
        <v>12816</v>
      </c>
      <c r="J1925" s="193" t="s">
        <v>146</v>
      </c>
      <c r="K1925" s="170"/>
      <c r="L1925" s="193" t="s">
        <v>13308</v>
      </c>
    </row>
    <row r="1926" spans="1:12" ht="15.75">
      <c r="A1926" s="67">
        <f t="shared" si="30"/>
        <v>1924</v>
      </c>
      <c r="B1926" s="164">
        <v>1924</v>
      </c>
      <c r="C1926" s="193" t="s">
        <v>3219</v>
      </c>
      <c r="D1926" s="195" t="s">
        <v>6487</v>
      </c>
      <c r="E1926" s="193" t="s">
        <v>9129</v>
      </c>
      <c r="F1926" s="193" t="s">
        <v>59</v>
      </c>
      <c r="G1926" s="195" t="s">
        <v>11316</v>
      </c>
      <c r="H1926" s="166" t="s">
        <v>13436</v>
      </c>
      <c r="I1926" s="193" t="s">
        <v>12836</v>
      </c>
      <c r="J1926" s="193" t="s">
        <v>146</v>
      </c>
      <c r="K1926" s="170"/>
      <c r="L1926" s="193"/>
    </row>
    <row r="1927" spans="1:12" ht="15.75">
      <c r="A1927" s="67">
        <f t="shared" si="30"/>
        <v>1925</v>
      </c>
      <c r="B1927" s="164">
        <v>1925</v>
      </c>
      <c r="C1927" s="193" t="s">
        <v>3220</v>
      </c>
      <c r="D1927" s="195" t="s">
        <v>6488</v>
      </c>
      <c r="E1927" s="193" t="s">
        <v>9130</v>
      </c>
      <c r="F1927" s="193" t="s">
        <v>59</v>
      </c>
      <c r="G1927" s="195" t="s">
        <v>11317</v>
      </c>
      <c r="H1927" s="166" t="s">
        <v>13436</v>
      </c>
      <c r="I1927" s="193" t="s">
        <v>12818</v>
      </c>
      <c r="J1927" s="193" t="s">
        <v>147</v>
      </c>
      <c r="K1927" s="170"/>
      <c r="L1927" s="193"/>
    </row>
    <row r="1928" spans="1:12" ht="30">
      <c r="A1928" s="67">
        <f t="shared" si="30"/>
        <v>1926</v>
      </c>
      <c r="B1928" s="164">
        <v>1926</v>
      </c>
      <c r="C1928" s="193" t="s">
        <v>3221</v>
      </c>
      <c r="D1928" s="195" t="s">
        <v>6489</v>
      </c>
      <c r="E1928" s="193" t="s">
        <v>9131</v>
      </c>
      <c r="F1928" s="193" t="s">
        <v>114</v>
      </c>
      <c r="G1928" s="195" t="s">
        <v>11318</v>
      </c>
      <c r="H1928" s="166" t="s">
        <v>13436</v>
      </c>
      <c r="I1928" s="193" t="s">
        <v>12812</v>
      </c>
      <c r="J1928" s="193" t="s">
        <v>12569</v>
      </c>
      <c r="K1928" s="170"/>
      <c r="L1928" s="193" t="s">
        <v>146</v>
      </c>
    </row>
    <row r="1929" spans="1:12" ht="15.75">
      <c r="A1929" s="67">
        <f t="shared" si="30"/>
        <v>1927</v>
      </c>
      <c r="B1929" s="164">
        <v>1927</v>
      </c>
      <c r="C1929" s="193" t="s">
        <v>3222</v>
      </c>
      <c r="D1929" s="195" t="s">
        <v>6490</v>
      </c>
      <c r="E1929" s="193" t="s">
        <v>7864</v>
      </c>
      <c r="F1929" s="193" t="s">
        <v>114</v>
      </c>
      <c r="G1929" s="195" t="s">
        <v>11319</v>
      </c>
      <c r="H1929" s="166" t="s">
        <v>13436</v>
      </c>
      <c r="I1929" s="193" t="s">
        <v>12818</v>
      </c>
      <c r="J1929" s="193" t="s">
        <v>146</v>
      </c>
      <c r="K1929" s="170"/>
      <c r="L1929" s="193" t="s">
        <v>146</v>
      </c>
    </row>
    <row r="1930" spans="1:12" ht="30">
      <c r="A1930" s="67">
        <f t="shared" si="30"/>
        <v>1928</v>
      </c>
      <c r="B1930" s="164">
        <v>1928</v>
      </c>
      <c r="C1930" s="193" t="s">
        <v>3223</v>
      </c>
      <c r="D1930" s="195" t="s">
        <v>6491</v>
      </c>
      <c r="E1930" s="193" t="s">
        <v>9132</v>
      </c>
      <c r="F1930" s="193" t="s">
        <v>114</v>
      </c>
      <c r="G1930" s="195" t="s">
        <v>11320</v>
      </c>
      <c r="H1930" s="166" t="s">
        <v>13436</v>
      </c>
      <c r="I1930" s="193" t="s">
        <v>12818</v>
      </c>
      <c r="J1930" s="193" t="s">
        <v>12570</v>
      </c>
      <c r="K1930" s="170"/>
      <c r="L1930" s="193" t="s">
        <v>146</v>
      </c>
    </row>
    <row r="1931" spans="1:12" ht="15.75">
      <c r="A1931" s="67">
        <f t="shared" si="30"/>
        <v>1929</v>
      </c>
      <c r="B1931" s="164">
        <v>1929</v>
      </c>
      <c r="C1931" s="193" t="s">
        <v>3224</v>
      </c>
      <c r="D1931" s="195" t="s">
        <v>6492</v>
      </c>
      <c r="E1931" s="193" t="s">
        <v>9133</v>
      </c>
      <c r="F1931" s="193" t="s">
        <v>59</v>
      </c>
      <c r="G1931" s="195" t="s">
        <v>1228</v>
      </c>
      <c r="H1931" s="166" t="s">
        <v>13436</v>
      </c>
      <c r="I1931" s="193" t="s">
        <v>12814</v>
      </c>
      <c r="J1931" s="193" t="s">
        <v>1252</v>
      </c>
      <c r="K1931" s="170"/>
      <c r="L1931" s="193"/>
    </row>
    <row r="1932" spans="1:12" ht="30">
      <c r="A1932" s="67">
        <f t="shared" si="30"/>
        <v>1930</v>
      </c>
      <c r="B1932" s="164">
        <v>1930</v>
      </c>
      <c r="C1932" s="193" t="s">
        <v>3225</v>
      </c>
      <c r="D1932" s="195" t="s">
        <v>6493</v>
      </c>
      <c r="E1932" s="193" t="s">
        <v>9134</v>
      </c>
      <c r="F1932" s="193" t="s">
        <v>59</v>
      </c>
      <c r="G1932" s="195" t="s">
        <v>11321</v>
      </c>
      <c r="H1932" s="166" t="s">
        <v>13436</v>
      </c>
      <c r="I1932" s="193" t="s">
        <v>12814</v>
      </c>
      <c r="J1932" s="219" t="s">
        <v>12571</v>
      </c>
      <c r="K1932" s="170"/>
      <c r="L1932" s="193"/>
    </row>
    <row r="1933" spans="1:12" ht="15.75">
      <c r="A1933" s="67">
        <f t="shared" si="30"/>
        <v>1931</v>
      </c>
      <c r="B1933" s="164">
        <v>1931</v>
      </c>
      <c r="C1933" s="193" t="s">
        <v>3226</v>
      </c>
      <c r="D1933" s="195" t="s">
        <v>6494</v>
      </c>
      <c r="E1933" s="193" t="s">
        <v>9135</v>
      </c>
      <c r="F1933" s="193" t="s">
        <v>59</v>
      </c>
      <c r="G1933" s="195" t="s">
        <v>11322</v>
      </c>
      <c r="H1933" s="166" t="s">
        <v>13436</v>
      </c>
      <c r="I1933" s="193" t="s">
        <v>12814</v>
      </c>
      <c r="J1933" s="219" t="s">
        <v>146</v>
      </c>
      <c r="K1933" s="170"/>
      <c r="L1933" s="193"/>
    </row>
    <row r="1934" spans="1:12" ht="30">
      <c r="A1934" s="67">
        <f t="shared" si="30"/>
        <v>1932</v>
      </c>
      <c r="B1934" s="164">
        <v>1932</v>
      </c>
      <c r="C1934" s="193" t="s">
        <v>3227</v>
      </c>
      <c r="D1934" s="195" t="s">
        <v>6495</v>
      </c>
      <c r="E1934" s="193" t="s">
        <v>9136</v>
      </c>
      <c r="F1934" s="193" t="s">
        <v>114</v>
      </c>
      <c r="G1934" s="195" t="s">
        <v>860</v>
      </c>
      <c r="H1934" s="166" t="s">
        <v>13436</v>
      </c>
      <c r="I1934" s="193" t="s">
        <v>12814</v>
      </c>
      <c r="J1934" s="219" t="s">
        <v>1290</v>
      </c>
      <c r="K1934" s="170"/>
      <c r="L1934" s="219" t="s">
        <v>146</v>
      </c>
    </row>
    <row r="1935" spans="1:12" ht="15.75">
      <c r="A1935" s="67">
        <f t="shared" si="30"/>
        <v>1933</v>
      </c>
      <c r="B1935" s="164">
        <v>1933</v>
      </c>
      <c r="C1935" s="193" t="s">
        <v>3228</v>
      </c>
      <c r="D1935" s="195" t="s">
        <v>6496</v>
      </c>
      <c r="E1935" s="193" t="s">
        <v>9137</v>
      </c>
      <c r="F1935" s="193" t="s">
        <v>114</v>
      </c>
      <c r="G1935" s="195" t="s">
        <v>11323</v>
      </c>
      <c r="H1935" s="166" t="s">
        <v>13436</v>
      </c>
      <c r="I1935" s="193" t="s">
        <v>12824</v>
      </c>
      <c r="J1935" s="193" t="s">
        <v>147</v>
      </c>
      <c r="K1935" s="170"/>
      <c r="L1935" s="193" t="s">
        <v>146</v>
      </c>
    </row>
    <row r="1936" spans="1:12" ht="15.75">
      <c r="A1936" s="67">
        <f t="shared" si="30"/>
        <v>1934</v>
      </c>
      <c r="B1936" s="164">
        <v>1934</v>
      </c>
      <c r="C1936" s="193" t="s">
        <v>3229</v>
      </c>
      <c r="D1936" s="195" t="s">
        <v>6497</v>
      </c>
      <c r="E1936" s="193" t="s">
        <v>9138</v>
      </c>
      <c r="F1936" s="193" t="s">
        <v>114</v>
      </c>
      <c r="G1936" s="195" t="s">
        <v>799</v>
      </c>
      <c r="H1936" s="166" t="s">
        <v>13436</v>
      </c>
      <c r="I1936" s="193" t="s">
        <v>12820</v>
      </c>
      <c r="J1936" s="219" t="s">
        <v>146</v>
      </c>
      <c r="K1936" s="170"/>
      <c r="L1936" s="219" t="s">
        <v>146</v>
      </c>
    </row>
    <row r="1937" spans="1:12" ht="30">
      <c r="A1937" s="67">
        <f t="shared" si="30"/>
        <v>1935</v>
      </c>
      <c r="B1937" s="164">
        <v>1935</v>
      </c>
      <c r="C1937" s="193" t="s">
        <v>3230</v>
      </c>
      <c r="D1937" s="195" t="s">
        <v>6498</v>
      </c>
      <c r="E1937" s="193" t="s">
        <v>9139</v>
      </c>
      <c r="F1937" s="193" t="s">
        <v>114</v>
      </c>
      <c r="G1937" s="195" t="s">
        <v>11324</v>
      </c>
      <c r="H1937" s="166" t="s">
        <v>13436</v>
      </c>
      <c r="I1937" s="193" t="s">
        <v>12825</v>
      </c>
      <c r="J1937" s="193" t="s">
        <v>12572</v>
      </c>
      <c r="K1937" s="170"/>
      <c r="L1937" s="193" t="s">
        <v>146</v>
      </c>
    </row>
    <row r="1938" spans="1:12" ht="15.75">
      <c r="A1938" s="67">
        <f t="shared" si="30"/>
        <v>1936</v>
      </c>
      <c r="B1938" s="164">
        <v>1936</v>
      </c>
      <c r="C1938" s="193" t="s">
        <v>3231</v>
      </c>
      <c r="D1938" s="195" t="s">
        <v>6499</v>
      </c>
      <c r="E1938" s="193" t="s">
        <v>9140</v>
      </c>
      <c r="F1938" s="193" t="s">
        <v>114</v>
      </c>
      <c r="G1938" s="195" t="s">
        <v>11325</v>
      </c>
      <c r="H1938" s="166" t="s">
        <v>13436</v>
      </c>
      <c r="I1938" s="193" t="s">
        <v>12814</v>
      </c>
      <c r="J1938" s="193" t="s">
        <v>146</v>
      </c>
      <c r="K1938" s="170"/>
      <c r="L1938" s="193" t="s">
        <v>146</v>
      </c>
    </row>
    <row r="1939" spans="1:12" ht="15.75">
      <c r="A1939" s="67">
        <f t="shared" si="30"/>
        <v>1937</v>
      </c>
      <c r="B1939" s="164">
        <v>1937</v>
      </c>
      <c r="C1939" s="193" t="s">
        <v>3232</v>
      </c>
      <c r="D1939" s="195" t="s">
        <v>6500</v>
      </c>
      <c r="E1939" s="193" t="s">
        <v>494</v>
      </c>
      <c r="F1939" s="193" t="s">
        <v>114</v>
      </c>
      <c r="G1939" s="195" t="s">
        <v>11326</v>
      </c>
      <c r="H1939" s="166" t="s">
        <v>13436</v>
      </c>
      <c r="I1939" s="193" t="s">
        <v>12819</v>
      </c>
      <c r="J1939" s="193" t="s">
        <v>146</v>
      </c>
      <c r="K1939" s="170"/>
      <c r="L1939" s="193" t="s">
        <v>146</v>
      </c>
    </row>
    <row r="1940" spans="1:12" ht="15.75">
      <c r="A1940" s="67">
        <f t="shared" si="30"/>
        <v>1938</v>
      </c>
      <c r="B1940" s="164">
        <v>1938</v>
      </c>
      <c r="C1940" s="193" t="s">
        <v>3233</v>
      </c>
      <c r="D1940" s="195" t="s">
        <v>6501</v>
      </c>
      <c r="E1940" s="193" t="s">
        <v>9141</v>
      </c>
      <c r="F1940" s="193" t="s">
        <v>114</v>
      </c>
      <c r="G1940" s="195" t="s">
        <v>11327</v>
      </c>
      <c r="H1940" s="166" t="s">
        <v>13436</v>
      </c>
      <c r="I1940" s="193" t="s">
        <v>12821</v>
      </c>
      <c r="J1940" s="193" t="s">
        <v>12191</v>
      </c>
      <c r="K1940" s="170"/>
      <c r="L1940" s="193" t="s">
        <v>146</v>
      </c>
    </row>
    <row r="1941" spans="1:12" ht="15.75">
      <c r="A1941" s="67">
        <f t="shared" si="30"/>
        <v>1939</v>
      </c>
      <c r="B1941" s="164">
        <v>1939</v>
      </c>
      <c r="C1941" s="193" t="s">
        <v>3234</v>
      </c>
      <c r="D1941" s="195" t="s">
        <v>6502</v>
      </c>
      <c r="E1941" s="193" t="s">
        <v>9142</v>
      </c>
      <c r="F1941" s="193" t="s">
        <v>114</v>
      </c>
      <c r="G1941" s="195" t="s">
        <v>11328</v>
      </c>
      <c r="H1941" s="166" t="s">
        <v>13436</v>
      </c>
      <c r="I1941" s="193" t="s">
        <v>12814</v>
      </c>
      <c r="J1941" s="193" t="s">
        <v>146</v>
      </c>
      <c r="K1941" s="170"/>
      <c r="L1941" s="193" t="s">
        <v>146</v>
      </c>
    </row>
    <row r="1942" spans="1:12" ht="15.75">
      <c r="A1942" s="67">
        <f t="shared" si="30"/>
        <v>1940</v>
      </c>
      <c r="B1942" s="164">
        <v>1940</v>
      </c>
      <c r="C1942" s="193" t="s">
        <v>3235</v>
      </c>
      <c r="D1942" s="195" t="s">
        <v>6503</v>
      </c>
      <c r="E1942" s="193" t="s">
        <v>9143</v>
      </c>
      <c r="F1942" s="193" t="s">
        <v>59</v>
      </c>
      <c r="G1942" s="195" t="s">
        <v>794</v>
      </c>
      <c r="H1942" s="166" t="s">
        <v>13436</v>
      </c>
      <c r="I1942" s="193" t="s">
        <v>12819</v>
      </c>
      <c r="J1942" s="193" t="s">
        <v>146</v>
      </c>
      <c r="K1942" s="170"/>
      <c r="L1942" s="193"/>
    </row>
    <row r="1943" spans="1:12" ht="15.75">
      <c r="A1943" s="67">
        <f t="shared" si="30"/>
        <v>1941</v>
      </c>
      <c r="B1943" s="164">
        <v>1941</v>
      </c>
      <c r="C1943" s="193" t="s">
        <v>3236</v>
      </c>
      <c r="D1943" s="195" t="s">
        <v>6504</v>
      </c>
      <c r="E1943" s="193" t="s">
        <v>9144</v>
      </c>
      <c r="F1943" s="193" t="s">
        <v>59</v>
      </c>
      <c r="G1943" s="195" t="s">
        <v>11329</v>
      </c>
      <c r="H1943" s="166" t="s">
        <v>13436</v>
      </c>
      <c r="I1943" s="193" t="s">
        <v>12819</v>
      </c>
      <c r="J1943" s="193" t="s">
        <v>147</v>
      </c>
      <c r="K1943" s="170"/>
      <c r="L1943" s="193"/>
    </row>
    <row r="1944" spans="1:12" ht="15.75">
      <c r="A1944" s="67">
        <f t="shared" si="30"/>
        <v>1942</v>
      </c>
      <c r="B1944" s="164">
        <v>1942</v>
      </c>
      <c r="C1944" s="193" t="s">
        <v>3237</v>
      </c>
      <c r="D1944" s="195" t="s">
        <v>6505</v>
      </c>
      <c r="E1944" s="193" t="s">
        <v>9145</v>
      </c>
      <c r="F1944" s="193" t="s">
        <v>59</v>
      </c>
      <c r="G1944" s="195" t="s">
        <v>11330</v>
      </c>
      <c r="H1944" s="166" t="s">
        <v>13436</v>
      </c>
      <c r="I1944" s="193" t="s">
        <v>12819</v>
      </c>
      <c r="J1944" s="193" t="s">
        <v>146</v>
      </c>
      <c r="K1944" s="170"/>
      <c r="L1944" s="193"/>
    </row>
    <row r="1945" spans="1:12" ht="15.75">
      <c r="A1945" s="67">
        <f t="shared" si="30"/>
        <v>1943</v>
      </c>
      <c r="B1945" s="164">
        <v>1943</v>
      </c>
      <c r="C1945" s="193" t="s">
        <v>3238</v>
      </c>
      <c r="D1945" s="195" t="s">
        <v>6506</v>
      </c>
      <c r="E1945" s="193" t="s">
        <v>487</v>
      </c>
      <c r="F1945" s="193" t="s">
        <v>114</v>
      </c>
      <c r="G1945" s="195" t="s">
        <v>11331</v>
      </c>
      <c r="H1945" s="166" t="s">
        <v>13436</v>
      </c>
      <c r="I1945" s="193" t="s">
        <v>12819</v>
      </c>
      <c r="J1945" s="193" t="s">
        <v>146</v>
      </c>
      <c r="K1945" s="170"/>
      <c r="L1945" s="193" t="s">
        <v>146</v>
      </c>
    </row>
    <row r="1946" spans="1:12" ht="15.75">
      <c r="A1946" s="67">
        <f t="shared" si="30"/>
        <v>1944</v>
      </c>
      <c r="B1946" s="164">
        <v>1944</v>
      </c>
      <c r="C1946" s="193" t="s">
        <v>3239</v>
      </c>
      <c r="D1946" s="195" t="s">
        <v>6507</v>
      </c>
      <c r="E1946" s="193" t="s">
        <v>8139</v>
      </c>
      <c r="F1946" s="193" t="s">
        <v>114</v>
      </c>
      <c r="G1946" s="195" t="s">
        <v>11332</v>
      </c>
      <c r="H1946" s="166" t="s">
        <v>13436</v>
      </c>
      <c r="I1946" s="193" t="s">
        <v>12819</v>
      </c>
      <c r="J1946" s="219" t="s">
        <v>146</v>
      </c>
      <c r="K1946" s="170"/>
      <c r="L1946" s="193" t="s">
        <v>146</v>
      </c>
    </row>
    <row r="1947" spans="1:12" ht="30">
      <c r="A1947" s="67">
        <f t="shared" si="30"/>
        <v>1945</v>
      </c>
      <c r="B1947" s="164">
        <v>1945</v>
      </c>
      <c r="C1947" s="193" t="s">
        <v>3240</v>
      </c>
      <c r="D1947" s="198" t="s">
        <v>6508</v>
      </c>
      <c r="E1947" s="193" t="s">
        <v>152</v>
      </c>
      <c r="F1947" s="193" t="s">
        <v>114</v>
      </c>
      <c r="G1947" s="195" t="s">
        <v>11333</v>
      </c>
      <c r="H1947" s="166" t="s">
        <v>13436</v>
      </c>
      <c r="I1947" s="193" t="s">
        <v>1247</v>
      </c>
      <c r="J1947" s="219" t="s">
        <v>146</v>
      </c>
      <c r="K1947" s="170"/>
      <c r="L1947" s="193" t="s">
        <v>13309</v>
      </c>
    </row>
    <row r="1948" spans="1:12" ht="15.75">
      <c r="A1948" s="67">
        <f t="shared" si="30"/>
        <v>1946</v>
      </c>
      <c r="B1948" s="164">
        <v>1946</v>
      </c>
      <c r="C1948" s="193" t="s">
        <v>3241</v>
      </c>
      <c r="D1948" s="195" t="s">
        <v>6509</v>
      </c>
      <c r="E1948" s="193" t="s">
        <v>471</v>
      </c>
      <c r="F1948" s="193" t="s">
        <v>114</v>
      </c>
      <c r="G1948" s="195" t="s">
        <v>812</v>
      </c>
      <c r="H1948" s="166" t="s">
        <v>13436</v>
      </c>
      <c r="I1948" s="193" t="s">
        <v>12814</v>
      </c>
      <c r="J1948" s="193" t="s">
        <v>146</v>
      </c>
      <c r="K1948" s="170"/>
      <c r="L1948" s="193" t="s">
        <v>146</v>
      </c>
    </row>
    <row r="1949" spans="1:12" ht="15.75">
      <c r="A1949" s="67">
        <f t="shared" si="30"/>
        <v>1947</v>
      </c>
      <c r="B1949" s="164">
        <v>1947</v>
      </c>
      <c r="C1949" s="193" t="s">
        <v>3242</v>
      </c>
      <c r="D1949" s="195" t="s">
        <v>6510</v>
      </c>
      <c r="E1949" s="193" t="s">
        <v>8798</v>
      </c>
      <c r="F1949" s="193" t="s">
        <v>114</v>
      </c>
      <c r="G1949" s="195" t="s">
        <v>845</v>
      </c>
      <c r="H1949" s="166" t="s">
        <v>13436</v>
      </c>
      <c r="I1949" s="193" t="s">
        <v>12808</v>
      </c>
      <c r="J1949" s="193" t="s">
        <v>146</v>
      </c>
      <c r="K1949" s="170"/>
      <c r="L1949" s="193" t="s">
        <v>146</v>
      </c>
    </row>
    <row r="1950" spans="1:12" ht="15.75">
      <c r="A1950" s="67">
        <f t="shared" si="30"/>
        <v>1948</v>
      </c>
      <c r="B1950" s="164">
        <v>1948</v>
      </c>
      <c r="C1950" s="193" t="s">
        <v>3243</v>
      </c>
      <c r="D1950" s="195" t="s">
        <v>6511</v>
      </c>
      <c r="E1950" s="193" t="s">
        <v>303</v>
      </c>
      <c r="F1950" s="193" t="s">
        <v>59</v>
      </c>
      <c r="G1950" s="195" t="s">
        <v>760</v>
      </c>
      <c r="H1950" s="166" t="s">
        <v>13436</v>
      </c>
      <c r="I1950" s="193" t="s">
        <v>12821</v>
      </c>
      <c r="J1950" s="193" t="s">
        <v>146</v>
      </c>
      <c r="K1950" s="170"/>
      <c r="L1950" s="193"/>
    </row>
    <row r="1951" spans="1:12" ht="15.75">
      <c r="A1951" s="67">
        <f t="shared" si="30"/>
        <v>1949</v>
      </c>
      <c r="B1951" s="164">
        <v>1949</v>
      </c>
      <c r="C1951" s="193" t="s">
        <v>3244</v>
      </c>
      <c r="D1951" s="199" t="s">
        <v>6512</v>
      </c>
      <c r="E1951" s="193" t="s">
        <v>9146</v>
      </c>
      <c r="F1951" s="193" t="s">
        <v>59</v>
      </c>
      <c r="G1951" s="195" t="s">
        <v>11334</v>
      </c>
      <c r="H1951" s="166" t="s">
        <v>13436</v>
      </c>
      <c r="I1951" s="193" t="s">
        <v>12839</v>
      </c>
      <c r="J1951" s="193" t="s">
        <v>146</v>
      </c>
      <c r="K1951" s="170"/>
      <c r="L1951" s="193"/>
    </row>
    <row r="1952" spans="1:12" ht="30">
      <c r="A1952" s="67">
        <f t="shared" si="30"/>
        <v>1950</v>
      </c>
      <c r="B1952" s="164">
        <v>1950</v>
      </c>
      <c r="C1952" s="193" t="s">
        <v>3245</v>
      </c>
      <c r="D1952" s="196" t="s">
        <v>6513</v>
      </c>
      <c r="E1952" s="193" t="s">
        <v>9147</v>
      </c>
      <c r="F1952" s="193" t="s">
        <v>59</v>
      </c>
      <c r="G1952" s="195" t="s">
        <v>11335</v>
      </c>
      <c r="H1952" s="166" t="s">
        <v>13436</v>
      </c>
      <c r="I1952" s="193" t="s">
        <v>12839</v>
      </c>
      <c r="J1952" s="193" t="s">
        <v>12573</v>
      </c>
      <c r="K1952" s="170"/>
      <c r="L1952" s="193"/>
    </row>
    <row r="1953" spans="1:12" ht="15.75">
      <c r="A1953" s="67">
        <f t="shared" si="30"/>
        <v>1951</v>
      </c>
      <c r="B1953" s="164">
        <v>1951</v>
      </c>
      <c r="C1953" s="193" t="s">
        <v>3246</v>
      </c>
      <c r="D1953" s="195" t="s">
        <v>6514</v>
      </c>
      <c r="E1953" s="193" t="s">
        <v>304</v>
      </c>
      <c r="F1953" s="193" t="s">
        <v>59</v>
      </c>
      <c r="G1953" s="195" t="s">
        <v>1041</v>
      </c>
      <c r="H1953" s="166" t="s">
        <v>13436</v>
      </c>
      <c r="I1953" s="193" t="s">
        <v>12825</v>
      </c>
      <c r="J1953" s="193" t="s">
        <v>164</v>
      </c>
      <c r="K1953" s="170"/>
      <c r="L1953" s="193"/>
    </row>
    <row r="1954" spans="1:12" ht="15.75">
      <c r="A1954" s="67">
        <f t="shared" si="30"/>
        <v>1952</v>
      </c>
      <c r="B1954" s="164">
        <v>1952</v>
      </c>
      <c r="C1954" s="193" t="s">
        <v>3247</v>
      </c>
      <c r="D1954" s="195" t="s">
        <v>6515</v>
      </c>
      <c r="E1954" s="193" t="s">
        <v>150</v>
      </c>
      <c r="F1954" s="193" t="s">
        <v>114</v>
      </c>
      <c r="G1954" s="195" t="s">
        <v>964</v>
      </c>
      <c r="H1954" s="166" t="s">
        <v>13436</v>
      </c>
      <c r="I1954" s="193" t="s">
        <v>12813</v>
      </c>
      <c r="J1954" s="193" t="s">
        <v>146</v>
      </c>
      <c r="K1954" s="170"/>
      <c r="L1954" s="193" t="s">
        <v>146</v>
      </c>
    </row>
    <row r="1955" spans="1:12" ht="15.75">
      <c r="A1955" s="67">
        <f t="shared" si="30"/>
        <v>1953</v>
      </c>
      <c r="B1955" s="164">
        <v>1953</v>
      </c>
      <c r="C1955" s="193" t="s">
        <v>3248</v>
      </c>
      <c r="D1955" s="195" t="s">
        <v>6516</v>
      </c>
      <c r="E1955" s="193" t="s">
        <v>281</v>
      </c>
      <c r="F1955" s="193" t="s">
        <v>114</v>
      </c>
      <c r="G1955" s="195" t="s">
        <v>954</v>
      </c>
      <c r="H1955" s="166" t="s">
        <v>13436</v>
      </c>
      <c r="I1955" s="193" t="s">
        <v>12813</v>
      </c>
      <c r="J1955" s="193" t="s">
        <v>146</v>
      </c>
      <c r="K1955" s="170"/>
      <c r="L1955" s="193" t="s">
        <v>146</v>
      </c>
    </row>
    <row r="1956" spans="1:12" ht="15.75">
      <c r="A1956" s="67">
        <f t="shared" si="30"/>
        <v>1954</v>
      </c>
      <c r="B1956" s="164">
        <v>1954</v>
      </c>
      <c r="C1956" s="193" t="s">
        <v>3249</v>
      </c>
      <c r="D1956" s="195" t="s">
        <v>6517</v>
      </c>
      <c r="E1956" s="193" t="s">
        <v>7865</v>
      </c>
      <c r="F1956" s="193" t="s">
        <v>114</v>
      </c>
      <c r="G1956" s="195" t="s">
        <v>11336</v>
      </c>
      <c r="H1956" s="166" t="s">
        <v>13436</v>
      </c>
      <c r="I1956" s="193" t="s">
        <v>12813</v>
      </c>
      <c r="J1956" s="193" t="s">
        <v>146</v>
      </c>
      <c r="K1956" s="170"/>
      <c r="L1956" s="193" t="s">
        <v>146</v>
      </c>
    </row>
    <row r="1957" spans="1:12" ht="30">
      <c r="A1957" s="67">
        <f t="shared" si="30"/>
        <v>1955</v>
      </c>
      <c r="B1957" s="164">
        <v>1955</v>
      </c>
      <c r="C1957" s="193" t="s">
        <v>3250</v>
      </c>
      <c r="D1957" s="195" t="s">
        <v>6518</v>
      </c>
      <c r="E1957" s="193" t="s">
        <v>615</v>
      </c>
      <c r="F1957" s="193" t="s">
        <v>114</v>
      </c>
      <c r="G1957" s="195" t="s">
        <v>868</v>
      </c>
      <c r="H1957" s="166" t="s">
        <v>13436</v>
      </c>
      <c r="I1957" s="193" t="s">
        <v>12813</v>
      </c>
      <c r="J1957" s="219" t="s">
        <v>12574</v>
      </c>
      <c r="K1957" s="170"/>
      <c r="L1957" s="193" t="s">
        <v>146</v>
      </c>
    </row>
    <row r="1958" spans="1:12" ht="30">
      <c r="A1958" s="67">
        <f t="shared" si="30"/>
        <v>1956</v>
      </c>
      <c r="B1958" s="164">
        <v>1956</v>
      </c>
      <c r="C1958" s="193" t="s">
        <v>3251</v>
      </c>
      <c r="D1958" s="195" t="s">
        <v>6519</v>
      </c>
      <c r="E1958" s="193" t="s">
        <v>9148</v>
      </c>
      <c r="F1958" s="193" t="s">
        <v>114</v>
      </c>
      <c r="G1958" s="195" t="s">
        <v>11337</v>
      </c>
      <c r="H1958" s="166" t="s">
        <v>13436</v>
      </c>
      <c r="I1958" s="193" t="s">
        <v>12825</v>
      </c>
      <c r="J1958" s="193" t="s">
        <v>146</v>
      </c>
      <c r="K1958" s="170"/>
      <c r="L1958" s="193" t="s">
        <v>13310</v>
      </c>
    </row>
    <row r="1959" spans="1:12" ht="15.75">
      <c r="A1959" s="67">
        <f t="shared" si="30"/>
        <v>1957</v>
      </c>
      <c r="B1959" s="164">
        <v>1957</v>
      </c>
      <c r="C1959" s="193" t="s">
        <v>3252</v>
      </c>
      <c r="D1959" s="195" t="s">
        <v>6520</v>
      </c>
      <c r="E1959" s="193" t="s">
        <v>9149</v>
      </c>
      <c r="F1959" s="193" t="s">
        <v>114</v>
      </c>
      <c r="G1959" s="195" t="s">
        <v>11338</v>
      </c>
      <c r="H1959" s="166" t="s">
        <v>13436</v>
      </c>
      <c r="I1959" s="193" t="s">
        <v>12824</v>
      </c>
      <c r="J1959" s="193" t="s">
        <v>146</v>
      </c>
      <c r="K1959" s="170"/>
      <c r="L1959" s="193" t="s">
        <v>146</v>
      </c>
    </row>
    <row r="1960" spans="1:12" ht="15.75">
      <c r="A1960" s="67">
        <f t="shared" si="30"/>
        <v>1958</v>
      </c>
      <c r="B1960" s="164">
        <v>1958</v>
      </c>
      <c r="C1960" s="193" t="s">
        <v>3253</v>
      </c>
      <c r="D1960" s="204" t="s">
        <v>6521</v>
      </c>
      <c r="E1960" s="193" t="s">
        <v>9150</v>
      </c>
      <c r="F1960" s="193" t="s">
        <v>59</v>
      </c>
      <c r="G1960" s="195" t="s">
        <v>11339</v>
      </c>
      <c r="H1960" s="166" t="s">
        <v>13436</v>
      </c>
      <c r="I1960" s="193" t="s">
        <v>12816</v>
      </c>
      <c r="J1960" s="193" t="s">
        <v>146</v>
      </c>
      <c r="K1960" s="170"/>
      <c r="L1960" s="193"/>
    </row>
    <row r="1961" spans="1:12" ht="15.75">
      <c r="A1961" s="67">
        <f t="shared" si="30"/>
        <v>1959</v>
      </c>
      <c r="B1961" s="164">
        <v>1959</v>
      </c>
      <c r="C1961" s="193" t="s">
        <v>3254</v>
      </c>
      <c r="D1961" s="197" t="s">
        <v>6522</v>
      </c>
      <c r="E1961" s="193" t="s">
        <v>586</v>
      </c>
      <c r="F1961" s="193" t="s">
        <v>114</v>
      </c>
      <c r="G1961" s="195" t="s">
        <v>11340</v>
      </c>
      <c r="H1961" s="166" t="s">
        <v>13436</v>
      </c>
      <c r="I1961" s="193" t="s">
        <v>12816</v>
      </c>
      <c r="J1961" s="193" t="s">
        <v>146</v>
      </c>
      <c r="K1961" s="170"/>
      <c r="L1961" s="193" t="s">
        <v>146</v>
      </c>
    </row>
    <row r="1962" spans="1:12" ht="15.75">
      <c r="A1962" s="67">
        <f t="shared" si="30"/>
        <v>1960</v>
      </c>
      <c r="B1962" s="164">
        <v>1960</v>
      </c>
      <c r="C1962" s="193" t="s">
        <v>3255</v>
      </c>
      <c r="D1962" s="197" t="s">
        <v>6523</v>
      </c>
      <c r="E1962" s="193" t="s">
        <v>177</v>
      </c>
      <c r="F1962" s="193" t="s">
        <v>114</v>
      </c>
      <c r="G1962" s="195" t="s">
        <v>11341</v>
      </c>
      <c r="H1962" s="166" t="s">
        <v>13436</v>
      </c>
      <c r="I1962" s="193" t="s">
        <v>12816</v>
      </c>
      <c r="J1962" s="193" t="s">
        <v>146</v>
      </c>
      <c r="K1962" s="170"/>
      <c r="L1962" s="193" t="s">
        <v>146</v>
      </c>
    </row>
    <row r="1963" spans="1:12" ht="15.75">
      <c r="A1963" s="67">
        <f t="shared" si="30"/>
        <v>1961</v>
      </c>
      <c r="B1963" s="164">
        <v>1961</v>
      </c>
      <c r="C1963" s="193" t="s">
        <v>3256</v>
      </c>
      <c r="D1963" s="197" t="s">
        <v>6524</v>
      </c>
      <c r="E1963" s="193" t="s">
        <v>9151</v>
      </c>
      <c r="F1963" s="193" t="s">
        <v>114</v>
      </c>
      <c r="G1963" s="195" t="s">
        <v>11342</v>
      </c>
      <c r="H1963" s="166" t="s">
        <v>13436</v>
      </c>
      <c r="I1963" s="193" t="s">
        <v>12816</v>
      </c>
      <c r="J1963" s="193" t="s">
        <v>146</v>
      </c>
      <c r="K1963" s="170"/>
      <c r="L1963" s="193" t="s">
        <v>146</v>
      </c>
    </row>
    <row r="1964" spans="1:12" ht="15.75">
      <c r="A1964" s="67">
        <f t="shared" si="30"/>
        <v>1962</v>
      </c>
      <c r="B1964" s="164">
        <v>1962</v>
      </c>
      <c r="C1964" s="193" t="s">
        <v>3257</v>
      </c>
      <c r="D1964" s="195" t="s">
        <v>6525</v>
      </c>
      <c r="E1964" s="193" t="s">
        <v>9152</v>
      </c>
      <c r="F1964" s="193" t="s">
        <v>114</v>
      </c>
      <c r="G1964" s="195" t="s">
        <v>11343</v>
      </c>
      <c r="H1964" s="166" t="s">
        <v>13436</v>
      </c>
      <c r="I1964" s="193" t="s">
        <v>12818</v>
      </c>
      <c r="J1964" s="193" t="s">
        <v>146</v>
      </c>
      <c r="K1964" s="170"/>
      <c r="L1964" s="193" t="s">
        <v>146</v>
      </c>
    </row>
    <row r="1965" spans="1:12" ht="15.75">
      <c r="A1965" s="67">
        <f t="shared" si="30"/>
        <v>1963</v>
      </c>
      <c r="B1965" s="164">
        <v>1963</v>
      </c>
      <c r="C1965" s="193" t="s">
        <v>3258</v>
      </c>
      <c r="D1965" s="195" t="s">
        <v>6526</v>
      </c>
      <c r="E1965" s="193" t="s">
        <v>151</v>
      </c>
      <c r="F1965" s="193" t="s">
        <v>114</v>
      </c>
      <c r="G1965" s="195" t="s">
        <v>1092</v>
      </c>
      <c r="H1965" s="166" t="s">
        <v>13436</v>
      </c>
      <c r="I1965" s="193" t="s">
        <v>12825</v>
      </c>
      <c r="J1965" s="193" t="s">
        <v>146</v>
      </c>
      <c r="K1965" s="170"/>
      <c r="L1965" s="193" t="s">
        <v>146</v>
      </c>
    </row>
    <row r="1966" spans="1:12" ht="45">
      <c r="A1966" s="67">
        <f t="shared" si="30"/>
        <v>1964</v>
      </c>
      <c r="B1966" s="164">
        <v>1964</v>
      </c>
      <c r="C1966" s="193" t="s">
        <v>3259</v>
      </c>
      <c r="D1966" s="195" t="s">
        <v>6527</v>
      </c>
      <c r="E1966" s="193" t="s">
        <v>9153</v>
      </c>
      <c r="F1966" s="193" t="s">
        <v>114</v>
      </c>
      <c r="G1966" s="195" t="s">
        <v>1164</v>
      </c>
      <c r="H1966" s="166" t="s">
        <v>13436</v>
      </c>
      <c r="I1966" s="193" t="s">
        <v>12821</v>
      </c>
      <c r="J1966" s="193" t="s">
        <v>12575</v>
      </c>
      <c r="K1966" s="170"/>
      <c r="L1966" s="193" t="s">
        <v>146</v>
      </c>
    </row>
    <row r="1967" spans="1:12" ht="15.75">
      <c r="A1967" s="67">
        <f t="shared" si="30"/>
        <v>1965</v>
      </c>
      <c r="B1967" s="164">
        <v>1965</v>
      </c>
      <c r="C1967" s="193" t="s">
        <v>3260</v>
      </c>
      <c r="D1967" s="197" t="s">
        <v>6528</v>
      </c>
      <c r="E1967" s="193" t="s">
        <v>9154</v>
      </c>
      <c r="F1967" s="193" t="s">
        <v>114</v>
      </c>
      <c r="G1967" s="195" t="s">
        <v>875</v>
      </c>
      <c r="H1967" s="166" t="s">
        <v>13436</v>
      </c>
      <c r="I1967" s="193" t="s">
        <v>12816</v>
      </c>
      <c r="J1967" s="193" t="s">
        <v>146</v>
      </c>
      <c r="K1967" s="170"/>
      <c r="L1967" s="193" t="s">
        <v>146</v>
      </c>
    </row>
    <row r="1968" spans="1:12" ht="15.75">
      <c r="A1968" s="67">
        <f t="shared" si="30"/>
        <v>1966</v>
      </c>
      <c r="B1968" s="164">
        <v>1966</v>
      </c>
      <c r="C1968" s="193" t="s">
        <v>3261</v>
      </c>
      <c r="D1968" s="195" t="s">
        <v>6529</v>
      </c>
      <c r="E1968" s="193" t="s">
        <v>167</v>
      </c>
      <c r="F1968" s="193" t="s">
        <v>114</v>
      </c>
      <c r="G1968" s="195" t="s">
        <v>11337</v>
      </c>
      <c r="H1968" s="166" t="s">
        <v>13436</v>
      </c>
      <c r="I1968" s="193" t="s">
        <v>12824</v>
      </c>
      <c r="J1968" s="219" t="s">
        <v>146</v>
      </c>
      <c r="K1968" s="170"/>
      <c r="L1968" s="193" t="s">
        <v>146</v>
      </c>
    </row>
    <row r="1969" spans="1:12" ht="15.75">
      <c r="A1969" s="67">
        <f t="shared" si="30"/>
        <v>1967</v>
      </c>
      <c r="B1969" s="164">
        <v>1967</v>
      </c>
      <c r="C1969" s="193" t="s">
        <v>3262</v>
      </c>
      <c r="D1969" s="195" t="s">
        <v>6530</v>
      </c>
      <c r="E1969" s="193" t="s">
        <v>7933</v>
      </c>
      <c r="F1969" s="193" t="s">
        <v>59</v>
      </c>
      <c r="G1969" s="195" t="s">
        <v>11344</v>
      </c>
      <c r="H1969" s="166" t="s">
        <v>13436</v>
      </c>
      <c r="I1969" s="193" t="s">
        <v>12818</v>
      </c>
      <c r="J1969" s="193" t="s">
        <v>146</v>
      </c>
      <c r="K1969" s="170"/>
      <c r="L1969" s="193"/>
    </row>
    <row r="1970" spans="1:12" ht="15.75">
      <c r="A1970" s="67">
        <f t="shared" si="30"/>
        <v>1968</v>
      </c>
      <c r="B1970" s="164">
        <v>1968</v>
      </c>
      <c r="C1970" s="193" t="s">
        <v>3263</v>
      </c>
      <c r="D1970" s="195" t="s">
        <v>6531</v>
      </c>
      <c r="E1970" s="193" t="s">
        <v>9155</v>
      </c>
      <c r="F1970" s="193" t="s">
        <v>59</v>
      </c>
      <c r="G1970" s="195" t="s">
        <v>928</v>
      </c>
      <c r="H1970" s="166" t="s">
        <v>13436</v>
      </c>
      <c r="I1970" s="193" t="s">
        <v>12821</v>
      </c>
      <c r="J1970" s="193" t="s">
        <v>146</v>
      </c>
      <c r="K1970" s="170"/>
      <c r="L1970" s="193"/>
    </row>
    <row r="1971" spans="1:12" ht="30">
      <c r="A1971" s="67">
        <f t="shared" si="30"/>
        <v>1969</v>
      </c>
      <c r="B1971" s="164">
        <v>1969</v>
      </c>
      <c r="C1971" s="193" t="s">
        <v>3264</v>
      </c>
      <c r="D1971" s="195" t="s">
        <v>6532</v>
      </c>
      <c r="E1971" s="193" t="s">
        <v>591</v>
      </c>
      <c r="F1971" s="193" t="s">
        <v>114</v>
      </c>
      <c r="G1971" s="195" t="s">
        <v>999</v>
      </c>
      <c r="H1971" s="166" t="s">
        <v>13436</v>
      </c>
      <c r="I1971" s="193" t="s">
        <v>12824</v>
      </c>
      <c r="J1971" s="193" t="s">
        <v>12576</v>
      </c>
      <c r="K1971" s="170"/>
      <c r="L1971" s="193" t="s">
        <v>146</v>
      </c>
    </row>
    <row r="1972" spans="1:12" ht="15.75">
      <c r="A1972" s="67">
        <f t="shared" si="30"/>
        <v>1970</v>
      </c>
      <c r="B1972" s="164">
        <v>1970</v>
      </c>
      <c r="C1972" s="193" t="s">
        <v>3265</v>
      </c>
      <c r="D1972" s="195" t="s">
        <v>6533</v>
      </c>
      <c r="E1972" s="193" t="s">
        <v>634</v>
      </c>
      <c r="F1972" s="193" t="s">
        <v>114</v>
      </c>
      <c r="G1972" s="195" t="s">
        <v>11345</v>
      </c>
      <c r="H1972" s="166" t="s">
        <v>13436</v>
      </c>
      <c r="I1972" s="193" t="s">
        <v>12814</v>
      </c>
      <c r="J1972" s="219" t="s">
        <v>146</v>
      </c>
      <c r="K1972" s="170"/>
      <c r="L1972" s="193" t="s">
        <v>146</v>
      </c>
    </row>
    <row r="1973" spans="1:12" ht="15.75">
      <c r="A1973" s="67">
        <f t="shared" si="30"/>
        <v>1971</v>
      </c>
      <c r="B1973" s="164">
        <v>1971</v>
      </c>
      <c r="C1973" s="193" t="s">
        <v>3266</v>
      </c>
      <c r="D1973" s="195" t="s">
        <v>6534</v>
      </c>
      <c r="E1973" s="193" t="s">
        <v>616</v>
      </c>
      <c r="F1973" s="193" t="s">
        <v>114</v>
      </c>
      <c r="G1973" s="195" t="s">
        <v>11346</v>
      </c>
      <c r="H1973" s="166" t="s">
        <v>13436</v>
      </c>
      <c r="I1973" s="193" t="s">
        <v>12820</v>
      </c>
      <c r="J1973" s="193" t="s">
        <v>146</v>
      </c>
      <c r="K1973" s="170"/>
      <c r="L1973" s="193" t="s">
        <v>146</v>
      </c>
    </row>
    <row r="1974" spans="1:12" ht="30">
      <c r="A1974" s="67">
        <f t="shared" si="30"/>
        <v>1972</v>
      </c>
      <c r="B1974" s="164">
        <v>1972</v>
      </c>
      <c r="C1974" s="193" t="s">
        <v>3267</v>
      </c>
      <c r="D1974" s="195" t="s">
        <v>6535</v>
      </c>
      <c r="E1974" s="193" t="s">
        <v>636</v>
      </c>
      <c r="F1974" s="193" t="s">
        <v>114</v>
      </c>
      <c r="G1974" s="195" t="s">
        <v>948</v>
      </c>
      <c r="H1974" s="166" t="s">
        <v>13436</v>
      </c>
      <c r="I1974" s="193" t="s">
        <v>12824</v>
      </c>
      <c r="J1974" s="193" t="s">
        <v>12577</v>
      </c>
      <c r="K1974" s="170"/>
      <c r="L1974" s="193" t="s">
        <v>146</v>
      </c>
    </row>
    <row r="1975" spans="1:12" ht="15.75">
      <c r="A1975" s="67">
        <f t="shared" si="30"/>
        <v>1973</v>
      </c>
      <c r="B1975" s="164">
        <v>1973</v>
      </c>
      <c r="C1975" s="193" t="s">
        <v>3268</v>
      </c>
      <c r="D1975" s="195" t="s">
        <v>6536</v>
      </c>
      <c r="E1975" s="193" t="s">
        <v>7876</v>
      </c>
      <c r="F1975" s="193" t="s">
        <v>114</v>
      </c>
      <c r="G1975" s="195" t="s">
        <v>11347</v>
      </c>
      <c r="H1975" s="166" t="s">
        <v>13436</v>
      </c>
      <c r="I1975" s="193" t="s">
        <v>12819</v>
      </c>
      <c r="J1975" s="193" t="s">
        <v>146</v>
      </c>
      <c r="K1975" s="170"/>
      <c r="L1975" s="193" t="s">
        <v>146</v>
      </c>
    </row>
    <row r="1976" spans="1:12" ht="30">
      <c r="A1976" s="67">
        <f t="shared" si="30"/>
        <v>1974</v>
      </c>
      <c r="B1976" s="164">
        <v>1974</v>
      </c>
      <c r="C1976" s="193" t="s">
        <v>3269</v>
      </c>
      <c r="D1976" s="195" t="s">
        <v>6537</v>
      </c>
      <c r="E1976" s="193" t="s">
        <v>9156</v>
      </c>
      <c r="F1976" s="193" t="s">
        <v>114</v>
      </c>
      <c r="G1976" s="195" t="s">
        <v>1197</v>
      </c>
      <c r="H1976" s="166" t="s">
        <v>13436</v>
      </c>
      <c r="I1976" s="193" t="s">
        <v>12814</v>
      </c>
      <c r="J1976" s="193" t="s">
        <v>12578</v>
      </c>
      <c r="K1976" s="170"/>
      <c r="L1976" s="193" t="s">
        <v>146</v>
      </c>
    </row>
    <row r="1977" spans="1:12" ht="15.75">
      <c r="A1977" s="67">
        <f t="shared" si="30"/>
        <v>1975</v>
      </c>
      <c r="B1977" s="164">
        <v>1975</v>
      </c>
      <c r="C1977" s="193" t="s">
        <v>3270</v>
      </c>
      <c r="D1977" s="195" t="s">
        <v>6538</v>
      </c>
      <c r="E1977" s="193" t="s">
        <v>203</v>
      </c>
      <c r="F1977" s="193" t="s">
        <v>114</v>
      </c>
      <c r="G1977" s="195" t="s">
        <v>11348</v>
      </c>
      <c r="H1977" s="166" t="s">
        <v>13436</v>
      </c>
      <c r="I1977" s="193" t="s">
        <v>12814</v>
      </c>
      <c r="J1977" s="219" t="s">
        <v>146</v>
      </c>
      <c r="K1977" s="170"/>
      <c r="L1977" s="193" t="s">
        <v>146</v>
      </c>
    </row>
    <row r="1978" spans="1:12" ht="15.75">
      <c r="A1978" s="67">
        <f t="shared" si="30"/>
        <v>1976</v>
      </c>
      <c r="B1978" s="164">
        <v>1976</v>
      </c>
      <c r="C1978" s="193" t="s">
        <v>3271</v>
      </c>
      <c r="D1978" s="195" t="s">
        <v>6539</v>
      </c>
      <c r="E1978" s="193" t="s">
        <v>354</v>
      </c>
      <c r="F1978" s="193" t="s">
        <v>114</v>
      </c>
      <c r="G1978" s="195" t="s">
        <v>11349</v>
      </c>
      <c r="H1978" s="166" t="s">
        <v>13436</v>
      </c>
      <c r="I1978" s="193" t="s">
        <v>12819</v>
      </c>
      <c r="J1978" s="193" t="s">
        <v>146</v>
      </c>
      <c r="K1978" s="170"/>
      <c r="L1978" s="193" t="s">
        <v>146</v>
      </c>
    </row>
    <row r="1979" spans="1:12" ht="45">
      <c r="A1979" s="67">
        <f t="shared" si="30"/>
        <v>1977</v>
      </c>
      <c r="B1979" s="164">
        <v>1977</v>
      </c>
      <c r="C1979" s="193" t="s">
        <v>3272</v>
      </c>
      <c r="D1979" s="195" t="s">
        <v>6540</v>
      </c>
      <c r="E1979" s="193" t="s">
        <v>9157</v>
      </c>
      <c r="F1979" s="193" t="s">
        <v>114</v>
      </c>
      <c r="G1979" s="195" t="s">
        <v>792</v>
      </c>
      <c r="H1979" s="166" t="s">
        <v>13436</v>
      </c>
      <c r="I1979" s="193" t="s">
        <v>12819</v>
      </c>
      <c r="J1979" s="219" t="s">
        <v>148</v>
      </c>
      <c r="K1979" s="170"/>
      <c r="L1979" s="193" t="s">
        <v>13311</v>
      </c>
    </row>
    <row r="1980" spans="1:12" ht="15.75">
      <c r="A1980" s="67">
        <f t="shared" si="30"/>
        <v>1978</v>
      </c>
      <c r="B1980" s="164">
        <v>1978</v>
      </c>
      <c r="C1980" s="193" t="s">
        <v>3273</v>
      </c>
      <c r="D1980" s="195" t="s">
        <v>6541</v>
      </c>
      <c r="E1980" s="193" t="s">
        <v>447</v>
      </c>
      <c r="F1980" s="193" t="s">
        <v>114</v>
      </c>
      <c r="G1980" s="195" t="s">
        <v>11350</v>
      </c>
      <c r="H1980" s="166" t="s">
        <v>13436</v>
      </c>
      <c r="I1980" s="193" t="s">
        <v>12819</v>
      </c>
      <c r="J1980" s="193" t="s">
        <v>146</v>
      </c>
      <c r="K1980" s="170"/>
      <c r="L1980" s="193" t="s">
        <v>146</v>
      </c>
    </row>
    <row r="1981" spans="1:12" ht="15.75">
      <c r="A1981" s="67">
        <f t="shared" si="30"/>
        <v>1979</v>
      </c>
      <c r="B1981" s="164">
        <v>1979</v>
      </c>
      <c r="C1981" s="193" t="s">
        <v>3274</v>
      </c>
      <c r="D1981" s="195" t="s">
        <v>6542</v>
      </c>
      <c r="E1981" s="193" t="s">
        <v>9158</v>
      </c>
      <c r="F1981" s="193" t="s">
        <v>114</v>
      </c>
      <c r="G1981" s="195" t="s">
        <v>1000</v>
      </c>
      <c r="H1981" s="166" t="s">
        <v>13436</v>
      </c>
      <c r="I1981" s="193" t="s">
        <v>12819</v>
      </c>
      <c r="J1981" s="193" t="s">
        <v>146</v>
      </c>
      <c r="K1981" s="170"/>
      <c r="L1981" s="193" t="s">
        <v>146</v>
      </c>
    </row>
    <row r="1982" spans="1:12" ht="15.75">
      <c r="A1982" s="67">
        <f t="shared" si="30"/>
        <v>1980</v>
      </c>
      <c r="B1982" s="164">
        <v>1980</v>
      </c>
      <c r="C1982" s="193" t="s">
        <v>3275</v>
      </c>
      <c r="D1982" s="195" t="s">
        <v>6543</v>
      </c>
      <c r="E1982" s="193" t="s">
        <v>9159</v>
      </c>
      <c r="F1982" s="193" t="s">
        <v>114</v>
      </c>
      <c r="G1982" s="195" t="s">
        <v>11351</v>
      </c>
      <c r="H1982" s="166" t="s">
        <v>13436</v>
      </c>
      <c r="I1982" s="193" t="s">
        <v>12819</v>
      </c>
      <c r="J1982" s="193" t="s">
        <v>146</v>
      </c>
      <c r="K1982" s="170"/>
      <c r="L1982" s="193" t="s">
        <v>146</v>
      </c>
    </row>
    <row r="1983" spans="1:12" ht="15.75">
      <c r="A1983" s="67">
        <f t="shared" si="30"/>
        <v>1981</v>
      </c>
      <c r="B1983" s="164">
        <v>1981</v>
      </c>
      <c r="C1983" s="193" t="s">
        <v>3276</v>
      </c>
      <c r="D1983" s="195" t="s">
        <v>6544</v>
      </c>
      <c r="E1983" s="193" t="s">
        <v>9160</v>
      </c>
      <c r="F1983" s="193" t="s">
        <v>114</v>
      </c>
      <c r="G1983" s="195" t="s">
        <v>11340</v>
      </c>
      <c r="H1983" s="166" t="s">
        <v>13436</v>
      </c>
      <c r="I1983" s="193" t="s">
        <v>12819</v>
      </c>
      <c r="J1983" s="193" t="s">
        <v>146</v>
      </c>
      <c r="K1983" s="170"/>
      <c r="L1983" s="193" t="s">
        <v>146</v>
      </c>
    </row>
    <row r="1984" spans="1:12" ht="30">
      <c r="A1984" s="67">
        <f t="shared" si="30"/>
        <v>1982</v>
      </c>
      <c r="B1984" s="164">
        <v>1982</v>
      </c>
      <c r="C1984" s="193" t="s">
        <v>3277</v>
      </c>
      <c r="D1984" s="195" t="s">
        <v>6545</v>
      </c>
      <c r="E1984" s="193" t="s">
        <v>9161</v>
      </c>
      <c r="F1984" s="193" t="s">
        <v>114</v>
      </c>
      <c r="G1984" s="195" t="s">
        <v>11352</v>
      </c>
      <c r="H1984" s="166" t="s">
        <v>13436</v>
      </c>
      <c r="I1984" s="193" t="s">
        <v>12812</v>
      </c>
      <c r="J1984" s="193" t="s">
        <v>12579</v>
      </c>
      <c r="K1984" s="170"/>
      <c r="L1984" s="193" t="s">
        <v>146</v>
      </c>
    </row>
    <row r="1985" spans="1:12" ht="15.75">
      <c r="A1985" s="67">
        <f t="shared" si="30"/>
        <v>1983</v>
      </c>
      <c r="B1985" s="164">
        <v>1983</v>
      </c>
      <c r="C1985" s="193" t="s">
        <v>3278</v>
      </c>
      <c r="D1985" s="195" t="s">
        <v>6546</v>
      </c>
      <c r="E1985" s="193" t="s">
        <v>181</v>
      </c>
      <c r="F1985" s="193" t="s">
        <v>114</v>
      </c>
      <c r="G1985" s="195" t="s">
        <v>873</v>
      </c>
      <c r="H1985" s="166" t="s">
        <v>13436</v>
      </c>
      <c r="I1985" s="193" t="s">
        <v>12827</v>
      </c>
      <c r="J1985" s="193" t="s">
        <v>12580</v>
      </c>
      <c r="K1985" s="170"/>
      <c r="L1985" s="193" t="s">
        <v>146</v>
      </c>
    </row>
    <row r="1986" spans="1:12" ht="15.75">
      <c r="A1986" s="67">
        <f t="shared" si="30"/>
        <v>1984</v>
      </c>
      <c r="B1986" s="164">
        <v>1984</v>
      </c>
      <c r="C1986" s="193" t="s">
        <v>3279</v>
      </c>
      <c r="D1986" s="195" t="s">
        <v>6547</v>
      </c>
      <c r="E1986" s="193" t="s">
        <v>9162</v>
      </c>
      <c r="F1986" s="193" t="s">
        <v>114</v>
      </c>
      <c r="G1986" s="195" t="s">
        <v>11353</v>
      </c>
      <c r="H1986" s="166" t="s">
        <v>13436</v>
      </c>
      <c r="I1986" s="193" t="s">
        <v>12817</v>
      </c>
      <c r="J1986" s="193" t="s">
        <v>147</v>
      </c>
      <c r="K1986" s="170"/>
      <c r="L1986" s="193" t="s">
        <v>146</v>
      </c>
    </row>
    <row r="1987" spans="1:12" ht="15.75">
      <c r="A1987" s="67">
        <f t="shared" ref="A1987:A2050" si="31">IFERROR(VALUE(RIGHT(C1987,4)),"")</f>
        <v>1985</v>
      </c>
      <c r="B1987" s="164">
        <v>1985</v>
      </c>
      <c r="C1987" s="193" t="s">
        <v>3280</v>
      </c>
      <c r="D1987" s="195" t="s">
        <v>6548</v>
      </c>
      <c r="E1987" s="193" t="s">
        <v>383</v>
      </c>
      <c r="F1987" s="193" t="s">
        <v>114</v>
      </c>
      <c r="G1987" s="195" t="s">
        <v>11354</v>
      </c>
      <c r="H1987" s="166" t="s">
        <v>13436</v>
      </c>
      <c r="I1987" s="193" t="s">
        <v>12817</v>
      </c>
      <c r="J1987" s="193" t="s">
        <v>146</v>
      </c>
      <c r="K1987" s="170"/>
      <c r="L1987" s="193" t="s">
        <v>146</v>
      </c>
    </row>
    <row r="1988" spans="1:12" ht="15.75">
      <c r="A1988" s="67">
        <f t="shared" si="31"/>
        <v>1986</v>
      </c>
      <c r="B1988" s="164">
        <v>1986</v>
      </c>
      <c r="C1988" s="193" t="s">
        <v>3281</v>
      </c>
      <c r="D1988" s="195" t="s">
        <v>6549</v>
      </c>
      <c r="E1988" s="193" t="s">
        <v>9163</v>
      </c>
      <c r="F1988" s="193" t="s">
        <v>114</v>
      </c>
      <c r="G1988" s="195" t="s">
        <v>11355</v>
      </c>
      <c r="H1988" s="166" t="s">
        <v>13436</v>
      </c>
      <c r="I1988" s="193" t="s">
        <v>12824</v>
      </c>
      <c r="J1988" s="193" t="s">
        <v>146</v>
      </c>
      <c r="K1988" s="170"/>
      <c r="L1988" s="193" t="s">
        <v>146</v>
      </c>
    </row>
    <row r="1989" spans="1:12" ht="15.75">
      <c r="A1989" s="67">
        <f t="shared" si="31"/>
        <v>1987</v>
      </c>
      <c r="B1989" s="164">
        <v>1987</v>
      </c>
      <c r="C1989" s="193" t="s">
        <v>3282</v>
      </c>
      <c r="D1989" s="195" t="s">
        <v>6550</v>
      </c>
      <c r="E1989" s="193" t="s">
        <v>566</v>
      </c>
      <c r="F1989" s="193" t="s">
        <v>114</v>
      </c>
      <c r="G1989" s="195" t="s">
        <v>11356</v>
      </c>
      <c r="H1989" s="166" t="s">
        <v>13436</v>
      </c>
      <c r="I1989" s="193" t="s">
        <v>12821</v>
      </c>
      <c r="J1989" s="219" t="s">
        <v>146</v>
      </c>
      <c r="K1989" s="170"/>
      <c r="L1989" s="193" t="s">
        <v>146</v>
      </c>
    </row>
    <row r="1990" spans="1:12" ht="15.75">
      <c r="A1990" s="67">
        <f t="shared" si="31"/>
        <v>1988</v>
      </c>
      <c r="B1990" s="164">
        <v>1988</v>
      </c>
      <c r="C1990" s="193" t="s">
        <v>3283</v>
      </c>
      <c r="D1990" s="195" t="s">
        <v>6551</v>
      </c>
      <c r="E1990" s="193" t="s">
        <v>9164</v>
      </c>
      <c r="F1990" s="193" t="s">
        <v>114</v>
      </c>
      <c r="G1990" s="195" t="s">
        <v>880</v>
      </c>
      <c r="H1990" s="166" t="s">
        <v>13436</v>
      </c>
      <c r="I1990" s="193" t="s">
        <v>12827</v>
      </c>
      <c r="J1990" s="193" t="s">
        <v>146</v>
      </c>
      <c r="K1990" s="170"/>
      <c r="L1990" s="193" t="s">
        <v>146</v>
      </c>
    </row>
    <row r="1991" spans="1:12" ht="15.75">
      <c r="A1991" s="67">
        <f t="shared" si="31"/>
        <v>1989</v>
      </c>
      <c r="B1991" s="164">
        <v>1989</v>
      </c>
      <c r="C1991" s="193" t="s">
        <v>3284</v>
      </c>
      <c r="D1991" s="195" t="s">
        <v>6552</v>
      </c>
      <c r="E1991" s="193" t="s">
        <v>8146</v>
      </c>
      <c r="F1991" s="193" t="s">
        <v>114</v>
      </c>
      <c r="G1991" s="195" t="s">
        <v>11353</v>
      </c>
      <c r="H1991" s="166" t="s">
        <v>13436</v>
      </c>
      <c r="I1991" s="193" t="s">
        <v>12827</v>
      </c>
      <c r="J1991" s="193" t="s">
        <v>146</v>
      </c>
      <c r="K1991" s="170"/>
      <c r="L1991" s="193" t="s">
        <v>146</v>
      </c>
    </row>
    <row r="1992" spans="1:12" ht="15.75">
      <c r="A1992" s="67">
        <f t="shared" si="31"/>
        <v>1990</v>
      </c>
      <c r="B1992" s="164">
        <v>1990</v>
      </c>
      <c r="C1992" s="193" t="s">
        <v>3285</v>
      </c>
      <c r="D1992" s="195" t="s">
        <v>6553</v>
      </c>
      <c r="E1992" s="193" t="s">
        <v>9165</v>
      </c>
      <c r="F1992" s="193" t="s">
        <v>114</v>
      </c>
      <c r="G1992" s="195" t="s">
        <v>11288</v>
      </c>
      <c r="H1992" s="166" t="s">
        <v>13436</v>
      </c>
      <c r="I1992" s="193" t="s">
        <v>12821</v>
      </c>
      <c r="J1992" s="193" t="s">
        <v>146</v>
      </c>
      <c r="K1992" s="170"/>
      <c r="L1992" s="193" t="s">
        <v>146</v>
      </c>
    </row>
    <row r="1993" spans="1:12" ht="15.75">
      <c r="A1993" s="67">
        <f t="shared" si="31"/>
        <v>1991</v>
      </c>
      <c r="B1993" s="164">
        <v>1991</v>
      </c>
      <c r="C1993" s="193" t="s">
        <v>3286</v>
      </c>
      <c r="D1993" s="195" t="s">
        <v>6554</v>
      </c>
      <c r="E1993" s="193" t="s">
        <v>8344</v>
      </c>
      <c r="F1993" s="193" t="s">
        <v>59</v>
      </c>
      <c r="G1993" s="195" t="s">
        <v>11357</v>
      </c>
      <c r="H1993" s="166" t="s">
        <v>13436</v>
      </c>
      <c r="I1993" s="193" t="s">
        <v>12813</v>
      </c>
      <c r="J1993" s="193" t="s">
        <v>146</v>
      </c>
      <c r="K1993" s="170"/>
      <c r="L1993" s="193"/>
    </row>
    <row r="1994" spans="1:12" ht="15.75">
      <c r="A1994" s="67">
        <f t="shared" si="31"/>
        <v>1992</v>
      </c>
      <c r="B1994" s="164">
        <v>1992</v>
      </c>
      <c r="C1994" s="193" t="s">
        <v>3287</v>
      </c>
      <c r="D1994" s="195" t="s">
        <v>6555</v>
      </c>
      <c r="E1994" s="193" t="s">
        <v>9166</v>
      </c>
      <c r="F1994" s="193" t="s">
        <v>114</v>
      </c>
      <c r="G1994" s="195" t="s">
        <v>11358</v>
      </c>
      <c r="H1994" s="166" t="s">
        <v>13436</v>
      </c>
      <c r="I1994" s="193" t="s">
        <v>12817</v>
      </c>
      <c r="J1994" s="193" t="s">
        <v>146</v>
      </c>
      <c r="K1994" s="170"/>
      <c r="L1994" s="193" t="s">
        <v>146</v>
      </c>
    </row>
    <row r="1995" spans="1:12" ht="30">
      <c r="A1995" s="67">
        <f t="shared" si="31"/>
        <v>1993</v>
      </c>
      <c r="B1995" s="164">
        <v>1993</v>
      </c>
      <c r="C1995" s="193" t="s">
        <v>3288</v>
      </c>
      <c r="D1995" s="195" t="s">
        <v>6556</v>
      </c>
      <c r="E1995" s="193" t="s">
        <v>456</v>
      </c>
      <c r="F1995" s="193" t="s">
        <v>114</v>
      </c>
      <c r="G1995" s="195" t="s">
        <v>1004</v>
      </c>
      <c r="H1995" s="166" t="s">
        <v>13436</v>
      </c>
      <c r="I1995" s="193" t="s">
        <v>12814</v>
      </c>
      <c r="J1995" s="193" t="s">
        <v>12356</v>
      </c>
      <c r="K1995" s="170"/>
      <c r="L1995" s="193" t="s">
        <v>146</v>
      </c>
    </row>
    <row r="1996" spans="1:12" ht="15.75">
      <c r="A1996" s="67">
        <f t="shared" si="31"/>
        <v>1994</v>
      </c>
      <c r="B1996" s="164">
        <v>1994</v>
      </c>
      <c r="C1996" s="193" t="s">
        <v>3289</v>
      </c>
      <c r="D1996" s="195" t="s">
        <v>6557</v>
      </c>
      <c r="E1996" s="193" t="s">
        <v>9167</v>
      </c>
      <c r="F1996" s="193" t="s">
        <v>114</v>
      </c>
      <c r="G1996" s="195" t="s">
        <v>11359</v>
      </c>
      <c r="H1996" s="166" t="s">
        <v>13436</v>
      </c>
      <c r="I1996" s="193" t="s">
        <v>12815</v>
      </c>
      <c r="J1996" s="193" t="s">
        <v>12505</v>
      </c>
      <c r="K1996" s="170"/>
      <c r="L1996" s="193" t="s">
        <v>146</v>
      </c>
    </row>
    <row r="1997" spans="1:12" ht="60">
      <c r="A1997" s="67">
        <f t="shared" si="31"/>
        <v>1995</v>
      </c>
      <c r="B1997" s="164">
        <v>1995</v>
      </c>
      <c r="C1997" s="193" t="s">
        <v>3290</v>
      </c>
      <c r="D1997" s="195" t="s">
        <v>6558</v>
      </c>
      <c r="E1997" s="193" t="s">
        <v>9168</v>
      </c>
      <c r="F1997" s="193" t="s">
        <v>114</v>
      </c>
      <c r="G1997" s="195" t="s">
        <v>237</v>
      </c>
      <c r="H1997" s="166" t="s">
        <v>13436</v>
      </c>
      <c r="I1997" s="193" t="s">
        <v>1249</v>
      </c>
      <c r="J1997" s="193" t="s">
        <v>12581</v>
      </c>
      <c r="K1997" s="170"/>
      <c r="L1997" s="193" t="s">
        <v>146</v>
      </c>
    </row>
    <row r="1998" spans="1:12" ht="15.75">
      <c r="A1998" s="67">
        <f t="shared" si="31"/>
        <v>1996</v>
      </c>
      <c r="B1998" s="164">
        <v>1996</v>
      </c>
      <c r="C1998" s="193" t="s">
        <v>3291</v>
      </c>
      <c r="D1998" s="195" t="s">
        <v>6559</v>
      </c>
      <c r="E1998" s="193" t="s">
        <v>628</v>
      </c>
      <c r="F1998" s="193" t="s">
        <v>114</v>
      </c>
      <c r="G1998" s="195" t="s">
        <v>11360</v>
      </c>
      <c r="H1998" s="166" t="s">
        <v>13436</v>
      </c>
      <c r="I1998" s="193" t="s">
        <v>1250</v>
      </c>
      <c r="J1998" s="193" t="s">
        <v>146</v>
      </c>
      <c r="K1998" s="170"/>
      <c r="L1998" s="193" t="s">
        <v>146</v>
      </c>
    </row>
    <row r="1999" spans="1:12" ht="15.75">
      <c r="A1999" s="67">
        <f t="shared" si="31"/>
        <v>1997</v>
      </c>
      <c r="B1999" s="164">
        <v>1997</v>
      </c>
      <c r="C1999" s="193" t="s">
        <v>3292</v>
      </c>
      <c r="D1999" s="195" t="s">
        <v>6560</v>
      </c>
      <c r="E1999" s="193" t="s">
        <v>9169</v>
      </c>
      <c r="F1999" s="193" t="s">
        <v>114</v>
      </c>
      <c r="G1999" s="195" t="s">
        <v>848</v>
      </c>
      <c r="H1999" s="166" t="s">
        <v>13436</v>
      </c>
      <c r="I1999" s="193" t="s">
        <v>12815</v>
      </c>
      <c r="J1999" s="193" t="s">
        <v>146</v>
      </c>
      <c r="K1999" s="170"/>
      <c r="L1999" s="193" t="s">
        <v>146</v>
      </c>
    </row>
    <row r="2000" spans="1:12" ht="15.75">
      <c r="A2000" s="67">
        <f t="shared" si="31"/>
        <v>1998</v>
      </c>
      <c r="B2000" s="164">
        <v>1998</v>
      </c>
      <c r="C2000" s="193" t="s">
        <v>3293</v>
      </c>
      <c r="D2000" s="199" t="s">
        <v>6561</v>
      </c>
      <c r="E2000" s="193" t="s">
        <v>372</v>
      </c>
      <c r="F2000" s="193" t="s">
        <v>114</v>
      </c>
      <c r="G2000" s="195" t="s">
        <v>737</v>
      </c>
      <c r="H2000" s="166" t="s">
        <v>13436</v>
      </c>
      <c r="I2000" s="193" t="s">
        <v>12828</v>
      </c>
      <c r="J2000" s="193" t="s">
        <v>146</v>
      </c>
      <c r="K2000" s="170"/>
      <c r="L2000" s="193" t="s">
        <v>146</v>
      </c>
    </row>
    <row r="2001" spans="1:12" ht="15.75">
      <c r="A2001" s="67">
        <f t="shared" si="31"/>
        <v>1999</v>
      </c>
      <c r="B2001" s="164">
        <v>1999</v>
      </c>
      <c r="C2001" s="193" t="s">
        <v>3294</v>
      </c>
      <c r="D2001" s="196" t="s">
        <v>6562</v>
      </c>
      <c r="E2001" s="193" t="s">
        <v>9170</v>
      </c>
      <c r="F2001" s="193" t="s">
        <v>59</v>
      </c>
      <c r="G2001" s="195" t="s">
        <v>11305</v>
      </c>
      <c r="H2001" s="166" t="s">
        <v>13436</v>
      </c>
      <c r="I2001" s="193" t="s">
        <v>12809</v>
      </c>
      <c r="J2001" s="193" t="s">
        <v>146</v>
      </c>
      <c r="K2001" s="170"/>
      <c r="L2001" s="193"/>
    </row>
    <row r="2002" spans="1:12" ht="15.75">
      <c r="A2002" s="67">
        <f t="shared" si="31"/>
        <v>2000</v>
      </c>
      <c r="B2002" s="164">
        <v>2000</v>
      </c>
      <c r="C2002" s="193" t="s">
        <v>3295</v>
      </c>
      <c r="D2002" s="199" t="s">
        <v>6563</v>
      </c>
      <c r="E2002" s="193" t="s">
        <v>9171</v>
      </c>
      <c r="F2002" s="193" t="s">
        <v>59</v>
      </c>
      <c r="G2002" s="195" t="s">
        <v>11361</v>
      </c>
      <c r="H2002" s="166" t="s">
        <v>13436</v>
      </c>
      <c r="I2002" s="193" t="s">
        <v>12828</v>
      </c>
      <c r="J2002" s="193" t="s">
        <v>146</v>
      </c>
      <c r="K2002" s="170"/>
      <c r="L2002" s="193"/>
    </row>
    <row r="2003" spans="1:12" ht="15.75">
      <c r="A2003" s="67">
        <f t="shared" si="31"/>
        <v>2001</v>
      </c>
      <c r="B2003" s="164">
        <v>2001</v>
      </c>
      <c r="C2003" s="193" t="s">
        <v>3296</v>
      </c>
      <c r="D2003" s="199" t="s">
        <v>6564</v>
      </c>
      <c r="E2003" s="193" t="s">
        <v>7888</v>
      </c>
      <c r="F2003" s="193" t="s">
        <v>59</v>
      </c>
      <c r="G2003" s="195" t="s">
        <v>11362</v>
      </c>
      <c r="H2003" s="166" t="s">
        <v>13436</v>
      </c>
      <c r="I2003" s="193" t="s">
        <v>12839</v>
      </c>
      <c r="J2003" s="193" t="s">
        <v>146</v>
      </c>
      <c r="K2003" s="170"/>
      <c r="L2003" s="193"/>
    </row>
    <row r="2004" spans="1:12" ht="15.75">
      <c r="A2004" s="67">
        <f t="shared" si="31"/>
        <v>2002</v>
      </c>
      <c r="B2004" s="164">
        <v>2002</v>
      </c>
      <c r="C2004" s="193" t="s">
        <v>3297</v>
      </c>
      <c r="D2004" s="199" t="s">
        <v>6565</v>
      </c>
      <c r="E2004" s="193" t="s">
        <v>592</v>
      </c>
      <c r="F2004" s="193" t="s">
        <v>114</v>
      </c>
      <c r="G2004" s="195" t="s">
        <v>858</v>
      </c>
      <c r="H2004" s="166" t="s">
        <v>13436</v>
      </c>
      <c r="I2004" s="193" t="s">
        <v>12839</v>
      </c>
      <c r="J2004" s="193" t="s">
        <v>146</v>
      </c>
      <c r="K2004" s="170"/>
      <c r="L2004" s="193" t="s">
        <v>146</v>
      </c>
    </row>
    <row r="2005" spans="1:12" ht="15.75">
      <c r="A2005" s="67">
        <f t="shared" si="31"/>
        <v>2003</v>
      </c>
      <c r="B2005" s="164">
        <v>2003</v>
      </c>
      <c r="C2005" s="193" t="s">
        <v>3298</v>
      </c>
      <c r="D2005" s="195" t="s">
        <v>6566</v>
      </c>
      <c r="E2005" s="193" t="s">
        <v>557</v>
      </c>
      <c r="F2005" s="193" t="s">
        <v>59</v>
      </c>
      <c r="G2005" s="195" t="s">
        <v>10090</v>
      </c>
      <c r="H2005" s="166" t="s">
        <v>13436</v>
      </c>
      <c r="I2005" s="193" t="s">
        <v>12817</v>
      </c>
      <c r="J2005" s="193" t="s">
        <v>146</v>
      </c>
      <c r="K2005" s="170"/>
      <c r="L2005" s="193"/>
    </row>
    <row r="2006" spans="1:12" ht="15.75">
      <c r="A2006" s="67">
        <f t="shared" si="31"/>
        <v>2004</v>
      </c>
      <c r="B2006" s="164">
        <v>2004</v>
      </c>
      <c r="C2006" s="193" t="s">
        <v>3299</v>
      </c>
      <c r="D2006" s="195" t="s">
        <v>6567</v>
      </c>
      <c r="E2006" s="193" t="s">
        <v>9172</v>
      </c>
      <c r="F2006" s="193" t="s">
        <v>59</v>
      </c>
      <c r="G2006" s="195" t="s">
        <v>682</v>
      </c>
      <c r="H2006" s="166" t="s">
        <v>13436</v>
      </c>
      <c r="I2006" s="193" t="s">
        <v>12809</v>
      </c>
      <c r="J2006" s="193" t="s">
        <v>146</v>
      </c>
      <c r="K2006" s="170"/>
      <c r="L2006" s="193"/>
    </row>
    <row r="2007" spans="1:12" ht="30">
      <c r="A2007" s="67">
        <f t="shared" si="31"/>
        <v>2005</v>
      </c>
      <c r="B2007" s="164">
        <v>2005</v>
      </c>
      <c r="C2007" s="193" t="s">
        <v>3300</v>
      </c>
      <c r="D2007" s="199" t="s">
        <v>6568</v>
      </c>
      <c r="E2007" s="193" t="s">
        <v>545</v>
      </c>
      <c r="F2007" s="193" t="s">
        <v>59</v>
      </c>
      <c r="G2007" s="195" t="s">
        <v>11363</v>
      </c>
      <c r="H2007" s="166" t="s">
        <v>13436</v>
      </c>
      <c r="I2007" s="193" t="s">
        <v>12828</v>
      </c>
      <c r="J2007" s="193" t="s">
        <v>12582</v>
      </c>
      <c r="K2007" s="170"/>
      <c r="L2007" s="193"/>
    </row>
    <row r="2008" spans="1:12" ht="30">
      <c r="A2008" s="67">
        <f t="shared" si="31"/>
        <v>2006</v>
      </c>
      <c r="B2008" s="164">
        <v>2006</v>
      </c>
      <c r="C2008" s="193" t="s">
        <v>3301</v>
      </c>
      <c r="D2008" s="199" t="s">
        <v>6569</v>
      </c>
      <c r="E2008" s="193" t="s">
        <v>9173</v>
      </c>
      <c r="F2008" s="193" t="s">
        <v>59</v>
      </c>
      <c r="G2008" s="195" t="s">
        <v>11364</v>
      </c>
      <c r="H2008" s="166" t="s">
        <v>13436</v>
      </c>
      <c r="I2008" s="193" t="s">
        <v>12828</v>
      </c>
      <c r="J2008" s="193" t="s">
        <v>12583</v>
      </c>
      <c r="K2008" s="170"/>
      <c r="L2008" s="193"/>
    </row>
    <row r="2009" spans="1:12" ht="15.75">
      <c r="A2009" s="67">
        <f t="shared" si="31"/>
        <v>2007</v>
      </c>
      <c r="B2009" s="164">
        <v>2007</v>
      </c>
      <c r="C2009" s="193" t="s">
        <v>3302</v>
      </c>
      <c r="D2009" s="195" t="s">
        <v>6570</v>
      </c>
      <c r="E2009" s="193" t="s">
        <v>9174</v>
      </c>
      <c r="F2009" s="193" t="s">
        <v>114</v>
      </c>
      <c r="G2009" s="195" t="s">
        <v>768</v>
      </c>
      <c r="H2009" s="166" t="s">
        <v>13436</v>
      </c>
      <c r="I2009" s="193" t="s">
        <v>12824</v>
      </c>
      <c r="J2009" s="193" t="s">
        <v>12584</v>
      </c>
      <c r="K2009" s="170"/>
      <c r="L2009" s="193" t="s">
        <v>146</v>
      </c>
    </row>
    <row r="2010" spans="1:12" ht="15.75">
      <c r="A2010" s="67">
        <f t="shared" si="31"/>
        <v>2008</v>
      </c>
      <c r="B2010" s="164">
        <v>2008</v>
      </c>
      <c r="C2010" s="193" t="s">
        <v>3303</v>
      </c>
      <c r="D2010" s="195" t="s">
        <v>6571</v>
      </c>
      <c r="E2010" s="193" t="s">
        <v>7904</v>
      </c>
      <c r="F2010" s="193" t="s">
        <v>114</v>
      </c>
      <c r="G2010" s="195" t="s">
        <v>955</v>
      </c>
      <c r="H2010" s="166" t="s">
        <v>13436</v>
      </c>
      <c r="I2010" s="193" t="s">
        <v>12824</v>
      </c>
      <c r="J2010" s="193"/>
      <c r="K2010" s="170"/>
      <c r="L2010" s="193"/>
    </row>
    <row r="2011" spans="1:12" ht="15.75">
      <c r="A2011" s="67">
        <f t="shared" si="31"/>
        <v>2009</v>
      </c>
      <c r="B2011" s="164">
        <v>2009</v>
      </c>
      <c r="C2011" s="193" t="s">
        <v>3304</v>
      </c>
      <c r="D2011" s="195" t="s">
        <v>6572</v>
      </c>
      <c r="E2011" s="193" t="s">
        <v>9175</v>
      </c>
      <c r="F2011" s="193" t="s">
        <v>114</v>
      </c>
      <c r="G2011" s="195" t="s">
        <v>11365</v>
      </c>
      <c r="H2011" s="166" t="s">
        <v>13436</v>
      </c>
      <c r="I2011" s="193" t="s">
        <v>12825</v>
      </c>
      <c r="J2011" s="193" t="s">
        <v>12585</v>
      </c>
      <c r="K2011" s="170"/>
      <c r="L2011" s="193" t="s">
        <v>146</v>
      </c>
    </row>
    <row r="2012" spans="1:12" ht="30">
      <c r="A2012" s="67">
        <f t="shared" si="31"/>
        <v>2010</v>
      </c>
      <c r="B2012" s="164">
        <v>2010</v>
      </c>
      <c r="C2012" s="193" t="s">
        <v>3305</v>
      </c>
      <c r="D2012" s="203" t="s">
        <v>6573</v>
      </c>
      <c r="E2012" s="193" t="s">
        <v>9176</v>
      </c>
      <c r="F2012" s="193" t="s">
        <v>114</v>
      </c>
      <c r="G2012" s="195" t="s">
        <v>907</v>
      </c>
      <c r="H2012" s="166" t="s">
        <v>13436</v>
      </c>
      <c r="I2012" s="193" t="s">
        <v>12827</v>
      </c>
      <c r="J2012" s="193" t="s">
        <v>146</v>
      </c>
      <c r="K2012" s="170"/>
      <c r="L2012" s="193" t="s">
        <v>13312</v>
      </c>
    </row>
    <row r="2013" spans="1:12" ht="30">
      <c r="A2013" s="67">
        <f t="shared" si="31"/>
        <v>2011</v>
      </c>
      <c r="B2013" s="164">
        <v>2011</v>
      </c>
      <c r="C2013" s="193" t="s">
        <v>3306</v>
      </c>
      <c r="D2013" s="195" t="s">
        <v>6574</v>
      </c>
      <c r="E2013" s="193" t="s">
        <v>309</v>
      </c>
      <c r="F2013" s="193" t="s">
        <v>114</v>
      </c>
      <c r="G2013" s="195" t="s">
        <v>871</v>
      </c>
      <c r="H2013" s="166" t="s">
        <v>13436</v>
      </c>
      <c r="I2013" s="193" t="s">
        <v>12825</v>
      </c>
      <c r="J2013" s="193" t="s">
        <v>146</v>
      </c>
      <c r="K2013" s="170"/>
      <c r="L2013" s="193" t="s">
        <v>13313</v>
      </c>
    </row>
    <row r="2014" spans="1:12" ht="30">
      <c r="A2014" s="67">
        <f t="shared" si="31"/>
        <v>2012</v>
      </c>
      <c r="B2014" s="164">
        <v>2012</v>
      </c>
      <c r="C2014" s="193" t="s">
        <v>3307</v>
      </c>
      <c r="D2014" s="195" t="s">
        <v>6575</v>
      </c>
      <c r="E2014" s="193" t="s">
        <v>9177</v>
      </c>
      <c r="F2014" s="193" t="s">
        <v>114</v>
      </c>
      <c r="G2014" s="195" t="s">
        <v>11366</v>
      </c>
      <c r="H2014" s="166" t="s">
        <v>13436</v>
      </c>
      <c r="I2014" s="193" t="s">
        <v>12825</v>
      </c>
      <c r="J2014" s="193" t="s">
        <v>146</v>
      </c>
      <c r="K2014" s="170"/>
      <c r="L2014" s="193" t="s">
        <v>13314</v>
      </c>
    </row>
    <row r="2015" spans="1:12" ht="30">
      <c r="A2015" s="67">
        <f t="shared" si="31"/>
        <v>2013</v>
      </c>
      <c r="B2015" s="164">
        <v>2013</v>
      </c>
      <c r="C2015" s="193" t="s">
        <v>3308</v>
      </c>
      <c r="D2015" s="195" t="s">
        <v>6576</v>
      </c>
      <c r="E2015" s="193" t="s">
        <v>465</v>
      </c>
      <c r="F2015" s="193" t="s">
        <v>114</v>
      </c>
      <c r="G2015" s="195" t="s">
        <v>11367</v>
      </c>
      <c r="H2015" s="166" t="s">
        <v>13436</v>
      </c>
      <c r="I2015" s="193" t="s">
        <v>12825</v>
      </c>
      <c r="J2015" s="193" t="s">
        <v>12586</v>
      </c>
      <c r="K2015" s="170"/>
      <c r="L2015" s="193" t="s">
        <v>146</v>
      </c>
    </row>
    <row r="2016" spans="1:12" ht="15.75">
      <c r="A2016" s="67">
        <f t="shared" si="31"/>
        <v>2014</v>
      </c>
      <c r="B2016" s="164">
        <v>2014</v>
      </c>
      <c r="C2016" s="193" t="s">
        <v>3309</v>
      </c>
      <c r="D2016" s="195" t="s">
        <v>6577</v>
      </c>
      <c r="E2016" s="193" t="s">
        <v>9178</v>
      </c>
      <c r="F2016" s="193" t="s">
        <v>114</v>
      </c>
      <c r="G2016" s="195" t="s">
        <v>11368</v>
      </c>
      <c r="H2016" s="166" t="s">
        <v>13436</v>
      </c>
      <c r="I2016" s="193" t="s">
        <v>12824</v>
      </c>
      <c r="J2016" s="219" t="s">
        <v>146</v>
      </c>
      <c r="K2016" s="170"/>
      <c r="L2016" s="219" t="s">
        <v>146</v>
      </c>
    </row>
    <row r="2017" spans="1:12" ht="15.75">
      <c r="A2017" s="67">
        <f t="shared" si="31"/>
        <v>2015</v>
      </c>
      <c r="B2017" s="164">
        <v>2015</v>
      </c>
      <c r="C2017" s="193" t="s">
        <v>3310</v>
      </c>
      <c r="D2017" s="195" t="s">
        <v>6578</v>
      </c>
      <c r="E2017" s="193" t="s">
        <v>9179</v>
      </c>
      <c r="F2017" s="193" t="s">
        <v>114</v>
      </c>
      <c r="G2017" s="195" t="s">
        <v>11369</v>
      </c>
      <c r="H2017" s="166" t="s">
        <v>13436</v>
      </c>
      <c r="I2017" s="193" t="s">
        <v>12824</v>
      </c>
      <c r="J2017" s="193" t="s">
        <v>12587</v>
      </c>
      <c r="K2017" s="170"/>
      <c r="L2017" s="193" t="s">
        <v>146</v>
      </c>
    </row>
    <row r="2018" spans="1:12" ht="15.75">
      <c r="A2018" s="67">
        <f t="shared" si="31"/>
        <v>2016</v>
      </c>
      <c r="B2018" s="164">
        <v>2016</v>
      </c>
      <c r="C2018" s="193" t="s">
        <v>3311</v>
      </c>
      <c r="D2018" s="195" t="s">
        <v>6579</v>
      </c>
      <c r="E2018" s="193" t="s">
        <v>201</v>
      </c>
      <c r="F2018" s="193" t="s">
        <v>114</v>
      </c>
      <c r="G2018" s="195" t="s">
        <v>11370</v>
      </c>
      <c r="H2018" s="166" t="s">
        <v>13436</v>
      </c>
      <c r="I2018" s="193" t="s">
        <v>12825</v>
      </c>
      <c r="J2018" s="193" t="s">
        <v>146</v>
      </c>
      <c r="K2018" s="170"/>
      <c r="L2018" s="193" t="s">
        <v>146</v>
      </c>
    </row>
    <row r="2019" spans="1:12" ht="15.75">
      <c r="A2019" s="67">
        <f t="shared" si="31"/>
        <v>2017</v>
      </c>
      <c r="B2019" s="164">
        <v>2017</v>
      </c>
      <c r="C2019" s="193" t="s">
        <v>3312</v>
      </c>
      <c r="D2019" s="195" t="s">
        <v>6580</v>
      </c>
      <c r="E2019" s="193" t="s">
        <v>481</v>
      </c>
      <c r="F2019" s="193" t="s">
        <v>114</v>
      </c>
      <c r="G2019" s="195" t="s">
        <v>11371</v>
      </c>
      <c r="H2019" s="166" t="s">
        <v>13436</v>
      </c>
      <c r="I2019" s="193" t="s">
        <v>12832</v>
      </c>
      <c r="J2019" s="193" t="s">
        <v>146</v>
      </c>
      <c r="K2019" s="170"/>
      <c r="L2019" s="193" t="s">
        <v>146</v>
      </c>
    </row>
    <row r="2020" spans="1:12" ht="30">
      <c r="A2020" s="67">
        <f t="shared" si="31"/>
        <v>2018</v>
      </c>
      <c r="B2020" s="164">
        <v>2018</v>
      </c>
      <c r="C2020" s="193" t="s">
        <v>3313</v>
      </c>
      <c r="D2020" s="195" t="s">
        <v>6581</v>
      </c>
      <c r="E2020" s="193" t="s">
        <v>435</v>
      </c>
      <c r="F2020" s="193" t="s">
        <v>114</v>
      </c>
      <c r="G2020" s="195" t="s">
        <v>11372</v>
      </c>
      <c r="H2020" s="166" t="s">
        <v>13436</v>
      </c>
      <c r="I2020" s="193" t="s">
        <v>12824</v>
      </c>
      <c r="J2020" s="193" t="s">
        <v>12588</v>
      </c>
      <c r="K2020" s="170"/>
      <c r="L2020" s="193" t="s">
        <v>146</v>
      </c>
    </row>
    <row r="2021" spans="1:12" ht="15.75">
      <c r="A2021" s="67">
        <f t="shared" si="31"/>
        <v>2019</v>
      </c>
      <c r="B2021" s="164">
        <v>2019</v>
      </c>
      <c r="C2021" s="193" t="s">
        <v>3314</v>
      </c>
      <c r="D2021" s="195" t="s">
        <v>6582</v>
      </c>
      <c r="E2021" s="193" t="s">
        <v>9180</v>
      </c>
      <c r="F2021" s="193" t="s">
        <v>114</v>
      </c>
      <c r="G2021" s="195" t="s">
        <v>865</v>
      </c>
      <c r="H2021" s="166" t="s">
        <v>13436</v>
      </c>
      <c r="I2021" s="193" t="s">
        <v>12824</v>
      </c>
      <c r="J2021" s="193" t="s">
        <v>146</v>
      </c>
      <c r="K2021" s="170"/>
      <c r="L2021" s="193" t="s">
        <v>146</v>
      </c>
    </row>
    <row r="2022" spans="1:12" ht="75">
      <c r="A2022" s="67">
        <f t="shared" si="31"/>
        <v>2020</v>
      </c>
      <c r="B2022" s="164">
        <v>2020</v>
      </c>
      <c r="C2022" s="193" t="s">
        <v>3315</v>
      </c>
      <c r="D2022" s="195" t="s">
        <v>6583</v>
      </c>
      <c r="E2022" s="193" t="s">
        <v>166</v>
      </c>
      <c r="F2022" s="193" t="s">
        <v>114</v>
      </c>
      <c r="G2022" s="195" t="s">
        <v>883</v>
      </c>
      <c r="H2022" s="166" t="s">
        <v>13436</v>
      </c>
      <c r="I2022" s="193" t="s">
        <v>12821</v>
      </c>
      <c r="J2022" s="193" t="s">
        <v>146</v>
      </c>
      <c r="K2022" s="170"/>
      <c r="L2022" s="193" t="s">
        <v>13315</v>
      </c>
    </row>
    <row r="2023" spans="1:12" ht="15.75">
      <c r="A2023" s="67">
        <f t="shared" si="31"/>
        <v>2021</v>
      </c>
      <c r="B2023" s="164">
        <v>2021</v>
      </c>
      <c r="C2023" s="193" t="s">
        <v>3316</v>
      </c>
      <c r="D2023" s="195" t="s">
        <v>6584</v>
      </c>
      <c r="E2023" s="193" t="s">
        <v>9181</v>
      </c>
      <c r="F2023" s="193" t="s">
        <v>59</v>
      </c>
      <c r="G2023" s="195" t="s">
        <v>11373</v>
      </c>
      <c r="H2023" s="166" t="s">
        <v>13436</v>
      </c>
      <c r="I2023" s="193" t="s">
        <v>12821</v>
      </c>
      <c r="J2023" s="193" t="s">
        <v>146</v>
      </c>
      <c r="K2023" s="170"/>
      <c r="L2023" s="193"/>
    </row>
    <row r="2024" spans="1:12" ht="15.75">
      <c r="A2024" s="67">
        <f t="shared" si="31"/>
        <v>2022</v>
      </c>
      <c r="B2024" s="164">
        <v>2022</v>
      </c>
      <c r="C2024" s="193" t="s">
        <v>3317</v>
      </c>
      <c r="D2024" s="195" t="s">
        <v>6585</v>
      </c>
      <c r="E2024" s="193" t="s">
        <v>9182</v>
      </c>
      <c r="F2024" s="193" t="s">
        <v>59</v>
      </c>
      <c r="G2024" s="195" t="s">
        <v>11324</v>
      </c>
      <c r="H2024" s="166" t="s">
        <v>13436</v>
      </c>
      <c r="I2024" s="193" t="s">
        <v>12813</v>
      </c>
      <c r="J2024" s="193" t="s">
        <v>1261</v>
      </c>
      <c r="K2024" s="170"/>
      <c r="L2024" s="193"/>
    </row>
    <row r="2025" spans="1:12" ht="15.75">
      <c r="A2025" s="67">
        <f t="shared" si="31"/>
        <v>2023</v>
      </c>
      <c r="B2025" s="164">
        <v>2023</v>
      </c>
      <c r="C2025" s="193" t="s">
        <v>3318</v>
      </c>
      <c r="D2025" s="195" t="s">
        <v>6586</v>
      </c>
      <c r="E2025" s="193" t="s">
        <v>509</v>
      </c>
      <c r="F2025" s="193" t="s">
        <v>59</v>
      </c>
      <c r="G2025" s="195" t="s">
        <v>11374</v>
      </c>
      <c r="H2025" s="166" t="s">
        <v>13436</v>
      </c>
      <c r="I2025" s="193" t="s">
        <v>12825</v>
      </c>
      <c r="J2025" s="193" t="s">
        <v>146</v>
      </c>
      <c r="K2025" s="170"/>
      <c r="L2025" s="193"/>
    </row>
    <row r="2026" spans="1:12" ht="15.75">
      <c r="A2026" s="67">
        <f t="shared" si="31"/>
        <v>2024</v>
      </c>
      <c r="B2026" s="164">
        <v>2024</v>
      </c>
      <c r="C2026" s="193" t="s">
        <v>3319</v>
      </c>
      <c r="D2026" s="195" t="s">
        <v>6587</v>
      </c>
      <c r="E2026" s="193" t="s">
        <v>9183</v>
      </c>
      <c r="F2026" s="193" t="s">
        <v>59</v>
      </c>
      <c r="G2026" s="195" t="s">
        <v>863</v>
      </c>
      <c r="H2026" s="166" t="s">
        <v>13436</v>
      </c>
      <c r="I2026" s="193" t="s">
        <v>12821</v>
      </c>
      <c r="J2026" s="193" t="s">
        <v>12589</v>
      </c>
      <c r="K2026" s="170"/>
      <c r="L2026" s="193"/>
    </row>
    <row r="2027" spans="1:12" ht="15.75">
      <c r="A2027" s="67">
        <f t="shared" si="31"/>
        <v>2025</v>
      </c>
      <c r="B2027" s="164">
        <v>2025</v>
      </c>
      <c r="C2027" s="193" t="s">
        <v>3320</v>
      </c>
      <c r="D2027" s="195" t="s">
        <v>6588</v>
      </c>
      <c r="E2027" s="193" t="s">
        <v>202</v>
      </c>
      <c r="F2027" s="193" t="s">
        <v>59</v>
      </c>
      <c r="G2027" s="195" t="s">
        <v>874</v>
      </c>
      <c r="H2027" s="166" t="s">
        <v>13436</v>
      </c>
      <c r="I2027" s="193" t="s">
        <v>12825</v>
      </c>
      <c r="J2027" s="193" t="s">
        <v>146</v>
      </c>
      <c r="K2027" s="170"/>
      <c r="L2027" s="193"/>
    </row>
    <row r="2028" spans="1:12" ht="15.75">
      <c r="A2028" s="67">
        <f t="shared" si="31"/>
        <v>2026</v>
      </c>
      <c r="B2028" s="164">
        <v>2026</v>
      </c>
      <c r="C2028" s="193" t="s">
        <v>3321</v>
      </c>
      <c r="D2028" s="195" t="s">
        <v>6589</v>
      </c>
      <c r="E2028" s="193" t="s">
        <v>9184</v>
      </c>
      <c r="F2028" s="193" t="s">
        <v>59</v>
      </c>
      <c r="G2028" s="195" t="s">
        <v>11375</v>
      </c>
      <c r="H2028" s="166" t="s">
        <v>13436</v>
      </c>
      <c r="I2028" s="193" t="s">
        <v>12813</v>
      </c>
      <c r="J2028" s="193" t="s">
        <v>164</v>
      </c>
      <c r="K2028" s="170"/>
      <c r="L2028" s="193"/>
    </row>
    <row r="2029" spans="1:12" ht="30">
      <c r="A2029" s="67">
        <f t="shared" si="31"/>
        <v>2027</v>
      </c>
      <c r="B2029" s="164">
        <v>2027</v>
      </c>
      <c r="C2029" s="193" t="s">
        <v>3322</v>
      </c>
      <c r="D2029" s="195" t="s">
        <v>6590</v>
      </c>
      <c r="E2029" s="193" t="s">
        <v>8643</v>
      </c>
      <c r="F2029" s="193" t="s">
        <v>114</v>
      </c>
      <c r="G2029" s="195" t="s">
        <v>961</v>
      </c>
      <c r="H2029" s="166" t="s">
        <v>13436</v>
      </c>
      <c r="I2029" s="193" t="s">
        <v>12819</v>
      </c>
      <c r="J2029" s="193" t="s">
        <v>12590</v>
      </c>
      <c r="K2029" s="170"/>
      <c r="L2029" s="193" t="s">
        <v>146</v>
      </c>
    </row>
    <row r="2030" spans="1:12" ht="30">
      <c r="A2030" s="67">
        <f t="shared" si="31"/>
        <v>2028</v>
      </c>
      <c r="B2030" s="164">
        <v>2028</v>
      </c>
      <c r="C2030" s="193" t="s">
        <v>3323</v>
      </c>
      <c r="D2030" s="195" t="s">
        <v>6591</v>
      </c>
      <c r="E2030" s="193" t="s">
        <v>9185</v>
      </c>
      <c r="F2030" s="193" t="s">
        <v>114</v>
      </c>
      <c r="G2030" s="195" t="s">
        <v>1115</v>
      </c>
      <c r="H2030" s="166" t="s">
        <v>13436</v>
      </c>
      <c r="I2030" s="193" t="s">
        <v>12813</v>
      </c>
      <c r="J2030" s="193" t="s">
        <v>12591</v>
      </c>
      <c r="K2030" s="170"/>
      <c r="L2030" s="193" t="s">
        <v>146</v>
      </c>
    </row>
    <row r="2031" spans="1:12" ht="45">
      <c r="A2031" s="67">
        <f t="shared" si="31"/>
        <v>2029</v>
      </c>
      <c r="B2031" s="164">
        <v>2029</v>
      </c>
      <c r="C2031" s="193" t="s">
        <v>3324</v>
      </c>
      <c r="D2031" s="195" t="s">
        <v>6592</v>
      </c>
      <c r="E2031" s="193" t="s">
        <v>308</v>
      </c>
      <c r="F2031" s="193" t="s">
        <v>114</v>
      </c>
      <c r="G2031" s="195" t="s">
        <v>1095</v>
      </c>
      <c r="H2031" s="166" t="s">
        <v>13436</v>
      </c>
      <c r="I2031" s="193" t="s">
        <v>12824</v>
      </c>
      <c r="J2031" s="193" t="s">
        <v>12592</v>
      </c>
      <c r="K2031" s="170"/>
      <c r="L2031" s="193" t="s">
        <v>146</v>
      </c>
    </row>
    <row r="2032" spans="1:12" ht="15.75">
      <c r="A2032" s="67">
        <f t="shared" si="31"/>
        <v>2030</v>
      </c>
      <c r="B2032" s="164">
        <v>2030</v>
      </c>
      <c r="C2032" s="193" t="s">
        <v>3325</v>
      </c>
      <c r="D2032" s="195" t="s">
        <v>6593</v>
      </c>
      <c r="E2032" s="193" t="s">
        <v>502</v>
      </c>
      <c r="F2032" s="193" t="s">
        <v>114</v>
      </c>
      <c r="G2032" s="195" t="s">
        <v>816</v>
      </c>
      <c r="H2032" s="166" t="s">
        <v>13436</v>
      </c>
      <c r="I2032" s="193" t="s">
        <v>12827</v>
      </c>
      <c r="J2032" s="193" t="s">
        <v>146</v>
      </c>
      <c r="K2032" s="170"/>
      <c r="L2032" s="193" t="s">
        <v>146</v>
      </c>
    </row>
    <row r="2033" spans="1:12" ht="15.75">
      <c r="A2033" s="67">
        <f t="shared" si="31"/>
        <v>2031</v>
      </c>
      <c r="B2033" s="164">
        <v>2031</v>
      </c>
      <c r="C2033" s="193" t="s">
        <v>3326</v>
      </c>
      <c r="D2033" s="195" t="s">
        <v>6594</v>
      </c>
      <c r="E2033" s="193" t="s">
        <v>411</v>
      </c>
      <c r="F2033" s="193" t="s">
        <v>114</v>
      </c>
      <c r="G2033" s="195" t="s">
        <v>997</v>
      </c>
      <c r="H2033" s="166" t="s">
        <v>13436</v>
      </c>
      <c r="I2033" s="193" t="s">
        <v>12821</v>
      </c>
      <c r="J2033" s="193" t="s">
        <v>146</v>
      </c>
      <c r="K2033" s="170"/>
      <c r="L2033" s="193" t="s">
        <v>146</v>
      </c>
    </row>
    <row r="2034" spans="1:12" ht="15.75">
      <c r="A2034" s="67">
        <f t="shared" si="31"/>
        <v>2032</v>
      </c>
      <c r="B2034" s="164">
        <v>2032</v>
      </c>
      <c r="C2034" s="193" t="s">
        <v>3327</v>
      </c>
      <c r="D2034" s="195" t="s">
        <v>6595</v>
      </c>
      <c r="E2034" s="193" t="s">
        <v>9186</v>
      </c>
      <c r="F2034" s="193" t="s">
        <v>114</v>
      </c>
      <c r="G2034" s="195" t="s">
        <v>11376</v>
      </c>
      <c r="H2034" s="166" t="s">
        <v>13436</v>
      </c>
      <c r="I2034" s="193" t="s">
        <v>12814</v>
      </c>
      <c r="J2034" s="193" t="s">
        <v>12593</v>
      </c>
      <c r="K2034" s="170"/>
      <c r="L2034" s="193" t="s">
        <v>146</v>
      </c>
    </row>
    <row r="2035" spans="1:12" ht="30">
      <c r="A2035" s="67">
        <f t="shared" si="31"/>
        <v>2033</v>
      </c>
      <c r="B2035" s="164">
        <v>2033</v>
      </c>
      <c r="C2035" s="193" t="s">
        <v>3328</v>
      </c>
      <c r="D2035" s="195" t="s">
        <v>6596</v>
      </c>
      <c r="E2035" s="193" t="s">
        <v>662</v>
      </c>
      <c r="F2035" s="193" t="s">
        <v>114</v>
      </c>
      <c r="G2035" s="195" t="s">
        <v>10454</v>
      </c>
      <c r="H2035" s="166" t="s">
        <v>13436</v>
      </c>
      <c r="I2035" s="193" t="s">
        <v>12825</v>
      </c>
      <c r="J2035" s="193" t="s">
        <v>12594</v>
      </c>
      <c r="K2035" s="170"/>
      <c r="L2035" s="193" t="s">
        <v>146</v>
      </c>
    </row>
    <row r="2036" spans="1:12" ht="30">
      <c r="A2036" s="67">
        <f t="shared" si="31"/>
        <v>2034</v>
      </c>
      <c r="B2036" s="164">
        <v>2034</v>
      </c>
      <c r="C2036" s="193" t="s">
        <v>3329</v>
      </c>
      <c r="D2036" s="195" t="s">
        <v>6597</v>
      </c>
      <c r="E2036" s="193" t="s">
        <v>9187</v>
      </c>
      <c r="F2036" s="193" t="s">
        <v>114</v>
      </c>
      <c r="G2036" s="195" t="s">
        <v>745</v>
      </c>
      <c r="H2036" s="166" t="s">
        <v>13436</v>
      </c>
      <c r="I2036" s="193" t="s">
        <v>12826</v>
      </c>
      <c r="J2036" s="219" t="s">
        <v>146</v>
      </c>
      <c r="K2036" s="170"/>
      <c r="L2036" s="219" t="s">
        <v>13316</v>
      </c>
    </row>
    <row r="2037" spans="1:12" ht="15.75">
      <c r="A2037" s="67">
        <f t="shared" si="31"/>
        <v>2035</v>
      </c>
      <c r="B2037" s="164">
        <v>2035</v>
      </c>
      <c r="C2037" s="193" t="s">
        <v>3330</v>
      </c>
      <c r="D2037" s="197" t="s">
        <v>6598</v>
      </c>
      <c r="E2037" s="193" t="s">
        <v>9188</v>
      </c>
      <c r="F2037" s="193" t="s">
        <v>59</v>
      </c>
      <c r="G2037" s="195" t="s">
        <v>1128</v>
      </c>
      <c r="H2037" s="166" t="s">
        <v>13436</v>
      </c>
      <c r="I2037" s="193" t="s">
        <v>12816</v>
      </c>
      <c r="J2037" s="193" t="s">
        <v>146</v>
      </c>
      <c r="K2037" s="170"/>
      <c r="L2037" s="193"/>
    </row>
    <row r="2038" spans="1:12" ht="30">
      <c r="A2038" s="67">
        <f t="shared" si="31"/>
        <v>2036</v>
      </c>
      <c r="B2038" s="164">
        <v>2036</v>
      </c>
      <c r="C2038" s="193" t="s">
        <v>3331</v>
      </c>
      <c r="D2038" s="195" t="s">
        <v>6599</v>
      </c>
      <c r="E2038" s="193" t="s">
        <v>9189</v>
      </c>
      <c r="F2038" s="193" t="s">
        <v>59</v>
      </c>
      <c r="G2038" s="195" t="s">
        <v>11377</v>
      </c>
      <c r="H2038" s="166" t="s">
        <v>13436</v>
      </c>
      <c r="I2038" s="193" t="s">
        <v>12825</v>
      </c>
      <c r="J2038" s="193" t="s">
        <v>12595</v>
      </c>
      <c r="K2038" s="170"/>
      <c r="L2038" s="193"/>
    </row>
    <row r="2039" spans="1:12" ht="15.75">
      <c r="A2039" s="67">
        <f t="shared" si="31"/>
        <v>2037</v>
      </c>
      <c r="B2039" s="164">
        <v>2037</v>
      </c>
      <c r="C2039" s="193" t="s">
        <v>3332</v>
      </c>
      <c r="D2039" s="195" t="s">
        <v>6600</v>
      </c>
      <c r="E2039" s="193" t="s">
        <v>9190</v>
      </c>
      <c r="F2039" s="193" t="s">
        <v>114</v>
      </c>
      <c r="G2039" s="195" t="s">
        <v>803</v>
      </c>
      <c r="H2039" s="166" t="s">
        <v>13436</v>
      </c>
      <c r="I2039" s="193" t="s">
        <v>12824</v>
      </c>
      <c r="J2039" s="193" t="s">
        <v>146</v>
      </c>
      <c r="K2039" s="170"/>
      <c r="L2039" s="193" t="s">
        <v>146</v>
      </c>
    </row>
    <row r="2040" spans="1:12" ht="15.75">
      <c r="A2040" s="67">
        <f t="shared" si="31"/>
        <v>2038</v>
      </c>
      <c r="B2040" s="164">
        <v>2038</v>
      </c>
      <c r="C2040" s="193" t="s">
        <v>3333</v>
      </c>
      <c r="D2040" s="195" t="s">
        <v>6601</v>
      </c>
      <c r="E2040" s="193" t="s">
        <v>520</v>
      </c>
      <c r="F2040" s="193" t="s">
        <v>114</v>
      </c>
      <c r="G2040" s="195" t="s">
        <v>881</v>
      </c>
      <c r="H2040" s="166" t="s">
        <v>13436</v>
      </c>
      <c r="I2040" s="193" t="s">
        <v>12817</v>
      </c>
      <c r="J2040" s="193" t="s">
        <v>146</v>
      </c>
      <c r="K2040" s="170"/>
      <c r="L2040" s="193" t="s">
        <v>146</v>
      </c>
    </row>
    <row r="2041" spans="1:12" ht="15.75">
      <c r="A2041" s="67">
        <f t="shared" si="31"/>
        <v>2039</v>
      </c>
      <c r="B2041" s="164">
        <v>2039</v>
      </c>
      <c r="C2041" s="193" t="s">
        <v>3334</v>
      </c>
      <c r="D2041" s="195" t="s">
        <v>6602</v>
      </c>
      <c r="E2041" s="193" t="s">
        <v>333</v>
      </c>
      <c r="F2041" s="193" t="s">
        <v>114</v>
      </c>
      <c r="G2041" s="195" t="s">
        <v>819</v>
      </c>
      <c r="H2041" s="166" t="s">
        <v>13436</v>
      </c>
      <c r="I2041" s="193" t="s">
        <v>12824</v>
      </c>
      <c r="J2041" s="193" t="s">
        <v>146</v>
      </c>
      <c r="K2041" s="170"/>
      <c r="L2041" s="193" t="s">
        <v>146</v>
      </c>
    </row>
    <row r="2042" spans="1:12" ht="15.75">
      <c r="A2042" s="67">
        <f t="shared" si="31"/>
        <v>2040</v>
      </c>
      <c r="B2042" s="164">
        <v>2040</v>
      </c>
      <c r="C2042" s="193" t="s">
        <v>3335</v>
      </c>
      <c r="D2042" s="195" t="s">
        <v>6603</v>
      </c>
      <c r="E2042" s="193" t="s">
        <v>295</v>
      </c>
      <c r="F2042" s="193" t="s">
        <v>114</v>
      </c>
      <c r="G2042" s="195" t="s">
        <v>11117</v>
      </c>
      <c r="H2042" s="166" t="s">
        <v>13436</v>
      </c>
      <c r="I2042" s="193" t="s">
        <v>12824</v>
      </c>
      <c r="J2042" s="193" t="s">
        <v>146</v>
      </c>
      <c r="K2042" s="170"/>
      <c r="L2042" s="193" t="s">
        <v>146</v>
      </c>
    </row>
    <row r="2043" spans="1:12" ht="30">
      <c r="A2043" s="67">
        <f t="shared" si="31"/>
        <v>2041</v>
      </c>
      <c r="B2043" s="164">
        <v>2041</v>
      </c>
      <c r="C2043" s="193" t="s">
        <v>3336</v>
      </c>
      <c r="D2043" s="195" t="s">
        <v>6604</v>
      </c>
      <c r="E2043" s="193" t="s">
        <v>456</v>
      </c>
      <c r="F2043" s="193" t="s">
        <v>114</v>
      </c>
      <c r="G2043" s="195" t="s">
        <v>852</v>
      </c>
      <c r="H2043" s="166" t="s">
        <v>13436</v>
      </c>
      <c r="I2043" s="193" t="s">
        <v>12824</v>
      </c>
      <c r="J2043" s="193" t="s">
        <v>146</v>
      </c>
      <c r="K2043" s="170"/>
      <c r="L2043" s="193" t="s">
        <v>13317</v>
      </c>
    </row>
    <row r="2044" spans="1:12" ht="15.75">
      <c r="A2044" s="67">
        <f t="shared" si="31"/>
        <v>2042</v>
      </c>
      <c r="B2044" s="164">
        <v>2042</v>
      </c>
      <c r="C2044" s="193" t="s">
        <v>3337</v>
      </c>
      <c r="D2044" s="195" t="s">
        <v>6605</v>
      </c>
      <c r="E2044" s="193" t="s">
        <v>353</v>
      </c>
      <c r="F2044" s="193" t="s">
        <v>114</v>
      </c>
      <c r="G2044" s="195" t="s">
        <v>1086</v>
      </c>
      <c r="H2044" s="166" t="s">
        <v>13436</v>
      </c>
      <c r="I2044" s="193" t="s">
        <v>12824</v>
      </c>
      <c r="J2044" s="193" t="s">
        <v>12596</v>
      </c>
      <c r="K2044" s="170"/>
      <c r="L2044" s="193" t="s">
        <v>146</v>
      </c>
    </row>
    <row r="2045" spans="1:12" ht="30">
      <c r="A2045" s="67">
        <f t="shared" si="31"/>
        <v>2043</v>
      </c>
      <c r="B2045" s="164">
        <v>2043</v>
      </c>
      <c r="C2045" s="193" t="s">
        <v>3338</v>
      </c>
      <c r="D2045" s="195" t="s">
        <v>6606</v>
      </c>
      <c r="E2045" s="193" t="s">
        <v>188</v>
      </c>
      <c r="F2045" s="193" t="s">
        <v>114</v>
      </c>
      <c r="G2045" s="195" t="s">
        <v>11378</v>
      </c>
      <c r="H2045" s="166" t="s">
        <v>13436</v>
      </c>
      <c r="I2045" s="193" t="s">
        <v>12817</v>
      </c>
      <c r="J2045" s="193" t="s">
        <v>146</v>
      </c>
      <c r="K2045" s="170"/>
      <c r="L2045" s="193" t="s">
        <v>13318</v>
      </c>
    </row>
    <row r="2046" spans="1:12" ht="15.75">
      <c r="A2046" s="67">
        <f t="shared" si="31"/>
        <v>2044</v>
      </c>
      <c r="B2046" s="164">
        <v>2044</v>
      </c>
      <c r="C2046" s="193" t="s">
        <v>3339</v>
      </c>
      <c r="D2046" s="195" t="s">
        <v>6607</v>
      </c>
      <c r="E2046" s="193" t="s">
        <v>8579</v>
      </c>
      <c r="F2046" s="193" t="s">
        <v>114</v>
      </c>
      <c r="G2046" s="195" t="s">
        <v>11379</v>
      </c>
      <c r="H2046" s="166" t="s">
        <v>13436</v>
      </c>
      <c r="I2046" s="193" t="s">
        <v>12827</v>
      </c>
      <c r="J2046" s="193" t="s">
        <v>146</v>
      </c>
      <c r="K2046" s="170"/>
      <c r="L2046" s="193" t="s">
        <v>146</v>
      </c>
    </row>
    <row r="2047" spans="1:12" ht="30">
      <c r="A2047" s="67">
        <f t="shared" si="31"/>
        <v>2045</v>
      </c>
      <c r="B2047" s="164">
        <v>2045</v>
      </c>
      <c r="C2047" s="193" t="s">
        <v>3340</v>
      </c>
      <c r="D2047" s="195" t="s">
        <v>6608</v>
      </c>
      <c r="E2047" s="193" t="s">
        <v>178</v>
      </c>
      <c r="F2047" s="193" t="s">
        <v>114</v>
      </c>
      <c r="G2047" s="195" t="s">
        <v>11380</v>
      </c>
      <c r="H2047" s="166" t="s">
        <v>13436</v>
      </c>
      <c r="I2047" s="193" t="s">
        <v>12824</v>
      </c>
      <c r="J2047" s="219" t="s">
        <v>146</v>
      </c>
      <c r="K2047" s="170"/>
      <c r="L2047" s="219" t="s">
        <v>13319</v>
      </c>
    </row>
    <row r="2048" spans="1:12" ht="15.75">
      <c r="A2048" s="67">
        <f t="shared" si="31"/>
        <v>2046</v>
      </c>
      <c r="B2048" s="164">
        <v>2046</v>
      </c>
      <c r="C2048" s="193" t="s">
        <v>3341</v>
      </c>
      <c r="D2048" s="195" t="s">
        <v>6609</v>
      </c>
      <c r="E2048" s="193" t="s">
        <v>9191</v>
      </c>
      <c r="F2048" s="193" t="s">
        <v>59</v>
      </c>
      <c r="G2048" s="195" t="s">
        <v>11381</v>
      </c>
      <c r="H2048" s="166" t="s">
        <v>13436</v>
      </c>
      <c r="I2048" s="193" t="s">
        <v>12825</v>
      </c>
      <c r="J2048" s="193" t="s">
        <v>146</v>
      </c>
      <c r="K2048" s="170"/>
      <c r="L2048" s="193"/>
    </row>
    <row r="2049" spans="1:12" ht="15.75">
      <c r="A2049" s="67">
        <f t="shared" si="31"/>
        <v>2047</v>
      </c>
      <c r="B2049" s="164">
        <v>2047</v>
      </c>
      <c r="C2049" s="193" t="s">
        <v>3342</v>
      </c>
      <c r="D2049" s="195" t="s">
        <v>6610</v>
      </c>
      <c r="E2049" s="193" t="s">
        <v>9192</v>
      </c>
      <c r="F2049" s="193" t="s">
        <v>59</v>
      </c>
      <c r="G2049" s="195" t="s">
        <v>11382</v>
      </c>
      <c r="H2049" s="166" t="s">
        <v>13436</v>
      </c>
      <c r="I2049" s="193" t="s">
        <v>12821</v>
      </c>
      <c r="J2049" s="193" t="s">
        <v>146</v>
      </c>
      <c r="K2049" s="170"/>
      <c r="L2049" s="193"/>
    </row>
    <row r="2050" spans="1:12" ht="15.75">
      <c r="A2050" s="67">
        <f t="shared" si="31"/>
        <v>2048</v>
      </c>
      <c r="B2050" s="164">
        <v>2048</v>
      </c>
      <c r="C2050" s="193" t="s">
        <v>3343</v>
      </c>
      <c r="D2050" s="195" t="s">
        <v>6611</v>
      </c>
      <c r="E2050" s="193" t="s">
        <v>456</v>
      </c>
      <c r="F2050" s="193" t="s">
        <v>114</v>
      </c>
      <c r="G2050" s="195" t="s">
        <v>11383</v>
      </c>
      <c r="H2050" s="166" t="s">
        <v>13436</v>
      </c>
      <c r="I2050" s="193" t="s">
        <v>12808</v>
      </c>
      <c r="J2050" s="193" t="s">
        <v>146</v>
      </c>
      <c r="K2050" s="170"/>
      <c r="L2050" s="193" t="s">
        <v>146</v>
      </c>
    </row>
    <row r="2051" spans="1:12" ht="75">
      <c r="A2051" s="67">
        <f t="shared" ref="A2051:A2114" si="32">IFERROR(VALUE(RIGHT(C2051,4)),"")</f>
        <v>2049</v>
      </c>
      <c r="B2051" s="164">
        <v>2049</v>
      </c>
      <c r="C2051" s="193" t="s">
        <v>3344</v>
      </c>
      <c r="D2051" s="195" t="s">
        <v>6612</v>
      </c>
      <c r="E2051" s="193" t="s">
        <v>9193</v>
      </c>
      <c r="F2051" s="193" t="s">
        <v>114</v>
      </c>
      <c r="G2051" s="195" t="s">
        <v>1056</v>
      </c>
      <c r="H2051" s="166" t="s">
        <v>13436</v>
      </c>
      <c r="I2051" s="193" t="s">
        <v>12819</v>
      </c>
      <c r="J2051" s="193" t="s">
        <v>146</v>
      </c>
      <c r="K2051" s="170"/>
      <c r="L2051" s="193" t="s">
        <v>13320</v>
      </c>
    </row>
    <row r="2052" spans="1:12" ht="30">
      <c r="A2052" s="67">
        <f t="shared" si="32"/>
        <v>2050</v>
      </c>
      <c r="B2052" s="164">
        <v>2050</v>
      </c>
      <c r="C2052" s="193" t="s">
        <v>3345</v>
      </c>
      <c r="D2052" s="195" t="s">
        <v>6613</v>
      </c>
      <c r="E2052" s="193" t="s">
        <v>625</v>
      </c>
      <c r="F2052" s="193" t="s">
        <v>114</v>
      </c>
      <c r="G2052" s="195" t="s">
        <v>916</v>
      </c>
      <c r="H2052" s="166" t="s">
        <v>13436</v>
      </c>
      <c r="I2052" s="193" t="s">
        <v>12808</v>
      </c>
      <c r="J2052" s="193" t="s">
        <v>146</v>
      </c>
      <c r="K2052" s="170"/>
      <c r="L2052" s="193" t="s">
        <v>13321</v>
      </c>
    </row>
    <row r="2053" spans="1:12" ht="15.75">
      <c r="A2053" s="67">
        <f t="shared" si="32"/>
        <v>2051</v>
      </c>
      <c r="B2053" s="164">
        <v>2051</v>
      </c>
      <c r="C2053" s="193" t="s">
        <v>3346</v>
      </c>
      <c r="D2053" s="195" t="s">
        <v>6614</v>
      </c>
      <c r="E2053" s="193" t="s">
        <v>7876</v>
      </c>
      <c r="F2053" s="193" t="s">
        <v>114</v>
      </c>
      <c r="G2053" s="195" t="s">
        <v>11384</v>
      </c>
      <c r="H2053" s="166" t="s">
        <v>13436</v>
      </c>
      <c r="I2053" s="193" t="s">
        <v>12821</v>
      </c>
      <c r="J2053" s="193" t="s">
        <v>146</v>
      </c>
      <c r="K2053" s="170"/>
      <c r="L2053" s="193" t="s">
        <v>146</v>
      </c>
    </row>
    <row r="2054" spans="1:12" ht="15.75">
      <c r="A2054" s="67">
        <f t="shared" si="32"/>
        <v>2052</v>
      </c>
      <c r="B2054" s="164">
        <v>2052</v>
      </c>
      <c r="C2054" s="193" t="s">
        <v>3347</v>
      </c>
      <c r="D2054" s="195" t="s">
        <v>6615</v>
      </c>
      <c r="E2054" s="193" t="s">
        <v>7876</v>
      </c>
      <c r="F2054" s="193" t="s">
        <v>114</v>
      </c>
      <c r="G2054" s="195" t="s">
        <v>11205</v>
      </c>
      <c r="H2054" s="166" t="s">
        <v>13436</v>
      </c>
      <c r="I2054" s="193" t="s">
        <v>12824</v>
      </c>
      <c r="J2054" s="193" t="s">
        <v>146</v>
      </c>
      <c r="K2054" s="170"/>
      <c r="L2054" s="193" t="s">
        <v>146</v>
      </c>
    </row>
    <row r="2055" spans="1:12" ht="15.75">
      <c r="A2055" s="67">
        <f t="shared" si="32"/>
        <v>2053</v>
      </c>
      <c r="B2055" s="164">
        <v>2053</v>
      </c>
      <c r="C2055" s="193" t="s">
        <v>3348</v>
      </c>
      <c r="D2055" s="195" t="s">
        <v>6616</v>
      </c>
      <c r="E2055" s="193" t="s">
        <v>9194</v>
      </c>
      <c r="F2055" s="193" t="s">
        <v>114</v>
      </c>
      <c r="G2055" s="195" t="s">
        <v>1042</v>
      </c>
      <c r="H2055" s="166" t="s">
        <v>13436</v>
      </c>
      <c r="I2055" s="193" t="s">
        <v>12824</v>
      </c>
      <c r="J2055" s="219" t="s">
        <v>146</v>
      </c>
      <c r="K2055" s="170"/>
      <c r="L2055" s="193" t="s">
        <v>146</v>
      </c>
    </row>
    <row r="2056" spans="1:12" ht="15.75">
      <c r="A2056" s="67">
        <f t="shared" si="32"/>
        <v>2054</v>
      </c>
      <c r="B2056" s="164">
        <v>2054</v>
      </c>
      <c r="C2056" s="193" t="s">
        <v>3349</v>
      </c>
      <c r="D2056" s="203" t="s">
        <v>6617</v>
      </c>
      <c r="E2056" s="193" t="s">
        <v>9195</v>
      </c>
      <c r="F2056" s="193" t="s">
        <v>114</v>
      </c>
      <c r="G2056" s="195" t="s">
        <v>274</v>
      </c>
      <c r="H2056" s="166" t="s">
        <v>13436</v>
      </c>
      <c r="I2056" s="193" t="s">
        <v>12827</v>
      </c>
      <c r="J2056" s="193" t="s">
        <v>146</v>
      </c>
      <c r="K2056" s="170"/>
      <c r="L2056" s="193" t="s">
        <v>146</v>
      </c>
    </row>
    <row r="2057" spans="1:12" ht="30">
      <c r="A2057" s="67">
        <f t="shared" si="32"/>
        <v>2055</v>
      </c>
      <c r="B2057" s="164">
        <v>2055</v>
      </c>
      <c r="C2057" s="193" t="s">
        <v>3350</v>
      </c>
      <c r="D2057" s="195" t="s">
        <v>6618</v>
      </c>
      <c r="E2057" s="193" t="s">
        <v>9196</v>
      </c>
      <c r="F2057" s="193" t="s">
        <v>114</v>
      </c>
      <c r="G2057" s="195" t="s">
        <v>970</v>
      </c>
      <c r="H2057" s="166" t="s">
        <v>13436</v>
      </c>
      <c r="I2057" s="193" t="s">
        <v>12827</v>
      </c>
      <c r="J2057" s="193" t="s">
        <v>12597</v>
      </c>
      <c r="K2057" s="170"/>
      <c r="L2057" s="193" t="s">
        <v>146</v>
      </c>
    </row>
    <row r="2058" spans="1:12" ht="15.75">
      <c r="A2058" s="67">
        <f t="shared" si="32"/>
        <v>2056</v>
      </c>
      <c r="B2058" s="164">
        <v>2056</v>
      </c>
      <c r="C2058" s="193" t="s">
        <v>3351</v>
      </c>
      <c r="D2058" s="195" t="s">
        <v>6619</v>
      </c>
      <c r="E2058" s="193" t="s">
        <v>9197</v>
      </c>
      <c r="F2058" s="193" t="s">
        <v>114</v>
      </c>
      <c r="G2058" s="195" t="s">
        <v>11313</v>
      </c>
      <c r="H2058" s="166" t="s">
        <v>13436</v>
      </c>
      <c r="I2058" s="193" t="s">
        <v>12825</v>
      </c>
      <c r="J2058" s="193" t="s">
        <v>146</v>
      </c>
      <c r="K2058" s="170"/>
      <c r="L2058" s="193" t="s">
        <v>146</v>
      </c>
    </row>
    <row r="2059" spans="1:12" ht="15.75">
      <c r="A2059" s="67">
        <f t="shared" si="32"/>
        <v>2057</v>
      </c>
      <c r="B2059" s="164">
        <v>2057</v>
      </c>
      <c r="C2059" s="193" t="s">
        <v>3352</v>
      </c>
      <c r="D2059" s="195" t="s">
        <v>6620</v>
      </c>
      <c r="E2059" s="193" t="s">
        <v>314</v>
      </c>
      <c r="F2059" s="193" t="s">
        <v>114</v>
      </c>
      <c r="G2059" s="195" t="s">
        <v>771</v>
      </c>
      <c r="H2059" s="166" t="s">
        <v>13436</v>
      </c>
      <c r="I2059" s="193" t="s">
        <v>12821</v>
      </c>
      <c r="J2059" s="193" t="s">
        <v>146</v>
      </c>
      <c r="K2059" s="170"/>
      <c r="L2059" s="193" t="s">
        <v>146</v>
      </c>
    </row>
    <row r="2060" spans="1:12" ht="15.75">
      <c r="A2060" s="67">
        <f t="shared" si="32"/>
        <v>2058</v>
      </c>
      <c r="B2060" s="164">
        <v>2058</v>
      </c>
      <c r="C2060" s="193" t="s">
        <v>3353</v>
      </c>
      <c r="D2060" s="195" t="s">
        <v>6621</v>
      </c>
      <c r="E2060" s="193" t="s">
        <v>9198</v>
      </c>
      <c r="F2060" s="193" t="s">
        <v>59</v>
      </c>
      <c r="G2060" s="195" t="s">
        <v>866</v>
      </c>
      <c r="H2060" s="166" t="s">
        <v>13436</v>
      </c>
      <c r="I2060" s="193" t="s">
        <v>12821</v>
      </c>
      <c r="J2060" s="219" t="s">
        <v>146</v>
      </c>
      <c r="K2060" s="170"/>
      <c r="L2060" s="193"/>
    </row>
    <row r="2061" spans="1:12" ht="15.75">
      <c r="A2061" s="67">
        <f t="shared" si="32"/>
        <v>2059</v>
      </c>
      <c r="B2061" s="164">
        <v>2059</v>
      </c>
      <c r="C2061" s="193" t="s">
        <v>3354</v>
      </c>
      <c r="D2061" s="195" t="s">
        <v>6622</v>
      </c>
      <c r="E2061" s="193" t="s">
        <v>342</v>
      </c>
      <c r="F2061" s="193" t="s">
        <v>114</v>
      </c>
      <c r="G2061" s="195" t="s">
        <v>11385</v>
      </c>
      <c r="H2061" s="166" t="s">
        <v>13436</v>
      </c>
      <c r="I2061" s="193" t="s">
        <v>12827</v>
      </c>
      <c r="J2061" s="193" t="s">
        <v>146</v>
      </c>
      <c r="K2061" s="170"/>
      <c r="L2061" s="193" t="s">
        <v>146</v>
      </c>
    </row>
    <row r="2062" spans="1:12" ht="30">
      <c r="A2062" s="67">
        <f t="shared" si="32"/>
        <v>2060</v>
      </c>
      <c r="B2062" s="164">
        <v>2060</v>
      </c>
      <c r="C2062" s="193" t="s">
        <v>3355</v>
      </c>
      <c r="D2062" s="195" t="s">
        <v>6623</v>
      </c>
      <c r="E2062" s="193" t="s">
        <v>9199</v>
      </c>
      <c r="F2062" s="193" t="s">
        <v>114</v>
      </c>
      <c r="G2062" s="195" t="s">
        <v>11386</v>
      </c>
      <c r="H2062" s="166" t="s">
        <v>13436</v>
      </c>
      <c r="I2062" s="193" t="s">
        <v>12821</v>
      </c>
      <c r="J2062" s="193" t="s">
        <v>12598</v>
      </c>
      <c r="K2062" s="170"/>
      <c r="L2062" s="193" t="s">
        <v>146</v>
      </c>
    </row>
    <row r="2063" spans="1:12" ht="30">
      <c r="A2063" s="67">
        <f t="shared" si="32"/>
        <v>2061</v>
      </c>
      <c r="B2063" s="164">
        <v>2061</v>
      </c>
      <c r="C2063" s="193" t="s">
        <v>3356</v>
      </c>
      <c r="D2063" s="197" t="s">
        <v>6624</v>
      </c>
      <c r="E2063" s="193" t="s">
        <v>9200</v>
      </c>
      <c r="F2063" s="193" t="s">
        <v>59</v>
      </c>
      <c r="G2063" s="195" t="s">
        <v>11297</v>
      </c>
      <c r="H2063" s="166" t="s">
        <v>13436</v>
      </c>
      <c r="I2063" s="193" t="s">
        <v>12816</v>
      </c>
      <c r="J2063" s="219" t="s">
        <v>12599</v>
      </c>
      <c r="K2063" s="170"/>
      <c r="L2063" s="193"/>
    </row>
    <row r="2064" spans="1:12" ht="75">
      <c r="A2064" s="67">
        <f t="shared" si="32"/>
        <v>2062</v>
      </c>
      <c r="B2064" s="164">
        <v>2062</v>
      </c>
      <c r="C2064" s="193" t="s">
        <v>3357</v>
      </c>
      <c r="D2064" s="195" t="s">
        <v>6625</v>
      </c>
      <c r="E2064" s="193" t="s">
        <v>9201</v>
      </c>
      <c r="F2064" s="193" t="s">
        <v>114</v>
      </c>
      <c r="G2064" s="195" t="s">
        <v>11079</v>
      </c>
      <c r="H2064" s="166" t="s">
        <v>13436</v>
      </c>
      <c r="I2064" s="193" t="s">
        <v>12822</v>
      </c>
      <c r="J2064" s="193" t="s">
        <v>146</v>
      </c>
      <c r="K2064" s="170"/>
      <c r="L2064" s="193" t="s">
        <v>13322</v>
      </c>
    </row>
    <row r="2065" spans="1:12" ht="30">
      <c r="A2065" s="67">
        <f t="shared" si="32"/>
        <v>2063</v>
      </c>
      <c r="B2065" s="164">
        <v>2063</v>
      </c>
      <c r="C2065" s="193" t="s">
        <v>3358</v>
      </c>
      <c r="D2065" s="208" t="s">
        <v>6626</v>
      </c>
      <c r="E2065" s="193" t="s">
        <v>9202</v>
      </c>
      <c r="F2065" s="193" t="s">
        <v>114</v>
      </c>
      <c r="G2065" s="195" t="s">
        <v>966</v>
      </c>
      <c r="H2065" s="166" t="s">
        <v>13436</v>
      </c>
      <c r="I2065" s="193" t="s">
        <v>12816</v>
      </c>
      <c r="J2065" s="193" t="s">
        <v>12600</v>
      </c>
      <c r="K2065" s="170"/>
      <c r="L2065" s="193" t="s">
        <v>146</v>
      </c>
    </row>
    <row r="2066" spans="1:12" ht="15.75">
      <c r="A2066" s="67">
        <f t="shared" si="32"/>
        <v>2064</v>
      </c>
      <c r="B2066" s="164">
        <v>2064</v>
      </c>
      <c r="C2066" s="193" t="s">
        <v>3359</v>
      </c>
      <c r="D2066" s="205" t="s">
        <v>6627</v>
      </c>
      <c r="E2066" s="193" t="s">
        <v>9203</v>
      </c>
      <c r="F2066" s="193" t="s">
        <v>59</v>
      </c>
      <c r="G2066" s="195" t="s">
        <v>994</v>
      </c>
      <c r="H2066" s="166" t="s">
        <v>13436</v>
      </c>
      <c r="I2066" s="193" t="s">
        <v>12816</v>
      </c>
      <c r="J2066" s="193" t="s">
        <v>146</v>
      </c>
      <c r="K2066" s="170"/>
      <c r="L2066" s="193"/>
    </row>
    <row r="2067" spans="1:12" ht="15.75">
      <c r="A2067" s="67">
        <f t="shared" si="32"/>
        <v>2065</v>
      </c>
      <c r="B2067" s="164">
        <v>2065</v>
      </c>
      <c r="C2067" s="193" t="s">
        <v>3360</v>
      </c>
      <c r="D2067" s="197" t="s">
        <v>6628</v>
      </c>
      <c r="E2067" s="193" t="s">
        <v>9204</v>
      </c>
      <c r="F2067" s="193" t="s">
        <v>114</v>
      </c>
      <c r="G2067" s="195" t="s">
        <v>11387</v>
      </c>
      <c r="H2067" s="166" t="s">
        <v>13436</v>
      </c>
      <c r="I2067" s="193" t="s">
        <v>12816</v>
      </c>
      <c r="J2067" s="193" t="s">
        <v>146</v>
      </c>
      <c r="K2067" s="170"/>
      <c r="L2067" s="193" t="s">
        <v>146</v>
      </c>
    </row>
    <row r="2068" spans="1:12" ht="30">
      <c r="A2068" s="67">
        <f t="shared" si="32"/>
        <v>2066</v>
      </c>
      <c r="B2068" s="164">
        <v>2066</v>
      </c>
      <c r="C2068" s="193" t="s">
        <v>3361</v>
      </c>
      <c r="D2068" s="195" t="s">
        <v>6629</v>
      </c>
      <c r="E2068" s="193" t="s">
        <v>9205</v>
      </c>
      <c r="F2068" s="193" t="s">
        <v>114</v>
      </c>
      <c r="G2068" s="195" t="s">
        <v>11388</v>
      </c>
      <c r="H2068" s="166" t="s">
        <v>13436</v>
      </c>
      <c r="I2068" s="193" t="s">
        <v>1250</v>
      </c>
      <c r="J2068" s="219" t="s">
        <v>12601</v>
      </c>
      <c r="K2068" s="170"/>
      <c r="L2068" s="219" t="s">
        <v>146</v>
      </c>
    </row>
    <row r="2069" spans="1:12" ht="15.75">
      <c r="A2069" s="67">
        <f t="shared" si="32"/>
        <v>2067</v>
      </c>
      <c r="B2069" s="164">
        <v>2067</v>
      </c>
      <c r="C2069" s="193" t="s">
        <v>3362</v>
      </c>
      <c r="D2069" s="195" t="s">
        <v>6630</v>
      </c>
      <c r="E2069" s="193" t="s">
        <v>487</v>
      </c>
      <c r="F2069" s="193" t="s">
        <v>114</v>
      </c>
      <c r="G2069" s="195" t="s">
        <v>190</v>
      </c>
      <c r="H2069" s="166" t="s">
        <v>13436</v>
      </c>
      <c r="I2069" s="193" t="s">
        <v>12815</v>
      </c>
      <c r="J2069" s="193" t="s">
        <v>146</v>
      </c>
      <c r="K2069" s="170"/>
      <c r="L2069" s="193" t="s">
        <v>146</v>
      </c>
    </row>
    <row r="2070" spans="1:12" ht="15.75">
      <c r="A2070" s="67">
        <f t="shared" si="32"/>
        <v>2068</v>
      </c>
      <c r="B2070" s="164">
        <v>2068</v>
      </c>
      <c r="C2070" s="193" t="s">
        <v>3363</v>
      </c>
      <c r="D2070" s="199" t="s">
        <v>6631</v>
      </c>
      <c r="E2070" s="193" t="s">
        <v>9206</v>
      </c>
      <c r="F2070" s="193" t="s">
        <v>59</v>
      </c>
      <c r="G2070" s="195" t="s">
        <v>889</v>
      </c>
      <c r="H2070" s="166" t="s">
        <v>13436</v>
      </c>
      <c r="I2070" s="193" t="s">
        <v>12839</v>
      </c>
      <c r="J2070" s="193" t="s">
        <v>146</v>
      </c>
      <c r="K2070" s="170"/>
      <c r="L2070" s="193"/>
    </row>
    <row r="2071" spans="1:12" ht="15.75">
      <c r="A2071" s="67">
        <f t="shared" si="32"/>
        <v>2069</v>
      </c>
      <c r="B2071" s="164">
        <v>2069</v>
      </c>
      <c r="C2071" s="193" t="s">
        <v>3364</v>
      </c>
      <c r="D2071" s="196" t="s">
        <v>6632</v>
      </c>
      <c r="E2071" s="193" t="s">
        <v>9207</v>
      </c>
      <c r="F2071" s="193" t="s">
        <v>59</v>
      </c>
      <c r="G2071" s="195" t="s">
        <v>11389</v>
      </c>
      <c r="H2071" s="166" t="s">
        <v>13436</v>
      </c>
      <c r="I2071" s="193" t="s">
        <v>12809</v>
      </c>
      <c r="J2071" s="193"/>
      <c r="K2071" s="170"/>
      <c r="L2071" s="193"/>
    </row>
    <row r="2072" spans="1:12" ht="15.75">
      <c r="A2072" s="67">
        <f t="shared" si="32"/>
        <v>2070</v>
      </c>
      <c r="B2072" s="164">
        <v>2070</v>
      </c>
      <c r="C2072" s="193" t="s">
        <v>3365</v>
      </c>
      <c r="D2072" s="196" t="s">
        <v>6633</v>
      </c>
      <c r="E2072" s="193" t="s">
        <v>9208</v>
      </c>
      <c r="F2072" s="193" t="s">
        <v>59</v>
      </c>
      <c r="G2072" s="195" t="s">
        <v>992</v>
      </c>
      <c r="H2072" s="166" t="s">
        <v>13436</v>
      </c>
      <c r="I2072" s="193" t="s">
        <v>12809</v>
      </c>
      <c r="J2072" s="193" t="s">
        <v>146</v>
      </c>
      <c r="K2072" s="170"/>
      <c r="L2072" s="193"/>
    </row>
    <row r="2073" spans="1:12" ht="15.75">
      <c r="A2073" s="67">
        <f t="shared" si="32"/>
        <v>2071</v>
      </c>
      <c r="B2073" s="164">
        <v>2071</v>
      </c>
      <c r="C2073" s="193" t="s">
        <v>3366</v>
      </c>
      <c r="D2073" s="199" t="s">
        <v>6634</v>
      </c>
      <c r="E2073" s="193" t="s">
        <v>9209</v>
      </c>
      <c r="F2073" s="193" t="s">
        <v>114</v>
      </c>
      <c r="G2073" s="195" t="s">
        <v>1064</v>
      </c>
      <c r="H2073" s="166" t="s">
        <v>13436</v>
      </c>
      <c r="I2073" s="193" t="s">
        <v>12828</v>
      </c>
      <c r="J2073" s="193" t="s">
        <v>146</v>
      </c>
      <c r="K2073" s="170"/>
      <c r="L2073" s="193" t="s">
        <v>146</v>
      </c>
    </row>
    <row r="2074" spans="1:12" ht="15.75">
      <c r="A2074" s="67">
        <f t="shared" si="32"/>
        <v>2072</v>
      </c>
      <c r="B2074" s="164">
        <v>2072</v>
      </c>
      <c r="C2074" s="193" t="s">
        <v>3367</v>
      </c>
      <c r="D2074" s="199" t="s">
        <v>6635</v>
      </c>
      <c r="E2074" s="193" t="s">
        <v>9210</v>
      </c>
      <c r="F2074" s="193" t="s">
        <v>59</v>
      </c>
      <c r="G2074" s="195" t="s">
        <v>11390</v>
      </c>
      <c r="H2074" s="166" t="s">
        <v>13436</v>
      </c>
      <c r="I2074" s="193" t="s">
        <v>12828</v>
      </c>
      <c r="J2074" s="193" t="s">
        <v>146</v>
      </c>
      <c r="K2074" s="170"/>
      <c r="L2074" s="193"/>
    </row>
    <row r="2075" spans="1:12" ht="15.75">
      <c r="A2075" s="67">
        <f t="shared" si="32"/>
        <v>2073</v>
      </c>
      <c r="B2075" s="164">
        <v>2073</v>
      </c>
      <c r="C2075" s="193" t="s">
        <v>3368</v>
      </c>
      <c r="D2075" s="196" t="s">
        <v>6636</v>
      </c>
      <c r="E2075" s="193" t="s">
        <v>9211</v>
      </c>
      <c r="F2075" s="193" t="s">
        <v>114</v>
      </c>
      <c r="G2075" s="195" t="s">
        <v>11391</v>
      </c>
      <c r="H2075" s="166" t="s">
        <v>13436</v>
      </c>
      <c r="I2075" s="193" t="s">
        <v>12830</v>
      </c>
      <c r="J2075" s="193" t="s">
        <v>146</v>
      </c>
      <c r="K2075" s="170"/>
      <c r="L2075" s="193" t="s">
        <v>146</v>
      </c>
    </row>
    <row r="2076" spans="1:12" ht="30">
      <c r="A2076" s="67">
        <f t="shared" si="32"/>
        <v>2074</v>
      </c>
      <c r="B2076" s="164">
        <v>2074</v>
      </c>
      <c r="C2076" s="193" t="s">
        <v>3369</v>
      </c>
      <c r="D2076" s="195" t="s">
        <v>6637</v>
      </c>
      <c r="E2076" s="193" t="s">
        <v>9212</v>
      </c>
      <c r="F2076" s="193" t="s">
        <v>114</v>
      </c>
      <c r="G2076" s="195" t="s">
        <v>11392</v>
      </c>
      <c r="H2076" s="166" t="s">
        <v>13436</v>
      </c>
      <c r="I2076" s="193" t="s">
        <v>12810</v>
      </c>
      <c r="J2076" s="193" t="s">
        <v>146</v>
      </c>
      <c r="K2076" s="170"/>
      <c r="L2076" s="193" t="s">
        <v>13323</v>
      </c>
    </row>
    <row r="2077" spans="1:12" ht="15.75">
      <c r="A2077" s="67">
        <f t="shared" si="32"/>
        <v>2075</v>
      </c>
      <c r="B2077" s="164">
        <v>2075</v>
      </c>
      <c r="C2077" s="193" t="s">
        <v>3370</v>
      </c>
      <c r="D2077" s="199" t="s">
        <v>6638</v>
      </c>
      <c r="E2077" s="193" t="s">
        <v>9213</v>
      </c>
      <c r="F2077" s="193" t="s">
        <v>114</v>
      </c>
      <c r="G2077" s="195" t="s">
        <v>11393</v>
      </c>
      <c r="H2077" s="166" t="s">
        <v>13436</v>
      </c>
      <c r="I2077" s="193" t="s">
        <v>12828</v>
      </c>
      <c r="J2077" s="193" t="s">
        <v>147</v>
      </c>
      <c r="K2077" s="170"/>
      <c r="L2077" s="193" t="s">
        <v>146</v>
      </c>
    </row>
    <row r="2078" spans="1:12" ht="15.75">
      <c r="A2078" s="67">
        <f t="shared" si="32"/>
        <v>2076</v>
      </c>
      <c r="B2078" s="164">
        <v>2076</v>
      </c>
      <c r="C2078" s="193" t="s">
        <v>3371</v>
      </c>
      <c r="D2078" s="195" t="s">
        <v>6639</v>
      </c>
      <c r="E2078" s="193" t="s">
        <v>9214</v>
      </c>
      <c r="F2078" s="193" t="s">
        <v>59</v>
      </c>
      <c r="G2078" s="195" t="s">
        <v>959</v>
      </c>
      <c r="H2078" s="166" t="s">
        <v>13436</v>
      </c>
      <c r="I2078" s="193" t="s">
        <v>12832</v>
      </c>
      <c r="J2078" s="193" t="s">
        <v>146</v>
      </c>
      <c r="K2078" s="170"/>
      <c r="L2078" s="193"/>
    </row>
    <row r="2079" spans="1:12" ht="45">
      <c r="A2079" s="67">
        <f t="shared" si="32"/>
        <v>2077</v>
      </c>
      <c r="B2079" s="164">
        <v>2077</v>
      </c>
      <c r="C2079" s="193" t="s">
        <v>3372</v>
      </c>
      <c r="D2079" s="196" t="s">
        <v>6640</v>
      </c>
      <c r="E2079" s="193" t="s">
        <v>9215</v>
      </c>
      <c r="F2079" s="193" t="s">
        <v>59</v>
      </c>
      <c r="G2079" s="195" t="s">
        <v>802</v>
      </c>
      <c r="H2079" s="166" t="s">
        <v>13436</v>
      </c>
      <c r="I2079" s="193" t="s">
        <v>12839</v>
      </c>
      <c r="J2079" s="193" t="s">
        <v>12602</v>
      </c>
      <c r="K2079" s="170"/>
      <c r="L2079" s="193"/>
    </row>
    <row r="2080" spans="1:12" ht="45">
      <c r="A2080" s="67">
        <f t="shared" si="32"/>
        <v>2078</v>
      </c>
      <c r="B2080" s="164">
        <v>2078</v>
      </c>
      <c r="C2080" s="193" t="s">
        <v>3373</v>
      </c>
      <c r="D2080" s="199" t="s">
        <v>6641</v>
      </c>
      <c r="E2080" s="193" t="s">
        <v>9216</v>
      </c>
      <c r="F2080" s="193" t="s">
        <v>59</v>
      </c>
      <c r="G2080" s="195" t="s">
        <v>11394</v>
      </c>
      <c r="H2080" s="166" t="s">
        <v>13436</v>
      </c>
      <c r="I2080" s="193" t="s">
        <v>12828</v>
      </c>
      <c r="J2080" s="193" t="s">
        <v>12603</v>
      </c>
      <c r="K2080" s="170"/>
      <c r="L2080" s="193"/>
    </row>
    <row r="2081" spans="1:12" ht="15.75">
      <c r="A2081" s="67">
        <f t="shared" si="32"/>
        <v>2079</v>
      </c>
      <c r="B2081" s="164">
        <v>2079</v>
      </c>
      <c r="C2081" s="193" t="s">
        <v>3374</v>
      </c>
      <c r="D2081" s="195" t="s">
        <v>6642</v>
      </c>
      <c r="E2081" s="193" t="s">
        <v>558</v>
      </c>
      <c r="F2081" s="193" t="s">
        <v>114</v>
      </c>
      <c r="G2081" s="195" t="s">
        <v>11395</v>
      </c>
      <c r="H2081" s="166" t="s">
        <v>13436</v>
      </c>
      <c r="I2081" s="193" t="s">
        <v>12837</v>
      </c>
      <c r="J2081" s="193" t="s">
        <v>146</v>
      </c>
      <c r="K2081" s="170"/>
      <c r="L2081" s="193" t="s">
        <v>146</v>
      </c>
    </row>
    <row r="2082" spans="1:12" ht="30">
      <c r="A2082" s="67">
        <f t="shared" si="32"/>
        <v>2080</v>
      </c>
      <c r="B2082" s="164">
        <v>2080</v>
      </c>
      <c r="C2082" s="193" t="s">
        <v>3375</v>
      </c>
      <c r="D2082" s="195" t="s">
        <v>6643</v>
      </c>
      <c r="E2082" s="193" t="s">
        <v>9217</v>
      </c>
      <c r="F2082" s="193" t="s">
        <v>114</v>
      </c>
      <c r="G2082" s="195" t="s">
        <v>11396</v>
      </c>
      <c r="H2082" s="166" t="s">
        <v>13436</v>
      </c>
      <c r="I2082" s="193" t="s">
        <v>12835</v>
      </c>
      <c r="J2082" s="193" t="s">
        <v>12604</v>
      </c>
      <c r="K2082" s="170"/>
      <c r="L2082" s="193" t="s">
        <v>146</v>
      </c>
    </row>
    <row r="2083" spans="1:12" ht="30">
      <c r="A2083" s="67">
        <f t="shared" si="32"/>
        <v>2081</v>
      </c>
      <c r="B2083" s="164">
        <v>2081</v>
      </c>
      <c r="C2083" s="193" t="s">
        <v>3376</v>
      </c>
      <c r="D2083" s="195" t="s">
        <v>6644</v>
      </c>
      <c r="E2083" s="193" t="s">
        <v>9218</v>
      </c>
      <c r="F2083" s="193" t="s">
        <v>114</v>
      </c>
      <c r="G2083" s="195" t="s">
        <v>1192</v>
      </c>
      <c r="H2083" s="166" t="s">
        <v>13436</v>
      </c>
      <c r="I2083" s="193" t="s">
        <v>12819</v>
      </c>
      <c r="J2083" s="193" t="s">
        <v>147</v>
      </c>
      <c r="K2083" s="170"/>
      <c r="L2083" s="193" t="s">
        <v>13324</v>
      </c>
    </row>
    <row r="2084" spans="1:12" ht="30">
      <c r="A2084" s="67">
        <f t="shared" si="32"/>
        <v>2082</v>
      </c>
      <c r="B2084" s="164">
        <v>2082</v>
      </c>
      <c r="C2084" s="193" t="s">
        <v>3377</v>
      </c>
      <c r="D2084" s="195" t="s">
        <v>6645</v>
      </c>
      <c r="E2084" s="193" t="s">
        <v>9219</v>
      </c>
      <c r="F2084" s="193" t="s">
        <v>114</v>
      </c>
      <c r="G2084" s="195" t="s">
        <v>11397</v>
      </c>
      <c r="H2084" s="166" t="s">
        <v>13436</v>
      </c>
      <c r="I2084" s="193" t="s">
        <v>12814</v>
      </c>
      <c r="J2084" s="193" t="s">
        <v>12605</v>
      </c>
      <c r="K2084" s="170"/>
      <c r="L2084" s="193" t="s">
        <v>146</v>
      </c>
    </row>
    <row r="2085" spans="1:12" ht="30">
      <c r="A2085" s="67">
        <f t="shared" si="32"/>
        <v>2083</v>
      </c>
      <c r="B2085" s="164">
        <v>2083</v>
      </c>
      <c r="C2085" s="193" t="s">
        <v>3378</v>
      </c>
      <c r="D2085" s="195" t="s">
        <v>6646</v>
      </c>
      <c r="E2085" s="193" t="s">
        <v>9220</v>
      </c>
      <c r="F2085" s="193" t="s">
        <v>114</v>
      </c>
      <c r="G2085" s="195" t="s">
        <v>11398</v>
      </c>
      <c r="H2085" s="166" t="s">
        <v>13436</v>
      </c>
      <c r="I2085" s="193" t="s">
        <v>12814</v>
      </c>
      <c r="J2085" s="193" t="s">
        <v>12606</v>
      </c>
      <c r="K2085" s="170"/>
      <c r="L2085" s="193" t="s">
        <v>146</v>
      </c>
    </row>
    <row r="2086" spans="1:12" ht="30">
      <c r="A2086" s="67">
        <f t="shared" si="32"/>
        <v>2084</v>
      </c>
      <c r="B2086" s="164">
        <v>2084</v>
      </c>
      <c r="C2086" s="193" t="s">
        <v>3379</v>
      </c>
      <c r="D2086" s="195" t="s">
        <v>6647</v>
      </c>
      <c r="E2086" s="193" t="s">
        <v>299</v>
      </c>
      <c r="F2086" s="193" t="s">
        <v>114</v>
      </c>
      <c r="G2086" s="195" t="s">
        <v>1056</v>
      </c>
      <c r="H2086" s="166" t="s">
        <v>13436</v>
      </c>
      <c r="I2086" s="193" t="s">
        <v>12819</v>
      </c>
      <c r="J2086" s="193" t="s">
        <v>12607</v>
      </c>
      <c r="K2086" s="170"/>
      <c r="L2086" s="193" t="s">
        <v>146</v>
      </c>
    </row>
    <row r="2087" spans="1:12" ht="30">
      <c r="A2087" s="67">
        <f t="shared" si="32"/>
        <v>2085</v>
      </c>
      <c r="B2087" s="164">
        <v>2085</v>
      </c>
      <c r="C2087" s="193" t="s">
        <v>3380</v>
      </c>
      <c r="D2087" s="195" t="s">
        <v>6648</v>
      </c>
      <c r="E2087" s="193" t="s">
        <v>640</v>
      </c>
      <c r="F2087" s="193" t="s">
        <v>114</v>
      </c>
      <c r="G2087" s="195" t="s">
        <v>908</v>
      </c>
      <c r="H2087" s="166" t="s">
        <v>13436</v>
      </c>
      <c r="I2087" s="193" t="s">
        <v>12819</v>
      </c>
      <c r="J2087" s="193" t="s">
        <v>146</v>
      </c>
      <c r="K2087" s="170"/>
      <c r="L2087" s="193" t="s">
        <v>13325</v>
      </c>
    </row>
    <row r="2088" spans="1:12" ht="30">
      <c r="A2088" s="67">
        <f t="shared" si="32"/>
        <v>2086</v>
      </c>
      <c r="B2088" s="164">
        <v>2086</v>
      </c>
      <c r="C2088" s="193" t="s">
        <v>3381</v>
      </c>
      <c r="D2088" s="205" t="s">
        <v>6649</v>
      </c>
      <c r="E2088" s="193" t="s">
        <v>9221</v>
      </c>
      <c r="F2088" s="193" t="s">
        <v>114</v>
      </c>
      <c r="G2088" s="195" t="s">
        <v>1135</v>
      </c>
      <c r="H2088" s="166" t="s">
        <v>13436</v>
      </c>
      <c r="I2088" s="193" t="s">
        <v>12816</v>
      </c>
      <c r="J2088" s="193" t="s">
        <v>12608</v>
      </c>
      <c r="K2088" s="170"/>
      <c r="L2088" s="193" t="s">
        <v>146</v>
      </c>
    </row>
    <row r="2089" spans="1:12" ht="15.75">
      <c r="A2089" s="67">
        <f t="shared" si="32"/>
        <v>2087</v>
      </c>
      <c r="B2089" s="164">
        <v>2087</v>
      </c>
      <c r="C2089" s="193" t="s">
        <v>3382</v>
      </c>
      <c r="D2089" s="195" t="s">
        <v>6650</v>
      </c>
      <c r="E2089" s="193" t="s">
        <v>9222</v>
      </c>
      <c r="F2089" s="193" t="s">
        <v>114</v>
      </c>
      <c r="G2089" s="195" t="s">
        <v>11399</v>
      </c>
      <c r="H2089" s="166" t="s">
        <v>13436</v>
      </c>
      <c r="I2089" s="193" t="s">
        <v>12819</v>
      </c>
      <c r="J2089" s="193" t="s">
        <v>146</v>
      </c>
      <c r="K2089" s="170"/>
      <c r="L2089" s="193" t="s">
        <v>146</v>
      </c>
    </row>
    <row r="2090" spans="1:12" ht="30">
      <c r="A2090" s="67">
        <f t="shared" si="32"/>
        <v>2088</v>
      </c>
      <c r="B2090" s="164">
        <v>2088</v>
      </c>
      <c r="C2090" s="193" t="s">
        <v>3383</v>
      </c>
      <c r="D2090" s="195" t="s">
        <v>6651</v>
      </c>
      <c r="E2090" s="193" t="s">
        <v>457</v>
      </c>
      <c r="F2090" s="193" t="s">
        <v>114</v>
      </c>
      <c r="G2090" s="195" t="s">
        <v>912</v>
      </c>
      <c r="H2090" s="166" t="s">
        <v>13436</v>
      </c>
      <c r="I2090" s="193" t="s">
        <v>12824</v>
      </c>
      <c r="J2090" s="193" t="s">
        <v>12609</v>
      </c>
      <c r="K2090" s="170"/>
      <c r="L2090" s="193" t="s">
        <v>13326</v>
      </c>
    </row>
    <row r="2091" spans="1:12" ht="30">
      <c r="A2091" s="67">
        <f t="shared" si="32"/>
        <v>2089</v>
      </c>
      <c r="B2091" s="164">
        <v>2089</v>
      </c>
      <c r="C2091" s="193" t="s">
        <v>3384</v>
      </c>
      <c r="D2091" s="195" t="s">
        <v>6652</v>
      </c>
      <c r="E2091" s="193" t="s">
        <v>9223</v>
      </c>
      <c r="F2091" s="193" t="s">
        <v>114</v>
      </c>
      <c r="G2091" s="195" t="s">
        <v>11400</v>
      </c>
      <c r="H2091" s="166" t="s">
        <v>13436</v>
      </c>
      <c r="I2091" s="193" t="s">
        <v>12819</v>
      </c>
      <c r="J2091" s="193" t="s">
        <v>12610</v>
      </c>
      <c r="K2091" s="170"/>
      <c r="L2091" s="193" t="s">
        <v>146</v>
      </c>
    </row>
    <row r="2092" spans="1:12" ht="15.75">
      <c r="A2092" s="67">
        <f t="shared" si="32"/>
        <v>2090</v>
      </c>
      <c r="B2092" s="164">
        <v>2090</v>
      </c>
      <c r="C2092" s="193" t="s">
        <v>3385</v>
      </c>
      <c r="D2092" s="195" t="s">
        <v>6653</v>
      </c>
      <c r="E2092" s="193" t="s">
        <v>9224</v>
      </c>
      <c r="F2092" s="193" t="s">
        <v>59</v>
      </c>
      <c r="G2092" s="195" t="s">
        <v>11401</v>
      </c>
      <c r="H2092" s="166" t="s">
        <v>13436</v>
      </c>
      <c r="I2092" s="193" t="s">
        <v>12818</v>
      </c>
      <c r="J2092" s="193" t="s">
        <v>146</v>
      </c>
      <c r="K2092" s="170"/>
      <c r="L2092" s="193"/>
    </row>
    <row r="2093" spans="1:12" ht="30">
      <c r="A2093" s="67">
        <f t="shared" si="32"/>
        <v>2091</v>
      </c>
      <c r="B2093" s="164">
        <v>2091</v>
      </c>
      <c r="C2093" s="193" t="s">
        <v>3386</v>
      </c>
      <c r="D2093" s="197" t="s">
        <v>6654</v>
      </c>
      <c r="E2093" s="193" t="s">
        <v>447</v>
      </c>
      <c r="F2093" s="193" t="s">
        <v>114</v>
      </c>
      <c r="G2093" s="195" t="s">
        <v>11402</v>
      </c>
      <c r="H2093" s="166" t="s">
        <v>13436</v>
      </c>
      <c r="I2093" s="193" t="s">
        <v>12816</v>
      </c>
      <c r="J2093" s="193" t="s">
        <v>12611</v>
      </c>
      <c r="K2093" s="170"/>
      <c r="L2093" s="193" t="s">
        <v>146</v>
      </c>
    </row>
    <row r="2094" spans="1:12" ht="15.75">
      <c r="A2094" s="67">
        <f t="shared" si="32"/>
        <v>2092</v>
      </c>
      <c r="B2094" s="164">
        <v>2092</v>
      </c>
      <c r="C2094" s="193" t="s">
        <v>3387</v>
      </c>
      <c r="D2094" s="195" t="s">
        <v>6655</v>
      </c>
      <c r="E2094" s="193" t="s">
        <v>9225</v>
      </c>
      <c r="F2094" s="193" t="s">
        <v>114</v>
      </c>
      <c r="G2094" s="195" t="s">
        <v>11403</v>
      </c>
      <c r="H2094" s="166" t="s">
        <v>13436</v>
      </c>
      <c r="I2094" s="193" t="s">
        <v>12819</v>
      </c>
      <c r="J2094" s="193" t="s">
        <v>146</v>
      </c>
      <c r="K2094" s="170"/>
      <c r="L2094" s="193" t="s">
        <v>146</v>
      </c>
    </row>
    <row r="2095" spans="1:12" ht="15.75">
      <c r="A2095" s="67">
        <f t="shared" si="32"/>
        <v>2093</v>
      </c>
      <c r="B2095" s="164">
        <v>2093</v>
      </c>
      <c r="C2095" s="193" t="s">
        <v>3388</v>
      </c>
      <c r="D2095" s="195" t="s">
        <v>6656</v>
      </c>
      <c r="E2095" s="193" t="s">
        <v>9226</v>
      </c>
      <c r="F2095" s="193" t="s">
        <v>114</v>
      </c>
      <c r="G2095" s="195" t="s">
        <v>1061</v>
      </c>
      <c r="H2095" s="166" t="s">
        <v>13436</v>
      </c>
      <c r="I2095" s="193" t="s">
        <v>12819</v>
      </c>
      <c r="J2095" s="193" t="s">
        <v>146</v>
      </c>
      <c r="K2095" s="170"/>
      <c r="L2095" s="193" t="s">
        <v>146</v>
      </c>
    </row>
    <row r="2096" spans="1:12" ht="30">
      <c r="A2096" s="67">
        <f t="shared" si="32"/>
        <v>2094</v>
      </c>
      <c r="B2096" s="164">
        <v>2094</v>
      </c>
      <c r="C2096" s="193" t="s">
        <v>3389</v>
      </c>
      <c r="D2096" s="195" t="s">
        <v>6657</v>
      </c>
      <c r="E2096" s="193" t="s">
        <v>7871</v>
      </c>
      <c r="F2096" s="193" t="s">
        <v>114</v>
      </c>
      <c r="G2096" s="195" t="s">
        <v>11404</v>
      </c>
      <c r="H2096" s="166" t="s">
        <v>13436</v>
      </c>
      <c r="I2096" s="193" t="s">
        <v>12819</v>
      </c>
      <c r="J2096" s="219" t="s">
        <v>12612</v>
      </c>
      <c r="K2096" s="170"/>
      <c r="L2096" s="219" t="s">
        <v>146</v>
      </c>
    </row>
    <row r="2097" spans="1:12" ht="15.75">
      <c r="A2097" s="67">
        <f t="shared" si="32"/>
        <v>2095</v>
      </c>
      <c r="B2097" s="164">
        <v>2095</v>
      </c>
      <c r="C2097" s="193" t="s">
        <v>3390</v>
      </c>
      <c r="D2097" s="195" t="s">
        <v>6658</v>
      </c>
      <c r="E2097" s="193" t="s">
        <v>9227</v>
      </c>
      <c r="F2097" s="193" t="s">
        <v>114</v>
      </c>
      <c r="G2097" s="195" t="s">
        <v>904</v>
      </c>
      <c r="H2097" s="166" t="s">
        <v>13436</v>
      </c>
      <c r="I2097" s="193" t="s">
        <v>12814</v>
      </c>
      <c r="J2097" s="193" t="s">
        <v>146</v>
      </c>
      <c r="K2097" s="170"/>
      <c r="L2097" s="193" t="s">
        <v>146</v>
      </c>
    </row>
    <row r="2098" spans="1:12" ht="15.75">
      <c r="A2098" s="67">
        <f t="shared" si="32"/>
        <v>2096</v>
      </c>
      <c r="B2098" s="164">
        <v>2096</v>
      </c>
      <c r="C2098" s="193" t="s">
        <v>3391</v>
      </c>
      <c r="D2098" s="195" t="s">
        <v>6659</v>
      </c>
      <c r="E2098" s="193" t="s">
        <v>9228</v>
      </c>
      <c r="F2098" s="193" t="s">
        <v>114</v>
      </c>
      <c r="G2098" s="195" t="s">
        <v>1031</v>
      </c>
      <c r="H2098" s="166" t="s">
        <v>13436</v>
      </c>
      <c r="I2098" s="193" t="s">
        <v>12819</v>
      </c>
      <c r="J2098" s="193" t="s">
        <v>146</v>
      </c>
      <c r="K2098" s="170"/>
      <c r="L2098" s="193" t="s">
        <v>146</v>
      </c>
    </row>
    <row r="2099" spans="1:12" ht="15.75">
      <c r="A2099" s="67">
        <f t="shared" si="32"/>
        <v>2097</v>
      </c>
      <c r="B2099" s="164">
        <v>2097</v>
      </c>
      <c r="C2099" s="193" t="s">
        <v>3392</v>
      </c>
      <c r="D2099" s="197" t="s">
        <v>6660</v>
      </c>
      <c r="E2099" s="193" t="s">
        <v>9229</v>
      </c>
      <c r="F2099" s="193" t="s">
        <v>114</v>
      </c>
      <c r="G2099" s="195" t="s">
        <v>11405</v>
      </c>
      <c r="H2099" s="166" t="s">
        <v>13436</v>
      </c>
      <c r="I2099" s="193" t="s">
        <v>12816</v>
      </c>
      <c r="J2099" s="193" t="s">
        <v>146</v>
      </c>
      <c r="K2099" s="170"/>
      <c r="L2099" s="193" t="s">
        <v>146</v>
      </c>
    </row>
    <row r="2100" spans="1:12" ht="15.75">
      <c r="A2100" s="67">
        <f t="shared" si="32"/>
        <v>2098</v>
      </c>
      <c r="B2100" s="164">
        <v>2098</v>
      </c>
      <c r="C2100" s="193" t="s">
        <v>3393</v>
      </c>
      <c r="D2100" s="195" t="s">
        <v>6661</v>
      </c>
      <c r="E2100" s="193" t="s">
        <v>458</v>
      </c>
      <c r="F2100" s="193" t="s">
        <v>59</v>
      </c>
      <c r="G2100" s="195" t="s">
        <v>1046</v>
      </c>
      <c r="H2100" s="166" t="s">
        <v>13436</v>
      </c>
      <c r="I2100" s="193" t="s">
        <v>12814</v>
      </c>
      <c r="J2100" s="193" t="s">
        <v>146</v>
      </c>
      <c r="K2100" s="170"/>
      <c r="L2100" s="193"/>
    </row>
    <row r="2101" spans="1:12" ht="15.75">
      <c r="A2101" s="67">
        <f t="shared" si="32"/>
        <v>2099</v>
      </c>
      <c r="B2101" s="164">
        <v>2099</v>
      </c>
      <c r="C2101" s="193" t="s">
        <v>3394</v>
      </c>
      <c r="D2101" s="197" t="s">
        <v>6662</v>
      </c>
      <c r="E2101" s="193" t="s">
        <v>9230</v>
      </c>
      <c r="F2101" s="193" t="s">
        <v>114</v>
      </c>
      <c r="G2101" s="195" t="s">
        <v>11406</v>
      </c>
      <c r="H2101" s="166" t="s">
        <v>13436</v>
      </c>
      <c r="I2101" s="193" t="s">
        <v>12816</v>
      </c>
      <c r="J2101" s="193" t="s">
        <v>146</v>
      </c>
      <c r="K2101" s="170"/>
      <c r="L2101" s="193" t="s">
        <v>146</v>
      </c>
    </row>
    <row r="2102" spans="1:12" ht="15.75">
      <c r="A2102" s="67">
        <f t="shared" si="32"/>
        <v>2100</v>
      </c>
      <c r="B2102" s="164">
        <v>2100</v>
      </c>
      <c r="C2102" s="193" t="s">
        <v>3395</v>
      </c>
      <c r="D2102" s="197" t="s">
        <v>6663</v>
      </c>
      <c r="E2102" s="193" t="s">
        <v>9231</v>
      </c>
      <c r="F2102" s="193" t="s">
        <v>114</v>
      </c>
      <c r="G2102" s="195" t="s">
        <v>1083</v>
      </c>
      <c r="H2102" s="166" t="s">
        <v>13436</v>
      </c>
      <c r="I2102" s="193" t="s">
        <v>12816</v>
      </c>
      <c r="J2102" s="193" t="s">
        <v>146</v>
      </c>
      <c r="K2102" s="170"/>
      <c r="L2102" s="193" t="s">
        <v>146</v>
      </c>
    </row>
    <row r="2103" spans="1:12" ht="15.75">
      <c r="A2103" s="67">
        <f t="shared" si="32"/>
        <v>2101</v>
      </c>
      <c r="B2103" s="164">
        <v>2101</v>
      </c>
      <c r="C2103" s="193" t="s">
        <v>3396</v>
      </c>
      <c r="D2103" s="195" t="s">
        <v>6664</v>
      </c>
      <c r="E2103" s="193" t="s">
        <v>500</v>
      </c>
      <c r="F2103" s="193" t="s">
        <v>59</v>
      </c>
      <c r="G2103" s="195" t="s">
        <v>1193</v>
      </c>
      <c r="H2103" s="166" t="s">
        <v>13436</v>
      </c>
      <c r="I2103" s="193" t="s">
        <v>12819</v>
      </c>
      <c r="J2103" s="193" t="s">
        <v>146</v>
      </c>
      <c r="K2103" s="170"/>
      <c r="L2103" s="193"/>
    </row>
    <row r="2104" spans="1:12" ht="15.75">
      <c r="A2104" s="67">
        <f t="shared" si="32"/>
        <v>2102</v>
      </c>
      <c r="B2104" s="164">
        <v>2102</v>
      </c>
      <c r="C2104" s="193" t="s">
        <v>3397</v>
      </c>
      <c r="D2104" s="195" t="s">
        <v>6665</v>
      </c>
      <c r="E2104" s="193" t="s">
        <v>9232</v>
      </c>
      <c r="F2104" s="193" t="s">
        <v>114</v>
      </c>
      <c r="G2104" s="195" t="s">
        <v>870</v>
      </c>
      <c r="H2104" s="166" t="s">
        <v>13436</v>
      </c>
      <c r="I2104" s="193" t="s">
        <v>12819</v>
      </c>
      <c r="J2104" s="193" t="s">
        <v>146</v>
      </c>
      <c r="K2104" s="170"/>
      <c r="L2104" s="193" t="s">
        <v>146</v>
      </c>
    </row>
    <row r="2105" spans="1:12" ht="30">
      <c r="A2105" s="67">
        <f t="shared" si="32"/>
        <v>2103</v>
      </c>
      <c r="B2105" s="164">
        <v>2103</v>
      </c>
      <c r="C2105" s="193" t="s">
        <v>3398</v>
      </c>
      <c r="D2105" s="195" t="s">
        <v>6666</v>
      </c>
      <c r="E2105" s="193" t="s">
        <v>9233</v>
      </c>
      <c r="F2105" s="193" t="s">
        <v>59</v>
      </c>
      <c r="G2105" s="195" t="s">
        <v>11407</v>
      </c>
      <c r="H2105" s="166" t="s">
        <v>13436</v>
      </c>
      <c r="I2105" s="193" t="s">
        <v>12819</v>
      </c>
      <c r="J2105" s="193" t="s">
        <v>12613</v>
      </c>
      <c r="K2105" s="170"/>
      <c r="L2105" s="193"/>
    </row>
    <row r="2106" spans="1:12" ht="15.75">
      <c r="A2106" s="67">
        <f t="shared" si="32"/>
        <v>2104</v>
      </c>
      <c r="B2106" s="164">
        <v>2104</v>
      </c>
      <c r="C2106" s="193" t="s">
        <v>3399</v>
      </c>
      <c r="D2106" s="195" t="s">
        <v>6667</v>
      </c>
      <c r="E2106" s="193" t="s">
        <v>170</v>
      </c>
      <c r="F2106" s="193" t="s">
        <v>114</v>
      </c>
      <c r="G2106" s="195" t="s">
        <v>11408</v>
      </c>
      <c r="H2106" s="166" t="s">
        <v>13436</v>
      </c>
      <c r="I2106" s="193" t="s">
        <v>12814</v>
      </c>
      <c r="J2106" s="193" t="s">
        <v>146</v>
      </c>
      <c r="K2106" s="170"/>
      <c r="L2106" s="193" t="s">
        <v>146</v>
      </c>
    </row>
    <row r="2107" spans="1:12" ht="30">
      <c r="A2107" s="67">
        <f t="shared" si="32"/>
        <v>2105</v>
      </c>
      <c r="B2107" s="164">
        <v>2105</v>
      </c>
      <c r="C2107" s="193" t="s">
        <v>3400</v>
      </c>
      <c r="D2107" s="197" t="s">
        <v>6668</v>
      </c>
      <c r="E2107" s="193" t="s">
        <v>9234</v>
      </c>
      <c r="F2107" s="193" t="s">
        <v>114</v>
      </c>
      <c r="G2107" s="195" t="s">
        <v>872</v>
      </c>
      <c r="H2107" s="166" t="s">
        <v>13436</v>
      </c>
      <c r="I2107" s="193" t="s">
        <v>12816</v>
      </c>
      <c r="J2107" s="193" t="s">
        <v>12614</v>
      </c>
      <c r="K2107" s="170"/>
      <c r="L2107" s="193" t="s">
        <v>146</v>
      </c>
    </row>
    <row r="2108" spans="1:12" ht="15.75">
      <c r="A2108" s="67">
        <f t="shared" si="32"/>
        <v>2106</v>
      </c>
      <c r="B2108" s="164">
        <v>2106</v>
      </c>
      <c r="C2108" s="193" t="s">
        <v>3401</v>
      </c>
      <c r="D2108" s="195" t="s">
        <v>6669</v>
      </c>
      <c r="E2108" s="193" t="s">
        <v>477</v>
      </c>
      <c r="F2108" s="193" t="s">
        <v>114</v>
      </c>
      <c r="G2108" s="195" t="s">
        <v>912</v>
      </c>
      <c r="H2108" s="166" t="s">
        <v>13436</v>
      </c>
      <c r="I2108" s="193" t="s">
        <v>12814</v>
      </c>
      <c r="J2108" s="193" t="s">
        <v>1269</v>
      </c>
      <c r="K2108" s="170"/>
      <c r="L2108" s="193" t="s">
        <v>146</v>
      </c>
    </row>
    <row r="2109" spans="1:12" ht="15.75">
      <c r="A2109" s="67">
        <f t="shared" si="32"/>
        <v>2107</v>
      </c>
      <c r="B2109" s="164">
        <v>2107</v>
      </c>
      <c r="C2109" s="193" t="s">
        <v>3402</v>
      </c>
      <c r="D2109" s="195" t="s">
        <v>6670</v>
      </c>
      <c r="E2109" s="193" t="s">
        <v>9235</v>
      </c>
      <c r="F2109" s="193" t="s">
        <v>114</v>
      </c>
      <c r="G2109" s="195" t="s">
        <v>1068</v>
      </c>
      <c r="H2109" s="166" t="s">
        <v>13436</v>
      </c>
      <c r="I2109" s="193" t="s">
        <v>12818</v>
      </c>
      <c r="J2109" s="193" t="s">
        <v>164</v>
      </c>
      <c r="K2109" s="170"/>
      <c r="L2109" s="193" t="s">
        <v>146</v>
      </c>
    </row>
    <row r="2110" spans="1:12" ht="15.75">
      <c r="A2110" s="67">
        <f t="shared" si="32"/>
        <v>2108</v>
      </c>
      <c r="B2110" s="164">
        <v>2108</v>
      </c>
      <c r="C2110" s="193" t="s">
        <v>3403</v>
      </c>
      <c r="D2110" s="195" t="s">
        <v>6671</v>
      </c>
      <c r="E2110" s="193" t="s">
        <v>9236</v>
      </c>
      <c r="F2110" s="193" t="s">
        <v>114</v>
      </c>
      <c r="G2110" s="195" t="s">
        <v>11409</v>
      </c>
      <c r="H2110" s="166" t="s">
        <v>13436</v>
      </c>
      <c r="I2110" s="193" t="s">
        <v>12819</v>
      </c>
      <c r="J2110" s="193" t="s">
        <v>146</v>
      </c>
      <c r="K2110" s="170"/>
      <c r="L2110" s="193" t="s">
        <v>146</v>
      </c>
    </row>
    <row r="2111" spans="1:12" ht="15.75">
      <c r="A2111" s="67">
        <f t="shared" si="32"/>
        <v>2109</v>
      </c>
      <c r="B2111" s="164">
        <v>2109</v>
      </c>
      <c r="C2111" s="193" t="s">
        <v>3404</v>
      </c>
      <c r="D2111" s="195" t="s">
        <v>6672</v>
      </c>
      <c r="E2111" s="193" t="s">
        <v>9237</v>
      </c>
      <c r="F2111" s="193" t="s">
        <v>59</v>
      </c>
      <c r="G2111" s="195" t="s">
        <v>951</v>
      </c>
      <c r="H2111" s="166" t="s">
        <v>13436</v>
      </c>
      <c r="I2111" s="193" t="s">
        <v>12836</v>
      </c>
      <c r="J2111" s="193" t="s">
        <v>146</v>
      </c>
      <c r="K2111" s="170"/>
      <c r="L2111" s="193"/>
    </row>
    <row r="2112" spans="1:12" ht="15.75">
      <c r="A2112" s="67">
        <f t="shared" si="32"/>
        <v>2110</v>
      </c>
      <c r="B2112" s="164">
        <v>2110</v>
      </c>
      <c r="C2112" s="193" t="s">
        <v>3405</v>
      </c>
      <c r="D2112" s="197" t="s">
        <v>6673</v>
      </c>
      <c r="E2112" s="193" t="s">
        <v>9238</v>
      </c>
      <c r="F2112" s="193" t="s">
        <v>114</v>
      </c>
      <c r="G2112" s="195" t="s">
        <v>1046</v>
      </c>
      <c r="H2112" s="166" t="s">
        <v>13436</v>
      </c>
      <c r="I2112" s="193" t="s">
        <v>12816</v>
      </c>
      <c r="J2112" s="193" t="s">
        <v>146</v>
      </c>
      <c r="K2112" s="170"/>
      <c r="L2112" s="193" t="s">
        <v>146</v>
      </c>
    </row>
    <row r="2113" spans="1:12" ht="15.75">
      <c r="A2113" s="67">
        <f t="shared" si="32"/>
        <v>2111</v>
      </c>
      <c r="B2113" s="164">
        <v>2111</v>
      </c>
      <c r="C2113" s="193" t="s">
        <v>3406</v>
      </c>
      <c r="D2113" s="195" t="s">
        <v>6674</v>
      </c>
      <c r="E2113" s="193" t="s">
        <v>9239</v>
      </c>
      <c r="F2113" s="193" t="s">
        <v>59</v>
      </c>
      <c r="G2113" s="195" t="s">
        <v>11410</v>
      </c>
      <c r="H2113" s="166" t="s">
        <v>13436</v>
      </c>
      <c r="I2113" s="193" t="s">
        <v>12821</v>
      </c>
      <c r="J2113" s="193" t="s">
        <v>146</v>
      </c>
      <c r="K2113" s="170"/>
      <c r="L2113" s="193"/>
    </row>
    <row r="2114" spans="1:12" ht="15.75">
      <c r="A2114" s="67">
        <f t="shared" si="32"/>
        <v>2112</v>
      </c>
      <c r="B2114" s="164">
        <v>2112</v>
      </c>
      <c r="C2114" s="193" t="s">
        <v>3407</v>
      </c>
      <c r="D2114" s="204" t="s">
        <v>6675</v>
      </c>
      <c r="E2114" s="193" t="s">
        <v>8203</v>
      </c>
      <c r="F2114" s="193" t="s">
        <v>114</v>
      </c>
      <c r="G2114" s="195" t="s">
        <v>288</v>
      </c>
      <c r="H2114" s="166" t="s">
        <v>13436</v>
      </c>
      <c r="I2114" s="193" t="s">
        <v>12816</v>
      </c>
      <c r="J2114" s="193" t="s">
        <v>146</v>
      </c>
      <c r="K2114" s="170"/>
      <c r="L2114" s="193" t="s">
        <v>146</v>
      </c>
    </row>
    <row r="2115" spans="1:12" ht="15.75">
      <c r="A2115" s="67">
        <f t="shared" ref="A2115:A2178" si="33">IFERROR(VALUE(RIGHT(C2115,4)),"")</f>
        <v>2113</v>
      </c>
      <c r="B2115" s="164">
        <v>2113</v>
      </c>
      <c r="C2115" s="193" t="s">
        <v>3408</v>
      </c>
      <c r="D2115" s="195" t="s">
        <v>6676</v>
      </c>
      <c r="E2115" s="193" t="s">
        <v>441</v>
      </c>
      <c r="F2115" s="193" t="s">
        <v>114</v>
      </c>
      <c r="G2115" s="195" t="s">
        <v>11411</v>
      </c>
      <c r="H2115" s="166" t="s">
        <v>13436</v>
      </c>
      <c r="I2115" s="193" t="s">
        <v>12818</v>
      </c>
      <c r="J2115" s="193" t="s">
        <v>146</v>
      </c>
      <c r="K2115" s="170"/>
      <c r="L2115" s="193" t="s">
        <v>146</v>
      </c>
    </row>
    <row r="2116" spans="1:12" ht="30">
      <c r="A2116" s="67">
        <f t="shared" si="33"/>
        <v>2114</v>
      </c>
      <c r="B2116" s="164">
        <v>2114</v>
      </c>
      <c r="C2116" s="193" t="s">
        <v>3409</v>
      </c>
      <c r="D2116" s="195" t="s">
        <v>6677</v>
      </c>
      <c r="E2116" s="193" t="s">
        <v>9240</v>
      </c>
      <c r="F2116" s="193" t="s">
        <v>114</v>
      </c>
      <c r="G2116" s="195" t="s">
        <v>11412</v>
      </c>
      <c r="H2116" s="166" t="s">
        <v>13436</v>
      </c>
      <c r="I2116" s="193" t="s">
        <v>12814</v>
      </c>
      <c r="J2116" s="193"/>
      <c r="K2116" s="170"/>
      <c r="L2116" s="193" t="s">
        <v>13327</v>
      </c>
    </row>
    <row r="2117" spans="1:12" ht="15.75">
      <c r="A2117" s="67">
        <f t="shared" si="33"/>
        <v>2115</v>
      </c>
      <c r="B2117" s="164">
        <v>2115</v>
      </c>
      <c r="C2117" s="193" t="s">
        <v>3410</v>
      </c>
      <c r="D2117" s="195" t="s">
        <v>6678</v>
      </c>
      <c r="E2117" s="193" t="s">
        <v>9241</v>
      </c>
      <c r="F2117" s="193" t="s">
        <v>114</v>
      </c>
      <c r="G2117" s="195" t="s">
        <v>1127</v>
      </c>
      <c r="H2117" s="166" t="s">
        <v>13436</v>
      </c>
      <c r="I2117" s="193" t="s">
        <v>12819</v>
      </c>
      <c r="J2117" s="193" t="s">
        <v>146</v>
      </c>
      <c r="K2117" s="170"/>
      <c r="L2117" s="193" t="s">
        <v>146</v>
      </c>
    </row>
    <row r="2118" spans="1:12" ht="45">
      <c r="A2118" s="67">
        <f t="shared" si="33"/>
        <v>2116</v>
      </c>
      <c r="B2118" s="164">
        <v>2116</v>
      </c>
      <c r="C2118" s="193" t="s">
        <v>3411</v>
      </c>
      <c r="D2118" s="205" t="s">
        <v>6679</v>
      </c>
      <c r="E2118" s="193" t="s">
        <v>553</v>
      </c>
      <c r="F2118" s="193" t="s">
        <v>114</v>
      </c>
      <c r="G2118" s="195" t="s">
        <v>11413</v>
      </c>
      <c r="H2118" s="166" t="s">
        <v>13436</v>
      </c>
      <c r="I2118" s="193" t="s">
        <v>12816</v>
      </c>
      <c r="J2118" s="193" t="s">
        <v>146</v>
      </c>
      <c r="K2118" s="170"/>
      <c r="L2118" s="193" t="s">
        <v>13328</v>
      </c>
    </row>
    <row r="2119" spans="1:12" ht="30">
      <c r="A2119" s="67">
        <f t="shared" si="33"/>
        <v>2117</v>
      </c>
      <c r="B2119" s="164">
        <v>2117</v>
      </c>
      <c r="C2119" s="193" t="s">
        <v>3412</v>
      </c>
      <c r="D2119" s="195" t="s">
        <v>6680</v>
      </c>
      <c r="E2119" s="193" t="s">
        <v>9242</v>
      </c>
      <c r="F2119" s="193" t="s">
        <v>114</v>
      </c>
      <c r="G2119" s="195" t="s">
        <v>894</v>
      </c>
      <c r="H2119" s="166" t="s">
        <v>13436</v>
      </c>
      <c r="I2119" s="193" t="s">
        <v>12814</v>
      </c>
      <c r="J2119" s="219" t="s">
        <v>146</v>
      </c>
      <c r="K2119" s="170"/>
      <c r="L2119" s="193" t="s">
        <v>13329</v>
      </c>
    </row>
    <row r="2120" spans="1:12" ht="15.75">
      <c r="A2120" s="67">
        <f t="shared" si="33"/>
        <v>2118</v>
      </c>
      <c r="B2120" s="164">
        <v>2118</v>
      </c>
      <c r="C2120" s="193" t="s">
        <v>3413</v>
      </c>
      <c r="D2120" s="195" t="s">
        <v>6681</v>
      </c>
      <c r="E2120" s="193" t="s">
        <v>9243</v>
      </c>
      <c r="F2120" s="193" t="s">
        <v>114</v>
      </c>
      <c r="G2120" s="195" t="s">
        <v>11414</v>
      </c>
      <c r="H2120" s="166" t="s">
        <v>13436</v>
      </c>
      <c r="I2120" s="193" t="s">
        <v>12819</v>
      </c>
      <c r="J2120" s="193" t="s">
        <v>1264</v>
      </c>
      <c r="K2120" s="170"/>
      <c r="L2120" s="193" t="s">
        <v>146</v>
      </c>
    </row>
    <row r="2121" spans="1:12" ht="30">
      <c r="A2121" s="67">
        <f t="shared" si="33"/>
        <v>2119</v>
      </c>
      <c r="B2121" s="164">
        <v>2119</v>
      </c>
      <c r="C2121" s="193" t="s">
        <v>3414</v>
      </c>
      <c r="D2121" s="195" t="s">
        <v>6682</v>
      </c>
      <c r="E2121" s="193" t="s">
        <v>9244</v>
      </c>
      <c r="F2121" s="193" t="s">
        <v>114</v>
      </c>
      <c r="G2121" s="195" t="s">
        <v>265</v>
      </c>
      <c r="H2121" s="166" t="s">
        <v>13436</v>
      </c>
      <c r="I2121" s="193" t="s">
        <v>12818</v>
      </c>
      <c r="J2121" s="193" t="s">
        <v>12615</v>
      </c>
      <c r="K2121" s="170"/>
      <c r="L2121" s="193" t="s">
        <v>146</v>
      </c>
    </row>
    <row r="2122" spans="1:12" ht="15.75">
      <c r="A2122" s="67">
        <f t="shared" si="33"/>
        <v>2120</v>
      </c>
      <c r="B2122" s="164">
        <v>2120</v>
      </c>
      <c r="C2122" s="193" t="s">
        <v>3415</v>
      </c>
      <c r="D2122" s="195" t="s">
        <v>6683</v>
      </c>
      <c r="E2122" s="193" t="s">
        <v>9245</v>
      </c>
      <c r="F2122" s="193" t="s">
        <v>114</v>
      </c>
      <c r="G2122" s="195" t="s">
        <v>1222</v>
      </c>
      <c r="H2122" s="166" t="s">
        <v>13436</v>
      </c>
      <c r="I2122" s="193" t="s">
        <v>12814</v>
      </c>
      <c r="J2122" s="219" t="s">
        <v>146</v>
      </c>
      <c r="K2122" s="170"/>
      <c r="L2122" s="193" t="s">
        <v>146</v>
      </c>
    </row>
    <row r="2123" spans="1:12" ht="15.75">
      <c r="A2123" s="67">
        <f t="shared" si="33"/>
        <v>2121</v>
      </c>
      <c r="B2123" s="164">
        <v>2121</v>
      </c>
      <c r="C2123" s="193" t="s">
        <v>3416</v>
      </c>
      <c r="D2123" s="195" t="s">
        <v>6684</v>
      </c>
      <c r="E2123" s="193" t="s">
        <v>8073</v>
      </c>
      <c r="F2123" s="193" t="s">
        <v>114</v>
      </c>
      <c r="G2123" s="195" t="s">
        <v>11415</v>
      </c>
      <c r="H2123" s="166" t="s">
        <v>13436</v>
      </c>
      <c r="I2123" s="193" t="s">
        <v>12818</v>
      </c>
      <c r="J2123" s="193" t="s">
        <v>12616</v>
      </c>
      <c r="K2123" s="170"/>
      <c r="L2123" s="193" t="s">
        <v>146</v>
      </c>
    </row>
    <row r="2124" spans="1:12" ht="15.75">
      <c r="A2124" s="67">
        <f t="shared" si="33"/>
        <v>2122</v>
      </c>
      <c r="B2124" s="164">
        <v>2122</v>
      </c>
      <c r="C2124" s="193" t="s">
        <v>3417</v>
      </c>
      <c r="D2124" s="195" t="s">
        <v>6685</v>
      </c>
      <c r="E2124" s="193" t="s">
        <v>325</v>
      </c>
      <c r="F2124" s="193" t="s">
        <v>59</v>
      </c>
      <c r="G2124" s="195" t="s">
        <v>1007</v>
      </c>
      <c r="H2124" s="166" t="s">
        <v>13436</v>
      </c>
      <c r="I2124" s="193" t="s">
        <v>12818</v>
      </c>
      <c r="J2124" s="193" t="s">
        <v>146</v>
      </c>
      <c r="K2124" s="170"/>
      <c r="L2124" s="193"/>
    </row>
    <row r="2125" spans="1:12" ht="75">
      <c r="A2125" s="67">
        <f t="shared" si="33"/>
        <v>2123</v>
      </c>
      <c r="B2125" s="164">
        <v>2123</v>
      </c>
      <c r="C2125" s="193" t="s">
        <v>3418</v>
      </c>
      <c r="D2125" s="195" t="s">
        <v>6686</v>
      </c>
      <c r="E2125" s="193" t="s">
        <v>9246</v>
      </c>
      <c r="F2125" s="193" t="s">
        <v>114</v>
      </c>
      <c r="G2125" s="195" t="s">
        <v>990</v>
      </c>
      <c r="H2125" s="166" t="s">
        <v>13436</v>
      </c>
      <c r="I2125" s="193" t="s">
        <v>12814</v>
      </c>
      <c r="J2125" s="193" t="s">
        <v>146</v>
      </c>
      <c r="K2125" s="170"/>
      <c r="L2125" s="193" t="s">
        <v>13330</v>
      </c>
    </row>
    <row r="2126" spans="1:12" ht="15.75">
      <c r="A2126" s="67">
        <f t="shared" si="33"/>
        <v>2124</v>
      </c>
      <c r="B2126" s="164">
        <v>2124</v>
      </c>
      <c r="C2126" s="193" t="s">
        <v>3419</v>
      </c>
      <c r="D2126" s="195" t="s">
        <v>6687</v>
      </c>
      <c r="E2126" s="193" t="s">
        <v>9247</v>
      </c>
      <c r="F2126" s="193" t="s">
        <v>114</v>
      </c>
      <c r="G2126" s="195" t="s">
        <v>11416</v>
      </c>
      <c r="H2126" s="166" t="s">
        <v>13436</v>
      </c>
      <c r="I2126" s="193" t="s">
        <v>12819</v>
      </c>
      <c r="J2126" s="193" t="s">
        <v>146</v>
      </c>
      <c r="K2126" s="170"/>
      <c r="L2126" s="193" t="s">
        <v>146</v>
      </c>
    </row>
    <row r="2127" spans="1:12" ht="15.75">
      <c r="A2127" s="67">
        <f t="shared" si="33"/>
        <v>2125</v>
      </c>
      <c r="B2127" s="164">
        <v>2125</v>
      </c>
      <c r="C2127" s="193" t="s">
        <v>3420</v>
      </c>
      <c r="D2127" s="195" t="s">
        <v>6688</v>
      </c>
      <c r="E2127" s="193" t="s">
        <v>9248</v>
      </c>
      <c r="F2127" s="193" t="s">
        <v>114</v>
      </c>
      <c r="G2127" s="195" t="s">
        <v>1071</v>
      </c>
      <c r="H2127" s="166" t="s">
        <v>13436</v>
      </c>
      <c r="I2127" s="193" t="s">
        <v>12826</v>
      </c>
      <c r="J2127" s="193" t="s">
        <v>146</v>
      </c>
      <c r="K2127" s="170"/>
      <c r="L2127" s="193" t="s">
        <v>146</v>
      </c>
    </row>
    <row r="2128" spans="1:12" ht="30">
      <c r="A2128" s="67">
        <f t="shared" si="33"/>
        <v>2126</v>
      </c>
      <c r="B2128" s="164">
        <v>2126</v>
      </c>
      <c r="C2128" s="193" t="s">
        <v>3421</v>
      </c>
      <c r="D2128" s="195" t="s">
        <v>6689</v>
      </c>
      <c r="E2128" s="193" t="s">
        <v>9249</v>
      </c>
      <c r="F2128" s="193" t="s">
        <v>114</v>
      </c>
      <c r="G2128" s="195" t="s">
        <v>11417</v>
      </c>
      <c r="H2128" s="166" t="s">
        <v>13436</v>
      </c>
      <c r="I2128" s="193" t="s">
        <v>12827</v>
      </c>
      <c r="J2128" s="193" t="s">
        <v>12617</v>
      </c>
      <c r="K2128" s="170"/>
      <c r="L2128" s="193" t="s">
        <v>146</v>
      </c>
    </row>
    <row r="2129" spans="1:12" ht="30">
      <c r="A2129" s="67">
        <f t="shared" si="33"/>
        <v>2127</v>
      </c>
      <c r="B2129" s="164">
        <v>2127</v>
      </c>
      <c r="C2129" s="193" t="s">
        <v>3422</v>
      </c>
      <c r="D2129" s="195" t="s">
        <v>6690</v>
      </c>
      <c r="E2129" s="193" t="s">
        <v>8035</v>
      </c>
      <c r="F2129" s="193" t="s">
        <v>114</v>
      </c>
      <c r="G2129" s="195" t="s">
        <v>11417</v>
      </c>
      <c r="H2129" s="166" t="s">
        <v>13436</v>
      </c>
      <c r="I2129" s="193" t="s">
        <v>12808</v>
      </c>
      <c r="J2129" s="219" t="s">
        <v>12618</v>
      </c>
      <c r="K2129" s="170"/>
      <c r="L2129" s="219" t="s">
        <v>146</v>
      </c>
    </row>
    <row r="2130" spans="1:12" ht="15.75">
      <c r="A2130" s="67">
        <f t="shared" si="33"/>
        <v>2128</v>
      </c>
      <c r="B2130" s="164">
        <v>2128</v>
      </c>
      <c r="C2130" s="193" t="s">
        <v>3423</v>
      </c>
      <c r="D2130" s="195" t="s">
        <v>6691</v>
      </c>
      <c r="E2130" s="193" t="s">
        <v>8960</v>
      </c>
      <c r="F2130" s="193" t="s">
        <v>114</v>
      </c>
      <c r="G2130" s="195" t="s">
        <v>1098</v>
      </c>
      <c r="H2130" s="166" t="s">
        <v>13436</v>
      </c>
      <c r="I2130" s="193" t="s">
        <v>12824</v>
      </c>
      <c r="J2130" s="219" t="s">
        <v>146</v>
      </c>
      <c r="K2130" s="170"/>
      <c r="L2130" s="219" t="s">
        <v>146</v>
      </c>
    </row>
    <row r="2131" spans="1:12" ht="15.75">
      <c r="A2131" s="67">
        <f t="shared" si="33"/>
        <v>2129</v>
      </c>
      <c r="B2131" s="164">
        <v>2129</v>
      </c>
      <c r="C2131" s="193" t="s">
        <v>3424</v>
      </c>
      <c r="D2131" s="208" t="s">
        <v>6692</v>
      </c>
      <c r="E2131" s="193" t="s">
        <v>9250</v>
      </c>
      <c r="F2131" s="193" t="s">
        <v>59</v>
      </c>
      <c r="G2131" s="195" t="s">
        <v>279</v>
      </c>
      <c r="H2131" s="166" t="s">
        <v>13436</v>
      </c>
      <c r="I2131" s="193" t="s">
        <v>12816</v>
      </c>
      <c r="J2131" s="193" t="s">
        <v>147</v>
      </c>
      <c r="K2131" s="170"/>
      <c r="L2131" s="193"/>
    </row>
    <row r="2132" spans="1:12" ht="15.75">
      <c r="A2132" s="67">
        <f t="shared" si="33"/>
        <v>2130</v>
      </c>
      <c r="B2132" s="164">
        <v>2130</v>
      </c>
      <c r="C2132" s="193" t="s">
        <v>3425</v>
      </c>
      <c r="D2132" s="195" t="s">
        <v>6693</v>
      </c>
      <c r="E2132" s="193" t="s">
        <v>9251</v>
      </c>
      <c r="F2132" s="193" t="s">
        <v>114</v>
      </c>
      <c r="G2132" s="195" t="s">
        <v>946</v>
      </c>
      <c r="H2132" s="166" t="s">
        <v>13436</v>
      </c>
      <c r="I2132" s="193" t="s">
        <v>12838</v>
      </c>
      <c r="J2132" s="193" t="s">
        <v>146</v>
      </c>
      <c r="K2132" s="170"/>
      <c r="L2132" s="193" t="s">
        <v>146</v>
      </c>
    </row>
    <row r="2133" spans="1:12" ht="15.75">
      <c r="A2133" s="67">
        <f t="shared" si="33"/>
        <v>2131</v>
      </c>
      <c r="B2133" s="164">
        <v>2131</v>
      </c>
      <c r="C2133" s="193" t="s">
        <v>3426</v>
      </c>
      <c r="D2133" s="195" t="s">
        <v>6694</v>
      </c>
      <c r="E2133" s="193" t="s">
        <v>9252</v>
      </c>
      <c r="F2133" s="193" t="s">
        <v>114</v>
      </c>
      <c r="G2133" s="195" t="s">
        <v>828</v>
      </c>
      <c r="H2133" s="166" t="s">
        <v>13436</v>
      </c>
      <c r="I2133" s="193" t="s">
        <v>12817</v>
      </c>
      <c r="J2133" s="193" t="s">
        <v>146</v>
      </c>
      <c r="K2133" s="170"/>
      <c r="L2133" s="193" t="s">
        <v>146</v>
      </c>
    </row>
    <row r="2134" spans="1:12" ht="30">
      <c r="A2134" s="67">
        <f t="shared" si="33"/>
        <v>2132</v>
      </c>
      <c r="B2134" s="164">
        <v>2132</v>
      </c>
      <c r="C2134" s="193" t="s">
        <v>3427</v>
      </c>
      <c r="D2134" s="195" t="s">
        <v>6695</v>
      </c>
      <c r="E2134" s="193" t="s">
        <v>430</v>
      </c>
      <c r="F2134" s="193" t="s">
        <v>114</v>
      </c>
      <c r="G2134" s="195" t="s">
        <v>1226</v>
      </c>
      <c r="H2134" s="166" t="s">
        <v>13436</v>
      </c>
      <c r="I2134" s="193" t="s">
        <v>12826</v>
      </c>
      <c r="J2134" s="193" t="s">
        <v>12619</v>
      </c>
      <c r="K2134" s="170"/>
      <c r="L2134" s="193" t="s">
        <v>13331</v>
      </c>
    </row>
    <row r="2135" spans="1:12" ht="15.75">
      <c r="A2135" s="67">
        <f t="shared" si="33"/>
        <v>2133</v>
      </c>
      <c r="B2135" s="164">
        <v>2133</v>
      </c>
      <c r="C2135" s="193" t="s">
        <v>3428</v>
      </c>
      <c r="D2135" s="195" t="s">
        <v>6696</v>
      </c>
      <c r="E2135" s="193" t="s">
        <v>9253</v>
      </c>
      <c r="F2135" s="193" t="s">
        <v>114</v>
      </c>
      <c r="G2135" s="195" t="s">
        <v>1195</v>
      </c>
      <c r="H2135" s="166" t="s">
        <v>13436</v>
      </c>
      <c r="I2135" s="193" t="s">
        <v>12826</v>
      </c>
      <c r="J2135" s="193" t="s">
        <v>146</v>
      </c>
      <c r="K2135" s="170"/>
      <c r="L2135" s="193" t="s">
        <v>146</v>
      </c>
    </row>
    <row r="2136" spans="1:12" ht="30">
      <c r="A2136" s="67">
        <f t="shared" si="33"/>
        <v>2134</v>
      </c>
      <c r="B2136" s="164">
        <v>2134</v>
      </c>
      <c r="C2136" s="193" t="s">
        <v>3429</v>
      </c>
      <c r="D2136" s="195" t="s">
        <v>6697</v>
      </c>
      <c r="E2136" s="193" t="s">
        <v>9254</v>
      </c>
      <c r="F2136" s="193" t="s">
        <v>114</v>
      </c>
      <c r="G2136" s="195" t="s">
        <v>11418</v>
      </c>
      <c r="H2136" s="166" t="s">
        <v>13436</v>
      </c>
      <c r="I2136" s="193" t="s">
        <v>12826</v>
      </c>
      <c r="J2136" s="193" t="s">
        <v>12453</v>
      </c>
      <c r="K2136" s="170"/>
      <c r="L2136" s="193" t="s">
        <v>146</v>
      </c>
    </row>
    <row r="2137" spans="1:12" ht="15.75">
      <c r="A2137" s="67">
        <f t="shared" si="33"/>
        <v>2135</v>
      </c>
      <c r="B2137" s="164">
        <v>2135</v>
      </c>
      <c r="C2137" s="193" t="s">
        <v>3430</v>
      </c>
      <c r="D2137" s="195" t="s">
        <v>6698</v>
      </c>
      <c r="E2137" s="193" t="s">
        <v>9255</v>
      </c>
      <c r="F2137" s="193" t="s">
        <v>59</v>
      </c>
      <c r="G2137" s="195" t="s">
        <v>998</v>
      </c>
      <c r="H2137" s="166" t="s">
        <v>13436</v>
      </c>
      <c r="I2137" s="193" t="s">
        <v>12808</v>
      </c>
      <c r="J2137" s="193" t="s">
        <v>12620</v>
      </c>
      <c r="K2137" s="170"/>
      <c r="L2137" s="193"/>
    </row>
    <row r="2138" spans="1:12" ht="15.75">
      <c r="A2138" s="67">
        <f t="shared" si="33"/>
        <v>2136</v>
      </c>
      <c r="B2138" s="164">
        <v>2136</v>
      </c>
      <c r="C2138" s="193" t="s">
        <v>3431</v>
      </c>
      <c r="D2138" s="195" t="s">
        <v>6699</v>
      </c>
      <c r="E2138" s="193" t="s">
        <v>468</v>
      </c>
      <c r="F2138" s="193" t="s">
        <v>114</v>
      </c>
      <c r="G2138" s="195" t="s">
        <v>931</v>
      </c>
      <c r="H2138" s="166" t="s">
        <v>13436</v>
      </c>
      <c r="I2138" s="193" t="s">
        <v>12808</v>
      </c>
      <c r="J2138" s="193" t="s">
        <v>146</v>
      </c>
      <c r="K2138" s="170"/>
      <c r="L2138" s="193" t="s">
        <v>146</v>
      </c>
    </row>
    <row r="2139" spans="1:12" ht="30">
      <c r="A2139" s="67">
        <f t="shared" si="33"/>
        <v>2137</v>
      </c>
      <c r="B2139" s="164">
        <v>2137</v>
      </c>
      <c r="C2139" s="193" t="s">
        <v>3432</v>
      </c>
      <c r="D2139" s="195" t="s">
        <v>6700</v>
      </c>
      <c r="E2139" s="193" t="s">
        <v>9256</v>
      </c>
      <c r="F2139" s="193" t="s">
        <v>114</v>
      </c>
      <c r="G2139" s="195" t="s">
        <v>11419</v>
      </c>
      <c r="H2139" s="166" t="s">
        <v>13436</v>
      </c>
      <c r="I2139" s="193" t="s">
        <v>12826</v>
      </c>
      <c r="J2139" s="193" t="s">
        <v>146</v>
      </c>
      <c r="K2139" s="170"/>
      <c r="L2139" s="193" t="s">
        <v>13332</v>
      </c>
    </row>
    <row r="2140" spans="1:12" ht="15.75">
      <c r="A2140" s="67">
        <f t="shared" si="33"/>
        <v>2138</v>
      </c>
      <c r="B2140" s="164">
        <v>2138</v>
      </c>
      <c r="C2140" s="193" t="s">
        <v>3433</v>
      </c>
      <c r="D2140" s="195" t="s">
        <v>6701</v>
      </c>
      <c r="E2140" s="193" t="s">
        <v>8021</v>
      </c>
      <c r="F2140" s="193" t="s">
        <v>114</v>
      </c>
      <c r="G2140" s="195" t="s">
        <v>11420</v>
      </c>
      <c r="H2140" s="166" t="s">
        <v>13436</v>
      </c>
      <c r="I2140" s="193" t="s">
        <v>12827</v>
      </c>
      <c r="J2140" s="193" t="s">
        <v>146</v>
      </c>
      <c r="K2140" s="170"/>
      <c r="L2140" s="193" t="s">
        <v>146</v>
      </c>
    </row>
    <row r="2141" spans="1:12" ht="30">
      <c r="A2141" s="67">
        <f t="shared" si="33"/>
        <v>2139</v>
      </c>
      <c r="B2141" s="164">
        <v>2139</v>
      </c>
      <c r="C2141" s="193" t="s">
        <v>3434</v>
      </c>
      <c r="D2141" s="195" t="s">
        <v>6702</v>
      </c>
      <c r="E2141" s="193" t="s">
        <v>8966</v>
      </c>
      <c r="F2141" s="193" t="s">
        <v>114</v>
      </c>
      <c r="G2141" s="195" t="s">
        <v>11421</v>
      </c>
      <c r="H2141" s="166" t="s">
        <v>13436</v>
      </c>
      <c r="I2141" s="193" t="s">
        <v>12825</v>
      </c>
      <c r="J2141" s="219" t="s">
        <v>12621</v>
      </c>
      <c r="K2141" s="170"/>
      <c r="L2141" s="219" t="s">
        <v>146</v>
      </c>
    </row>
    <row r="2142" spans="1:12" ht="15.75">
      <c r="A2142" s="67">
        <f t="shared" si="33"/>
        <v>2140</v>
      </c>
      <c r="B2142" s="164">
        <v>2140</v>
      </c>
      <c r="C2142" s="193" t="s">
        <v>3435</v>
      </c>
      <c r="D2142" s="195" t="s">
        <v>6703</v>
      </c>
      <c r="E2142" s="193" t="s">
        <v>9257</v>
      </c>
      <c r="F2142" s="193" t="s">
        <v>114</v>
      </c>
      <c r="G2142" s="195" t="s">
        <v>1170</v>
      </c>
      <c r="H2142" s="166" t="s">
        <v>13436</v>
      </c>
      <c r="I2142" s="193" t="s">
        <v>12819</v>
      </c>
      <c r="J2142" s="193" t="s">
        <v>146</v>
      </c>
      <c r="K2142" s="170"/>
      <c r="L2142" s="193" t="s">
        <v>146</v>
      </c>
    </row>
    <row r="2143" spans="1:12" ht="15.75">
      <c r="A2143" s="67">
        <f t="shared" si="33"/>
        <v>2141</v>
      </c>
      <c r="B2143" s="164">
        <v>2141</v>
      </c>
      <c r="C2143" s="193" t="s">
        <v>3436</v>
      </c>
      <c r="D2143" s="195" t="s">
        <v>6704</v>
      </c>
      <c r="E2143" s="193" t="s">
        <v>346</v>
      </c>
      <c r="F2143" s="193" t="s">
        <v>114</v>
      </c>
      <c r="G2143" s="195" t="s">
        <v>11422</v>
      </c>
      <c r="H2143" s="166" t="s">
        <v>13436</v>
      </c>
      <c r="I2143" s="193" t="s">
        <v>12813</v>
      </c>
      <c r="J2143" s="193" t="s">
        <v>146</v>
      </c>
      <c r="K2143" s="170"/>
      <c r="L2143" s="193" t="s">
        <v>146</v>
      </c>
    </row>
    <row r="2144" spans="1:12" ht="15.75">
      <c r="A2144" s="67">
        <f t="shared" si="33"/>
        <v>2142</v>
      </c>
      <c r="B2144" s="164">
        <v>2142</v>
      </c>
      <c r="C2144" s="193" t="s">
        <v>3437</v>
      </c>
      <c r="D2144" s="195" t="s">
        <v>6705</v>
      </c>
      <c r="E2144" s="193" t="s">
        <v>472</v>
      </c>
      <c r="F2144" s="193" t="s">
        <v>114</v>
      </c>
      <c r="G2144" s="195" t="s">
        <v>11423</v>
      </c>
      <c r="H2144" s="166" t="s">
        <v>13436</v>
      </c>
      <c r="I2144" s="193" t="s">
        <v>12825</v>
      </c>
      <c r="J2144" s="193" t="s">
        <v>146</v>
      </c>
      <c r="K2144" s="170"/>
      <c r="L2144" s="193" t="s">
        <v>146</v>
      </c>
    </row>
    <row r="2145" spans="1:12" ht="15.75">
      <c r="A2145" s="67">
        <f t="shared" si="33"/>
        <v>2143</v>
      </c>
      <c r="B2145" s="164">
        <v>2143</v>
      </c>
      <c r="C2145" s="193" t="s">
        <v>3438</v>
      </c>
      <c r="D2145" s="195" t="s">
        <v>6706</v>
      </c>
      <c r="E2145" s="193" t="s">
        <v>422</v>
      </c>
      <c r="F2145" s="193" t="s">
        <v>114</v>
      </c>
      <c r="G2145" s="195" t="s">
        <v>1062</v>
      </c>
      <c r="H2145" s="166" t="s">
        <v>13436</v>
      </c>
      <c r="I2145" s="193" t="s">
        <v>12825</v>
      </c>
      <c r="J2145" s="193" t="s">
        <v>146</v>
      </c>
      <c r="K2145" s="170"/>
      <c r="L2145" s="193" t="s">
        <v>146</v>
      </c>
    </row>
    <row r="2146" spans="1:12" ht="15.75">
      <c r="A2146" s="67">
        <f t="shared" si="33"/>
        <v>2144</v>
      </c>
      <c r="B2146" s="164">
        <v>2144</v>
      </c>
      <c r="C2146" s="193" t="s">
        <v>3439</v>
      </c>
      <c r="D2146" s="196" t="s">
        <v>6707</v>
      </c>
      <c r="E2146" s="193" t="s">
        <v>583</v>
      </c>
      <c r="F2146" s="193" t="s">
        <v>114</v>
      </c>
      <c r="G2146" s="195" t="s">
        <v>11424</v>
      </c>
      <c r="H2146" s="166" t="s">
        <v>13436</v>
      </c>
      <c r="I2146" s="193" t="s">
        <v>12833</v>
      </c>
      <c r="J2146" s="193" t="s">
        <v>146</v>
      </c>
      <c r="K2146" s="170"/>
      <c r="L2146" s="193" t="s">
        <v>146</v>
      </c>
    </row>
    <row r="2147" spans="1:12" ht="15.75">
      <c r="A2147" s="67">
        <f t="shared" si="33"/>
        <v>2145</v>
      </c>
      <c r="B2147" s="164">
        <v>2145</v>
      </c>
      <c r="C2147" s="193" t="s">
        <v>3440</v>
      </c>
      <c r="D2147" s="195" t="s">
        <v>6708</v>
      </c>
      <c r="E2147" s="193" t="s">
        <v>9258</v>
      </c>
      <c r="F2147" s="193" t="s">
        <v>114</v>
      </c>
      <c r="G2147" s="195" t="s">
        <v>11425</v>
      </c>
      <c r="H2147" s="166" t="s">
        <v>13436</v>
      </c>
      <c r="I2147" s="193" t="s">
        <v>12826</v>
      </c>
      <c r="J2147" s="193" t="s">
        <v>146</v>
      </c>
      <c r="K2147" s="170"/>
      <c r="L2147" s="193" t="s">
        <v>146</v>
      </c>
    </row>
    <row r="2148" spans="1:12" ht="15.75">
      <c r="A2148" s="67">
        <f t="shared" si="33"/>
        <v>2146</v>
      </c>
      <c r="B2148" s="164">
        <v>2146</v>
      </c>
      <c r="C2148" s="193" t="s">
        <v>3441</v>
      </c>
      <c r="D2148" s="195" t="s">
        <v>6709</v>
      </c>
      <c r="E2148" s="193" t="s">
        <v>9259</v>
      </c>
      <c r="F2148" s="193" t="s">
        <v>59</v>
      </c>
      <c r="G2148" s="195" t="s">
        <v>234</v>
      </c>
      <c r="H2148" s="166" t="s">
        <v>13436</v>
      </c>
      <c r="I2148" s="193" t="s">
        <v>12819</v>
      </c>
      <c r="J2148" s="193" t="s">
        <v>147</v>
      </c>
      <c r="K2148" s="170"/>
      <c r="L2148" s="193"/>
    </row>
    <row r="2149" spans="1:12" ht="30">
      <c r="A2149" s="67">
        <f t="shared" si="33"/>
        <v>2147</v>
      </c>
      <c r="B2149" s="164">
        <v>2147</v>
      </c>
      <c r="C2149" s="193" t="s">
        <v>3442</v>
      </c>
      <c r="D2149" s="195" t="s">
        <v>6710</v>
      </c>
      <c r="E2149" s="193" t="s">
        <v>498</v>
      </c>
      <c r="F2149" s="193" t="s">
        <v>114</v>
      </c>
      <c r="G2149" s="195" t="s">
        <v>11426</v>
      </c>
      <c r="H2149" s="166" t="s">
        <v>13436</v>
      </c>
      <c r="I2149" s="193" t="s">
        <v>12826</v>
      </c>
      <c r="J2149" s="193" t="s">
        <v>12622</v>
      </c>
      <c r="K2149" s="170"/>
      <c r="L2149" s="193" t="s">
        <v>146</v>
      </c>
    </row>
    <row r="2150" spans="1:12" ht="30">
      <c r="A2150" s="67">
        <f t="shared" si="33"/>
        <v>2148</v>
      </c>
      <c r="B2150" s="164">
        <v>2148</v>
      </c>
      <c r="C2150" s="193" t="s">
        <v>3443</v>
      </c>
      <c r="D2150" s="195" t="s">
        <v>6711</v>
      </c>
      <c r="E2150" s="193" t="s">
        <v>9260</v>
      </c>
      <c r="F2150" s="193" t="s">
        <v>114</v>
      </c>
      <c r="G2150" s="195" t="s">
        <v>11427</v>
      </c>
      <c r="H2150" s="166" t="s">
        <v>13436</v>
      </c>
      <c r="I2150" s="193" t="s">
        <v>12827</v>
      </c>
      <c r="J2150" s="193" t="s">
        <v>12623</v>
      </c>
      <c r="K2150" s="170"/>
      <c r="L2150" s="193" t="s">
        <v>146</v>
      </c>
    </row>
    <row r="2151" spans="1:12" ht="15.75">
      <c r="A2151" s="67">
        <f t="shared" si="33"/>
        <v>2149</v>
      </c>
      <c r="B2151" s="164">
        <v>2149</v>
      </c>
      <c r="C2151" s="193" t="s">
        <v>3444</v>
      </c>
      <c r="D2151" s="195" t="s">
        <v>6712</v>
      </c>
      <c r="E2151" s="193" t="s">
        <v>9261</v>
      </c>
      <c r="F2151" s="193" t="s">
        <v>114</v>
      </c>
      <c r="G2151" s="195" t="s">
        <v>1141</v>
      </c>
      <c r="H2151" s="166" t="s">
        <v>13436</v>
      </c>
      <c r="I2151" s="193" t="s">
        <v>12826</v>
      </c>
      <c r="J2151" s="193" t="s">
        <v>146</v>
      </c>
      <c r="K2151" s="170"/>
      <c r="L2151" s="193" t="s">
        <v>146</v>
      </c>
    </row>
    <row r="2152" spans="1:12" ht="30">
      <c r="A2152" s="67">
        <f t="shared" si="33"/>
        <v>2150</v>
      </c>
      <c r="B2152" s="164">
        <v>2150</v>
      </c>
      <c r="C2152" s="193" t="s">
        <v>3445</v>
      </c>
      <c r="D2152" s="195" t="s">
        <v>6713</v>
      </c>
      <c r="E2152" s="193" t="s">
        <v>9262</v>
      </c>
      <c r="F2152" s="193" t="s">
        <v>114</v>
      </c>
      <c r="G2152" s="195" t="s">
        <v>11428</v>
      </c>
      <c r="H2152" s="166" t="s">
        <v>13436</v>
      </c>
      <c r="I2152" s="193" t="s">
        <v>12825</v>
      </c>
      <c r="J2152" s="193" t="s">
        <v>12624</v>
      </c>
      <c r="K2152" s="170"/>
      <c r="L2152" s="193" t="s">
        <v>146</v>
      </c>
    </row>
    <row r="2153" spans="1:12" ht="15.75">
      <c r="A2153" s="67">
        <f t="shared" si="33"/>
        <v>2151</v>
      </c>
      <c r="B2153" s="164">
        <v>2151</v>
      </c>
      <c r="C2153" s="193" t="s">
        <v>3446</v>
      </c>
      <c r="D2153" s="195" t="s">
        <v>6714</v>
      </c>
      <c r="E2153" s="193" t="s">
        <v>9263</v>
      </c>
      <c r="F2153" s="193" t="s">
        <v>114</v>
      </c>
      <c r="G2153" s="195" t="s">
        <v>11342</v>
      </c>
      <c r="H2153" s="166" t="s">
        <v>13436</v>
      </c>
      <c r="I2153" s="193" t="s">
        <v>12813</v>
      </c>
      <c r="J2153" s="193" t="s">
        <v>146</v>
      </c>
      <c r="K2153" s="170"/>
      <c r="L2153" s="193" t="s">
        <v>146</v>
      </c>
    </row>
    <row r="2154" spans="1:12" ht="15.75">
      <c r="A2154" s="67">
        <f t="shared" si="33"/>
        <v>2152</v>
      </c>
      <c r="B2154" s="164">
        <v>2152</v>
      </c>
      <c r="C2154" s="193" t="s">
        <v>3447</v>
      </c>
      <c r="D2154" s="195" t="s">
        <v>6715</v>
      </c>
      <c r="E2154" s="193" t="s">
        <v>8587</v>
      </c>
      <c r="F2154" s="193" t="s">
        <v>114</v>
      </c>
      <c r="G2154" s="195" t="s">
        <v>11429</v>
      </c>
      <c r="H2154" s="166" t="s">
        <v>13436</v>
      </c>
      <c r="I2154" s="193" t="s">
        <v>12821</v>
      </c>
      <c r="J2154" s="193" t="s">
        <v>146</v>
      </c>
      <c r="K2154" s="170"/>
      <c r="L2154" s="193" t="s">
        <v>146</v>
      </c>
    </row>
    <row r="2155" spans="1:12" ht="15.75">
      <c r="A2155" s="67">
        <f t="shared" si="33"/>
        <v>2153</v>
      </c>
      <c r="B2155" s="164">
        <v>2153</v>
      </c>
      <c r="C2155" s="193" t="s">
        <v>3448</v>
      </c>
      <c r="D2155" s="195" t="s">
        <v>6716</v>
      </c>
      <c r="E2155" s="193" t="s">
        <v>8515</v>
      </c>
      <c r="F2155" s="193" t="s">
        <v>114</v>
      </c>
      <c r="G2155" s="195" t="s">
        <v>11430</v>
      </c>
      <c r="H2155" s="166" t="s">
        <v>13436</v>
      </c>
      <c r="I2155" s="193" t="s">
        <v>12826</v>
      </c>
      <c r="J2155" s="193" t="s">
        <v>12253</v>
      </c>
      <c r="K2155" s="170"/>
      <c r="L2155" s="193" t="s">
        <v>146</v>
      </c>
    </row>
    <row r="2156" spans="1:12" ht="15.75">
      <c r="A2156" s="67">
        <f t="shared" si="33"/>
        <v>2154</v>
      </c>
      <c r="B2156" s="164">
        <v>2154</v>
      </c>
      <c r="C2156" s="193" t="s">
        <v>3449</v>
      </c>
      <c r="D2156" s="195" t="s">
        <v>6717</v>
      </c>
      <c r="E2156" s="193" t="s">
        <v>9264</v>
      </c>
      <c r="F2156" s="193" t="s">
        <v>114</v>
      </c>
      <c r="G2156" s="195" t="s">
        <v>11431</v>
      </c>
      <c r="H2156" s="166" t="s">
        <v>13436</v>
      </c>
      <c r="I2156" s="193" t="s">
        <v>12825</v>
      </c>
      <c r="J2156" s="219" t="s">
        <v>146</v>
      </c>
      <c r="K2156" s="170"/>
      <c r="L2156" s="193" t="s">
        <v>146</v>
      </c>
    </row>
    <row r="2157" spans="1:12" ht="30">
      <c r="A2157" s="67">
        <f t="shared" si="33"/>
        <v>2155</v>
      </c>
      <c r="B2157" s="164">
        <v>2155</v>
      </c>
      <c r="C2157" s="193" t="s">
        <v>3450</v>
      </c>
      <c r="D2157" s="195" t="s">
        <v>6718</v>
      </c>
      <c r="E2157" s="193" t="s">
        <v>9265</v>
      </c>
      <c r="F2157" s="193" t="s">
        <v>114</v>
      </c>
      <c r="G2157" s="195" t="s">
        <v>11432</v>
      </c>
      <c r="H2157" s="166" t="s">
        <v>13436</v>
      </c>
      <c r="I2157" s="193" t="s">
        <v>12826</v>
      </c>
      <c r="J2157" s="219" t="s">
        <v>1282</v>
      </c>
      <c r="K2157" s="170"/>
      <c r="L2157" s="219" t="s">
        <v>146</v>
      </c>
    </row>
    <row r="2158" spans="1:12" ht="15.75">
      <c r="A2158" s="67">
        <f t="shared" si="33"/>
        <v>2156</v>
      </c>
      <c r="B2158" s="164">
        <v>2156</v>
      </c>
      <c r="C2158" s="193" t="s">
        <v>3451</v>
      </c>
      <c r="D2158" s="195" t="s">
        <v>6719</v>
      </c>
      <c r="E2158" s="193" t="s">
        <v>9266</v>
      </c>
      <c r="F2158" s="193" t="s">
        <v>59</v>
      </c>
      <c r="G2158" s="195" t="s">
        <v>1217</v>
      </c>
      <c r="H2158" s="166" t="s">
        <v>13436</v>
      </c>
      <c r="I2158" s="193" t="s">
        <v>12817</v>
      </c>
      <c r="J2158" s="219" t="s">
        <v>146</v>
      </c>
      <c r="K2158" s="170"/>
      <c r="L2158" s="193"/>
    </row>
    <row r="2159" spans="1:12" ht="30">
      <c r="A2159" s="67">
        <f t="shared" si="33"/>
        <v>2157</v>
      </c>
      <c r="B2159" s="164">
        <v>2157</v>
      </c>
      <c r="C2159" s="193" t="s">
        <v>3452</v>
      </c>
      <c r="D2159" s="195" t="s">
        <v>6720</v>
      </c>
      <c r="E2159" s="193" t="s">
        <v>9267</v>
      </c>
      <c r="F2159" s="193" t="s">
        <v>114</v>
      </c>
      <c r="G2159" s="195" t="s">
        <v>11433</v>
      </c>
      <c r="H2159" s="166" t="s">
        <v>13436</v>
      </c>
      <c r="I2159" s="193" t="s">
        <v>12820</v>
      </c>
      <c r="J2159" s="219" t="s">
        <v>1289</v>
      </c>
      <c r="K2159" s="170"/>
      <c r="L2159" s="219" t="s">
        <v>146</v>
      </c>
    </row>
    <row r="2160" spans="1:12" ht="15.75">
      <c r="A2160" s="67">
        <f t="shared" si="33"/>
        <v>2158</v>
      </c>
      <c r="B2160" s="164">
        <v>2158</v>
      </c>
      <c r="C2160" s="193" t="s">
        <v>3453</v>
      </c>
      <c r="D2160" s="195" t="s">
        <v>6721</v>
      </c>
      <c r="E2160" s="193" t="s">
        <v>9268</v>
      </c>
      <c r="F2160" s="193" t="s">
        <v>114</v>
      </c>
      <c r="G2160" s="195" t="s">
        <v>1053</v>
      </c>
      <c r="H2160" s="166" t="s">
        <v>13436</v>
      </c>
      <c r="I2160" s="193" t="s">
        <v>12813</v>
      </c>
      <c r="J2160" s="193" t="s">
        <v>146</v>
      </c>
      <c r="K2160" s="170"/>
      <c r="L2160" s="193" t="s">
        <v>146</v>
      </c>
    </row>
    <row r="2161" spans="1:12" ht="15.75">
      <c r="A2161" s="67">
        <f t="shared" si="33"/>
        <v>2159</v>
      </c>
      <c r="B2161" s="164">
        <v>2159</v>
      </c>
      <c r="C2161" s="193" t="s">
        <v>3454</v>
      </c>
      <c r="D2161" s="195" t="s">
        <v>6722</v>
      </c>
      <c r="E2161" s="193" t="s">
        <v>9269</v>
      </c>
      <c r="F2161" s="193" t="s">
        <v>59</v>
      </c>
      <c r="G2161" s="195" t="s">
        <v>1059</v>
      </c>
      <c r="H2161" s="166" t="s">
        <v>13436</v>
      </c>
      <c r="I2161" s="193" t="s">
        <v>12825</v>
      </c>
      <c r="J2161" s="193" t="s">
        <v>146</v>
      </c>
      <c r="K2161" s="170"/>
      <c r="L2161" s="193"/>
    </row>
    <row r="2162" spans="1:12" ht="30">
      <c r="A2162" s="67">
        <f t="shared" si="33"/>
        <v>2160</v>
      </c>
      <c r="B2162" s="164">
        <v>2160</v>
      </c>
      <c r="C2162" s="193" t="s">
        <v>3455</v>
      </c>
      <c r="D2162" s="195" t="s">
        <v>6723</v>
      </c>
      <c r="E2162" s="193" t="s">
        <v>9270</v>
      </c>
      <c r="F2162" s="193" t="s">
        <v>114</v>
      </c>
      <c r="G2162" s="195" t="s">
        <v>11355</v>
      </c>
      <c r="H2162" s="166" t="s">
        <v>13436</v>
      </c>
      <c r="I2162" s="193" t="s">
        <v>12821</v>
      </c>
      <c r="J2162" s="193" t="s">
        <v>146</v>
      </c>
      <c r="K2162" s="170"/>
      <c r="L2162" s="193" t="s">
        <v>13333</v>
      </c>
    </row>
    <row r="2163" spans="1:12" ht="30">
      <c r="A2163" s="67">
        <f t="shared" si="33"/>
        <v>2161</v>
      </c>
      <c r="B2163" s="164">
        <v>2161</v>
      </c>
      <c r="C2163" s="193" t="s">
        <v>3456</v>
      </c>
      <c r="D2163" s="195" t="s">
        <v>6724</v>
      </c>
      <c r="E2163" s="193" t="s">
        <v>329</v>
      </c>
      <c r="F2163" s="193" t="s">
        <v>114</v>
      </c>
      <c r="G2163" s="195" t="s">
        <v>877</v>
      </c>
      <c r="H2163" s="166" t="s">
        <v>13436</v>
      </c>
      <c r="I2163" s="193" t="s">
        <v>12821</v>
      </c>
      <c r="J2163" s="193" t="s">
        <v>12625</v>
      </c>
      <c r="K2163" s="170"/>
      <c r="L2163" s="193" t="s">
        <v>13334</v>
      </c>
    </row>
    <row r="2164" spans="1:12" ht="30">
      <c r="A2164" s="67">
        <f t="shared" si="33"/>
        <v>2162</v>
      </c>
      <c r="B2164" s="164">
        <v>2162</v>
      </c>
      <c r="C2164" s="193" t="s">
        <v>3457</v>
      </c>
      <c r="D2164" s="195" t="s">
        <v>6725</v>
      </c>
      <c r="E2164" s="193" t="s">
        <v>154</v>
      </c>
      <c r="F2164" s="193" t="s">
        <v>114</v>
      </c>
      <c r="G2164" s="195" t="s">
        <v>890</v>
      </c>
      <c r="H2164" s="166" t="s">
        <v>13436</v>
      </c>
      <c r="I2164" s="193" t="s">
        <v>12825</v>
      </c>
      <c r="J2164" s="193" t="s">
        <v>12626</v>
      </c>
      <c r="K2164" s="170"/>
      <c r="L2164" s="193" t="s">
        <v>146</v>
      </c>
    </row>
    <row r="2165" spans="1:12" ht="30">
      <c r="A2165" s="67">
        <f t="shared" si="33"/>
        <v>2163</v>
      </c>
      <c r="B2165" s="164">
        <v>2163</v>
      </c>
      <c r="C2165" s="193" t="s">
        <v>3458</v>
      </c>
      <c r="D2165" s="195" t="s">
        <v>6726</v>
      </c>
      <c r="E2165" s="193" t="s">
        <v>9271</v>
      </c>
      <c r="F2165" s="193" t="s">
        <v>114</v>
      </c>
      <c r="G2165" s="195" t="s">
        <v>925</v>
      </c>
      <c r="H2165" s="166" t="s">
        <v>13436</v>
      </c>
      <c r="I2165" s="193" t="s">
        <v>12826</v>
      </c>
      <c r="J2165" s="193" t="s">
        <v>12627</v>
      </c>
      <c r="K2165" s="170"/>
      <c r="L2165" s="193" t="s">
        <v>146</v>
      </c>
    </row>
    <row r="2166" spans="1:12" ht="30">
      <c r="A2166" s="67">
        <f t="shared" si="33"/>
        <v>2164</v>
      </c>
      <c r="B2166" s="164">
        <v>2164</v>
      </c>
      <c r="C2166" s="193" t="s">
        <v>3459</v>
      </c>
      <c r="D2166" s="195" t="s">
        <v>6727</v>
      </c>
      <c r="E2166" s="193" t="s">
        <v>9272</v>
      </c>
      <c r="F2166" s="193" t="s">
        <v>114</v>
      </c>
      <c r="G2166" s="195" t="s">
        <v>11434</v>
      </c>
      <c r="H2166" s="166" t="s">
        <v>13436</v>
      </c>
      <c r="I2166" s="193" t="s">
        <v>12814</v>
      </c>
      <c r="J2166" s="193" t="s">
        <v>12628</v>
      </c>
      <c r="K2166" s="170"/>
      <c r="L2166" s="193" t="s">
        <v>146</v>
      </c>
    </row>
    <row r="2167" spans="1:12" ht="30">
      <c r="A2167" s="67">
        <f t="shared" si="33"/>
        <v>2165</v>
      </c>
      <c r="B2167" s="164">
        <v>2165</v>
      </c>
      <c r="C2167" s="193" t="s">
        <v>3460</v>
      </c>
      <c r="D2167" s="195" t="s">
        <v>6728</v>
      </c>
      <c r="E2167" s="193" t="s">
        <v>9273</v>
      </c>
      <c r="F2167" s="193" t="s">
        <v>114</v>
      </c>
      <c r="G2167" s="195" t="s">
        <v>11435</v>
      </c>
      <c r="H2167" s="166" t="s">
        <v>13436</v>
      </c>
      <c r="I2167" s="193" t="s">
        <v>12821</v>
      </c>
      <c r="J2167" s="193" t="s">
        <v>146</v>
      </c>
      <c r="K2167" s="170"/>
      <c r="L2167" s="193" t="s">
        <v>13335</v>
      </c>
    </row>
    <row r="2168" spans="1:12" ht="30">
      <c r="A2168" s="67">
        <f t="shared" si="33"/>
        <v>2166</v>
      </c>
      <c r="B2168" s="164">
        <v>2166</v>
      </c>
      <c r="C2168" s="193" t="s">
        <v>3461</v>
      </c>
      <c r="D2168" s="195" t="s">
        <v>6729</v>
      </c>
      <c r="E2168" s="193" t="s">
        <v>9274</v>
      </c>
      <c r="F2168" s="193" t="s">
        <v>114</v>
      </c>
      <c r="G2168" s="195" t="s">
        <v>11387</v>
      </c>
      <c r="H2168" s="166" t="s">
        <v>13436</v>
      </c>
      <c r="I2168" s="193" t="s">
        <v>12825</v>
      </c>
      <c r="J2168" s="219" t="s">
        <v>12106</v>
      </c>
      <c r="K2168" s="170"/>
      <c r="L2168" s="219" t="s">
        <v>146</v>
      </c>
    </row>
    <row r="2169" spans="1:12" ht="15.75">
      <c r="A2169" s="67">
        <f t="shared" si="33"/>
        <v>2167</v>
      </c>
      <c r="B2169" s="164">
        <v>2167</v>
      </c>
      <c r="C2169" s="193" t="s">
        <v>3462</v>
      </c>
      <c r="D2169" s="195" t="s">
        <v>6730</v>
      </c>
      <c r="E2169" s="193" t="s">
        <v>8125</v>
      </c>
      <c r="F2169" s="193" t="s">
        <v>114</v>
      </c>
      <c r="G2169" s="195" t="s">
        <v>865</v>
      </c>
      <c r="H2169" s="166" t="s">
        <v>13436</v>
      </c>
      <c r="I2169" s="193" t="s">
        <v>12824</v>
      </c>
      <c r="J2169" s="193" t="s">
        <v>146</v>
      </c>
      <c r="K2169" s="170"/>
      <c r="L2169" s="193" t="s">
        <v>146</v>
      </c>
    </row>
    <row r="2170" spans="1:12" ht="30">
      <c r="A2170" s="67">
        <f t="shared" si="33"/>
        <v>2168</v>
      </c>
      <c r="B2170" s="164">
        <v>2168</v>
      </c>
      <c r="C2170" s="193" t="s">
        <v>3463</v>
      </c>
      <c r="D2170" s="195" t="s">
        <v>6731</v>
      </c>
      <c r="E2170" s="193" t="s">
        <v>8432</v>
      </c>
      <c r="F2170" s="193" t="s">
        <v>114</v>
      </c>
      <c r="G2170" s="195" t="s">
        <v>11436</v>
      </c>
      <c r="H2170" s="166" t="s">
        <v>13436</v>
      </c>
      <c r="I2170" s="193" t="s">
        <v>12813</v>
      </c>
      <c r="J2170" s="193" t="s">
        <v>146</v>
      </c>
      <c r="K2170" s="170"/>
      <c r="L2170" s="193" t="s">
        <v>13336</v>
      </c>
    </row>
    <row r="2171" spans="1:12" ht="30">
      <c r="A2171" s="67">
        <f t="shared" si="33"/>
        <v>2169</v>
      </c>
      <c r="B2171" s="164">
        <v>2169</v>
      </c>
      <c r="C2171" s="193" t="s">
        <v>3464</v>
      </c>
      <c r="D2171" s="195" t="s">
        <v>6732</v>
      </c>
      <c r="E2171" s="193" t="s">
        <v>9275</v>
      </c>
      <c r="F2171" s="193" t="s">
        <v>114</v>
      </c>
      <c r="G2171" s="195" t="s">
        <v>1141</v>
      </c>
      <c r="H2171" s="166" t="s">
        <v>13436</v>
      </c>
      <c r="I2171" s="193" t="s">
        <v>12827</v>
      </c>
      <c r="J2171" s="193" t="s">
        <v>12629</v>
      </c>
      <c r="K2171" s="170"/>
      <c r="L2171" s="193" t="s">
        <v>146</v>
      </c>
    </row>
    <row r="2172" spans="1:12" ht="30">
      <c r="A2172" s="67">
        <f t="shared" si="33"/>
        <v>2170</v>
      </c>
      <c r="B2172" s="164">
        <v>2170</v>
      </c>
      <c r="C2172" s="193" t="s">
        <v>3465</v>
      </c>
      <c r="D2172" s="195" t="s">
        <v>6733</v>
      </c>
      <c r="E2172" s="193" t="s">
        <v>9276</v>
      </c>
      <c r="F2172" s="193" t="s">
        <v>114</v>
      </c>
      <c r="G2172" s="195" t="s">
        <v>11437</v>
      </c>
      <c r="H2172" s="166" t="s">
        <v>13436</v>
      </c>
      <c r="I2172" s="193" t="s">
        <v>12827</v>
      </c>
      <c r="J2172" s="193" t="s">
        <v>12630</v>
      </c>
      <c r="K2172" s="170"/>
      <c r="L2172" s="193" t="s">
        <v>146</v>
      </c>
    </row>
    <row r="2173" spans="1:12" ht="15.75">
      <c r="A2173" s="67">
        <f t="shared" si="33"/>
        <v>2171</v>
      </c>
      <c r="B2173" s="164">
        <v>2171</v>
      </c>
      <c r="C2173" s="193" t="s">
        <v>3466</v>
      </c>
      <c r="D2173" s="195" t="s">
        <v>6734</v>
      </c>
      <c r="E2173" s="193" t="s">
        <v>9277</v>
      </c>
      <c r="F2173" s="193" t="s">
        <v>59</v>
      </c>
      <c r="G2173" s="195" t="s">
        <v>878</v>
      </c>
      <c r="H2173" s="166" t="s">
        <v>13436</v>
      </c>
      <c r="I2173" s="193" t="s">
        <v>12813</v>
      </c>
      <c r="J2173" s="193" t="s">
        <v>146</v>
      </c>
      <c r="K2173" s="170"/>
      <c r="L2173" s="193"/>
    </row>
    <row r="2174" spans="1:12" ht="15.75">
      <c r="A2174" s="67">
        <f t="shared" si="33"/>
        <v>2172</v>
      </c>
      <c r="B2174" s="164">
        <v>2172</v>
      </c>
      <c r="C2174" s="193" t="s">
        <v>3467</v>
      </c>
      <c r="D2174" s="195" t="s">
        <v>6735</v>
      </c>
      <c r="E2174" s="193" t="s">
        <v>9278</v>
      </c>
      <c r="F2174" s="193" t="s">
        <v>59</v>
      </c>
      <c r="G2174" s="195" t="s">
        <v>822</v>
      </c>
      <c r="H2174" s="166" t="s">
        <v>13436</v>
      </c>
      <c r="I2174" s="193" t="s">
        <v>12817</v>
      </c>
      <c r="J2174" s="193" t="s">
        <v>147</v>
      </c>
      <c r="K2174" s="170"/>
      <c r="L2174" s="193"/>
    </row>
    <row r="2175" spans="1:12" ht="30">
      <c r="A2175" s="67">
        <f t="shared" si="33"/>
        <v>2173</v>
      </c>
      <c r="B2175" s="164">
        <v>2173</v>
      </c>
      <c r="C2175" s="193" t="s">
        <v>3468</v>
      </c>
      <c r="D2175" s="195" t="s">
        <v>6736</v>
      </c>
      <c r="E2175" s="193" t="s">
        <v>319</v>
      </c>
      <c r="F2175" s="193" t="s">
        <v>114</v>
      </c>
      <c r="G2175" s="195" t="s">
        <v>1232</v>
      </c>
      <c r="H2175" s="166" t="s">
        <v>13436</v>
      </c>
      <c r="I2175" s="193" t="s">
        <v>12819</v>
      </c>
      <c r="J2175" s="193" t="s">
        <v>12631</v>
      </c>
      <c r="K2175" s="170"/>
      <c r="L2175" s="193" t="s">
        <v>13337</v>
      </c>
    </row>
    <row r="2176" spans="1:12" ht="30">
      <c r="A2176" s="67">
        <f t="shared" si="33"/>
        <v>2174</v>
      </c>
      <c r="B2176" s="164">
        <v>2174</v>
      </c>
      <c r="C2176" s="193" t="s">
        <v>3469</v>
      </c>
      <c r="D2176" s="195" t="s">
        <v>6737</v>
      </c>
      <c r="E2176" s="193" t="s">
        <v>156</v>
      </c>
      <c r="F2176" s="193" t="s">
        <v>114</v>
      </c>
      <c r="G2176" s="195" t="s">
        <v>11438</v>
      </c>
      <c r="H2176" s="166" t="s">
        <v>13436</v>
      </c>
      <c r="I2176" s="193" t="s">
        <v>12835</v>
      </c>
      <c r="J2176" s="219" t="s">
        <v>146</v>
      </c>
      <c r="K2176" s="170"/>
      <c r="L2176" s="193" t="s">
        <v>13338</v>
      </c>
    </row>
    <row r="2177" spans="1:12" ht="15.75">
      <c r="A2177" s="67">
        <f t="shared" si="33"/>
        <v>2175</v>
      </c>
      <c r="B2177" s="164">
        <v>2175</v>
      </c>
      <c r="C2177" s="193" t="s">
        <v>3470</v>
      </c>
      <c r="D2177" s="195" t="s">
        <v>6738</v>
      </c>
      <c r="E2177" s="193" t="s">
        <v>9279</v>
      </c>
      <c r="F2177" s="193" t="s">
        <v>59</v>
      </c>
      <c r="G2177" s="195" t="s">
        <v>11439</v>
      </c>
      <c r="H2177" s="166" t="s">
        <v>13436</v>
      </c>
      <c r="I2177" s="193" t="s">
        <v>12813</v>
      </c>
      <c r="J2177" s="193" t="s">
        <v>12632</v>
      </c>
      <c r="K2177" s="170"/>
      <c r="L2177" s="193"/>
    </row>
    <row r="2178" spans="1:12" ht="30">
      <c r="A2178" s="67">
        <f t="shared" si="33"/>
        <v>2176</v>
      </c>
      <c r="B2178" s="164">
        <v>2176</v>
      </c>
      <c r="C2178" s="193" t="s">
        <v>3471</v>
      </c>
      <c r="D2178" s="195" t="s">
        <v>6739</v>
      </c>
      <c r="E2178" s="193" t="s">
        <v>9280</v>
      </c>
      <c r="F2178" s="193" t="s">
        <v>59</v>
      </c>
      <c r="G2178" s="195" t="s">
        <v>11440</v>
      </c>
      <c r="H2178" s="166" t="s">
        <v>13436</v>
      </c>
      <c r="I2178" s="193" t="s">
        <v>12821</v>
      </c>
      <c r="J2178" s="193" t="s">
        <v>12633</v>
      </c>
      <c r="K2178" s="170"/>
      <c r="L2178" s="193"/>
    </row>
    <row r="2179" spans="1:12" ht="30">
      <c r="A2179" s="67">
        <f t="shared" ref="A2179:A2242" si="34">IFERROR(VALUE(RIGHT(C2179,4)),"")</f>
        <v>2177</v>
      </c>
      <c r="B2179" s="164">
        <v>2177</v>
      </c>
      <c r="C2179" s="193" t="s">
        <v>3472</v>
      </c>
      <c r="D2179" s="195" t="s">
        <v>6740</v>
      </c>
      <c r="E2179" s="193" t="s">
        <v>9281</v>
      </c>
      <c r="F2179" s="193" t="s">
        <v>114</v>
      </c>
      <c r="G2179" s="195" t="s">
        <v>1053</v>
      </c>
      <c r="H2179" s="166" t="s">
        <v>13436</v>
      </c>
      <c r="I2179" s="193" t="s">
        <v>12826</v>
      </c>
      <c r="J2179" s="219" t="s">
        <v>1284</v>
      </c>
      <c r="K2179" s="170"/>
      <c r="L2179" s="219" t="s">
        <v>146</v>
      </c>
    </row>
    <row r="2180" spans="1:12" ht="15.75">
      <c r="A2180" s="67">
        <f t="shared" si="34"/>
        <v>2178</v>
      </c>
      <c r="B2180" s="164">
        <v>2178</v>
      </c>
      <c r="C2180" s="193" t="s">
        <v>3473</v>
      </c>
      <c r="D2180" s="195" t="s">
        <v>6741</v>
      </c>
      <c r="E2180" s="193" t="s">
        <v>184</v>
      </c>
      <c r="F2180" s="193" t="s">
        <v>114</v>
      </c>
      <c r="G2180" s="195" t="s">
        <v>11441</v>
      </c>
      <c r="H2180" s="166" t="s">
        <v>13436</v>
      </c>
      <c r="I2180" s="193" t="s">
        <v>12825</v>
      </c>
      <c r="J2180" s="193" t="s">
        <v>12634</v>
      </c>
      <c r="K2180" s="170"/>
      <c r="L2180" s="193" t="s">
        <v>146</v>
      </c>
    </row>
    <row r="2181" spans="1:12" ht="15.75">
      <c r="A2181" s="67">
        <f t="shared" si="34"/>
        <v>2179</v>
      </c>
      <c r="B2181" s="164">
        <v>2179</v>
      </c>
      <c r="C2181" s="193" t="s">
        <v>3474</v>
      </c>
      <c r="D2181" s="195" t="s">
        <v>6742</v>
      </c>
      <c r="E2181" s="193" t="s">
        <v>9282</v>
      </c>
      <c r="F2181" s="193" t="s">
        <v>59</v>
      </c>
      <c r="G2181" s="195" t="s">
        <v>921</v>
      </c>
      <c r="H2181" s="166" t="s">
        <v>13436</v>
      </c>
      <c r="I2181" s="193" t="s">
        <v>12808</v>
      </c>
      <c r="J2181" s="193" t="s">
        <v>147</v>
      </c>
      <c r="K2181" s="170"/>
      <c r="L2181" s="193"/>
    </row>
    <row r="2182" spans="1:12" ht="15.75">
      <c r="A2182" s="67">
        <f t="shared" si="34"/>
        <v>2180</v>
      </c>
      <c r="B2182" s="164">
        <v>2180</v>
      </c>
      <c r="C2182" s="193" t="s">
        <v>3475</v>
      </c>
      <c r="D2182" s="195" t="s">
        <v>6743</v>
      </c>
      <c r="E2182" s="193" t="s">
        <v>9283</v>
      </c>
      <c r="F2182" s="193" t="s">
        <v>114</v>
      </c>
      <c r="G2182" s="195" t="s">
        <v>1135</v>
      </c>
      <c r="H2182" s="166" t="s">
        <v>13436</v>
      </c>
      <c r="I2182" s="193" t="s">
        <v>12808</v>
      </c>
      <c r="J2182" s="193" t="s">
        <v>146</v>
      </c>
      <c r="K2182" s="170"/>
      <c r="L2182" s="193" t="s">
        <v>146</v>
      </c>
    </row>
    <row r="2183" spans="1:12" ht="30">
      <c r="A2183" s="67">
        <f t="shared" si="34"/>
        <v>2181</v>
      </c>
      <c r="B2183" s="164">
        <v>2181</v>
      </c>
      <c r="C2183" s="193" t="s">
        <v>3476</v>
      </c>
      <c r="D2183" s="195" t="s">
        <v>6744</v>
      </c>
      <c r="E2183" s="193" t="s">
        <v>9284</v>
      </c>
      <c r="F2183" s="193" t="s">
        <v>114</v>
      </c>
      <c r="G2183" s="195" t="s">
        <v>11442</v>
      </c>
      <c r="H2183" s="166" t="s">
        <v>13436</v>
      </c>
      <c r="I2183" s="193" t="s">
        <v>12824</v>
      </c>
      <c r="J2183" s="193" t="s">
        <v>146</v>
      </c>
      <c r="K2183" s="170"/>
      <c r="L2183" s="193" t="s">
        <v>13339</v>
      </c>
    </row>
    <row r="2184" spans="1:12" ht="30">
      <c r="A2184" s="67">
        <f t="shared" si="34"/>
        <v>2182</v>
      </c>
      <c r="B2184" s="164">
        <v>2182</v>
      </c>
      <c r="C2184" s="193" t="s">
        <v>3477</v>
      </c>
      <c r="D2184" s="195" t="s">
        <v>6745</v>
      </c>
      <c r="E2184" s="193" t="s">
        <v>8274</v>
      </c>
      <c r="F2184" s="193" t="s">
        <v>114</v>
      </c>
      <c r="G2184" s="195" t="s">
        <v>821</v>
      </c>
      <c r="H2184" s="166" t="s">
        <v>13436</v>
      </c>
      <c r="I2184" s="193" t="s">
        <v>12838</v>
      </c>
      <c r="J2184" s="193" t="s">
        <v>12635</v>
      </c>
      <c r="K2184" s="170"/>
      <c r="L2184" s="193" t="s">
        <v>146</v>
      </c>
    </row>
    <row r="2185" spans="1:12" ht="15.75">
      <c r="A2185" s="67">
        <f t="shared" si="34"/>
        <v>2183</v>
      </c>
      <c r="B2185" s="164">
        <v>2183</v>
      </c>
      <c r="C2185" s="193" t="s">
        <v>3478</v>
      </c>
      <c r="D2185" s="199" t="s">
        <v>6746</v>
      </c>
      <c r="E2185" s="193" t="s">
        <v>448</v>
      </c>
      <c r="F2185" s="193" t="s">
        <v>59</v>
      </c>
      <c r="G2185" s="195" t="s">
        <v>884</v>
      </c>
      <c r="H2185" s="166" t="s">
        <v>13436</v>
      </c>
      <c r="I2185" s="193" t="s">
        <v>12828</v>
      </c>
      <c r="J2185" s="193" t="s">
        <v>147</v>
      </c>
      <c r="K2185" s="170"/>
      <c r="L2185" s="193"/>
    </row>
    <row r="2186" spans="1:12" ht="30">
      <c r="A2186" s="67">
        <f t="shared" si="34"/>
        <v>2184</v>
      </c>
      <c r="B2186" s="164">
        <v>2184</v>
      </c>
      <c r="C2186" s="193" t="s">
        <v>3479</v>
      </c>
      <c r="D2186" s="195" t="s">
        <v>6747</v>
      </c>
      <c r="E2186" s="193" t="s">
        <v>636</v>
      </c>
      <c r="F2186" s="193" t="s">
        <v>114</v>
      </c>
      <c r="G2186" s="195" t="s">
        <v>918</v>
      </c>
      <c r="H2186" s="166" t="s">
        <v>13436</v>
      </c>
      <c r="I2186" s="193" t="s">
        <v>12821</v>
      </c>
      <c r="J2186" s="193" t="s">
        <v>146</v>
      </c>
      <c r="K2186" s="170"/>
      <c r="L2186" s="193" t="s">
        <v>13340</v>
      </c>
    </row>
    <row r="2187" spans="1:12" ht="30">
      <c r="A2187" s="67">
        <f t="shared" si="34"/>
        <v>2185</v>
      </c>
      <c r="B2187" s="164">
        <v>2185</v>
      </c>
      <c r="C2187" s="193" t="s">
        <v>3480</v>
      </c>
      <c r="D2187" s="195" t="s">
        <v>6748</v>
      </c>
      <c r="E2187" s="193" t="s">
        <v>9285</v>
      </c>
      <c r="F2187" s="193" t="s">
        <v>114</v>
      </c>
      <c r="G2187" s="195" t="s">
        <v>11443</v>
      </c>
      <c r="H2187" s="166" t="s">
        <v>13436</v>
      </c>
      <c r="I2187" s="193" t="s">
        <v>12819</v>
      </c>
      <c r="J2187" s="193" t="s">
        <v>12636</v>
      </c>
      <c r="K2187" s="170"/>
      <c r="L2187" s="193" t="s">
        <v>146</v>
      </c>
    </row>
    <row r="2188" spans="1:12" ht="15.75">
      <c r="A2188" s="67">
        <f t="shared" si="34"/>
        <v>2186</v>
      </c>
      <c r="B2188" s="164">
        <v>2186</v>
      </c>
      <c r="C2188" s="193" t="s">
        <v>3481</v>
      </c>
      <c r="D2188" s="197" t="s">
        <v>6749</v>
      </c>
      <c r="E2188" s="193" t="s">
        <v>9286</v>
      </c>
      <c r="F2188" s="193" t="s">
        <v>114</v>
      </c>
      <c r="G2188" s="195" t="s">
        <v>1173</v>
      </c>
      <c r="H2188" s="166" t="s">
        <v>13436</v>
      </c>
      <c r="I2188" s="193" t="s">
        <v>12816</v>
      </c>
      <c r="J2188" s="193" t="s">
        <v>146</v>
      </c>
      <c r="K2188" s="170"/>
      <c r="L2188" s="193" t="s">
        <v>146</v>
      </c>
    </row>
    <row r="2189" spans="1:12" ht="15.75">
      <c r="A2189" s="67">
        <f t="shared" si="34"/>
        <v>2187</v>
      </c>
      <c r="B2189" s="164">
        <v>2187</v>
      </c>
      <c r="C2189" s="193" t="s">
        <v>3482</v>
      </c>
      <c r="D2189" s="195" t="s">
        <v>6750</v>
      </c>
      <c r="E2189" s="193" t="s">
        <v>9287</v>
      </c>
      <c r="F2189" s="193" t="s">
        <v>114</v>
      </c>
      <c r="G2189" s="195" t="s">
        <v>11444</v>
      </c>
      <c r="H2189" s="166" t="s">
        <v>13436</v>
      </c>
      <c r="I2189" s="193" t="s">
        <v>12814</v>
      </c>
      <c r="J2189" s="219" t="s">
        <v>146</v>
      </c>
      <c r="K2189" s="170"/>
      <c r="L2189" s="219" t="s">
        <v>146</v>
      </c>
    </row>
    <row r="2190" spans="1:12" ht="15.75">
      <c r="A2190" s="67">
        <f t="shared" si="34"/>
        <v>2188</v>
      </c>
      <c r="B2190" s="164">
        <v>2188</v>
      </c>
      <c r="C2190" s="193" t="s">
        <v>3483</v>
      </c>
      <c r="D2190" s="195" t="s">
        <v>6751</v>
      </c>
      <c r="E2190" s="193" t="s">
        <v>9288</v>
      </c>
      <c r="F2190" s="193" t="s">
        <v>114</v>
      </c>
      <c r="G2190" s="195" t="s">
        <v>11445</v>
      </c>
      <c r="H2190" s="166" t="s">
        <v>13436</v>
      </c>
      <c r="I2190" s="193" t="s">
        <v>12814</v>
      </c>
      <c r="J2190" s="193" t="s">
        <v>146</v>
      </c>
      <c r="K2190" s="170"/>
      <c r="L2190" s="193" t="s">
        <v>146</v>
      </c>
    </row>
    <row r="2191" spans="1:12" ht="15.75">
      <c r="A2191" s="67">
        <f t="shared" si="34"/>
        <v>2189</v>
      </c>
      <c r="B2191" s="164">
        <v>2189</v>
      </c>
      <c r="C2191" s="193" t="s">
        <v>3484</v>
      </c>
      <c r="D2191" s="195" t="s">
        <v>6752</v>
      </c>
      <c r="E2191" s="193" t="s">
        <v>8030</v>
      </c>
      <c r="F2191" s="193" t="s">
        <v>114</v>
      </c>
      <c r="G2191" s="195" t="s">
        <v>11446</v>
      </c>
      <c r="H2191" s="166" t="s">
        <v>13436</v>
      </c>
      <c r="I2191" s="193" t="s">
        <v>12819</v>
      </c>
      <c r="J2191" s="219" t="s">
        <v>146</v>
      </c>
      <c r="K2191" s="170"/>
      <c r="L2191" s="219" t="s">
        <v>146</v>
      </c>
    </row>
    <row r="2192" spans="1:12" ht="15.75">
      <c r="A2192" s="67">
        <f t="shared" si="34"/>
        <v>2190</v>
      </c>
      <c r="B2192" s="164">
        <v>2190</v>
      </c>
      <c r="C2192" s="193" t="s">
        <v>3485</v>
      </c>
      <c r="D2192" s="195" t="s">
        <v>6753</v>
      </c>
      <c r="E2192" s="193" t="s">
        <v>9289</v>
      </c>
      <c r="F2192" s="193" t="s">
        <v>114</v>
      </c>
      <c r="G2192" s="195" t="s">
        <v>11447</v>
      </c>
      <c r="H2192" s="166" t="s">
        <v>13436</v>
      </c>
      <c r="I2192" s="193" t="s">
        <v>12819</v>
      </c>
      <c r="J2192" s="193" t="s">
        <v>146</v>
      </c>
      <c r="K2192" s="170"/>
      <c r="L2192" s="193" t="s">
        <v>146</v>
      </c>
    </row>
    <row r="2193" spans="1:12" ht="30">
      <c r="A2193" s="67">
        <f t="shared" si="34"/>
        <v>2191</v>
      </c>
      <c r="B2193" s="164">
        <v>2191</v>
      </c>
      <c r="C2193" s="193" t="s">
        <v>3486</v>
      </c>
      <c r="D2193" s="195" t="s">
        <v>6754</v>
      </c>
      <c r="E2193" s="193" t="s">
        <v>481</v>
      </c>
      <c r="F2193" s="193" t="s">
        <v>114</v>
      </c>
      <c r="G2193" s="195" t="s">
        <v>11448</v>
      </c>
      <c r="H2193" s="166" t="s">
        <v>13436</v>
      </c>
      <c r="I2193" s="193" t="s">
        <v>12819</v>
      </c>
      <c r="J2193" s="193" t="s">
        <v>12637</v>
      </c>
      <c r="K2193" s="170"/>
      <c r="L2193" s="193" t="s">
        <v>146</v>
      </c>
    </row>
    <row r="2194" spans="1:12" ht="30">
      <c r="A2194" s="67">
        <f t="shared" si="34"/>
        <v>2192</v>
      </c>
      <c r="B2194" s="164">
        <v>2192</v>
      </c>
      <c r="C2194" s="193" t="s">
        <v>3487</v>
      </c>
      <c r="D2194" s="195" t="s">
        <v>6755</v>
      </c>
      <c r="E2194" s="193" t="s">
        <v>9290</v>
      </c>
      <c r="F2194" s="193" t="s">
        <v>114</v>
      </c>
      <c r="G2194" s="195" t="s">
        <v>11449</v>
      </c>
      <c r="H2194" s="166" t="s">
        <v>13436</v>
      </c>
      <c r="I2194" s="193" t="s">
        <v>12819</v>
      </c>
      <c r="J2194" s="193" t="s">
        <v>12638</v>
      </c>
      <c r="K2194" s="170"/>
      <c r="L2194" s="193" t="s">
        <v>146</v>
      </c>
    </row>
    <row r="2195" spans="1:12" ht="15.75">
      <c r="A2195" s="67">
        <f t="shared" si="34"/>
        <v>2193</v>
      </c>
      <c r="B2195" s="164">
        <v>2193</v>
      </c>
      <c r="C2195" s="193" t="s">
        <v>3488</v>
      </c>
      <c r="D2195" s="212" t="s">
        <v>6756</v>
      </c>
      <c r="E2195" s="193" t="s">
        <v>9291</v>
      </c>
      <c r="F2195" s="193" t="s">
        <v>59</v>
      </c>
      <c r="G2195" s="195" t="s">
        <v>1076</v>
      </c>
      <c r="H2195" s="166" t="s">
        <v>13436</v>
      </c>
      <c r="I2195" s="193" t="s">
        <v>12816</v>
      </c>
      <c r="J2195" s="193" t="s">
        <v>146</v>
      </c>
      <c r="K2195" s="170"/>
      <c r="L2195" s="193"/>
    </row>
    <row r="2196" spans="1:12" ht="45">
      <c r="A2196" s="67">
        <f t="shared" si="34"/>
        <v>2194</v>
      </c>
      <c r="B2196" s="164">
        <v>2194</v>
      </c>
      <c r="C2196" s="193" t="s">
        <v>3489</v>
      </c>
      <c r="D2196" s="195" t="s">
        <v>6757</v>
      </c>
      <c r="E2196" s="193" t="s">
        <v>9292</v>
      </c>
      <c r="F2196" s="193" t="s">
        <v>114</v>
      </c>
      <c r="G2196" s="195" t="s">
        <v>11450</v>
      </c>
      <c r="H2196" s="166" t="s">
        <v>13436</v>
      </c>
      <c r="I2196" s="193" t="s">
        <v>12819</v>
      </c>
      <c r="J2196" s="193" t="s">
        <v>146</v>
      </c>
      <c r="K2196" s="170"/>
      <c r="L2196" s="193" t="s">
        <v>13341</v>
      </c>
    </row>
    <row r="2197" spans="1:12" ht="15.75">
      <c r="A2197" s="67">
        <f t="shared" si="34"/>
        <v>2195</v>
      </c>
      <c r="B2197" s="164">
        <v>2195</v>
      </c>
      <c r="C2197" s="193" t="s">
        <v>3490</v>
      </c>
      <c r="D2197" s="195" t="s">
        <v>6758</v>
      </c>
      <c r="E2197" s="193" t="s">
        <v>392</v>
      </c>
      <c r="F2197" s="193" t="s">
        <v>114</v>
      </c>
      <c r="G2197" s="195" t="s">
        <v>1185</v>
      </c>
      <c r="H2197" s="166" t="s">
        <v>13436</v>
      </c>
      <c r="I2197" s="193" t="s">
        <v>12812</v>
      </c>
      <c r="J2197" s="193" t="s">
        <v>146</v>
      </c>
      <c r="K2197" s="170"/>
      <c r="L2197" s="193" t="s">
        <v>146</v>
      </c>
    </row>
    <row r="2198" spans="1:12" ht="15.75">
      <c r="A2198" s="67">
        <f t="shared" si="34"/>
        <v>2196</v>
      </c>
      <c r="B2198" s="164">
        <v>2196</v>
      </c>
      <c r="C2198" s="193" t="s">
        <v>3491</v>
      </c>
      <c r="D2198" s="195" t="s">
        <v>6759</v>
      </c>
      <c r="E2198" s="193" t="s">
        <v>9293</v>
      </c>
      <c r="F2198" s="193" t="s">
        <v>59</v>
      </c>
      <c r="G2198" s="195" t="s">
        <v>1154</v>
      </c>
      <c r="H2198" s="166" t="s">
        <v>13436</v>
      </c>
      <c r="I2198" s="193" t="s">
        <v>12821</v>
      </c>
      <c r="J2198" s="193" t="s">
        <v>147</v>
      </c>
      <c r="K2198" s="170"/>
      <c r="L2198" s="193"/>
    </row>
    <row r="2199" spans="1:12" ht="15.75">
      <c r="A2199" s="67">
        <f t="shared" si="34"/>
        <v>2197</v>
      </c>
      <c r="B2199" s="164">
        <v>2197</v>
      </c>
      <c r="C2199" s="193" t="s">
        <v>3492</v>
      </c>
      <c r="D2199" s="195" t="s">
        <v>6760</v>
      </c>
      <c r="E2199" s="193" t="s">
        <v>9294</v>
      </c>
      <c r="F2199" s="193" t="s">
        <v>114</v>
      </c>
      <c r="G2199" s="195" t="s">
        <v>1066</v>
      </c>
      <c r="H2199" s="166" t="s">
        <v>13436</v>
      </c>
      <c r="I2199" s="193" t="s">
        <v>12835</v>
      </c>
      <c r="J2199" s="219" t="s">
        <v>12639</v>
      </c>
      <c r="K2199" s="170"/>
      <c r="L2199" s="193" t="s">
        <v>146</v>
      </c>
    </row>
    <row r="2200" spans="1:12" ht="30">
      <c r="A2200" s="67">
        <f t="shared" si="34"/>
        <v>2198</v>
      </c>
      <c r="B2200" s="164">
        <v>2198</v>
      </c>
      <c r="C2200" s="193" t="s">
        <v>3493</v>
      </c>
      <c r="D2200" s="195" t="s">
        <v>6761</v>
      </c>
      <c r="E2200" s="193" t="s">
        <v>9295</v>
      </c>
      <c r="F2200" s="193" t="s">
        <v>114</v>
      </c>
      <c r="G2200" s="195" t="s">
        <v>11451</v>
      </c>
      <c r="H2200" s="166" t="s">
        <v>13436</v>
      </c>
      <c r="I2200" s="193" t="s">
        <v>12812</v>
      </c>
      <c r="J2200" s="193" t="s">
        <v>146</v>
      </c>
      <c r="K2200" s="170"/>
      <c r="L2200" s="193" t="s">
        <v>13342</v>
      </c>
    </row>
    <row r="2201" spans="1:12" ht="15.75">
      <c r="A2201" s="67">
        <f t="shared" si="34"/>
        <v>2199</v>
      </c>
      <c r="B2201" s="164">
        <v>2199</v>
      </c>
      <c r="C2201" s="193" t="s">
        <v>3494</v>
      </c>
      <c r="D2201" s="195" t="s">
        <v>6762</v>
      </c>
      <c r="E2201" s="193" t="s">
        <v>9296</v>
      </c>
      <c r="F2201" s="193" t="s">
        <v>59</v>
      </c>
      <c r="G2201" s="195" t="s">
        <v>11452</v>
      </c>
      <c r="H2201" s="166" t="s">
        <v>13436</v>
      </c>
      <c r="I2201" s="193" t="s">
        <v>12819</v>
      </c>
      <c r="J2201" s="193" t="s">
        <v>147</v>
      </c>
      <c r="K2201" s="170"/>
      <c r="L2201" s="193"/>
    </row>
    <row r="2202" spans="1:12" ht="15.75">
      <c r="A2202" s="67">
        <f t="shared" si="34"/>
        <v>2200</v>
      </c>
      <c r="B2202" s="164">
        <v>2200</v>
      </c>
      <c r="C2202" s="193" t="s">
        <v>3495</v>
      </c>
      <c r="D2202" s="195" t="s">
        <v>6763</v>
      </c>
      <c r="E2202" s="193" t="s">
        <v>9297</v>
      </c>
      <c r="F2202" s="193" t="s">
        <v>59</v>
      </c>
      <c r="G2202" s="195" t="s">
        <v>11453</v>
      </c>
      <c r="H2202" s="166" t="s">
        <v>13436</v>
      </c>
      <c r="I2202" s="193" t="s">
        <v>12816</v>
      </c>
      <c r="J2202" s="193" t="s">
        <v>147</v>
      </c>
      <c r="K2202" s="170"/>
      <c r="L2202" s="193"/>
    </row>
    <row r="2203" spans="1:12" ht="15.75">
      <c r="A2203" s="67">
        <f t="shared" si="34"/>
        <v>2201</v>
      </c>
      <c r="B2203" s="164">
        <v>2201</v>
      </c>
      <c r="C2203" s="193" t="s">
        <v>3496</v>
      </c>
      <c r="D2203" s="195" t="s">
        <v>6764</v>
      </c>
      <c r="E2203" s="193" t="s">
        <v>9298</v>
      </c>
      <c r="F2203" s="193" t="s">
        <v>114</v>
      </c>
      <c r="G2203" s="195" t="s">
        <v>11454</v>
      </c>
      <c r="H2203" s="166" t="s">
        <v>13436</v>
      </c>
      <c r="I2203" s="193" t="s">
        <v>12812</v>
      </c>
      <c r="J2203" s="219" t="s">
        <v>146</v>
      </c>
      <c r="K2203" s="170"/>
      <c r="L2203" s="219" t="s">
        <v>146</v>
      </c>
    </row>
    <row r="2204" spans="1:12" ht="45">
      <c r="A2204" s="67">
        <f t="shared" si="34"/>
        <v>2202</v>
      </c>
      <c r="B2204" s="164">
        <v>2202</v>
      </c>
      <c r="C2204" s="193" t="s">
        <v>3497</v>
      </c>
      <c r="D2204" s="195" t="s">
        <v>6765</v>
      </c>
      <c r="E2204" s="193" t="s">
        <v>9299</v>
      </c>
      <c r="F2204" s="193" t="s">
        <v>114</v>
      </c>
      <c r="G2204" s="195" t="s">
        <v>1021</v>
      </c>
      <c r="H2204" s="166" t="s">
        <v>13436</v>
      </c>
      <c r="I2204" s="193" t="s">
        <v>12819</v>
      </c>
      <c r="J2204" s="219" t="s">
        <v>12640</v>
      </c>
      <c r="K2204" s="170"/>
      <c r="L2204" s="219" t="s">
        <v>146</v>
      </c>
    </row>
    <row r="2205" spans="1:12" ht="15.75">
      <c r="A2205" s="67">
        <f t="shared" si="34"/>
        <v>2203</v>
      </c>
      <c r="B2205" s="164">
        <v>2203</v>
      </c>
      <c r="C2205" s="193" t="s">
        <v>3498</v>
      </c>
      <c r="D2205" s="195" t="s">
        <v>6766</v>
      </c>
      <c r="E2205" s="193" t="s">
        <v>9300</v>
      </c>
      <c r="F2205" s="193" t="s">
        <v>114</v>
      </c>
      <c r="G2205" s="195" t="s">
        <v>891</v>
      </c>
      <c r="H2205" s="166" t="s">
        <v>13436</v>
      </c>
      <c r="I2205" s="193" t="s">
        <v>12819</v>
      </c>
      <c r="J2205" s="193" t="s">
        <v>146</v>
      </c>
      <c r="K2205" s="170"/>
      <c r="L2205" s="193" t="s">
        <v>146</v>
      </c>
    </row>
    <row r="2206" spans="1:12" ht="15.75">
      <c r="A2206" s="67">
        <f t="shared" si="34"/>
        <v>2204</v>
      </c>
      <c r="B2206" s="164">
        <v>2204</v>
      </c>
      <c r="C2206" s="193" t="s">
        <v>3499</v>
      </c>
      <c r="D2206" s="195" t="s">
        <v>6767</v>
      </c>
      <c r="E2206" s="193" t="s">
        <v>363</v>
      </c>
      <c r="F2206" s="193" t="s">
        <v>114</v>
      </c>
      <c r="G2206" s="195" t="s">
        <v>1205</v>
      </c>
      <c r="H2206" s="166" t="s">
        <v>13436</v>
      </c>
      <c r="I2206" s="193" t="s">
        <v>12819</v>
      </c>
      <c r="J2206" s="219" t="s">
        <v>146</v>
      </c>
      <c r="K2206" s="170"/>
      <c r="L2206" s="219" t="s">
        <v>146</v>
      </c>
    </row>
    <row r="2207" spans="1:12" ht="30">
      <c r="A2207" s="67">
        <f t="shared" si="34"/>
        <v>2205</v>
      </c>
      <c r="B2207" s="164">
        <v>2205</v>
      </c>
      <c r="C2207" s="193" t="s">
        <v>3500</v>
      </c>
      <c r="D2207" s="195" t="s">
        <v>6768</v>
      </c>
      <c r="E2207" s="193" t="s">
        <v>9301</v>
      </c>
      <c r="F2207" s="193" t="s">
        <v>114</v>
      </c>
      <c r="G2207" s="195" t="s">
        <v>11404</v>
      </c>
      <c r="H2207" s="166" t="s">
        <v>13436</v>
      </c>
      <c r="I2207" s="193" t="s">
        <v>12819</v>
      </c>
      <c r="J2207" s="193" t="s">
        <v>146</v>
      </c>
      <c r="K2207" s="170"/>
      <c r="L2207" s="193" t="s">
        <v>13343</v>
      </c>
    </row>
    <row r="2208" spans="1:12" ht="15.75">
      <c r="A2208" s="67">
        <f t="shared" si="34"/>
        <v>2206</v>
      </c>
      <c r="B2208" s="164">
        <v>2206</v>
      </c>
      <c r="C2208" s="193" t="s">
        <v>3501</v>
      </c>
      <c r="D2208" s="195" t="s">
        <v>6769</v>
      </c>
      <c r="E2208" s="193" t="s">
        <v>9302</v>
      </c>
      <c r="F2208" s="193" t="s">
        <v>59</v>
      </c>
      <c r="G2208" s="195" t="s">
        <v>1015</v>
      </c>
      <c r="H2208" s="166" t="s">
        <v>13436</v>
      </c>
      <c r="I2208" s="193" t="s">
        <v>12819</v>
      </c>
      <c r="J2208" s="219" t="s">
        <v>148</v>
      </c>
      <c r="K2208" s="170"/>
      <c r="L2208" s="193"/>
    </row>
    <row r="2209" spans="1:12" ht="15.75">
      <c r="A2209" s="67">
        <f t="shared" si="34"/>
        <v>2207</v>
      </c>
      <c r="B2209" s="164">
        <v>2207</v>
      </c>
      <c r="C2209" s="193" t="s">
        <v>3502</v>
      </c>
      <c r="D2209" s="195" t="s">
        <v>6770</v>
      </c>
      <c r="E2209" s="193" t="s">
        <v>9303</v>
      </c>
      <c r="F2209" s="193" t="s">
        <v>114</v>
      </c>
      <c r="G2209" s="195" t="s">
        <v>11455</v>
      </c>
      <c r="H2209" s="166" t="s">
        <v>13436</v>
      </c>
      <c r="I2209" s="193" t="s">
        <v>12835</v>
      </c>
      <c r="J2209" s="193"/>
      <c r="K2209" s="170"/>
      <c r="L2209" s="193"/>
    </row>
    <row r="2210" spans="1:12" ht="15.75">
      <c r="A2210" s="67">
        <f t="shared" si="34"/>
        <v>2208</v>
      </c>
      <c r="B2210" s="164">
        <v>2208</v>
      </c>
      <c r="C2210" s="193" t="s">
        <v>3503</v>
      </c>
      <c r="D2210" s="195" t="s">
        <v>6771</v>
      </c>
      <c r="E2210" s="193" t="s">
        <v>424</v>
      </c>
      <c r="F2210" s="193" t="s">
        <v>114</v>
      </c>
      <c r="G2210" s="195" t="s">
        <v>1161</v>
      </c>
      <c r="H2210" s="166" t="s">
        <v>13436</v>
      </c>
      <c r="I2210" s="193" t="s">
        <v>12819</v>
      </c>
      <c r="J2210" s="193" t="s">
        <v>12641</v>
      </c>
      <c r="K2210" s="170"/>
      <c r="L2210" s="193" t="s">
        <v>146</v>
      </c>
    </row>
    <row r="2211" spans="1:12" ht="30">
      <c r="A2211" s="67">
        <f t="shared" si="34"/>
        <v>2209</v>
      </c>
      <c r="B2211" s="164">
        <v>2209</v>
      </c>
      <c r="C2211" s="193" t="s">
        <v>3504</v>
      </c>
      <c r="D2211" s="195" t="s">
        <v>6772</v>
      </c>
      <c r="E2211" s="193" t="s">
        <v>9304</v>
      </c>
      <c r="F2211" s="193" t="s">
        <v>114</v>
      </c>
      <c r="G2211" s="195" t="s">
        <v>11456</v>
      </c>
      <c r="H2211" s="166" t="s">
        <v>13436</v>
      </c>
      <c r="I2211" s="193" t="s">
        <v>12819</v>
      </c>
      <c r="J2211" s="193" t="s">
        <v>12642</v>
      </c>
      <c r="K2211" s="170"/>
      <c r="L2211" s="193" t="s">
        <v>146</v>
      </c>
    </row>
    <row r="2212" spans="1:12" ht="15.75">
      <c r="A2212" s="67">
        <f t="shared" si="34"/>
        <v>2210</v>
      </c>
      <c r="B2212" s="164">
        <v>2210</v>
      </c>
      <c r="C2212" s="193" t="s">
        <v>3505</v>
      </c>
      <c r="D2212" s="195" t="s">
        <v>6773</v>
      </c>
      <c r="E2212" s="193" t="s">
        <v>454</v>
      </c>
      <c r="F2212" s="193" t="s">
        <v>114</v>
      </c>
      <c r="G2212" s="195" t="s">
        <v>278</v>
      </c>
      <c r="H2212" s="166" t="s">
        <v>13436</v>
      </c>
      <c r="I2212" s="193" t="s">
        <v>12814</v>
      </c>
      <c r="J2212" s="193" t="s">
        <v>146</v>
      </c>
      <c r="K2212" s="170"/>
      <c r="L2212" s="193" t="s">
        <v>146</v>
      </c>
    </row>
    <row r="2213" spans="1:12" ht="15.75">
      <c r="A2213" s="67">
        <f t="shared" si="34"/>
        <v>2211</v>
      </c>
      <c r="B2213" s="164">
        <v>2211</v>
      </c>
      <c r="C2213" s="193" t="s">
        <v>3506</v>
      </c>
      <c r="D2213" s="195" t="s">
        <v>6774</v>
      </c>
      <c r="E2213" s="193" t="s">
        <v>8679</v>
      </c>
      <c r="F2213" s="193" t="s">
        <v>114</v>
      </c>
      <c r="G2213" s="195" t="s">
        <v>1187</v>
      </c>
      <c r="H2213" s="166" t="s">
        <v>13436</v>
      </c>
      <c r="I2213" s="193" t="s">
        <v>12821</v>
      </c>
      <c r="J2213" s="193" t="s">
        <v>146</v>
      </c>
      <c r="K2213" s="170"/>
      <c r="L2213" s="193" t="s">
        <v>146</v>
      </c>
    </row>
    <row r="2214" spans="1:12" ht="15.75">
      <c r="A2214" s="67">
        <f t="shared" si="34"/>
        <v>2212</v>
      </c>
      <c r="B2214" s="164">
        <v>2212</v>
      </c>
      <c r="C2214" s="193" t="s">
        <v>3507</v>
      </c>
      <c r="D2214" s="195" t="s">
        <v>6775</v>
      </c>
      <c r="E2214" s="193" t="s">
        <v>9305</v>
      </c>
      <c r="F2214" s="193" t="s">
        <v>114</v>
      </c>
      <c r="G2214" s="195" t="s">
        <v>11457</v>
      </c>
      <c r="H2214" s="166" t="s">
        <v>13436</v>
      </c>
      <c r="I2214" s="193" t="s">
        <v>12819</v>
      </c>
      <c r="J2214" s="193" t="s">
        <v>146</v>
      </c>
      <c r="K2214" s="170"/>
      <c r="L2214" s="193" t="s">
        <v>146</v>
      </c>
    </row>
    <row r="2215" spans="1:12" ht="15.75">
      <c r="A2215" s="67">
        <f t="shared" si="34"/>
        <v>2213</v>
      </c>
      <c r="B2215" s="164">
        <v>2213</v>
      </c>
      <c r="C2215" s="193" t="s">
        <v>3508</v>
      </c>
      <c r="D2215" s="195" t="s">
        <v>6776</v>
      </c>
      <c r="E2215" s="193" t="s">
        <v>9306</v>
      </c>
      <c r="F2215" s="193" t="s">
        <v>114</v>
      </c>
      <c r="G2215" s="195" t="s">
        <v>11458</v>
      </c>
      <c r="H2215" s="166" t="s">
        <v>13436</v>
      </c>
      <c r="I2215" s="193" t="s">
        <v>12819</v>
      </c>
      <c r="J2215" s="193" t="s">
        <v>146</v>
      </c>
      <c r="K2215" s="170"/>
      <c r="L2215" s="193" t="s">
        <v>146</v>
      </c>
    </row>
    <row r="2216" spans="1:12" ht="15.75">
      <c r="A2216" s="67">
        <f t="shared" si="34"/>
        <v>2214</v>
      </c>
      <c r="B2216" s="164">
        <v>2214</v>
      </c>
      <c r="C2216" s="193" t="s">
        <v>3509</v>
      </c>
      <c r="D2216" s="195" t="s">
        <v>6777</v>
      </c>
      <c r="E2216" s="193" t="s">
        <v>9307</v>
      </c>
      <c r="F2216" s="193" t="s">
        <v>114</v>
      </c>
      <c r="G2216" s="195" t="s">
        <v>11459</v>
      </c>
      <c r="H2216" s="166" t="s">
        <v>13436</v>
      </c>
      <c r="I2216" s="193" t="s">
        <v>12814</v>
      </c>
      <c r="J2216" s="193" t="s">
        <v>146</v>
      </c>
      <c r="K2216" s="170"/>
      <c r="L2216" s="193" t="s">
        <v>146</v>
      </c>
    </row>
    <row r="2217" spans="1:12" ht="30">
      <c r="A2217" s="67">
        <f t="shared" si="34"/>
        <v>2215</v>
      </c>
      <c r="B2217" s="164">
        <v>2215</v>
      </c>
      <c r="C2217" s="193" t="s">
        <v>3510</v>
      </c>
      <c r="D2217" s="195" t="s">
        <v>6778</v>
      </c>
      <c r="E2217" s="193" t="s">
        <v>505</v>
      </c>
      <c r="F2217" s="193" t="s">
        <v>114</v>
      </c>
      <c r="G2217" s="195" t="s">
        <v>11460</v>
      </c>
      <c r="H2217" s="166" t="s">
        <v>13436</v>
      </c>
      <c r="I2217" s="193" t="s">
        <v>1250</v>
      </c>
      <c r="J2217" s="193" t="s">
        <v>12643</v>
      </c>
      <c r="K2217" s="170"/>
      <c r="L2217" s="193" t="s">
        <v>146</v>
      </c>
    </row>
    <row r="2218" spans="1:12" ht="15.75">
      <c r="A2218" s="67">
        <f t="shared" si="34"/>
        <v>2216</v>
      </c>
      <c r="B2218" s="164">
        <v>2216</v>
      </c>
      <c r="C2218" s="193" t="s">
        <v>3511</v>
      </c>
      <c r="D2218" s="196" t="s">
        <v>6779</v>
      </c>
      <c r="E2218" s="193" t="s">
        <v>180</v>
      </c>
      <c r="F2218" s="193" t="s">
        <v>114</v>
      </c>
      <c r="G2218" s="195" t="s">
        <v>11461</v>
      </c>
      <c r="H2218" s="166" t="s">
        <v>13436</v>
      </c>
      <c r="I2218" s="193" t="s">
        <v>12840</v>
      </c>
      <c r="J2218" s="193" t="s">
        <v>146</v>
      </c>
      <c r="K2218" s="170"/>
      <c r="L2218" s="193" t="s">
        <v>146</v>
      </c>
    </row>
    <row r="2219" spans="1:12" ht="15.75">
      <c r="A2219" s="67">
        <f t="shared" si="34"/>
        <v>2217</v>
      </c>
      <c r="B2219" s="164">
        <v>2217</v>
      </c>
      <c r="C2219" s="193" t="s">
        <v>3512</v>
      </c>
      <c r="D2219" s="199" t="s">
        <v>6780</v>
      </c>
      <c r="E2219" s="193" t="s">
        <v>9308</v>
      </c>
      <c r="F2219" s="193" t="s">
        <v>59</v>
      </c>
      <c r="G2219" s="195" t="s">
        <v>11462</v>
      </c>
      <c r="H2219" s="166" t="s">
        <v>13436</v>
      </c>
      <c r="I2219" s="193" t="s">
        <v>12828</v>
      </c>
      <c r="J2219" s="193" t="s">
        <v>147</v>
      </c>
      <c r="K2219" s="170"/>
      <c r="L2219" s="193"/>
    </row>
    <row r="2220" spans="1:12" ht="15.75">
      <c r="A2220" s="67">
        <f t="shared" si="34"/>
        <v>2218</v>
      </c>
      <c r="B2220" s="164">
        <v>2218</v>
      </c>
      <c r="C2220" s="193" t="s">
        <v>3513</v>
      </c>
      <c r="D2220" s="199" t="s">
        <v>6781</v>
      </c>
      <c r="E2220" s="193" t="s">
        <v>9309</v>
      </c>
      <c r="F2220" s="193" t="s">
        <v>59</v>
      </c>
      <c r="G2220" s="195" t="s">
        <v>770</v>
      </c>
      <c r="H2220" s="166" t="s">
        <v>13436</v>
      </c>
      <c r="I2220" s="193" t="s">
        <v>12828</v>
      </c>
      <c r="J2220" s="193" t="s">
        <v>146</v>
      </c>
      <c r="K2220" s="170"/>
      <c r="L2220" s="193"/>
    </row>
    <row r="2221" spans="1:12" ht="15.75">
      <c r="A2221" s="67">
        <f t="shared" si="34"/>
        <v>2219</v>
      </c>
      <c r="B2221" s="164">
        <v>2219</v>
      </c>
      <c r="C2221" s="193" t="s">
        <v>3514</v>
      </c>
      <c r="D2221" s="196" t="s">
        <v>6782</v>
      </c>
      <c r="E2221" s="193" t="s">
        <v>8615</v>
      </c>
      <c r="F2221" s="193" t="s">
        <v>114</v>
      </c>
      <c r="G2221" s="195" t="s">
        <v>11463</v>
      </c>
      <c r="H2221" s="166" t="s">
        <v>13436</v>
      </c>
      <c r="I2221" s="193" t="s">
        <v>12830</v>
      </c>
      <c r="J2221" s="193" t="s">
        <v>146</v>
      </c>
      <c r="K2221" s="170"/>
      <c r="L2221" s="193" t="s">
        <v>146</v>
      </c>
    </row>
    <row r="2222" spans="1:12" ht="15.75">
      <c r="A2222" s="67">
        <f t="shared" si="34"/>
        <v>2220</v>
      </c>
      <c r="B2222" s="164">
        <v>2220</v>
      </c>
      <c r="C2222" s="193" t="s">
        <v>3515</v>
      </c>
      <c r="D2222" s="199" t="s">
        <v>6783</v>
      </c>
      <c r="E2222" s="193" t="s">
        <v>661</v>
      </c>
      <c r="F2222" s="193" t="s">
        <v>59</v>
      </c>
      <c r="G2222" s="195" t="s">
        <v>11464</v>
      </c>
      <c r="H2222" s="166" t="s">
        <v>13436</v>
      </c>
      <c r="I2222" s="193" t="s">
        <v>12828</v>
      </c>
      <c r="J2222" s="219" t="s">
        <v>146</v>
      </c>
      <c r="K2222" s="170"/>
      <c r="L2222" s="193"/>
    </row>
    <row r="2223" spans="1:12" ht="15.75">
      <c r="A2223" s="67">
        <f t="shared" si="34"/>
        <v>2221</v>
      </c>
      <c r="B2223" s="164">
        <v>2221</v>
      </c>
      <c r="C2223" s="193" t="s">
        <v>3516</v>
      </c>
      <c r="D2223" s="199" t="s">
        <v>6784</v>
      </c>
      <c r="E2223" s="193" t="s">
        <v>497</v>
      </c>
      <c r="F2223" s="193" t="s">
        <v>59</v>
      </c>
      <c r="G2223" s="195" t="s">
        <v>1115</v>
      </c>
      <c r="H2223" s="166" t="s">
        <v>13436</v>
      </c>
      <c r="I2223" s="193" t="s">
        <v>12828</v>
      </c>
      <c r="J2223" s="193" t="s">
        <v>146</v>
      </c>
      <c r="K2223" s="170"/>
      <c r="L2223" s="193"/>
    </row>
    <row r="2224" spans="1:12" ht="15.75">
      <c r="A2224" s="67">
        <f t="shared" si="34"/>
        <v>2222</v>
      </c>
      <c r="B2224" s="164">
        <v>2222</v>
      </c>
      <c r="C2224" s="193" t="s">
        <v>3517</v>
      </c>
      <c r="D2224" s="199" t="s">
        <v>6785</v>
      </c>
      <c r="E2224" s="193" t="s">
        <v>367</v>
      </c>
      <c r="F2224" s="193" t="s">
        <v>114</v>
      </c>
      <c r="G2224" s="195" t="s">
        <v>11465</v>
      </c>
      <c r="H2224" s="166" t="s">
        <v>13436</v>
      </c>
      <c r="I2224" s="193" t="s">
        <v>12839</v>
      </c>
      <c r="J2224" s="219" t="s">
        <v>146</v>
      </c>
      <c r="K2224" s="170"/>
      <c r="L2224" s="219" t="s">
        <v>146</v>
      </c>
    </row>
    <row r="2225" spans="1:12" ht="15.75">
      <c r="A2225" s="67">
        <f t="shared" si="34"/>
        <v>2223</v>
      </c>
      <c r="B2225" s="164">
        <v>2223</v>
      </c>
      <c r="C2225" s="193" t="s">
        <v>3518</v>
      </c>
      <c r="D2225" s="199" t="s">
        <v>6786</v>
      </c>
      <c r="E2225" s="193" t="s">
        <v>521</v>
      </c>
      <c r="F2225" s="193" t="s">
        <v>114</v>
      </c>
      <c r="G2225" s="195" t="s">
        <v>11466</v>
      </c>
      <c r="H2225" s="166" t="s">
        <v>13436</v>
      </c>
      <c r="I2225" s="193" t="s">
        <v>12828</v>
      </c>
      <c r="J2225" s="193" t="s">
        <v>146</v>
      </c>
      <c r="K2225" s="170"/>
      <c r="L2225" s="193" t="s">
        <v>146</v>
      </c>
    </row>
    <row r="2226" spans="1:12" ht="15.75">
      <c r="A2226" s="67">
        <f t="shared" si="34"/>
        <v>2224</v>
      </c>
      <c r="B2226" s="164">
        <v>2224</v>
      </c>
      <c r="C2226" s="193" t="s">
        <v>3519</v>
      </c>
      <c r="D2226" s="195" t="s">
        <v>6787</v>
      </c>
      <c r="E2226" s="193" t="s">
        <v>9310</v>
      </c>
      <c r="F2226" s="193" t="s">
        <v>59</v>
      </c>
      <c r="G2226" s="195" t="s">
        <v>11242</v>
      </c>
      <c r="H2226" s="166" t="s">
        <v>13436</v>
      </c>
      <c r="I2226" s="193" t="s">
        <v>12832</v>
      </c>
      <c r="J2226" s="193" t="s">
        <v>146</v>
      </c>
      <c r="K2226" s="170"/>
      <c r="L2226" s="193"/>
    </row>
    <row r="2227" spans="1:12" ht="15.75">
      <c r="A2227" s="67">
        <f t="shared" si="34"/>
        <v>2225</v>
      </c>
      <c r="B2227" s="164">
        <v>2225</v>
      </c>
      <c r="C2227" s="193" t="s">
        <v>3520</v>
      </c>
      <c r="D2227" s="196" t="s">
        <v>6788</v>
      </c>
      <c r="E2227" s="193" t="s">
        <v>9311</v>
      </c>
      <c r="F2227" s="193" t="s">
        <v>114</v>
      </c>
      <c r="G2227" s="195" t="s">
        <v>764</v>
      </c>
      <c r="H2227" s="166" t="s">
        <v>13436</v>
      </c>
      <c r="I2227" s="193" t="s">
        <v>12809</v>
      </c>
      <c r="J2227" s="193" t="s">
        <v>146</v>
      </c>
      <c r="K2227" s="170"/>
      <c r="L2227" s="193" t="s">
        <v>146</v>
      </c>
    </row>
    <row r="2228" spans="1:12" ht="15.75">
      <c r="A2228" s="67">
        <f t="shared" si="34"/>
        <v>2226</v>
      </c>
      <c r="B2228" s="164">
        <v>2226</v>
      </c>
      <c r="C2228" s="193" t="s">
        <v>3521</v>
      </c>
      <c r="D2228" s="199" t="s">
        <v>6789</v>
      </c>
      <c r="E2228" s="193" t="s">
        <v>7863</v>
      </c>
      <c r="F2228" s="193" t="s">
        <v>114</v>
      </c>
      <c r="G2228" s="195" t="s">
        <v>11467</v>
      </c>
      <c r="H2228" s="166" t="s">
        <v>13436</v>
      </c>
      <c r="I2228" s="193" t="s">
        <v>12828</v>
      </c>
      <c r="J2228" s="193" t="s">
        <v>146</v>
      </c>
      <c r="K2228" s="170"/>
      <c r="L2228" s="193" t="s">
        <v>146</v>
      </c>
    </row>
    <row r="2229" spans="1:12" ht="30">
      <c r="A2229" s="67">
        <f t="shared" si="34"/>
        <v>2227</v>
      </c>
      <c r="B2229" s="164">
        <v>2227</v>
      </c>
      <c r="C2229" s="193" t="s">
        <v>3522</v>
      </c>
      <c r="D2229" s="196" t="s">
        <v>6790</v>
      </c>
      <c r="E2229" s="193" t="s">
        <v>9312</v>
      </c>
      <c r="F2229" s="193" t="s">
        <v>114</v>
      </c>
      <c r="G2229" s="195" t="s">
        <v>825</v>
      </c>
      <c r="H2229" s="166" t="s">
        <v>13436</v>
      </c>
      <c r="I2229" s="193" t="s">
        <v>12809</v>
      </c>
      <c r="J2229" s="193" t="s">
        <v>12644</v>
      </c>
      <c r="K2229" s="170"/>
      <c r="L2229" s="193" t="s">
        <v>146</v>
      </c>
    </row>
    <row r="2230" spans="1:12" ht="15.75">
      <c r="A2230" s="67">
        <f t="shared" si="34"/>
        <v>2228</v>
      </c>
      <c r="B2230" s="164">
        <v>2228</v>
      </c>
      <c r="C2230" s="193" t="s">
        <v>3523</v>
      </c>
      <c r="D2230" s="195" t="s">
        <v>6791</v>
      </c>
      <c r="E2230" s="193" t="s">
        <v>9313</v>
      </c>
      <c r="F2230" s="193" t="s">
        <v>114</v>
      </c>
      <c r="G2230" s="195" t="s">
        <v>1150</v>
      </c>
      <c r="H2230" s="166" t="s">
        <v>13436</v>
      </c>
      <c r="I2230" s="193" t="s">
        <v>12815</v>
      </c>
      <c r="J2230" s="193" t="s">
        <v>146</v>
      </c>
      <c r="K2230" s="170"/>
      <c r="L2230" s="193" t="s">
        <v>146</v>
      </c>
    </row>
    <row r="2231" spans="1:12" ht="15.75">
      <c r="A2231" s="67">
        <f t="shared" si="34"/>
        <v>2229</v>
      </c>
      <c r="B2231" s="164">
        <v>2229</v>
      </c>
      <c r="C2231" s="193" t="s">
        <v>3524</v>
      </c>
      <c r="D2231" s="199" t="s">
        <v>6792</v>
      </c>
      <c r="E2231" s="193" t="s">
        <v>160</v>
      </c>
      <c r="F2231" s="193" t="s">
        <v>114</v>
      </c>
      <c r="G2231" s="195" t="s">
        <v>11468</v>
      </c>
      <c r="H2231" s="166" t="s">
        <v>13436</v>
      </c>
      <c r="I2231" s="193" t="s">
        <v>12828</v>
      </c>
      <c r="J2231" s="193" t="s">
        <v>146</v>
      </c>
      <c r="K2231" s="170"/>
      <c r="L2231" s="193" t="s">
        <v>146</v>
      </c>
    </row>
    <row r="2232" spans="1:12" ht="15.75">
      <c r="A2232" s="67">
        <f t="shared" si="34"/>
        <v>2230</v>
      </c>
      <c r="B2232" s="164">
        <v>2230</v>
      </c>
      <c r="C2232" s="193" t="s">
        <v>3525</v>
      </c>
      <c r="D2232" s="196" t="s">
        <v>6793</v>
      </c>
      <c r="E2232" s="193" t="s">
        <v>8031</v>
      </c>
      <c r="F2232" s="193" t="s">
        <v>114</v>
      </c>
      <c r="G2232" s="195" t="s">
        <v>11469</v>
      </c>
      <c r="H2232" s="166" t="s">
        <v>13436</v>
      </c>
      <c r="I2232" s="193" t="s">
        <v>1248</v>
      </c>
      <c r="J2232" s="193" t="s">
        <v>146</v>
      </c>
      <c r="K2232" s="170"/>
      <c r="L2232" s="193" t="s">
        <v>146</v>
      </c>
    </row>
    <row r="2233" spans="1:12" ht="15.75">
      <c r="A2233" s="67">
        <f t="shared" si="34"/>
        <v>2231</v>
      </c>
      <c r="B2233" s="164">
        <v>2231</v>
      </c>
      <c r="C2233" s="193" t="s">
        <v>3526</v>
      </c>
      <c r="D2233" s="195" t="s">
        <v>6794</v>
      </c>
      <c r="E2233" s="193" t="s">
        <v>9314</v>
      </c>
      <c r="F2233" s="193" t="s">
        <v>114</v>
      </c>
      <c r="G2233" s="195" t="s">
        <v>700</v>
      </c>
      <c r="H2233" s="166" t="s">
        <v>13436</v>
      </c>
      <c r="I2233" s="193" t="s">
        <v>1250</v>
      </c>
      <c r="J2233" s="193" t="s">
        <v>146</v>
      </c>
      <c r="K2233" s="170"/>
      <c r="L2233" s="193" t="s">
        <v>146</v>
      </c>
    </row>
    <row r="2234" spans="1:12" ht="15.75">
      <c r="A2234" s="67">
        <f t="shared" si="34"/>
        <v>2232</v>
      </c>
      <c r="B2234" s="164">
        <v>2232</v>
      </c>
      <c r="C2234" s="193" t="s">
        <v>3527</v>
      </c>
      <c r="D2234" s="195" t="s">
        <v>6795</v>
      </c>
      <c r="E2234" s="193" t="s">
        <v>9315</v>
      </c>
      <c r="F2234" s="193" t="s">
        <v>114</v>
      </c>
      <c r="G2234" s="195" t="s">
        <v>10990</v>
      </c>
      <c r="H2234" s="166" t="s">
        <v>13436</v>
      </c>
      <c r="I2234" s="193" t="s">
        <v>12819</v>
      </c>
      <c r="J2234" s="193" t="s">
        <v>146</v>
      </c>
      <c r="K2234" s="170"/>
      <c r="L2234" s="193" t="s">
        <v>146</v>
      </c>
    </row>
    <row r="2235" spans="1:12" ht="15.75">
      <c r="A2235" s="67">
        <f t="shared" si="34"/>
        <v>2233</v>
      </c>
      <c r="B2235" s="164">
        <v>2233</v>
      </c>
      <c r="C2235" s="193" t="s">
        <v>3528</v>
      </c>
      <c r="D2235" s="195" t="s">
        <v>6796</v>
      </c>
      <c r="E2235" s="193" t="s">
        <v>8441</v>
      </c>
      <c r="F2235" s="193" t="s">
        <v>59</v>
      </c>
      <c r="G2235" s="195" t="s">
        <v>791</v>
      </c>
      <c r="H2235" s="166" t="s">
        <v>13436</v>
      </c>
      <c r="I2235" s="193" t="s">
        <v>12812</v>
      </c>
      <c r="J2235" s="193" t="s">
        <v>146</v>
      </c>
      <c r="K2235" s="170"/>
      <c r="L2235" s="193"/>
    </row>
    <row r="2236" spans="1:12" ht="15.75">
      <c r="A2236" s="67">
        <f t="shared" si="34"/>
        <v>2234</v>
      </c>
      <c r="B2236" s="164">
        <v>2234</v>
      </c>
      <c r="C2236" s="193" t="s">
        <v>3529</v>
      </c>
      <c r="D2236" s="195" t="s">
        <v>6797</v>
      </c>
      <c r="E2236" s="193" t="s">
        <v>9316</v>
      </c>
      <c r="F2236" s="193" t="s">
        <v>59</v>
      </c>
      <c r="G2236" s="195" t="s">
        <v>11470</v>
      </c>
      <c r="H2236" s="166" t="s">
        <v>13436</v>
      </c>
      <c r="I2236" s="193" t="s">
        <v>1250</v>
      </c>
      <c r="J2236" s="193" t="s">
        <v>146</v>
      </c>
      <c r="K2236" s="170"/>
      <c r="L2236" s="193"/>
    </row>
    <row r="2237" spans="1:12" ht="15.75">
      <c r="A2237" s="67">
        <f t="shared" si="34"/>
        <v>2235</v>
      </c>
      <c r="B2237" s="164">
        <v>2235</v>
      </c>
      <c r="C2237" s="193" t="s">
        <v>3530</v>
      </c>
      <c r="D2237" s="199" t="s">
        <v>6798</v>
      </c>
      <c r="E2237" s="193" t="s">
        <v>9317</v>
      </c>
      <c r="F2237" s="193" t="s">
        <v>59</v>
      </c>
      <c r="G2237" s="195" t="s">
        <v>788</v>
      </c>
      <c r="H2237" s="166" t="s">
        <v>13436</v>
      </c>
      <c r="I2237" s="193" t="s">
        <v>12828</v>
      </c>
      <c r="J2237" s="193" t="s">
        <v>146</v>
      </c>
      <c r="K2237" s="170"/>
      <c r="L2237" s="193"/>
    </row>
    <row r="2238" spans="1:12" ht="15.75">
      <c r="A2238" s="67">
        <f t="shared" si="34"/>
        <v>2236</v>
      </c>
      <c r="B2238" s="164">
        <v>2236</v>
      </c>
      <c r="C2238" s="193" t="s">
        <v>3531</v>
      </c>
      <c r="D2238" s="196" t="s">
        <v>6799</v>
      </c>
      <c r="E2238" s="193" t="s">
        <v>9318</v>
      </c>
      <c r="F2238" s="193" t="s">
        <v>59</v>
      </c>
      <c r="G2238" s="195" t="s">
        <v>11471</v>
      </c>
      <c r="H2238" s="166" t="s">
        <v>13436</v>
      </c>
      <c r="I2238" s="193" t="s">
        <v>12830</v>
      </c>
      <c r="J2238" s="193" t="s">
        <v>147</v>
      </c>
      <c r="K2238" s="170"/>
      <c r="L2238" s="193"/>
    </row>
    <row r="2239" spans="1:12" ht="15.75">
      <c r="A2239" s="67">
        <f t="shared" si="34"/>
        <v>2237</v>
      </c>
      <c r="B2239" s="164">
        <v>2237</v>
      </c>
      <c r="C2239" s="193" t="s">
        <v>3532</v>
      </c>
      <c r="D2239" s="199" t="s">
        <v>6800</v>
      </c>
      <c r="E2239" s="193" t="s">
        <v>9319</v>
      </c>
      <c r="F2239" s="193" t="s">
        <v>59</v>
      </c>
      <c r="G2239" s="195" t="s">
        <v>11472</v>
      </c>
      <c r="H2239" s="166" t="s">
        <v>13436</v>
      </c>
      <c r="I2239" s="193" t="s">
        <v>12839</v>
      </c>
      <c r="J2239" s="219" t="s">
        <v>146</v>
      </c>
      <c r="K2239" s="170"/>
      <c r="L2239" s="193"/>
    </row>
    <row r="2240" spans="1:12" ht="15.75">
      <c r="A2240" s="67">
        <f t="shared" si="34"/>
        <v>2238</v>
      </c>
      <c r="B2240" s="164">
        <v>2238</v>
      </c>
      <c r="C2240" s="193" t="s">
        <v>3533</v>
      </c>
      <c r="D2240" s="199" t="s">
        <v>6801</v>
      </c>
      <c r="E2240" s="193" t="s">
        <v>9320</v>
      </c>
      <c r="F2240" s="193" t="s">
        <v>59</v>
      </c>
      <c r="G2240" s="195" t="s">
        <v>11473</v>
      </c>
      <c r="H2240" s="166" t="s">
        <v>13436</v>
      </c>
      <c r="I2240" s="193" t="s">
        <v>12828</v>
      </c>
      <c r="J2240" s="193" t="s">
        <v>146</v>
      </c>
      <c r="K2240" s="170"/>
      <c r="L2240" s="193"/>
    </row>
    <row r="2241" spans="1:12" ht="60">
      <c r="A2241" s="67">
        <f t="shared" si="34"/>
        <v>2239</v>
      </c>
      <c r="B2241" s="164">
        <v>2239</v>
      </c>
      <c r="C2241" s="193" t="s">
        <v>3534</v>
      </c>
      <c r="D2241" s="199" t="s">
        <v>6802</v>
      </c>
      <c r="E2241" s="193" t="s">
        <v>654</v>
      </c>
      <c r="F2241" s="193" t="s">
        <v>114</v>
      </c>
      <c r="G2241" s="195" t="s">
        <v>11474</v>
      </c>
      <c r="H2241" s="166" t="s">
        <v>13436</v>
      </c>
      <c r="I2241" s="193" t="s">
        <v>12828</v>
      </c>
      <c r="J2241" s="219" t="s">
        <v>146</v>
      </c>
      <c r="K2241" s="170"/>
      <c r="L2241" s="219" t="s">
        <v>13344</v>
      </c>
    </row>
    <row r="2242" spans="1:12" ht="15.75">
      <c r="A2242" s="67">
        <f t="shared" si="34"/>
        <v>2240</v>
      </c>
      <c r="B2242" s="164">
        <v>2240</v>
      </c>
      <c r="C2242" s="193" t="s">
        <v>3535</v>
      </c>
      <c r="D2242" s="195" t="s">
        <v>6803</v>
      </c>
      <c r="E2242" s="193" t="s">
        <v>9321</v>
      </c>
      <c r="F2242" s="193" t="s">
        <v>114</v>
      </c>
      <c r="G2242" s="195" t="s">
        <v>886</v>
      </c>
      <c r="H2242" s="166" t="s">
        <v>13436</v>
      </c>
      <c r="I2242" s="193" t="s">
        <v>1249</v>
      </c>
      <c r="J2242" s="193" t="s">
        <v>164</v>
      </c>
      <c r="K2242" s="170"/>
      <c r="L2242" s="193" t="s">
        <v>146</v>
      </c>
    </row>
    <row r="2243" spans="1:12" ht="30">
      <c r="A2243" s="67">
        <f t="shared" ref="A2243:A2306" si="35">IFERROR(VALUE(RIGHT(C2243,4)),"")</f>
        <v>2241</v>
      </c>
      <c r="B2243" s="164">
        <v>2241</v>
      </c>
      <c r="C2243" s="193" t="s">
        <v>3536</v>
      </c>
      <c r="D2243" s="199" t="s">
        <v>6804</v>
      </c>
      <c r="E2243" s="193" t="s">
        <v>482</v>
      </c>
      <c r="F2243" s="193" t="s">
        <v>114</v>
      </c>
      <c r="G2243" s="195" t="s">
        <v>885</v>
      </c>
      <c r="H2243" s="166" t="s">
        <v>13436</v>
      </c>
      <c r="I2243" s="193" t="s">
        <v>12828</v>
      </c>
      <c r="J2243" s="193" t="s">
        <v>12645</v>
      </c>
      <c r="K2243" s="170"/>
      <c r="L2243" s="193" t="s">
        <v>146</v>
      </c>
    </row>
    <row r="2244" spans="1:12" ht="30">
      <c r="A2244" s="67">
        <f t="shared" si="35"/>
        <v>2242</v>
      </c>
      <c r="B2244" s="164">
        <v>2242</v>
      </c>
      <c r="C2244" s="193" t="s">
        <v>3537</v>
      </c>
      <c r="D2244" s="195" t="s">
        <v>6805</v>
      </c>
      <c r="E2244" s="193" t="s">
        <v>9322</v>
      </c>
      <c r="F2244" s="193" t="s">
        <v>114</v>
      </c>
      <c r="G2244" s="195" t="s">
        <v>11475</v>
      </c>
      <c r="H2244" s="166" t="s">
        <v>13436</v>
      </c>
      <c r="I2244" s="193" t="s">
        <v>1250</v>
      </c>
      <c r="J2244" s="219" t="s">
        <v>12646</v>
      </c>
      <c r="K2244" s="170"/>
      <c r="L2244" s="219" t="s">
        <v>146</v>
      </c>
    </row>
    <row r="2245" spans="1:12" ht="75">
      <c r="A2245" s="67">
        <f t="shared" si="35"/>
        <v>2243</v>
      </c>
      <c r="B2245" s="164">
        <v>2243</v>
      </c>
      <c r="C2245" s="193" t="s">
        <v>3538</v>
      </c>
      <c r="D2245" s="195" t="s">
        <v>6806</v>
      </c>
      <c r="E2245" s="193" t="s">
        <v>8274</v>
      </c>
      <c r="F2245" s="193" t="s">
        <v>114</v>
      </c>
      <c r="G2245" s="195" t="s">
        <v>11476</v>
      </c>
      <c r="H2245" s="166" t="s">
        <v>13436</v>
      </c>
      <c r="I2245" s="193" t="s">
        <v>12829</v>
      </c>
      <c r="J2245" s="193" t="s">
        <v>146</v>
      </c>
      <c r="K2245" s="170"/>
      <c r="L2245" s="193" t="s">
        <v>13345</v>
      </c>
    </row>
    <row r="2246" spans="1:12" ht="15.75">
      <c r="A2246" s="67">
        <f t="shared" si="35"/>
        <v>2244</v>
      </c>
      <c r="B2246" s="164">
        <v>2244</v>
      </c>
      <c r="C2246" s="193" t="s">
        <v>3539</v>
      </c>
      <c r="D2246" s="195" t="s">
        <v>6807</v>
      </c>
      <c r="E2246" s="193" t="s">
        <v>9323</v>
      </c>
      <c r="F2246" s="193" t="s">
        <v>114</v>
      </c>
      <c r="G2246" s="195" t="s">
        <v>949</v>
      </c>
      <c r="H2246" s="166" t="s">
        <v>13436</v>
      </c>
      <c r="I2246" s="193" t="s">
        <v>12817</v>
      </c>
      <c r="J2246" s="193" t="s">
        <v>12647</v>
      </c>
      <c r="K2246" s="170"/>
      <c r="L2246" s="193" t="s">
        <v>146</v>
      </c>
    </row>
    <row r="2247" spans="1:12" ht="15.75">
      <c r="A2247" s="67">
        <f t="shared" si="35"/>
        <v>2245</v>
      </c>
      <c r="B2247" s="164">
        <v>2245</v>
      </c>
      <c r="C2247" s="193" t="s">
        <v>3540</v>
      </c>
      <c r="D2247" s="195" t="s">
        <v>6808</v>
      </c>
      <c r="E2247" s="193" t="s">
        <v>550</v>
      </c>
      <c r="F2247" s="193" t="s">
        <v>114</v>
      </c>
      <c r="G2247" s="195" t="s">
        <v>11477</v>
      </c>
      <c r="H2247" s="166" t="s">
        <v>13436</v>
      </c>
      <c r="I2247" s="193" t="s">
        <v>12819</v>
      </c>
      <c r="J2247" s="193" t="s">
        <v>146</v>
      </c>
      <c r="K2247" s="170"/>
      <c r="L2247" s="193" t="s">
        <v>146</v>
      </c>
    </row>
    <row r="2248" spans="1:12" ht="15.75">
      <c r="A2248" s="67">
        <f t="shared" si="35"/>
        <v>2246</v>
      </c>
      <c r="B2248" s="164">
        <v>2246</v>
      </c>
      <c r="C2248" s="193" t="s">
        <v>3541</v>
      </c>
      <c r="D2248" s="195" t="s">
        <v>6809</v>
      </c>
      <c r="E2248" s="193" t="s">
        <v>9324</v>
      </c>
      <c r="F2248" s="193" t="s">
        <v>59</v>
      </c>
      <c r="G2248" s="195" t="s">
        <v>11478</v>
      </c>
      <c r="H2248" s="166" t="s">
        <v>13436</v>
      </c>
      <c r="I2248" s="193" t="s">
        <v>12825</v>
      </c>
      <c r="J2248" s="193" t="s">
        <v>164</v>
      </c>
      <c r="K2248" s="170"/>
      <c r="L2248" s="193"/>
    </row>
    <row r="2249" spans="1:12" ht="15.75">
      <c r="A2249" s="67">
        <f t="shared" si="35"/>
        <v>2247</v>
      </c>
      <c r="B2249" s="164">
        <v>2247</v>
      </c>
      <c r="C2249" s="193" t="s">
        <v>3542</v>
      </c>
      <c r="D2249" s="195" t="s">
        <v>6810</v>
      </c>
      <c r="E2249" s="193" t="s">
        <v>9325</v>
      </c>
      <c r="F2249" s="193" t="s">
        <v>114</v>
      </c>
      <c r="G2249" s="195" t="s">
        <v>11479</v>
      </c>
      <c r="H2249" s="166" t="s">
        <v>13436</v>
      </c>
      <c r="I2249" s="193" t="s">
        <v>12820</v>
      </c>
      <c r="J2249" s="193" t="s">
        <v>146</v>
      </c>
      <c r="K2249" s="170"/>
      <c r="L2249" s="193" t="s">
        <v>146</v>
      </c>
    </row>
    <row r="2250" spans="1:12" ht="15.75">
      <c r="A2250" s="67">
        <f t="shared" si="35"/>
        <v>2248</v>
      </c>
      <c r="B2250" s="164">
        <v>2248</v>
      </c>
      <c r="C2250" s="193" t="s">
        <v>3543</v>
      </c>
      <c r="D2250" s="195" t="s">
        <v>6811</v>
      </c>
      <c r="E2250" s="193" t="s">
        <v>9326</v>
      </c>
      <c r="F2250" s="193" t="s">
        <v>114</v>
      </c>
      <c r="G2250" s="195" t="s">
        <v>11480</v>
      </c>
      <c r="H2250" s="166" t="s">
        <v>13436</v>
      </c>
      <c r="I2250" s="193" t="s">
        <v>12836</v>
      </c>
      <c r="J2250" s="193" t="s">
        <v>146</v>
      </c>
      <c r="K2250" s="170"/>
      <c r="L2250" s="193" t="s">
        <v>146</v>
      </c>
    </row>
    <row r="2251" spans="1:12" ht="15.75">
      <c r="A2251" s="67">
        <f t="shared" si="35"/>
        <v>2249</v>
      </c>
      <c r="B2251" s="164">
        <v>2249</v>
      </c>
      <c r="C2251" s="193" t="s">
        <v>3544</v>
      </c>
      <c r="D2251" s="195" t="s">
        <v>6812</v>
      </c>
      <c r="E2251" s="193" t="s">
        <v>9327</v>
      </c>
      <c r="F2251" s="193" t="s">
        <v>59</v>
      </c>
      <c r="G2251" s="195" t="s">
        <v>11481</v>
      </c>
      <c r="H2251" s="166" t="s">
        <v>13436</v>
      </c>
      <c r="I2251" s="193" t="s">
        <v>12809</v>
      </c>
      <c r="J2251" s="193" t="s">
        <v>146</v>
      </c>
      <c r="K2251" s="170"/>
      <c r="L2251" s="193"/>
    </row>
    <row r="2252" spans="1:12" ht="30">
      <c r="A2252" s="67">
        <f t="shared" si="35"/>
        <v>2250</v>
      </c>
      <c r="B2252" s="164">
        <v>2250</v>
      </c>
      <c r="C2252" s="193" t="s">
        <v>3545</v>
      </c>
      <c r="D2252" s="195" t="s">
        <v>6813</v>
      </c>
      <c r="E2252" s="193" t="s">
        <v>418</v>
      </c>
      <c r="F2252" s="193" t="s">
        <v>114</v>
      </c>
      <c r="G2252" s="195" t="s">
        <v>11482</v>
      </c>
      <c r="H2252" s="166" t="s">
        <v>13436</v>
      </c>
      <c r="I2252" s="193" t="s">
        <v>12817</v>
      </c>
      <c r="J2252" s="219" t="s">
        <v>1266</v>
      </c>
      <c r="K2252" s="170"/>
      <c r="L2252" s="219" t="s">
        <v>146</v>
      </c>
    </row>
    <row r="2253" spans="1:12" ht="15.75">
      <c r="A2253" s="67">
        <f t="shared" si="35"/>
        <v>2251</v>
      </c>
      <c r="B2253" s="164">
        <v>2251</v>
      </c>
      <c r="C2253" s="193" t="s">
        <v>3546</v>
      </c>
      <c r="D2253" s="195" t="s">
        <v>6814</v>
      </c>
      <c r="E2253" s="193" t="s">
        <v>9328</v>
      </c>
      <c r="F2253" s="193" t="s">
        <v>114</v>
      </c>
      <c r="G2253" s="195" t="s">
        <v>11483</v>
      </c>
      <c r="H2253" s="166" t="s">
        <v>13436</v>
      </c>
      <c r="I2253" s="193" t="s">
        <v>12825</v>
      </c>
      <c r="J2253" s="193" t="s">
        <v>146</v>
      </c>
      <c r="K2253" s="170"/>
      <c r="L2253" s="193" t="s">
        <v>146</v>
      </c>
    </row>
    <row r="2254" spans="1:12" ht="15.75">
      <c r="A2254" s="67">
        <f t="shared" si="35"/>
        <v>2252</v>
      </c>
      <c r="B2254" s="164">
        <v>2252</v>
      </c>
      <c r="C2254" s="193" t="s">
        <v>3547</v>
      </c>
      <c r="D2254" s="195" t="s">
        <v>6815</v>
      </c>
      <c r="E2254" s="193" t="s">
        <v>9329</v>
      </c>
      <c r="F2254" s="193" t="s">
        <v>114</v>
      </c>
      <c r="G2254" s="195" t="s">
        <v>11484</v>
      </c>
      <c r="H2254" s="166" t="s">
        <v>13436</v>
      </c>
      <c r="I2254" s="193" t="s">
        <v>12817</v>
      </c>
      <c r="J2254" s="193" t="s">
        <v>146</v>
      </c>
      <c r="K2254" s="170"/>
      <c r="L2254" s="193" t="s">
        <v>146</v>
      </c>
    </row>
    <row r="2255" spans="1:12" ht="15.75">
      <c r="A2255" s="67">
        <f t="shared" si="35"/>
        <v>2253</v>
      </c>
      <c r="B2255" s="164">
        <v>2253</v>
      </c>
      <c r="C2255" s="193" t="s">
        <v>3548</v>
      </c>
      <c r="D2255" s="195" t="s">
        <v>6816</v>
      </c>
      <c r="E2255" s="193" t="s">
        <v>9330</v>
      </c>
      <c r="F2255" s="193" t="s">
        <v>114</v>
      </c>
      <c r="G2255" s="195" t="s">
        <v>905</v>
      </c>
      <c r="H2255" s="166" t="s">
        <v>13436</v>
      </c>
      <c r="I2255" s="193" t="s">
        <v>12817</v>
      </c>
      <c r="J2255" s="219" t="s">
        <v>146</v>
      </c>
      <c r="K2255" s="170"/>
      <c r="L2255" s="193" t="s">
        <v>146</v>
      </c>
    </row>
    <row r="2256" spans="1:12" ht="15.75">
      <c r="A2256" s="67">
        <f t="shared" si="35"/>
        <v>2254</v>
      </c>
      <c r="B2256" s="164">
        <v>2254</v>
      </c>
      <c r="C2256" s="193" t="s">
        <v>3549</v>
      </c>
      <c r="D2256" s="195" t="s">
        <v>6817</v>
      </c>
      <c r="E2256" s="193" t="s">
        <v>424</v>
      </c>
      <c r="F2256" s="193" t="s">
        <v>114</v>
      </c>
      <c r="G2256" s="195" t="s">
        <v>11485</v>
      </c>
      <c r="H2256" s="166" t="s">
        <v>13436</v>
      </c>
      <c r="I2256" s="193" t="s">
        <v>12817</v>
      </c>
      <c r="J2256" s="193" t="s">
        <v>146</v>
      </c>
      <c r="K2256" s="170"/>
      <c r="L2256" s="193" t="s">
        <v>146</v>
      </c>
    </row>
    <row r="2257" spans="1:12" ht="30">
      <c r="A2257" s="67">
        <f t="shared" si="35"/>
        <v>2255</v>
      </c>
      <c r="B2257" s="164">
        <v>2255</v>
      </c>
      <c r="C2257" s="193" t="s">
        <v>3550</v>
      </c>
      <c r="D2257" s="195" t="s">
        <v>6818</v>
      </c>
      <c r="E2257" s="193" t="s">
        <v>9331</v>
      </c>
      <c r="F2257" s="193" t="s">
        <v>59</v>
      </c>
      <c r="G2257" s="195" t="s">
        <v>10559</v>
      </c>
      <c r="H2257" s="166" t="s">
        <v>13436</v>
      </c>
      <c r="I2257" s="193" t="s">
        <v>12809</v>
      </c>
      <c r="J2257" s="193" t="s">
        <v>12648</v>
      </c>
      <c r="K2257" s="170"/>
      <c r="L2257" s="193"/>
    </row>
    <row r="2258" spans="1:12" ht="15.75">
      <c r="A2258" s="67">
        <f t="shared" si="35"/>
        <v>2256</v>
      </c>
      <c r="B2258" s="164">
        <v>2256</v>
      </c>
      <c r="C2258" s="193" t="s">
        <v>3551</v>
      </c>
      <c r="D2258" s="196" t="s">
        <v>6819</v>
      </c>
      <c r="E2258" s="193" t="s">
        <v>9332</v>
      </c>
      <c r="F2258" s="193" t="s">
        <v>59</v>
      </c>
      <c r="G2258" s="195" t="s">
        <v>862</v>
      </c>
      <c r="H2258" s="166" t="s">
        <v>13436</v>
      </c>
      <c r="I2258" s="193" t="s">
        <v>12839</v>
      </c>
      <c r="J2258" s="219" t="s">
        <v>146</v>
      </c>
      <c r="K2258" s="170"/>
      <c r="L2258" s="193"/>
    </row>
    <row r="2259" spans="1:12" ht="75">
      <c r="A2259" s="67">
        <f t="shared" si="35"/>
        <v>2257</v>
      </c>
      <c r="B2259" s="164">
        <v>2257</v>
      </c>
      <c r="C2259" s="193" t="s">
        <v>3552</v>
      </c>
      <c r="D2259" s="195" t="s">
        <v>6820</v>
      </c>
      <c r="E2259" s="193" t="s">
        <v>461</v>
      </c>
      <c r="F2259" s="193" t="s">
        <v>114</v>
      </c>
      <c r="G2259" s="195" t="s">
        <v>11486</v>
      </c>
      <c r="H2259" s="166" t="s">
        <v>13436</v>
      </c>
      <c r="I2259" s="193" t="s">
        <v>12813</v>
      </c>
      <c r="J2259" s="193" t="s">
        <v>146</v>
      </c>
      <c r="K2259" s="170"/>
      <c r="L2259" s="193" t="s">
        <v>13346</v>
      </c>
    </row>
    <row r="2260" spans="1:12" ht="60">
      <c r="A2260" s="67">
        <f t="shared" si="35"/>
        <v>2258</v>
      </c>
      <c r="B2260" s="164">
        <v>2258</v>
      </c>
      <c r="C2260" s="193" t="s">
        <v>3553</v>
      </c>
      <c r="D2260" s="195" t="s">
        <v>6821</v>
      </c>
      <c r="E2260" s="193" t="s">
        <v>9333</v>
      </c>
      <c r="F2260" s="193" t="s">
        <v>114</v>
      </c>
      <c r="G2260" s="195" t="s">
        <v>236</v>
      </c>
      <c r="H2260" s="166" t="s">
        <v>13436</v>
      </c>
      <c r="I2260" s="193" t="s">
        <v>12813</v>
      </c>
      <c r="J2260" s="193" t="s">
        <v>12649</v>
      </c>
      <c r="K2260" s="170"/>
      <c r="L2260" s="193" t="s">
        <v>146</v>
      </c>
    </row>
    <row r="2261" spans="1:12" ht="15.75">
      <c r="A2261" s="67">
        <f t="shared" si="35"/>
        <v>2259</v>
      </c>
      <c r="B2261" s="164">
        <v>2259</v>
      </c>
      <c r="C2261" s="193" t="s">
        <v>3554</v>
      </c>
      <c r="D2261" s="195" t="s">
        <v>6822</v>
      </c>
      <c r="E2261" s="193" t="s">
        <v>9334</v>
      </c>
      <c r="F2261" s="193" t="s">
        <v>59</v>
      </c>
      <c r="G2261" s="195" t="s">
        <v>892</v>
      </c>
      <c r="H2261" s="166" t="s">
        <v>13436</v>
      </c>
      <c r="I2261" s="193" t="s">
        <v>12817</v>
      </c>
      <c r="J2261" s="193" t="s">
        <v>146</v>
      </c>
      <c r="K2261" s="170"/>
      <c r="L2261" s="193"/>
    </row>
    <row r="2262" spans="1:12" ht="15.75">
      <c r="A2262" s="67">
        <f t="shared" si="35"/>
        <v>2260</v>
      </c>
      <c r="B2262" s="164">
        <v>2260</v>
      </c>
      <c r="C2262" s="193" t="s">
        <v>3555</v>
      </c>
      <c r="D2262" s="195" t="s">
        <v>6823</v>
      </c>
      <c r="E2262" s="193" t="s">
        <v>9335</v>
      </c>
      <c r="F2262" s="193" t="s">
        <v>114</v>
      </c>
      <c r="G2262" s="195" t="s">
        <v>11487</v>
      </c>
      <c r="H2262" s="166" t="s">
        <v>13436</v>
      </c>
      <c r="I2262" s="193" t="s">
        <v>12835</v>
      </c>
      <c r="J2262" s="193" t="s">
        <v>146</v>
      </c>
      <c r="K2262" s="170"/>
      <c r="L2262" s="193" t="s">
        <v>146</v>
      </c>
    </row>
    <row r="2263" spans="1:12" ht="15.75">
      <c r="A2263" s="67">
        <f t="shared" si="35"/>
        <v>2261</v>
      </c>
      <c r="B2263" s="164">
        <v>2261</v>
      </c>
      <c r="C2263" s="193" t="s">
        <v>3556</v>
      </c>
      <c r="D2263" s="195" t="s">
        <v>6824</v>
      </c>
      <c r="E2263" s="193" t="s">
        <v>9336</v>
      </c>
      <c r="F2263" s="193" t="s">
        <v>114</v>
      </c>
      <c r="G2263" s="195" t="s">
        <v>1100</v>
      </c>
      <c r="H2263" s="166" t="s">
        <v>13436</v>
      </c>
      <c r="I2263" s="193" t="s">
        <v>12819</v>
      </c>
      <c r="J2263" s="193" t="s">
        <v>146</v>
      </c>
      <c r="K2263" s="170"/>
      <c r="L2263" s="193" t="s">
        <v>146</v>
      </c>
    </row>
    <row r="2264" spans="1:12" ht="15.75">
      <c r="A2264" s="67">
        <f t="shared" si="35"/>
        <v>2262</v>
      </c>
      <c r="B2264" s="164">
        <v>2262</v>
      </c>
      <c r="C2264" s="193" t="s">
        <v>3557</v>
      </c>
      <c r="D2264" s="195" t="s">
        <v>6825</v>
      </c>
      <c r="E2264" s="193" t="s">
        <v>182</v>
      </c>
      <c r="F2264" s="193" t="s">
        <v>114</v>
      </c>
      <c r="G2264" s="195" t="s">
        <v>854</v>
      </c>
      <c r="H2264" s="166" t="s">
        <v>13436</v>
      </c>
      <c r="I2264" s="193" t="s">
        <v>12825</v>
      </c>
      <c r="J2264" s="193" t="s">
        <v>146</v>
      </c>
      <c r="K2264" s="170"/>
      <c r="L2264" s="193" t="s">
        <v>146</v>
      </c>
    </row>
    <row r="2265" spans="1:12" ht="15.75">
      <c r="A2265" s="67">
        <f t="shared" si="35"/>
        <v>2263</v>
      </c>
      <c r="B2265" s="164">
        <v>2263</v>
      </c>
      <c r="C2265" s="193" t="s">
        <v>3558</v>
      </c>
      <c r="D2265" s="195" t="s">
        <v>6826</v>
      </c>
      <c r="E2265" s="193" t="s">
        <v>9337</v>
      </c>
      <c r="F2265" s="193" t="s">
        <v>114</v>
      </c>
      <c r="G2265" s="195" t="s">
        <v>11488</v>
      </c>
      <c r="H2265" s="166" t="s">
        <v>13436</v>
      </c>
      <c r="I2265" s="193" t="s">
        <v>12812</v>
      </c>
      <c r="J2265" s="193" t="s">
        <v>12549</v>
      </c>
      <c r="K2265" s="170"/>
      <c r="L2265" s="193" t="s">
        <v>146</v>
      </c>
    </row>
    <row r="2266" spans="1:12" ht="15.75">
      <c r="A2266" s="67">
        <f t="shared" si="35"/>
        <v>2264</v>
      </c>
      <c r="B2266" s="164">
        <v>2264</v>
      </c>
      <c r="C2266" s="193" t="s">
        <v>3559</v>
      </c>
      <c r="D2266" s="195" t="s">
        <v>6827</v>
      </c>
      <c r="E2266" s="193" t="s">
        <v>9338</v>
      </c>
      <c r="F2266" s="193" t="s">
        <v>114</v>
      </c>
      <c r="G2266" s="195" t="s">
        <v>11489</v>
      </c>
      <c r="H2266" s="166" t="s">
        <v>13436</v>
      </c>
      <c r="I2266" s="193" t="s">
        <v>12809</v>
      </c>
      <c r="J2266" s="193" t="s">
        <v>146</v>
      </c>
      <c r="K2266" s="170"/>
      <c r="L2266" s="193" t="s">
        <v>146</v>
      </c>
    </row>
    <row r="2267" spans="1:12" ht="30">
      <c r="A2267" s="67">
        <f t="shared" si="35"/>
        <v>2265</v>
      </c>
      <c r="B2267" s="164">
        <v>2265</v>
      </c>
      <c r="C2267" s="193" t="s">
        <v>3560</v>
      </c>
      <c r="D2267" s="195" t="s">
        <v>6828</v>
      </c>
      <c r="E2267" s="193" t="s">
        <v>188</v>
      </c>
      <c r="F2267" s="193" t="s">
        <v>114</v>
      </c>
      <c r="G2267" s="195" t="s">
        <v>980</v>
      </c>
      <c r="H2267" s="166" t="s">
        <v>13436</v>
      </c>
      <c r="I2267" s="193" t="s">
        <v>12808</v>
      </c>
      <c r="J2267" s="193" t="s">
        <v>12356</v>
      </c>
      <c r="K2267" s="170"/>
      <c r="L2267" s="193" t="s">
        <v>146</v>
      </c>
    </row>
    <row r="2268" spans="1:12" ht="30">
      <c r="A2268" s="67">
        <f t="shared" si="35"/>
        <v>2266</v>
      </c>
      <c r="B2268" s="164">
        <v>2266</v>
      </c>
      <c r="C2268" s="193" t="s">
        <v>3561</v>
      </c>
      <c r="D2268" s="195" t="s">
        <v>6829</v>
      </c>
      <c r="E2268" s="193" t="s">
        <v>8259</v>
      </c>
      <c r="F2268" s="193" t="s">
        <v>114</v>
      </c>
      <c r="G2268" s="195" t="s">
        <v>953</v>
      </c>
      <c r="H2268" s="166" t="s">
        <v>13436</v>
      </c>
      <c r="I2268" s="193" t="s">
        <v>12819</v>
      </c>
      <c r="J2268" s="193" t="s">
        <v>12650</v>
      </c>
      <c r="K2268" s="170"/>
      <c r="L2268" s="193" t="s">
        <v>146</v>
      </c>
    </row>
    <row r="2269" spans="1:12" ht="15.75">
      <c r="A2269" s="67">
        <f t="shared" si="35"/>
        <v>2267</v>
      </c>
      <c r="B2269" s="164">
        <v>2267</v>
      </c>
      <c r="C2269" s="193" t="s">
        <v>3562</v>
      </c>
      <c r="D2269" s="195" t="s">
        <v>6830</v>
      </c>
      <c r="E2269" s="193" t="s">
        <v>9339</v>
      </c>
      <c r="F2269" s="193" t="s">
        <v>114</v>
      </c>
      <c r="G2269" s="195" t="s">
        <v>1108</v>
      </c>
      <c r="H2269" s="166" t="s">
        <v>13436</v>
      </c>
      <c r="I2269" s="193" t="s">
        <v>12817</v>
      </c>
      <c r="J2269" s="193" t="s">
        <v>146</v>
      </c>
      <c r="K2269" s="170"/>
      <c r="L2269" s="193" t="s">
        <v>146</v>
      </c>
    </row>
    <row r="2270" spans="1:12" ht="15.75">
      <c r="A2270" s="67">
        <f t="shared" si="35"/>
        <v>2268</v>
      </c>
      <c r="B2270" s="164">
        <v>2268</v>
      </c>
      <c r="C2270" s="193" t="s">
        <v>3563</v>
      </c>
      <c r="D2270" s="195" t="s">
        <v>6831</v>
      </c>
      <c r="E2270" s="193" t="s">
        <v>9340</v>
      </c>
      <c r="F2270" s="193" t="s">
        <v>59</v>
      </c>
      <c r="G2270" s="195" t="s">
        <v>11490</v>
      </c>
      <c r="H2270" s="166" t="s">
        <v>13436</v>
      </c>
      <c r="I2270" s="193" t="s">
        <v>12817</v>
      </c>
      <c r="J2270" s="193" t="s">
        <v>147</v>
      </c>
      <c r="K2270" s="170"/>
      <c r="L2270" s="193"/>
    </row>
    <row r="2271" spans="1:12" ht="15.75">
      <c r="A2271" s="67">
        <f t="shared" si="35"/>
        <v>2269</v>
      </c>
      <c r="B2271" s="164">
        <v>2269</v>
      </c>
      <c r="C2271" s="193" t="s">
        <v>3564</v>
      </c>
      <c r="D2271" s="195" t="s">
        <v>6832</v>
      </c>
      <c r="E2271" s="193" t="s">
        <v>9341</v>
      </c>
      <c r="F2271" s="193" t="s">
        <v>114</v>
      </c>
      <c r="G2271" s="195" t="s">
        <v>11491</v>
      </c>
      <c r="H2271" s="166" t="s">
        <v>13436</v>
      </c>
      <c r="I2271" s="193" t="s">
        <v>12814</v>
      </c>
      <c r="J2271" s="193" t="s">
        <v>146</v>
      </c>
      <c r="K2271" s="170"/>
      <c r="L2271" s="193" t="s">
        <v>146</v>
      </c>
    </row>
    <row r="2272" spans="1:12" ht="15.75">
      <c r="A2272" s="67">
        <f t="shared" si="35"/>
        <v>2270</v>
      </c>
      <c r="B2272" s="164">
        <v>2270</v>
      </c>
      <c r="C2272" s="193" t="s">
        <v>3565</v>
      </c>
      <c r="D2272" s="197" t="s">
        <v>6833</v>
      </c>
      <c r="E2272" s="193" t="s">
        <v>9342</v>
      </c>
      <c r="F2272" s="193" t="s">
        <v>114</v>
      </c>
      <c r="G2272" s="195" t="s">
        <v>11492</v>
      </c>
      <c r="H2272" s="166" t="s">
        <v>13436</v>
      </c>
      <c r="I2272" s="193" t="s">
        <v>12816</v>
      </c>
      <c r="J2272" s="193" t="s">
        <v>146</v>
      </c>
      <c r="K2272" s="170"/>
      <c r="L2272" s="193" t="s">
        <v>146</v>
      </c>
    </row>
    <row r="2273" spans="1:12" ht="15.75">
      <c r="A2273" s="67">
        <f t="shared" si="35"/>
        <v>2271</v>
      </c>
      <c r="B2273" s="164">
        <v>2271</v>
      </c>
      <c r="C2273" s="193" t="s">
        <v>3566</v>
      </c>
      <c r="D2273" s="198" t="s">
        <v>6834</v>
      </c>
      <c r="E2273" s="193" t="s">
        <v>9343</v>
      </c>
      <c r="F2273" s="193" t="s">
        <v>114</v>
      </c>
      <c r="G2273" s="195" t="s">
        <v>11493</v>
      </c>
      <c r="H2273" s="166" t="s">
        <v>13436</v>
      </c>
      <c r="I2273" s="193" t="s">
        <v>1247</v>
      </c>
      <c r="J2273" s="193"/>
      <c r="K2273" s="170"/>
      <c r="L2273" s="193"/>
    </row>
    <row r="2274" spans="1:12" ht="30">
      <c r="A2274" s="67">
        <f t="shared" si="35"/>
        <v>2272</v>
      </c>
      <c r="B2274" s="164">
        <v>2272</v>
      </c>
      <c r="C2274" s="193" t="s">
        <v>3567</v>
      </c>
      <c r="D2274" s="204" t="s">
        <v>6835</v>
      </c>
      <c r="E2274" s="193" t="s">
        <v>9344</v>
      </c>
      <c r="F2274" s="193" t="s">
        <v>59</v>
      </c>
      <c r="G2274" s="195" t="s">
        <v>11494</v>
      </c>
      <c r="H2274" s="166" t="s">
        <v>13436</v>
      </c>
      <c r="I2274" s="193" t="s">
        <v>1247</v>
      </c>
      <c r="J2274" s="219" t="s">
        <v>12651</v>
      </c>
      <c r="K2274" s="170"/>
      <c r="L2274" s="193"/>
    </row>
    <row r="2275" spans="1:12" ht="15.75">
      <c r="A2275" s="67">
        <f t="shared" si="35"/>
        <v>2273</v>
      </c>
      <c r="B2275" s="164">
        <v>2273</v>
      </c>
      <c r="C2275" s="193" t="s">
        <v>3568</v>
      </c>
      <c r="D2275" s="195" t="s">
        <v>6836</v>
      </c>
      <c r="E2275" s="193" t="s">
        <v>9345</v>
      </c>
      <c r="F2275" s="193" t="s">
        <v>114</v>
      </c>
      <c r="G2275" s="195" t="s">
        <v>11495</v>
      </c>
      <c r="H2275" s="166" t="s">
        <v>13436</v>
      </c>
      <c r="I2275" s="193" t="s">
        <v>12812</v>
      </c>
      <c r="J2275" s="193" t="s">
        <v>146</v>
      </c>
      <c r="K2275" s="170"/>
      <c r="L2275" s="193" t="s">
        <v>146</v>
      </c>
    </row>
    <row r="2276" spans="1:12" ht="15.75">
      <c r="A2276" s="67">
        <f t="shared" si="35"/>
        <v>2274</v>
      </c>
      <c r="B2276" s="164">
        <v>2274</v>
      </c>
      <c r="C2276" s="193" t="s">
        <v>3569</v>
      </c>
      <c r="D2276" s="195" t="s">
        <v>6837</v>
      </c>
      <c r="E2276" s="193" t="s">
        <v>9346</v>
      </c>
      <c r="F2276" s="193" t="s">
        <v>59</v>
      </c>
      <c r="G2276" s="195" t="s">
        <v>1144</v>
      </c>
      <c r="H2276" s="166" t="s">
        <v>13436</v>
      </c>
      <c r="I2276" s="193" t="s">
        <v>12808</v>
      </c>
      <c r="J2276" s="219" t="s">
        <v>146</v>
      </c>
      <c r="K2276" s="170"/>
      <c r="L2276" s="193"/>
    </row>
    <row r="2277" spans="1:12" ht="15.75">
      <c r="A2277" s="67">
        <f t="shared" si="35"/>
        <v>2275</v>
      </c>
      <c r="B2277" s="164">
        <v>2275</v>
      </c>
      <c r="C2277" s="193" t="s">
        <v>3570</v>
      </c>
      <c r="D2277" s="197" t="s">
        <v>6838</v>
      </c>
      <c r="E2277" s="193" t="s">
        <v>9347</v>
      </c>
      <c r="F2277" s="193" t="s">
        <v>114</v>
      </c>
      <c r="G2277" s="195" t="s">
        <v>942</v>
      </c>
      <c r="H2277" s="166" t="s">
        <v>13436</v>
      </c>
      <c r="I2277" s="193" t="s">
        <v>12816</v>
      </c>
      <c r="J2277" s="193" t="s">
        <v>146</v>
      </c>
      <c r="K2277" s="170"/>
      <c r="L2277" s="193" t="s">
        <v>146</v>
      </c>
    </row>
    <row r="2278" spans="1:12" ht="15.75">
      <c r="A2278" s="67">
        <f t="shared" si="35"/>
        <v>2276</v>
      </c>
      <c r="B2278" s="164">
        <v>2276</v>
      </c>
      <c r="C2278" s="193" t="s">
        <v>3571</v>
      </c>
      <c r="D2278" s="198" t="s">
        <v>6839</v>
      </c>
      <c r="E2278" s="193" t="s">
        <v>644</v>
      </c>
      <c r="F2278" s="193" t="s">
        <v>114</v>
      </c>
      <c r="G2278" s="195" t="s">
        <v>938</v>
      </c>
      <c r="H2278" s="166" t="s">
        <v>13436</v>
      </c>
      <c r="I2278" s="193" t="s">
        <v>1247</v>
      </c>
      <c r="J2278" s="193" t="s">
        <v>146</v>
      </c>
      <c r="K2278" s="170"/>
      <c r="L2278" s="193" t="s">
        <v>146</v>
      </c>
    </row>
    <row r="2279" spans="1:12" ht="15.75">
      <c r="A2279" s="67">
        <f t="shared" si="35"/>
        <v>2277</v>
      </c>
      <c r="B2279" s="164">
        <v>2277</v>
      </c>
      <c r="C2279" s="193" t="s">
        <v>3572</v>
      </c>
      <c r="D2279" s="195" t="s">
        <v>6840</v>
      </c>
      <c r="E2279" s="193" t="s">
        <v>9348</v>
      </c>
      <c r="F2279" s="193" t="s">
        <v>114</v>
      </c>
      <c r="G2279" s="195" t="s">
        <v>11496</v>
      </c>
      <c r="H2279" s="166" t="s">
        <v>13436</v>
      </c>
      <c r="I2279" s="193" t="s">
        <v>12812</v>
      </c>
      <c r="J2279" s="193" t="s">
        <v>146</v>
      </c>
      <c r="K2279" s="170"/>
      <c r="L2279" s="193" t="s">
        <v>146</v>
      </c>
    </row>
    <row r="2280" spans="1:12" ht="30">
      <c r="A2280" s="67">
        <f t="shared" si="35"/>
        <v>2278</v>
      </c>
      <c r="B2280" s="164">
        <v>2278</v>
      </c>
      <c r="C2280" s="193" t="s">
        <v>3573</v>
      </c>
      <c r="D2280" s="195" t="s">
        <v>6841</v>
      </c>
      <c r="E2280" s="193" t="s">
        <v>372</v>
      </c>
      <c r="F2280" s="193" t="s">
        <v>114</v>
      </c>
      <c r="G2280" s="195" t="s">
        <v>11497</v>
      </c>
      <c r="H2280" s="166" t="s">
        <v>13436</v>
      </c>
      <c r="I2280" s="193" t="s">
        <v>12838</v>
      </c>
      <c r="J2280" s="193" t="s">
        <v>146</v>
      </c>
      <c r="K2280" s="170"/>
      <c r="L2280" s="193" t="s">
        <v>13347</v>
      </c>
    </row>
    <row r="2281" spans="1:12" ht="30">
      <c r="A2281" s="67">
        <f t="shared" si="35"/>
        <v>2279</v>
      </c>
      <c r="B2281" s="164">
        <v>2279</v>
      </c>
      <c r="C2281" s="193" t="s">
        <v>3574</v>
      </c>
      <c r="D2281" s="195" t="s">
        <v>6842</v>
      </c>
      <c r="E2281" s="193" t="s">
        <v>563</v>
      </c>
      <c r="F2281" s="193" t="s">
        <v>114</v>
      </c>
      <c r="G2281" s="195" t="s">
        <v>11498</v>
      </c>
      <c r="H2281" s="166" t="s">
        <v>13436</v>
      </c>
      <c r="I2281" s="193" t="s">
        <v>12818</v>
      </c>
      <c r="J2281" s="193" t="s">
        <v>12566</v>
      </c>
      <c r="K2281" s="170"/>
      <c r="L2281" s="193" t="s">
        <v>13348</v>
      </c>
    </row>
    <row r="2282" spans="1:12" ht="30">
      <c r="A2282" s="67">
        <f t="shared" si="35"/>
        <v>2280</v>
      </c>
      <c r="B2282" s="164">
        <v>2280</v>
      </c>
      <c r="C2282" s="193" t="s">
        <v>3575</v>
      </c>
      <c r="D2282" s="195" t="s">
        <v>6843</v>
      </c>
      <c r="E2282" s="193" t="s">
        <v>9349</v>
      </c>
      <c r="F2282" s="193" t="s">
        <v>114</v>
      </c>
      <c r="G2282" s="195" t="s">
        <v>1168</v>
      </c>
      <c r="H2282" s="166" t="s">
        <v>13436</v>
      </c>
      <c r="I2282" s="193" t="s">
        <v>12827</v>
      </c>
      <c r="J2282" s="193" t="s">
        <v>12652</v>
      </c>
      <c r="K2282" s="170"/>
      <c r="L2282" s="193" t="s">
        <v>146</v>
      </c>
    </row>
    <row r="2283" spans="1:12" ht="15.75">
      <c r="A2283" s="67">
        <f t="shared" si="35"/>
        <v>2281</v>
      </c>
      <c r="B2283" s="164">
        <v>2281</v>
      </c>
      <c r="C2283" s="193" t="s">
        <v>3576</v>
      </c>
      <c r="D2283" s="199" t="s">
        <v>6844</v>
      </c>
      <c r="E2283" s="193" t="s">
        <v>9350</v>
      </c>
      <c r="F2283" s="193" t="s">
        <v>59</v>
      </c>
      <c r="G2283" s="195" t="s">
        <v>11499</v>
      </c>
      <c r="H2283" s="166" t="s">
        <v>13436</v>
      </c>
      <c r="I2283" s="193" t="s">
        <v>12839</v>
      </c>
      <c r="J2283" s="219" t="s">
        <v>146</v>
      </c>
      <c r="K2283" s="170"/>
      <c r="L2283" s="193"/>
    </row>
    <row r="2284" spans="1:12" ht="15.75">
      <c r="A2284" s="67">
        <f t="shared" si="35"/>
        <v>2282</v>
      </c>
      <c r="B2284" s="164">
        <v>2282</v>
      </c>
      <c r="C2284" s="193" t="s">
        <v>3577</v>
      </c>
      <c r="D2284" s="195" t="s">
        <v>6845</v>
      </c>
      <c r="E2284" s="193" t="s">
        <v>8709</v>
      </c>
      <c r="F2284" s="193" t="s">
        <v>114</v>
      </c>
      <c r="G2284" s="195" t="s">
        <v>11500</v>
      </c>
      <c r="H2284" s="166" t="s">
        <v>13436</v>
      </c>
      <c r="I2284" s="193" t="s">
        <v>12835</v>
      </c>
      <c r="J2284" s="193" t="s">
        <v>146</v>
      </c>
      <c r="K2284" s="170"/>
      <c r="L2284" s="193" t="s">
        <v>146</v>
      </c>
    </row>
    <row r="2285" spans="1:12" ht="15.75">
      <c r="A2285" s="67">
        <f t="shared" si="35"/>
        <v>2283</v>
      </c>
      <c r="B2285" s="164">
        <v>2283</v>
      </c>
      <c r="C2285" s="193" t="s">
        <v>3578</v>
      </c>
      <c r="D2285" s="195" t="s">
        <v>6846</v>
      </c>
      <c r="E2285" s="193" t="s">
        <v>609</v>
      </c>
      <c r="F2285" s="193" t="s">
        <v>59</v>
      </c>
      <c r="G2285" s="195" t="s">
        <v>1049</v>
      </c>
      <c r="H2285" s="166" t="s">
        <v>13436</v>
      </c>
      <c r="I2285" s="193" t="s">
        <v>12819</v>
      </c>
      <c r="J2285" s="193" t="s">
        <v>146</v>
      </c>
      <c r="K2285" s="170"/>
      <c r="L2285" s="193"/>
    </row>
    <row r="2286" spans="1:12" ht="15.75">
      <c r="A2286" s="67">
        <f t="shared" si="35"/>
        <v>2284</v>
      </c>
      <c r="B2286" s="164">
        <v>2284</v>
      </c>
      <c r="C2286" s="193" t="s">
        <v>3579</v>
      </c>
      <c r="D2286" s="195" t="s">
        <v>6847</v>
      </c>
      <c r="E2286" s="193" t="s">
        <v>9351</v>
      </c>
      <c r="F2286" s="193" t="s">
        <v>114</v>
      </c>
      <c r="G2286" s="195" t="s">
        <v>11501</v>
      </c>
      <c r="H2286" s="166" t="s">
        <v>13436</v>
      </c>
      <c r="I2286" s="193" t="s">
        <v>12821</v>
      </c>
      <c r="J2286" s="193" t="s">
        <v>146</v>
      </c>
      <c r="K2286" s="170"/>
      <c r="L2286" s="193" t="s">
        <v>146</v>
      </c>
    </row>
    <row r="2287" spans="1:12" ht="30">
      <c r="A2287" s="67">
        <f t="shared" si="35"/>
        <v>2285</v>
      </c>
      <c r="B2287" s="164">
        <v>2285</v>
      </c>
      <c r="C2287" s="193" t="s">
        <v>3580</v>
      </c>
      <c r="D2287" s="195" t="s">
        <v>6848</v>
      </c>
      <c r="E2287" s="193" t="s">
        <v>9252</v>
      </c>
      <c r="F2287" s="193" t="s">
        <v>114</v>
      </c>
      <c r="G2287" s="195" t="s">
        <v>11502</v>
      </c>
      <c r="H2287" s="166" t="s">
        <v>13436</v>
      </c>
      <c r="I2287" s="193" t="s">
        <v>12819</v>
      </c>
      <c r="J2287" s="193" t="s">
        <v>164</v>
      </c>
      <c r="K2287" s="170"/>
      <c r="L2287" s="193" t="s">
        <v>13349</v>
      </c>
    </row>
    <row r="2288" spans="1:12" ht="30">
      <c r="A2288" s="67">
        <f t="shared" si="35"/>
        <v>2286</v>
      </c>
      <c r="B2288" s="164">
        <v>2286</v>
      </c>
      <c r="C2288" s="193" t="s">
        <v>3581</v>
      </c>
      <c r="D2288" s="195" t="s">
        <v>6849</v>
      </c>
      <c r="E2288" s="193" t="s">
        <v>9352</v>
      </c>
      <c r="F2288" s="193" t="s">
        <v>114</v>
      </c>
      <c r="G2288" s="195" t="s">
        <v>1054</v>
      </c>
      <c r="H2288" s="166" t="s">
        <v>13436</v>
      </c>
      <c r="I2288" s="193" t="s">
        <v>12814</v>
      </c>
      <c r="J2288" s="193" t="s">
        <v>1271</v>
      </c>
      <c r="K2288" s="170"/>
      <c r="L2288" s="193" t="s">
        <v>146</v>
      </c>
    </row>
    <row r="2289" spans="1:12" ht="15.75">
      <c r="A2289" s="67">
        <f t="shared" si="35"/>
        <v>2287</v>
      </c>
      <c r="B2289" s="164">
        <v>2287</v>
      </c>
      <c r="C2289" s="193" t="s">
        <v>3582</v>
      </c>
      <c r="D2289" s="195" t="s">
        <v>6850</v>
      </c>
      <c r="E2289" s="193" t="s">
        <v>9353</v>
      </c>
      <c r="F2289" s="193" t="s">
        <v>59</v>
      </c>
      <c r="G2289" s="195" t="s">
        <v>1206</v>
      </c>
      <c r="H2289" s="166" t="s">
        <v>13436</v>
      </c>
      <c r="I2289" s="193" t="s">
        <v>12817</v>
      </c>
      <c r="J2289" s="193" t="s">
        <v>146</v>
      </c>
      <c r="K2289" s="170"/>
      <c r="L2289" s="193"/>
    </row>
    <row r="2290" spans="1:12" ht="15.75">
      <c r="A2290" s="67">
        <f t="shared" si="35"/>
        <v>2288</v>
      </c>
      <c r="B2290" s="164">
        <v>2288</v>
      </c>
      <c r="C2290" s="193" t="s">
        <v>3583</v>
      </c>
      <c r="D2290" s="195" t="s">
        <v>6851</v>
      </c>
      <c r="E2290" s="193" t="s">
        <v>9354</v>
      </c>
      <c r="F2290" s="193" t="s">
        <v>59</v>
      </c>
      <c r="G2290" s="195" t="s">
        <v>895</v>
      </c>
      <c r="H2290" s="166" t="s">
        <v>13436</v>
      </c>
      <c r="I2290" s="193" t="s">
        <v>12836</v>
      </c>
      <c r="J2290" s="219" t="s">
        <v>146</v>
      </c>
      <c r="K2290" s="170"/>
      <c r="L2290" s="193"/>
    </row>
    <row r="2291" spans="1:12" ht="15.75">
      <c r="A2291" s="67">
        <f t="shared" si="35"/>
        <v>2289</v>
      </c>
      <c r="B2291" s="164">
        <v>2289</v>
      </c>
      <c r="C2291" s="193" t="s">
        <v>3584</v>
      </c>
      <c r="D2291" s="195" t="s">
        <v>6852</v>
      </c>
      <c r="E2291" s="193" t="s">
        <v>9355</v>
      </c>
      <c r="F2291" s="193" t="s">
        <v>114</v>
      </c>
      <c r="G2291" s="195" t="s">
        <v>11503</v>
      </c>
      <c r="H2291" s="166" t="s">
        <v>13436</v>
      </c>
      <c r="I2291" s="193" t="s">
        <v>12835</v>
      </c>
      <c r="J2291" s="193" t="s">
        <v>146</v>
      </c>
      <c r="K2291" s="170"/>
      <c r="L2291" s="193" t="s">
        <v>146</v>
      </c>
    </row>
    <row r="2292" spans="1:12" ht="15.75">
      <c r="A2292" s="67">
        <f t="shared" si="35"/>
        <v>2290</v>
      </c>
      <c r="B2292" s="164">
        <v>2290</v>
      </c>
      <c r="C2292" s="193" t="s">
        <v>3585</v>
      </c>
      <c r="D2292" s="195" t="s">
        <v>6853</v>
      </c>
      <c r="E2292" s="193" t="s">
        <v>9356</v>
      </c>
      <c r="F2292" s="193" t="s">
        <v>114</v>
      </c>
      <c r="G2292" s="195" t="s">
        <v>11504</v>
      </c>
      <c r="H2292" s="166" t="s">
        <v>13436</v>
      </c>
      <c r="I2292" s="193" t="s">
        <v>12814</v>
      </c>
      <c r="J2292" s="193" t="s">
        <v>146</v>
      </c>
      <c r="K2292" s="170"/>
      <c r="L2292" s="193" t="s">
        <v>146</v>
      </c>
    </row>
    <row r="2293" spans="1:12" ht="15.75">
      <c r="A2293" s="67">
        <f t="shared" si="35"/>
        <v>2291</v>
      </c>
      <c r="B2293" s="164">
        <v>2291</v>
      </c>
      <c r="C2293" s="193" t="s">
        <v>3586</v>
      </c>
      <c r="D2293" s="195" t="s">
        <v>6854</v>
      </c>
      <c r="E2293" s="193" t="s">
        <v>9357</v>
      </c>
      <c r="F2293" s="193" t="s">
        <v>59</v>
      </c>
      <c r="G2293" s="195" t="s">
        <v>11505</v>
      </c>
      <c r="H2293" s="166" t="s">
        <v>13436</v>
      </c>
      <c r="I2293" s="193" t="s">
        <v>12812</v>
      </c>
      <c r="J2293" s="193" t="s">
        <v>147</v>
      </c>
      <c r="K2293" s="170"/>
      <c r="L2293" s="193"/>
    </row>
    <row r="2294" spans="1:12" ht="30">
      <c r="A2294" s="67">
        <f t="shared" si="35"/>
        <v>2292</v>
      </c>
      <c r="B2294" s="164">
        <v>2292</v>
      </c>
      <c r="C2294" s="193" t="s">
        <v>3587</v>
      </c>
      <c r="D2294" s="195" t="s">
        <v>6855</v>
      </c>
      <c r="E2294" s="193" t="s">
        <v>8226</v>
      </c>
      <c r="F2294" s="193" t="s">
        <v>114</v>
      </c>
      <c r="G2294" s="195" t="s">
        <v>864</v>
      </c>
      <c r="H2294" s="166" t="s">
        <v>13436</v>
      </c>
      <c r="I2294" s="193" t="s">
        <v>12836</v>
      </c>
      <c r="J2294" s="193" t="s">
        <v>12653</v>
      </c>
      <c r="K2294" s="170"/>
      <c r="L2294" s="193" t="s">
        <v>146</v>
      </c>
    </row>
    <row r="2295" spans="1:12" ht="30">
      <c r="A2295" s="67">
        <f t="shared" si="35"/>
        <v>2293</v>
      </c>
      <c r="B2295" s="164">
        <v>2293</v>
      </c>
      <c r="C2295" s="193" t="s">
        <v>3588</v>
      </c>
      <c r="D2295" s="195" t="s">
        <v>6856</v>
      </c>
      <c r="E2295" s="193" t="s">
        <v>9358</v>
      </c>
      <c r="F2295" s="193" t="s">
        <v>114</v>
      </c>
      <c r="G2295" s="195" t="s">
        <v>11506</v>
      </c>
      <c r="H2295" s="166" t="s">
        <v>13436</v>
      </c>
      <c r="I2295" s="193" t="s">
        <v>12819</v>
      </c>
      <c r="J2295" s="219" t="s">
        <v>12654</v>
      </c>
      <c r="K2295" s="170"/>
      <c r="L2295" s="219" t="s">
        <v>146</v>
      </c>
    </row>
    <row r="2296" spans="1:12" ht="15.75">
      <c r="A2296" s="67">
        <f t="shared" si="35"/>
        <v>2294</v>
      </c>
      <c r="B2296" s="164">
        <v>2294</v>
      </c>
      <c r="C2296" s="193" t="s">
        <v>3589</v>
      </c>
      <c r="D2296" s="195" t="s">
        <v>6857</v>
      </c>
      <c r="E2296" s="193" t="s">
        <v>9359</v>
      </c>
      <c r="F2296" s="193" t="s">
        <v>114</v>
      </c>
      <c r="G2296" s="195" t="s">
        <v>11506</v>
      </c>
      <c r="H2296" s="166" t="s">
        <v>13436</v>
      </c>
      <c r="I2296" s="193" t="s">
        <v>12819</v>
      </c>
      <c r="J2296" s="193" t="s">
        <v>146</v>
      </c>
      <c r="K2296" s="170"/>
      <c r="L2296" s="193" t="s">
        <v>146</v>
      </c>
    </row>
    <row r="2297" spans="1:12" ht="30">
      <c r="A2297" s="67">
        <f t="shared" si="35"/>
        <v>2295</v>
      </c>
      <c r="B2297" s="164">
        <v>2295</v>
      </c>
      <c r="C2297" s="193" t="s">
        <v>3590</v>
      </c>
      <c r="D2297" s="195" t="s">
        <v>6858</v>
      </c>
      <c r="E2297" s="193" t="s">
        <v>456</v>
      </c>
      <c r="F2297" s="193" t="s">
        <v>114</v>
      </c>
      <c r="G2297" s="195" t="s">
        <v>11507</v>
      </c>
      <c r="H2297" s="166" t="s">
        <v>13436</v>
      </c>
      <c r="I2297" s="193" t="s">
        <v>12819</v>
      </c>
      <c r="J2297" s="193" t="s">
        <v>12655</v>
      </c>
      <c r="K2297" s="170"/>
      <c r="L2297" s="193" t="s">
        <v>146</v>
      </c>
    </row>
    <row r="2298" spans="1:12" ht="15.75">
      <c r="A2298" s="67">
        <f t="shared" si="35"/>
        <v>2296</v>
      </c>
      <c r="B2298" s="164">
        <v>2296</v>
      </c>
      <c r="C2298" s="193" t="s">
        <v>3591</v>
      </c>
      <c r="D2298" s="195" t="s">
        <v>6859</v>
      </c>
      <c r="E2298" s="193" t="s">
        <v>9360</v>
      </c>
      <c r="F2298" s="193" t="s">
        <v>114</v>
      </c>
      <c r="G2298" s="195" t="s">
        <v>919</v>
      </c>
      <c r="H2298" s="166" t="s">
        <v>13436</v>
      </c>
      <c r="I2298" s="193" t="s">
        <v>12819</v>
      </c>
      <c r="J2298" s="193" t="s">
        <v>146</v>
      </c>
      <c r="K2298" s="170"/>
      <c r="L2298" s="193" t="s">
        <v>146</v>
      </c>
    </row>
    <row r="2299" spans="1:12" ht="15.75">
      <c r="A2299" s="67">
        <f t="shared" si="35"/>
        <v>2297</v>
      </c>
      <c r="B2299" s="164">
        <v>2297</v>
      </c>
      <c r="C2299" s="193" t="s">
        <v>3592</v>
      </c>
      <c r="D2299" s="195" t="s">
        <v>6860</v>
      </c>
      <c r="E2299" s="193" t="s">
        <v>9361</v>
      </c>
      <c r="F2299" s="193" t="s">
        <v>59</v>
      </c>
      <c r="G2299" s="195" t="s">
        <v>11508</v>
      </c>
      <c r="H2299" s="166" t="s">
        <v>13436</v>
      </c>
      <c r="I2299" s="193" t="s">
        <v>12808</v>
      </c>
      <c r="J2299" s="193" t="s">
        <v>146</v>
      </c>
      <c r="K2299" s="170"/>
      <c r="L2299" s="193"/>
    </row>
    <row r="2300" spans="1:12" ht="15.75">
      <c r="A2300" s="67">
        <f t="shared" si="35"/>
        <v>2298</v>
      </c>
      <c r="B2300" s="164">
        <v>2298</v>
      </c>
      <c r="C2300" s="193" t="s">
        <v>3593</v>
      </c>
      <c r="D2300" s="195" t="s">
        <v>6861</v>
      </c>
      <c r="E2300" s="193" t="s">
        <v>346</v>
      </c>
      <c r="F2300" s="193" t="s">
        <v>114</v>
      </c>
      <c r="G2300" s="195" t="s">
        <v>11509</v>
      </c>
      <c r="H2300" s="166" t="s">
        <v>13436</v>
      </c>
      <c r="I2300" s="193" t="s">
        <v>12812</v>
      </c>
      <c r="J2300" s="193" t="s">
        <v>12656</v>
      </c>
      <c r="K2300" s="170"/>
      <c r="L2300" s="193" t="s">
        <v>146</v>
      </c>
    </row>
    <row r="2301" spans="1:12" ht="15.75">
      <c r="A2301" s="67">
        <f t="shared" si="35"/>
        <v>2299</v>
      </c>
      <c r="B2301" s="164">
        <v>2299</v>
      </c>
      <c r="C2301" s="193" t="s">
        <v>3594</v>
      </c>
      <c r="D2301" s="195" t="s">
        <v>6862</v>
      </c>
      <c r="E2301" s="193" t="s">
        <v>9362</v>
      </c>
      <c r="F2301" s="193" t="s">
        <v>59</v>
      </c>
      <c r="G2301" s="195" t="s">
        <v>11510</v>
      </c>
      <c r="H2301" s="166" t="s">
        <v>13436</v>
      </c>
      <c r="I2301" s="193" t="s">
        <v>12808</v>
      </c>
      <c r="J2301" s="193" t="s">
        <v>12657</v>
      </c>
      <c r="K2301" s="170"/>
      <c r="L2301" s="193"/>
    </row>
    <row r="2302" spans="1:12" ht="15.75">
      <c r="A2302" s="67">
        <f t="shared" si="35"/>
        <v>2300</v>
      </c>
      <c r="B2302" s="164">
        <v>2300</v>
      </c>
      <c r="C2302" s="193" t="s">
        <v>3595</v>
      </c>
      <c r="D2302" s="195" t="s">
        <v>6863</v>
      </c>
      <c r="E2302" s="193" t="s">
        <v>9363</v>
      </c>
      <c r="F2302" s="193" t="s">
        <v>59</v>
      </c>
      <c r="G2302" s="195" t="s">
        <v>11511</v>
      </c>
      <c r="H2302" s="166" t="s">
        <v>13436</v>
      </c>
      <c r="I2302" s="193" t="s">
        <v>12808</v>
      </c>
      <c r="J2302" s="193" t="s">
        <v>146</v>
      </c>
      <c r="K2302" s="170"/>
      <c r="L2302" s="193"/>
    </row>
    <row r="2303" spans="1:12" ht="15.75">
      <c r="A2303" s="67">
        <f t="shared" si="35"/>
        <v>2301</v>
      </c>
      <c r="B2303" s="164">
        <v>2301</v>
      </c>
      <c r="C2303" s="193" t="s">
        <v>3596</v>
      </c>
      <c r="D2303" s="195" t="s">
        <v>6864</v>
      </c>
      <c r="E2303" s="193" t="s">
        <v>9364</v>
      </c>
      <c r="F2303" s="193" t="s">
        <v>59</v>
      </c>
      <c r="G2303" s="195" t="s">
        <v>11512</v>
      </c>
      <c r="H2303" s="166" t="s">
        <v>13436</v>
      </c>
      <c r="I2303" s="193" t="s">
        <v>12813</v>
      </c>
      <c r="J2303" s="193" t="s">
        <v>147</v>
      </c>
      <c r="K2303" s="170"/>
      <c r="L2303" s="193"/>
    </row>
    <row r="2304" spans="1:12" ht="15.75">
      <c r="A2304" s="67">
        <f t="shared" si="35"/>
        <v>2302</v>
      </c>
      <c r="B2304" s="164">
        <v>2302</v>
      </c>
      <c r="C2304" s="193" t="s">
        <v>3597</v>
      </c>
      <c r="D2304" s="195" t="s">
        <v>6865</v>
      </c>
      <c r="E2304" s="193" t="s">
        <v>9365</v>
      </c>
      <c r="F2304" s="193" t="s">
        <v>59</v>
      </c>
      <c r="G2304" s="195" t="s">
        <v>1125</v>
      </c>
      <c r="H2304" s="166" t="s">
        <v>13436</v>
      </c>
      <c r="I2304" s="193" t="s">
        <v>12826</v>
      </c>
      <c r="J2304" s="193" t="s">
        <v>146</v>
      </c>
      <c r="K2304" s="170"/>
      <c r="L2304" s="193"/>
    </row>
    <row r="2305" spans="1:12" ht="15.75">
      <c r="A2305" s="67">
        <f t="shared" si="35"/>
        <v>2303</v>
      </c>
      <c r="B2305" s="164">
        <v>2303</v>
      </c>
      <c r="C2305" s="193" t="s">
        <v>3598</v>
      </c>
      <c r="D2305" s="195" t="s">
        <v>6866</v>
      </c>
      <c r="E2305" s="193" t="s">
        <v>9366</v>
      </c>
      <c r="F2305" s="193" t="s">
        <v>114</v>
      </c>
      <c r="G2305" s="195" t="s">
        <v>1060</v>
      </c>
      <c r="H2305" s="166" t="s">
        <v>13436</v>
      </c>
      <c r="I2305" s="193" t="s">
        <v>12817</v>
      </c>
      <c r="J2305" s="193" t="s">
        <v>146</v>
      </c>
      <c r="K2305" s="170"/>
      <c r="L2305" s="193" t="s">
        <v>146</v>
      </c>
    </row>
    <row r="2306" spans="1:12" ht="15.75">
      <c r="A2306" s="67">
        <f t="shared" si="35"/>
        <v>2304</v>
      </c>
      <c r="B2306" s="164">
        <v>2304</v>
      </c>
      <c r="C2306" s="193" t="s">
        <v>3599</v>
      </c>
      <c r="D2306" s="195" t="s">
        <v>6867</v>
      </c>
      <c r="E2306" s="193" t="s">
        <v>9367</v>
      </c>
      <c r="F2306" s="193" t="s">
        <v>59</v>
      </c>
      <c r="G2306" s="195" t="s">
        <v>10499</v>
      </c>
      <c r="H2306" s="166" t="s">
        <v>13436</v>
      </c>
      <c r="I2306" s="193" t="s">
        <v>12808</v>
      </c>
      <c r="J2306" s="193" t="s">
        <v>146</v>
      </c>
      <c r="K2306" s="170"/>
      <c r="L2306" s="193"/>
    </row>
    <row r="2307" spans="1:12" ht="15.75">
      <c r="A2307" s="67">
        <f t="shared" ref="A2307:A2370" si="36">IFERROR(VALUE(RIGHT(C2307,4)),"")</f>
        <v>2305</v>
      </c>
      <c r="B2307" s="164">
        <v>2305</v>
      </c>
      <c r="C2307" s="193" t="s">
        <v>3600</v>
      </c>
      <c r="D2307" s="195" t="s">
        <v>6868</v>
      </c>
      <c r="E2307" s="193" t="s">
        <v>8721</v>
      </c>
      <c r="F2307" s="193" t="s">
        <v>114</v>
      </c>
      <c r="G2307" s="195" t="s">
        <v>940</v>
      </c>
      <c r="H2307" s="166" t="s">
        <v>13436</v>
      </c>
      <c r="I2307" s="193" t="s">
        <v>12832</v>
      </c>
      <c r="J2307" s="193" t="s">
        <v>146</v>
      </c>
      <c r="K2307" s="170"/>
      <c r="L2307" s="193" t="s">
        <v>146</v>
      </c>
    </row>
    <row r="2308" spans="1:12" ht="15.75">
      <c r="A2308" s="67">
        <f t="shared" si="36"/>
        <v>2306</v>
      </c>
      <c r="B2308" s="164">
        <v>2306</v>
      </c>
      <c r="C2308" s="193" t="s">
        <v>3601</v>
      </c>
      <c r="D2308" s="199" t="s">
        <v>6869</v>
      </c>
      <c r="E2308" s="193" t="s">
        <v>185</v>
      </c>
      <c r="F2308" s="193" t="s">
        <v>114</v>
      </c>
      <c r="G2308" s="195" t="s">
        <v>11098</v>
      </c>
      <c r="H2308" s="166" t="s">
        <v>13436</v>
      </c>
      <c r="I2308" s="193" t="s">
        <v>12828</v>
      </c>
      <c r="J2308" s="219" t="s">
        <v>146</v>
      </c>
      <c r="K2308" s="170"/>
      <c r="L2308" s="193" t="s">
        <v>146</v>
      </c>
    </row>
    <row r="2309" spans="1:12" ht="15.75">
      <c r="A2309" s="67">
        <f t="shared" si="36"/>
        <v>2307</v>
      </c>
      <c r="B2309" s="164">
        <v>2307</v>
      </c>
      <c r="C2309" s="193" t="s">
        <v>3602</v>
      </c>
      <c r="D2309" s="196" t="s">
        <v>6870</v>
      </c>
      <c r="E2309" s="193" t="s">
        <v>9368</v>
      </c>
      <c r="F2309" s="193" t="s">
        <v>114</v>
      </c>
      <c r="G2309" s="195" t="s">
        <v>838</v>
      </c>
      <c r="H2309" s="166" t="s">
        <v>13436</v>
      </c>
      <c r="I2309" s="193" t="s">
        <v>12829</v>
      </c>
      <c r="J2309" s="193" t="s">
        <v>146</v>
      </c>
      <c r="K2309" s="170"/>
      <c r="L2309" s="193" t="s">
        <v>146</v>
      </c>
    </row>
    <row r="2310" spans="1:12" ht="15.75">
      <c r="A2310" s="67">
        <f t="shared" si="36"/>
        <v>2308</v>
      </c>
      <c r="B2310" s="164">
        <v>2308</v>
      </c>
      <c r="C2310" s="193" t="s">
        <v>3603</v>
      </c>
      <c r="D2310" s="199" t="s">
        <v>6871</v>
      </c>
      <c r="E2310" s="193" t="s">
        <v>218</v>
      </c>
      <c r="F2310" s="193" t="s">
        <v>59</v>
      </c>
      <c r="G2310" s="195" t="s">
        <v>11513</v>
      </c>
      <c r="H2310" s="166" t="s">
        <v>13436</v>
      </c>
      <c r="I2310" s="193" t="s">
        <v>12828</v>
      </c>
      <c r="J2310" s="219" t="s">
        <v>146</v>
      </c>
      <c r="K2310" s="170"/>
      <c r="L2310" s="193"/>
    </row>
    <row r="2311" spans="1:12" ht="15.75">
      <c r="A2311" s="67">
        <f t="shared" si="36"/>
        <v>2309</v>
      </c>
      <c r="B2311" s="164">
        <v>2309</v>
      </c>
      <c r="C2311" s="193" t="s">
        <v>3604</v>
      </c>
      <c r="D2311" s="199" t="s">
        <v>6872</v>
      </c>
      <c r="E2311" s="193" t="s">
        <v>9369</v>
      </c>
      <c r="F2311" s="193" t="s">
        <v>59</v>
      </c>
      <c r="G2311" s="195" t="s">
        <v>11514</v>
      </c>
      <c r="H2311" s="166" t="s">
        <v>13436</v>
      </c>
      <c r="I2311" s="193" t="s">
        <v>12828</v>
      </c>
      <c r="J2311" s="193" t="s">
        <v>148</v>
      </c>
      <c r="K2311" s="170"/>
      <c r="L2311" s="193"/>
    </row>
    <row r="2312" spans="1:12" ht="15.75">
      <c r="A2312" s="67">
        <f t="shared" si="36"/>
        <v>2310</v>
      </c>
      <c r="B2312" s="164">
        <v>2310</v>
      </c>
      <c r="C2312" s="193" t="s">
        <v>3605</v>
      </c>
      <c r="D2312" s="199" t="s">
        <v>6873</v>
      </c>
      <c r="E2312" s="193" t="s">
        <v>429</v>
      </c>
      <c r="F2312" s="193" t="s">
        <v>59</v>
      </c>
      <c r="G2312" s="195" t="s">
        <v>11515</v>
      </c>
      <c r="H2312" s="166" t="s">
        <v>13436</v>
      </c>
      <c r="I2312" s="193" t="s">
        <v>12828</v>
      </c>
      <c r="J2312" s="193" t="s">
        <v>12658</v>
      </c>
      <c r="K2312" s="170"/>
      <c r="L2312" s="193"/>
    </row>
    <row r="2313" spans="1:12" ht="15.75">
      <c r="A2313" s="67">
        <f t="shared" si="36"/>
        <v>2311</v>
      </c>
      <c r="B2313" s="164">
        <v>2311</v>
      </c>
      <c r="C2313" s="193" t="s">
        <v>3606</v>
      </c>
      <c r="D2313" s="195" t="s">
        <v>6874</v>
      </c>
      <c r="E2313" s="193" t="s">
        <v>9370</v>
      </c>
      <c r="F2313" s="193" t="s">
        <v>59</v>
      </c>
      <c r="G2313" s="195" t="s">
        <v>11516</v>
      </c>
      <c r="H2313" s="166" t="s">
        <v>13436</v>
      </c>
      <c r="I2313" s="193" t="s">
        <v>1250</v>
      </c>
      <c r="J2313" s="219" t="s">
        <v>1251</v>
      </c>
      <c r="K2313" s="170"/>
      <c r="L2313" s="193"/>
    </row>
    <row r="2314" spans="1:12" ht="15.75">
      <c r="A2314" s="67">
        <f t="shared" si="36"/>
        <v>2312</v>
      </c>
      <c r="B2314" s="164">
        <v>2312</v>
      </c>
      <c r="C2314" s="193" t="s">
        <v>3607</v>
      </c>
      <c r="D2314" s="195" t="s">
        <v>6875</v>
      </c>
      <c r="E2314" s="193" t="s">
        <v>9371</v>
      </c>
      <c r="F2314" s="193" t="s">
        <v>114</v>
      </c>
      <c r="G2314" s="195" t="s">
        <v>1178</v>
      </c>
      <c r="H2314" s="166" t="s">
        <v>13436</v>
      </c>
      <c r="I2314" s="193" t="s">
        <v>1250</v>
      </c>
      <c r="J2314" s="193" t="s">
        <v>146</v>
      </c>
      <c r="K2314" s="170"/>
      <c r="L2314" s="193" t="s">
        <v>146</v>
      </c>
    </row>
    <row r="2315" spans="1:12" ht="15.75">
      <c r="A2315" s="67">
        <f t="shared" si="36"/>
        <v>2313</v>
      </c>
      <c r="B2315" s="164">
        <v>2313</v>
      </c>
      <c r="C2315" s="193" t="s">
        <v>3608</v>
      </c>
      <c r="D2315" s="195" t="s">
        <v>6876</v>
      </c>
      <c r="E2315" s="193" t="s">
        <v>9372</v>
      </c>
      <c r="F2315" s="193" t="s">
        <v>114</v>
      </c>
      <c r="G2315" s="195" t="s">
        <v>11517</v>
      </c>
      <c r="H2315" s="166" t="s">
        <v>13436</v>
      </c>
      <c r="I2315" s="193" t="s">
        <v>12815</v>
      </c>
      <c r="J2315" s="193" t="s">
        <v>146</v>
      </c>
      <c r="K2315" s="170"/>
      <c r="L2315" s="193" t="s">
        <v>146</v>
      </c>
    </row>
    <row r="2316" spans="1:12" ht="15.75">
      <c r="A2316" s="67">
        <f t="shared" si="36"/>
        <v>2314</v>
      </c>
      <c r="B2316" s="164">
        <v>2314</v>
      </c>
      <c r="C2316" s="193" t="s">
        <v>3609</v>
      </c>
      <c r="D2316" s="199" t="s">
        <v>6877</v>
      </c>
      <c r="E2316" s="193" t="s">
        <v>9373</v>
      </c>
      <c r="F2316" s="193" t="s">
        <v>114</v>
      </c>
      <c r="G2316" s="195" t="s">
        <v>11518</v>
      </c>
      <c r="H2316" s="166" t="s">
        <v>13436</v>
      </c>
      <c r="I2316" s="193" t="s">
        <v>12828</v>
      </c>
      <c r="J2316" s="193" t="s">
        <v>146</v>
      </c>
      <c r="K2316" s="170"/>
      <c r="L2316" s="193" t="s">
        <v>146</v>
      </c>
    </row>
    <row r="2317" spans="1:12" ht="15.75">
      <c r="A2317" s="67">
        <f t="shared" si="36"/>
        <v>2315</v>
      </c>
      <c r="B2317" s="164">
        <v>2315</v>
      </c>
      <c r="C2317" s="193" t="s">
        <v>3610</v>
      </c>
      <c r="D2317" s="195" t="s">
        <v>6878</v>
      </c>
      <c r="E2317" s="193" t="s">
        <v>8519</v>
      </c>
      <c r="F2317" s="193" t="s">
        <v>114</v>
      </c>
      <c r="G2317" s="195" t="s">
        <v>810</v>
      </c>
      <c r="H2317" s="166" t="s">
        <v>13436</v>
      </c>
      <c r="I2317" s="193" t="s">
        <v>12810</v>
      </c>
      <c r="J2317" s="193" t="s">
        <v>146</v>
      </c>
      <c r="K2317" s="170"/>
      <c r="L2317" s="193" t="s">
        <v>146</v>
      </c>
    </row>
    <row r="2318" spans="1:12" ht="15.75">
      <c r="A2318" s="67">
        <f t="shared" si="36"/>
        <v>2316</v>
      </c>
      <c r="B2318" s="164">
        <v>2316</v>
      </c>
      <c r="C2318" s="193" t="s">
        <v>3611</v>
      </c>
      <c r="D2318" s="199" t="s">
        <v>6879</v>
      </c>
      <c r="E2318" s="193" t="s">
        <v>9374</v>
      </c>
      <c r="F2318" s="193" t="s">
        <v>59</v>
      </c>
      <c r="G2318" s="195" t="s">
        <v>211</v>
      </c>
      <c r="H2318" s="166" t="s">
        <v>13436</v>
      </c>
      <c r="I2318" s="193" t="s">
        <v>12828</v>
      </c>
      <c r="J2318" s="193" t="s">
        <v>146</v>
      </c>
      <c r="K2318" s="170"/>
      <c r="L2318" s="193"/>
    </row>
    <row r="2319" spans="1:12" ht="15.75">
      <c r="A2319" s="67">
        <f t="shared" si="36"/>
        <v>2317</v>
      </c>
      <c r="B2319" s="164">
        <v>2317</v>
      </c>
      <c r="C2319" s="193" t="s">
        <v>3612</v>
      </c>
      <c r="D2319" s="199" t="s">
        <v>6880</v>
      </c>
      <c r="E2319" s="193" t="s">
        <v>9375</v>
      </c>
      <c r="F2319" s="193" t="s">
        <v>59</v>
      </c>
      <c r="G2319" s="195" t="s">
        <v>989</v>
      </c>
      <c r="H2319" s="166" t="s">
        <v>13436</v>
      </c>
      <c r="I2319" s="193" t="s">
        <v>12828</v>
      </c>
      <c r="J2319" s="193" t="s">
        <v>147</v>
      </c>
      <c r="K2319" s="170"/>
      <c r="L2319" s="193"/>
    </row>
    <row r="2320" spans="1:12" ht="15.75">
      <c r="A2320" s="67">
        <f t="shared" si="36"/>
        <v>2318</v>
      </c>
      <c r="B2320" s="164">
        <v>2318</v>
      </c>
      <c r="C2320" s="193" t="s">
        <v>3613</v>
      </c>
      <c r="D2320" s="195" t="s">
        <v>6881</v>
      </c>
      <c r="E2320" s="193" t="s">
        <v>9376</v>
      </c>
      <c r="F2320" s="193" t="s">
        <v>59</v>
      </c>
      <c r="G2320" s="195" t="s">
        <v>277</v>
      </c>
      <c r="H2320" s="166" t="s">
        <v>13436</v>
      </c>
      <c r="I2320" s="193" t="s">
        <v>12827</v>
      </c>
      <c r="J2320" s="193" t="s">
        <v>146</v>
      </c>
      <c r="K2320" s="170"/>
      <c r="L2320" s="193"/>
    </row>
    <row r="2321" spans="1:12" ht="45">
      <c r="A2321" s="67">
        <f t="shared" si="36"/>
        <v>2319</v>
      </c>
      <c r="B2321" s="164">
        <v>2319</v>
      </c>
      <c r="C2321" s="193" t="s">
        <v>3614</v>
      </c>
      <c r="D2321" s="204" t="s">
        <v>6882</v>
      </c>
      <c r="E2321" s="193" t="s">
        <v>9377</v>
      </c>
      <c r="F2321" s="193" t="s">
        <v>59</v>
      </c>
      <c r="G2321" s="195" t="s">
        <v>1027</v>
      </c>
      <c r="H2321" s="166" t="s">
        <v>13436</v>
      </c>
      <c r="I2321" s="193" t="s">
        <v>1247</v>
      </c>
      <c r="J2321" s="193" t="s">
        <v>12659</v>
      </c>
      <c r="K2321" s="170"/>
      <c r="L2321" s="193"/>
    </row>
    <row r="2322" spans="1:12" ht="15.75">
      <c r="A2322" s="67">
        <f t="shared" si="36"/>
        <v>2320</v>
      </c>
      <c r="B2322" s="164">
        <v>2320</v>
      </c>
      <c r="C2322" s="193" t="s">
        <v>3615</v>
      </c>
      <c r="D2322" s="204" t="s">
        <v>6883</v>
      </c>
      <c r="E2322" s="193" t="s">
        <v>9378</v>
      </c>
      <c r="F2322" s="193" t="s">
        <v>59</v>
      </c>
      <c r="G2322" s="195" t="s">
        <v>11519</v>
      </c>
      <c r="H2322" s="166" t="s">
        <v>13436</v>
      </c>
      <c r="I2322" s="193" t="s">
        <v>1247</v>
      </c>
      <c r="J2322" s="219" t="s">
        <v>147</v>
      </c>
      <c r="K2322" s="170"/>
      <c r="L2322" s="193"/>
    </row>
    <row r="2323" spans="1:12" ht="15.75">
      <c r="A2323" s="67">
        <f t="shared" si="36"/>
        <v>2321</v>
      </c>
      <c r="B2323" s="164">
        <v>2321</v>
      </c>
      <c r="C2323" s="193" t="s">
        <v>3616</v>
      </c>
      <c r="D2323" s="195" t="s">
        <v>6884</v>
      </c>
      <c r="E2323" s="193" t="s">
        <v>9379</v>
      </c>
      <c r="F2323" s="193" t="s">
        <v>114</v>
      </c>
      <c r="G2323" s="195" t="s">
        <v>11520</v>
      </c>
      <c r="H2323" s="166" t="s">
        <v>13436</v>
      </c>
      <c r="I2323" s="193" t="s">
        <v>12824</v>
      </c>
      <c r="J2323" s="193" t="s">
        <v>146</v>
      </c>
      <c r="K2323" s="170"/>
      <c r="L2323" s="193" t="s">
        <v>146</v>
      </c>
    </row>
    <row r="2324" spans="1:12" ht="15.75">
      <c r="A2324" s="67">
        <f t="shared" si="36"/>
        <v>2322</v>
      </c>
      <c r="B2324" s="164">
        <v>2322</v>
      </c>
      <c r="C2324" s="193" t="s">
        <v>3617</v>
      </c>
      <c r="D2324" s="195" t="s">
        <v>6885</v>
      </c>
      <c r="E2324" s="193" t="s">
        <v>9380</v>
      </c>
      <c r="F2324" s="193" t="s">
        <v>114</v>
      </c>
      <c r="G2324" s="195" t="s">
        <v>11521</v>
      </c>
      <c r="H2324" s="166" t="s">
        <v>13436</v>
      </c>
      <c r="I2324" s="193" t="s">
        <v>12824</v>
      </c>
      <c r="J2324" s="193" t="s">
        <v>146</v>
      </c>
      <c r="K2324" s="170"/>
      <c r="L2324" s="193" t="s">
        <v>146</v>
      </c>
    </row>
    <row r="2325" spans="1:12" ht="15.75">
      <c r="A2325" s="67">
        <f t="shared" si="36"/>
        <v>2323</v>
      </c>
      <c r="B2325" s="164">
        <v>2323</v>
      </c>
      <c r="C2325" s="193" t="s">
        <v>3618</v>
      </c>
      <c r="D2325" s="195" t="s">
        <v>6886</v>
      </c>
      <c r="E2325" s="193" t="s">
        <v>177</v>
      </c>
      <c r="F2325" s="193" t="s">
        <v>114</v>
      </c>
      <c r="G2325" s="195" t="s">
        <v>1018</v>
      </c>
      <c r="H2325" s="166" t="s">
        <v>13436</v>
      </c>
      <c r="I2325" s="193" t="s">
        <v>12824</v>
      </c>
      <c r="J2325" s="193" t="s">
        <v>146</v>
      </c>
      <c r="K2325" s="170"/>
      <c r="L2325" s="193" t="s">
        <v>146</v>
      </c>
    </row>
    <row r="2326" spans="1:12" ht="15.75">
      <c r="A2326" s="67">
        <f t="shared" si="36"/>
        <v>2324</v>
      </c>
      <c r="B2326" s="164">
        <v>2324</v>
      </c>
      <c r="C2326" s="193" t="s">
        <v>3619</v>
      </c>
      <c r="D2326" s="195" t="s">
        <v>6887</v>
      </c>
      <c r="E2326" s="193" t="s">
        <v>8912</v>
      </c>
      <c r="F2326" s="193" t="s">
        <v>114</v>
      </c>
      <c r="G2326" s="195" t="s">
        <v>1014</v>
      </c>
      <c r="H2326" s="166" t="s">
        <v>13436</v>
      </c>
      <c r="I2326" s="193" t="s">
        <v>12824</v>
      </c>
      <c r="J2326" s="193" t="s">
        <v>146</v>
      </c>
      <c r="K2326" s="170"/>
      <c r="L2326" s="193" t="s">
        <v>146</v>
      </c>
    </row>
    <row r="2327" spans="1:12" ht="15.75">
      <c r="A2327" s="67">
        <f t="shared" si="36"/>
        <v>2325</v>
      </c>
      <c r="B2327" s="164">
        <v>2325</v>
      </c>
      <c r="C2327" s="193" t="s">
        <v>3620</v>
      </c>
      <c r="D2327" s="195" t="s">
        <v>6888</v>
      </c>
      <c r="E2327" s="193" t="s">
        <v>9381</v>
      </c>
      <c r="F2327" s="193" t="s">
        <v>114</v>
      </c>
      <c r="G2327" s="195" t="s">
        <v>1012</v>
      </c>
      <c r="H2327" s="166" t="s">
        <v>13436</v>
      </c>
      <c r="I2327" s="193" t="s">
        <v>12824</v>
      </c>
      <c r="J2327" s="193" t="s">
        <v>146</v>
      </c>
      <c r="K2327" s="170"/>
      <c r="L2327" s="193" t="s">
        <v>146</v>
      </c>
    </row>
    <row r="2328" spans="1:12" ht="15.75">
      <c r="A2328" s="67">
        <f t="shared" si="36"/>
        <v>2326</v>
      </c>
      <c r="B2328" s="164">
        <v>2326</v>
      </c>
      <c r="C2328" s="193" t="s">
        <v>3621</v>
      </c>
      <c r="D2328" s="195" t="s">
        <v>6889</v>
      </c>
      <c r="E2328" s="193" t="s">
        <v>9382</v>
      </c>
      <c r="F2328" s="193" t="s">
        <v>114</v>
      </c>
      <c r="G2328" s="195" t="s">
        <v>11522</v>
      </c>
      <c r="H2328" s="166" t="s">
        <v>13436</v>
      </c>
      <c r="I2328" s="193" t="s">
        <v>12813</v>
      </c>
      <c r="J2328" s="193" t="s">
        <v>146</v>
      </c>
      <c r="K2328" s="170"/>
      <c r="L2328" s="193" t="s">
        <v>146</v>
      </c>
    </row>
    <row r="2329" spans="1:12" ht="30">
      <c r="A2329" s="67">
        <f t="shared" si="36"/>
        <v>2327</v>
      </c>
      <c r="B2329" s="164">
        <v>2327</v>
      </c>
      <c r="C2329" s="193" t="s">
        <v>3622</v>
      </c>
      <c r="D2329" s="195" t="s">
        <v>6890</v>
      </c>
      <c r="E2329" s="193" t="s">
        <v>174</v>
      </c>
      <c r="F2329" s="193" t="s">
        <v>114</v>
      </c>
      <c r="G2329" s="195" t="s">
        <v>11523</v>
      </c>
      <c r="H2329" s="166" t="s">
        <v>13436</v>
      </c>
      <c r="I2329" s="193" t="s">
        <v>12827</v>
      </c>
      <c r="J2329" s="193" t="s">
        <v>1289</v>
      </c>
      <c r="K2329" s="170"/>
      <c r="L2329" s="193" t="s">
        <v>146</v>
      </c>
    </row>
    <row r="2330" spans="1:12" ht="15.75">
      <c r="A2330" s="67">
        <f t="shared" si="36"/>
        <v>2328</v>
      </c>
      <c r="B2330" s="164">
        <v>2328</v>
      </c>
      <c r="C2330" s="193" t="s">
        <v>3623</v>
      </c>
      <c r="D2330" s="195" t="s">
        <v>6891</v>
      </c>
      <c r="E2330" s="193" t="s">
        <v>9227</v>
      </c>
      <c r="F2330" s="193" t="s">
        <v>114</v>
      </c>
      <c r="G2330" s="195" t="s">
        <v>11524</v>
      </c>
      <c r="H2330" s="166" t="s">
        <v>13436</v>
      </c>
      <c r="I2330" s="193" t="s">
        <v>12824</v>
      </c>
      <c r="J2330" s="193" t="s">
        <v>146</v>
      </c>
      <c r="K2330" s="170"/>
      <c r="L2330" s="193" t="s">
        <v>146</v>
      </c>
    </row>
    <row r="2331" spans="1:12" ht="15.75">
      <c r="A2331" s="67">
        <f t="shared" si="36"/>
        <v>2329</v>
      </c>
      <c r="B2331" s="164">
        <v>2329</v>
      </c>
      <c r="C2331" s="193" t="s">
        <v>3624</v>
      </c>
      <c r="D2331" s="195" t="s">
        <v>6892</v>
      </c>
      <c r="E2331" s="193" t="s">
        <v>8629</v>
      </c>
      <c r="F2331" s="193" t="s">
        <v>114</v>
      </c>
      <c r="G2331" s="195" t="s">
        <v>11525</v>
      </c>
      <c r="H2331" s="166" t="s">
        <v>13436</v>
      </c>
      <c r="I2331" s="193" t="s">
        <v>12824</v>
      </c>
      <c r="J2331" s="219" t="s">
        <v>146</v>
      </c>
      <c r="K2331" s="170"/>
      <c r="L2331" s="219" t="s">
        <v>146</v>
      </c>
    </row>
    <row r="2332" spans="1:12" ht="15.75">
      <c r="A2332" s="67">
        <f t="shared" si="36"/>
        <v>2330</v>
      </c>
      <c r="B2332" s="164">
        <v>2330</v>
      </c>
      <c r="C2332" s="193" t="s">
        <v>3625</v>
      </c>
      <c r="D2332" s="195" t="s">
        <v>6893</v>
      </c>
      <c r="E2332" s="193" t="s">
        <v>9383</v>
      </c>
      <c r="F2332" s="193" t="s">
        <v>114</v>
      </c>
      <c r="G2332" s="195" t="s">
        <v>1037</v>
      </c>
      <c r="H2332" s="166" t="s">
        <v>13436</v>
      </c>
      <c r="I2332" s="193" t="s">
        <v>12824</v>
      </c>
      <c r="J2332" s="193" t="s">
        <v>146</v>
      </c>
      <c r="K2332" s="170"/>
      <c r="L2332" s="193" t="s">
        <v>146</v>
      </c>
    </row>
    <row r="2333" spans="1:12" ht="15.75">
      <c r="A2333" s="67">
        <f t="shared" si="36"/>
        <v>2331</v>
      </c>
      <c r="B2333" s="164">
        <v>2331</v>
      </c>
      <c r="C2333" s="193" t="s">
        <v>3626</v>
      </c>
      <c r="D2333" s="195" t="s">
        <v>6894</v>
      </c>
      <c r="E2333" s="193" t="s">
        <v>9384</v>
      </c>
      <c r="F2333" s="193" t="s">
        <v>114</v>
      </c>
      <c r="G2333" s="195" t="s">
        <v>11526</v>
      </c>
      <c r="H2333" s="166" t="s">
        <v>13436</v>
      </c>
      <c r="I2333" s="193" t="s">
        <v>12824</v>
      </c>
      <c r="J2333" s="219" t="s">
        <v>146</v>
      </c>
      <c r="K2333" s="170"/>
      <c r="L2333" s="219" t="s">
        <v>146</v>
      </c>
    </row>
    <row r="2334" spans="1:12" ht="15.75">
      <c r="A2334" s="67">
        <f t="shared" si="36"/>
        <v>2332</v>
      </c>
      <c r="B2334" s="164">
        <v>2332</v>
      </c>
      <c r="C2334" s="193" t="s">
        <v>3627</v>
      </c>
      <c r="D2334" s="195" t="s">
        <v>6895</v>
      </c>
      <c r="E2334" s="193" t="s">
        <v>9385</v>
      </c>
      <c r="F2334" s="193" t="s">
        <v>114</v>
      </c>
      <c r="G2334" s="195" t="s">
        <v>11527</v>
      </c>
      <c r="H2334" s="166" t="s">
        <v>13436</v>
      </c>
      <c r="I2334" s="193" t="s">
        <v>12824</v>
      </c>
      <c r="J2334" s="219" t="s">
        <v>146</v>
      </c>
      <c r="K2334" s="170"/>
      <c r="L2334" s="219" t="s">
        <v>146</v>
      </c>
    </row>
    <row r="2335" spans="1:12" ht="15.75">
      <c r="A2335" s="67">
        <f t="shared" si="36"/>
        <v>2333</v>
      </c>
      <c r="B2335" s="164">
        <v>2333</v>
      </c>
      <c r="C2335" s="193" t="s">
        <v>3628</v>
      </c>
      <c r="D2335" s="195" t="s">
        <v>6896</v>
      </c>
      <c r="E2335" s="193" t="s">
        <v>217</v>
      </c>
      <c r="F2335" s="193" t="s">
        <v>114</v>
      </c>
      <c r="G2335" s="195" t="s">
        <v>1025</v>
      </c>
      <c r="H2335" s="166" t="s">
        <v>13436</v>
      </c>
      <c r="I2335" s="193" t="s">
        <v>12813</v>
      </c>
      <c r="J2335" s="193" t="s">
        <v>146</v>
      </c>
      <c r="K2335" s="170"/>
      <c r="L2335" s="193" t="s">
        <v>146</v>
      </c>
    </row>
    <row r="2336" spans="1:12" ht="45">
      <c r="A2336" s="67">
        <f t="shared" si="36"/>
        <v>2334</v>
      </c>
      <c r="B2336" s="164">
        <v>2334</v>
      </c>
      <c r="C2336" s="193" t="s">
        <v>3629</v>
      </c>
      <c r="D2336" s="195" t="s">
        <v>6897</v>
      </c>
      <c r="E2336" s="193" t="s">
        <v>9386</v>
      </c>
      <c r="F2336" s="193" t="s">
        <v>114</v>
      </c>
      <c r="G2336" s="195" t="s">
        <v>11528</v>
      </c>
      <c r="H2336" s="166" t="s">
        <v>13436</v>
      </c>
      <c r="I2336" s="193" t="s">
        <v>12827</v>
      </c>
      <c r="J2336" s="193" t="s">
        <v>12660</v>
      </c>
      <c r="K2336" s="170"/>
      <c r="L2336" s="193" t="s">
        <v>146</v>
      </c>
    </row>
    <row r="2337" spans="1:12" ht="15.75">
      <c r="A2337" s="67">
        <f t="shared" si="36"/>
        <v>2335</v>
      </c>
      <c r="B2337" s="164">
        <v>2335</v>
      </c>
      <c r="C2337" s="193" t="s">
        <v>3630</v>
      </c>
      <c r="D2337" s="195" t="s">
        <v>6898</v>
      </c>
      <c r="E2337" s="193" t="s">
        <v>9387</v>
      </c>
      <c r="F2337" s="193" t="s">
        <v>114</v>
      </c>
      <c r="G2337" s="195" t="s">
        <v>1157</v>
      </c>
      <c r="H2337" s="166" t="s">
        <v>13436</v>
      </c>
      <c r="I2337" s="193" t="s">
        <v>12824</v>
      </c>
      <c r="J2337" s="193" t="s">
        <v>146</v>
      </c>
      <c r="K2337" s="170"/>
      <c r="L2337" s="193" t="s">
        <v>146</v>
      </c>
    </row>
    <row r="2338" spans="1:12" ht="15.75">
      <c r="A2338" s="67">
        <f t="shared" si="36"/>
        <v>2336</v>
      </c>
      <c r="B2338" s="164">
        <v>2336</v>
      </c>
      <c r="C2338" s="193" t="s">
        <v>3631</v>
      </c>
      <c r="D2338" s="195" t="s">
        <v>6899</v>
      </c>
      <c r="E2338" s="193" t="s">
        <v>8832</v>
      </c>
      <c r="F2338" s="193" t="s">
        <v>114</v>
      </c>
      <c r="G2338" s="195" t="s">
        <v>11529</v>
      </c>
      <c r="H2338" s="166" t="s">
        <v>13436</v>
      </c>
      <c r="I2338" s="193" t="s">
        <v>12824</v>
      </c>
      <c r="J2338" s="193" t="s">
        <v>146</v>
      </c>
      <c r="K2338" s="170"/>
      <c r="L2338" s="193" t="s">
        <v>146</v>
      </c>
    </row>
    <row r="2339" spans="1:12" ht="30">
      <c r="A2339" s="67">
        <f t="shared" si="36"/>
        <v>2337</v>
      </c>
      <c r="B2339" s="164">
        <v>2337</v>
      </c>
      <c r="C2339" s="193" t="s">
        <v>3632</v>
      </c>
      <c r="D2339" s="195" t="s">
        <v>6900</v>
      </c>
      <c r="E2339" s="193" t="s">
        <v>9388</v>
      </c>
      <c r="F2339" s="193" t="s">
        <v>114</v>
      </c>
      <c r="G2339" s="195" t="s">
        <v>1043</v>
      </c>
      <c r="H2339" s="166" t="s">
        <v>13436</v>
      </c>
      <c r="I2339" s="193" t="s">
        <v>12824</v>
      </c>
      <c r="J2339" s="193" t="s">
        <v>12661</v>
      </c>
      <c r="K2339" s="170"/>
      <c r="L2339" s="193" t="s">
        <v>146</v>
      </c>
    </row>
    <row r="2340" spans="1:12" ht="30">
      <c r="A2340" s="67">
        <f t="shared" si="36"/>
        <v>2338</v>
      </c>
      <c r="B2340" s="164">
        <v>2338</v>
      </c>
      <c r="C2340" s="193" t="s">
        <v>3633</v>
      </c>
      <c r="D2340" s="195" t="s">
        <v>6901</v>
      </c>
      <c r="E2340" s="193" t="s">
        <v>9389</v>
      </c>
      <c r="F2340" s="193" t="s">
        <v>114</v>
      </c>
      <c r="G2340" s="195" t="s">
        <v>11530</v>
      </c>
      <c r="H2340" s="166" t="s">
        <v>13436</v>
      </c>
      <c r="I2340" s="193" t="s">
        <v>12827</v>
      </c>
      <c r="J2340" s="193" t="s">
        <v>12662</v>
      </c>
      <c r="K2340" s="170"/>
      <c r="L2340" s="193" t="s">
        <v>146</v>
      </c>
    </row>
    <row r="2341" spans="1:12" ht="15.75">
      <c r="A2341" s="67">
        <f t="shared" si="36"/>
        <v>2339</v>
      </c>
      <c r="B2341" s="164">
        <v>2339</v>
      </c>
      <c r="C2341" s="193" t="s">
        <v>3634</v>
      </c>
      <c r="D2341" s="195" t="s">
        <v>6902</v>
      </c>
      <c r="E2341" s="193" t="s">
        <v>8146</v>
      </c>
      <c r="F2341" s="193" t="s">
        <v>114</v>
      </c>
      <c r="G2341" s="195" t="s">
        <v>11531</v>
      </c>
      <c r="H2341" s="166" t="s">
        <v>13436</v>
      </c>
      <c r="I2341" s="193" t="s">
        <v>12824</v>
      </c>
      <c r="J2341" s="193" t="s">
        <v>146</v>
      </c>
      <c r="K2341" s="170"/>
      <c r="L2341" s="193" t="s">
        <v>146</v>
      </c>
    </row>
    <row r="2342" spans="1:12" ht="15.75">
      <c r="A2342" s="67">
        <f t="shared" si="36"/>
        <v>2340</v>
      </c>
      <c r="B2342" s="164">
        <v>2340</v>
      </c>
      <c r="C2342" s="193" t="s">
        <v>3635</v>
      </c>
      <c r="D2342" s="195" t="s">
        <v>6903</v>
      </c>
      <c r="E2342" s="193" t="s">
        <v>9390</v>
      </c>
      <c r="F2342" s="193" t="s">
        <v>114</v>
      </c>
      <c r="G2342" s="195" t="s">
        <v>1119</v>
      </c>
      <c r="H2342" s="166" t="s">
        <v>13436</v>
      </c>
      <c r="I2342" s="193" t="s">
        <v>12814</v>
      </c>
      <c r="J2342" s="219" t="s">
        <v>146</v>
      </c>
      <c r="K2342" s="170"/>
      <c r="L2342" s="219" t="s">
        <v>146</v>
      </c>
    </row>
    <row r="2343" spans="1:12" ht="15.75">
      <c r="A2343" s="67">
        <f t="shared" si="36"/>
        <v>2341</v>
      </c>
      <c r="B2343" s="164">
        <v>2341</v>
      </c>
      <c r="C2343" s="193" t="s">
        <v>3636</v>
      </c>
      <c r="D2343" s="195" t="s">
        <v>6904</v>
      </c>
      <c r="E2343" s="193" t="s">
        <v>8757</v>
      </c>
      <c r="F2343" s="193" t="s">
        <v>114</v>
      </c>
      <c r="G2343" s="195" t="s">
        <v>302</v>
      </c>
      <c r="H2343" s="166" t="s">
        <v>13436</v>
      </c>
      <c r="I2343" s="193" t="s">
        <v>12826</v>
      </c>
      <c r="J2343" s="193" t="s">
        <v>146</v>
      </c>
      <c r="K2343" s="170"/>
      <c r="L2343" s="193" t="s">
        <v>146</v>
      </c>
    </row>
    <row r="2344" spans="1:12" ht="30">
      <c r="A2344" s="67">
        <f t="shared" si="36"/>
        <v>2342</v>
      </c>
      <c r="B2344" s="164">
        <v>2342</v>
      </c>
      <c r="C2344" s="193" t="s">
        <v>3637</v>
      </c>
      <c r="D2344" s="195" t="s">
        <v>6905</v>
      </c>
      <c r="E2344" s="193" t="s">
        <v>8993</v>
      </c>
      <c r="F2344" s="193" t="s">
        <v>114</v>
      </c>
      <c r="G2344" s="195" t="s">
        <v>11532</v>
      </c>
      <c r="H2344" s="166" t="s">
        <v>13436</v>
      </c>
      <c r="I2344" s="193" t="s">
        <v>12827</v>
      </c>
      <c r="J2344" s="219" t="s">
        <v>12663</v>
      </c>
      <c r="K2344" s="170"/>
      <c r="L2344" s="193" t="s">
        <v>146</v>
      </c>
    </row>
    <row r="2345" spans="1:12" ht="15.75">
      <c r="A2345" s="67">
        <f t="shared" si="36"/>
        <v>2343</v>
      </c>
      <c r="B2345" s="164">
        <v>2343</v>
      </c>
      <c r="C2345" s="193" t="s">
        <v>3638</v>
      </c>
      <c r="D2345" s="195" t="s">
        <v>6906</v>
      </c>
      <c r="E2345" s="193" t="s">
        <v>8629</v>
      </c>
      <c r="F2345" s="193" t="s">
        <v>114</v>
      </c>
      <c r="G2345" s="195" t="s">
        <v>1016</v>
      </c>
      <c r="H2345" s="166" t="s">
        <v>13436</v>
      </c>
      <c r="I2345" s="193" t="s">
        <v>12826</v>
      </c>
      <c r="J2345" s="193" t="s">
        <v>146</v>
      </c>
      <c r="K2345" s="170"/>
      <c r="L2345" s="193" t="s">
        <v>146</v>
      </c>
    </row>
    <row r="2346" spans="1:12" ht="15.75">
      <c r="A2346" s="67">
        <f t="shared" si="36"/>
        <v>2344</v>
      </c>
      <c r="B2346" s="164">
        <v>2344</v>
      </c>
      <c r="C2346" s="193" t="s">
        <v>3639</v>
      </c>
      <c r="D2346" s="195" t="s">
        <v>6907</v>
      </c>
      <c r="E2346" s="193" t="s">
        <v>9391</v>
      </c>
      <c r="F2346" s="193" t="s">
        <v>114</v>
      </c>
      <c r="G2346" s="195" t="s">
        <v>1038</v>
      </c>
      <c r="H2346" s="166" t="s">
        <v>13436</v>
      </c>
      <c r="I2346" s="193" t="s">
        <v>12824</v>
      </c>
      <c r="J2346" s="193" t="s">
        <v>146</v>
      </c>
      <c r="K2346" s="170"/>
      <c r="L2346" s="193" t="s">
        <v>146</v>
      </c>
    </row>
    <row r="2347" spans="1:12" ht="30">
      <c r="A2347" s="67">
        <f t="shared" si="36"/>
        <v>2345</v>
      </c>
      <c r="B2347" s="164">
        <v>2345</v>
      </c>
      <c r="C2347" s="193" t="s">
        <v>3640</v>
      </c>
      <c r="D2347" s="195" t="s">
        <v>6908</v>
      </c>
      <c r="E2347" s="193" t="s">
        <v>9392</v>
      </c>
      <c r="F2347" s="193" t="s">
        <v>114</v>
      </c>
      <c r="G2347" s="195" t="s">
        <v>11533</v>
      </c>
      <c r="H2347" s="166" t="s">
        <v>13436</v>
      </c>
      <c r="I2347" s="193" t="s">
        <v>12824</v>
      </c>
      <c r="J2347" s="219" t="s">
        <v>12664</v>
      </c>
      <c r="K2347" s="170"/>
      <c r="L2347" s="219" t="s">
        <v>146</v>
      </c>
    </row>
    <row r="2348" spans="1:12" ht="15.75">
      <c r="A2348" s="67">
        <f t="shared" si="36"/>
        <v>2346</v>
      </c>
      <c r="B2348" s="164">
        <v>2346</v>
      </c>
      <c r="C2348" s="193" t="s">
        <v>3641</v>
      </c>
      <c r="D2348" s="195" t="s">
        <v>6909</v>
      </c>
      <c r="E2348" s="193" t="s">
        <v>9393</v>
      </c>
      <c r="F2348" s="193" t="s">
        <v>114</v>
      </c>
      <c r="G2348" s="195" t="s">
        <v>1214</v>
      </c>
      <c r="H2348" s="166" t="s">
        <v>13436</v>
      </c>
      <c r="I2348" s="193" t="s">
        <v>12825</v>
      </c>
      <c r="J2348" s="219" t="s">
        <v>146</v>
      </c>
      <c r="K2348" s="170"/>
      <c r="L2348" s="219" t="s">
        <v>146</v>
      </c>
    </row>
    <row r="2349" spans="1:12" ht="15.75">
      <c r="A2349" s="67">
        <f t="shared" si="36"/>
        <v>2347</v>
      </c>
      <c r="B2349" s="164">
        <v>2347</v>
      </c>
      <c r="C2349" s="193" t="s">
        <v>3642</v>
      </c>
      <c r="D2349" s="195" t="s">
        <v>6910</v>
      </c>
      <c r="E2349" s="193" t="s">
        <v>9394</v>
      </c>
      <c r="F2349" s="193" t="s">
        <v>114</v>
      </c>
      <c r="G2349" s="195" t="s">
        <v>11534</v>
      </c>
      <c r="H2349" s="166" t="s">
        <v>13436</v>
      </c>
      <c r="I2349" s="193" t="s">
        <v>12836</v>
      </c>
      <c r="J2349" s="193" t="s">
        <v>146</v>
      </c>
      <c r="K2349" s="170"/>
      <c r="L2349" s="193" t="s">
        <v>146</v>
      </c>
    </row>
    <row r="2350" spans="1:12" ht="15.75">
      <c r="A2350" s="67">
        <f t="shared" si="36"/>
        <v>2348</v>
      </c>
      <c r="B2350" s="164">
        <v>2348</v>
      </c>
      <c r="C2350" s="193" t="s">
        <v>3643</v>
      </c>
      <c r="D2350" s="195" t="s">
        <v>6911</v>
      </c>
      <c r="E2350" s="193" t="s">
        <v>617</v>
      </c>
      <c r="F2350" s="193" t="s">
        <v>114</v>
      </c>
      <c r="G2350" s="195" t="s">
        <v>11535</v>
      </c>
      <c r="H2350" s="166" t="s">
        <v>13436</v>
      </c>
      <c r="I2350" s="193" t="s">
        <v>12826</v>
      </c>
      <c r="J2350" s="193" t="s">
        <v>146</v>
      </c>
      <c r="K2350" s="170"/>
      <c r="L2350" s="193" t="s">
        <v>146</v>
      </c>
    </row>
    <row r="2351" spans="1:12" ht="15.75">
      <c r="A2351" s="67">
        <f t="shared" si="36"/>
        <v>2349</v>
      </c>
      <c r="B2351" s="164">
        <v>2349</v>
      </c>
      <c r="C2351" s="193" t="s">
        <v>3644</v>
      </c>
      <c r="D2351" s="195" t="s">
        <v>6912</v>
      </c>
      <c r="E2351" s="193" t="s">
        <v>313</v>
      </c>
      <c r="F2351" s="193" t="s">
        <v>114</v>
      </c>
      <c r="G2351" s="195" t="s">
        <v>1030</v>
      </c>
      <c r="H2351" s="166" t="s">
        <v>13436</v>
      </c>
      <c r="I2351" s="193" t="s">
        <v>12814</v>
      </c>
      <c r="J2351" s="193" t="s">
        <v>146</v>
      </c>
      <c r="K2351" s="170"/>
      <c r="L2351" s="193" t="s">
        <v>146</v>
      </c>
    </row>
    <row r="2352" spans="1:12" ht="15.75">
      <c r="A2352" s="67">
        <f t="shared" si="36"/>
        <v>2350</v>
      </c>
      <c r="B2352" s="164">
        <v>2350</v>
      </c>
      <c r="C2352" s="193" t="s">
        <v>3645</v>
      </c>
      <c r="D2352" s="195" t="s">
        <v>6913</v>
      </c>
      <c r="E2352" s="193" t="s">
        <v>9395</v>
      </c>
      <c r="F2352" s="193" t="s">
        <v>114</v>
      </c>
      <c r="G2352" s="195" t="s">
        <v>1212</v>
      </c>
      <c r="H2352" s="166" t="s">
        <v>13436</v>
      </c>
      <c r="I2352" s="193" t="s">
        <v>12826</v>
      </c>
      <c r="J2352" s="193" t="s">
        <v>146</v>
      </c>
      <c r="K2352" s="170"/>
      <c r="L2352" s="193" t="s">
        <v>146</v>
      </c>
    </row>
    <row r="2353" spans="1:12" ht="15.75">
      <c r="A2353" s="67">
        <f t="shared" si="36"/>
        <v>2351</v>
      </c>
      <c r="B2353" s="164">
        <v>2351</v>
      </c>
      <c r="C2353" s="193" t="s">
        <v>3646</v>
      </c>
      <c r="D2353" s="195" t="s">
        <v>6914</v>
      </c>
      <c r="E2353" s="193" t="s">
        <v>9396</v>
      </c>
      <c r="F2353" s="193" t="s">
        <v>114</v>
      </c>
      <c r="G2353" s="195" t="s">
        <v>1084</v>
      </c>
      <c r="H2353" s="166" t="s">
        <v>13436</v>
      </c>
      <c r="I2353" s="193" t="s">
        <v>12821</v>
      </c>
      <c r="J2353" s="193" t="s">
        <v>146</v>
      </c>
      <c r="K2353" s="170"/>
      <c r="L2353" s="193" t="s">
        <v>146</v>
      </c>
    </row>
    <row r="2354" spans="1:12" ht="15.75">
      <c r="A2354" s="67">
        <f t="shared" si="36"/>
        <v>2352</v>
      </c>
      <c r="B2354" s="164">
        <v>2352</v>
      </c>
      <c r="C2354" s="193" t="s">
        <v>3647</v>
      </c>
      <c r="D2354" s="195" t="s">
        <v>6915</v>
      </c>
      <c r="E2354" s="193" t="s">
        <v>9397</v>
      </c>
      <c r="F2354" s="193" t="s">
        <v>114</v>
      </c>
      <c r="G2354" s="195" t="s">
        <v>11536</v>
      </c>
      <c r="H2354" s="166" t="s">
        <v>13436</v>
      </c>
      <c r="I2354" s="193" t="s">
        <v>12818</v>
      </c>
      <c r="J2354" s="193" t="s">
        <v>146</v>
      </c>
      <c r="K2354" s="170"/>
      <c r="L2354" s="193" t="s">
        <v>146</v>
      </c>
    </row>
    <row r="2355" spans="1:12" ht="15.75">
      <c r="A2355" s="67">
        <f t="shared" si="36"/>
        <v>2353</v>
      </c>
      <c r="B2355" s="164">
        <v>2353</v>
      </c>
      <c r="C2355" s="193" t="s">
        <v>3648</v>
      </c>
      <c r="D2355" s="195" t="s">
        <v>6916</v>
      </c>
      <c r="E2355" s="193" t="s">
        <v>180</v>
      </c>
      <c r="F2355" s="193" t="s">
        <v>114</v>
      </c>
      <c r="G2355" s="195" t="s">
        <v>958</v>
      </c>
      <c r="H2355" s="166" t="s">
        <v>13436</v>
      </c>
      <c r="I2355" s="193" t="s">
        <v>12836</v>
      </c>
      <c r="J2355" s="193" t="s">
        <v>146</v>
      </c>
      <c r="K2355" s="170"/>
      <c r="L2355" s="193" t="s">
        <v>146</v>
      </c>
    </row>
    <row r="2356" spans="1:12" ht="15.75">
      <c r="A2356" s="67">
        <f t="shared" si="36"/>
        <v>2354</v>
      </c>
      <c r="B2356" s="164">
        <v>2354</v>
      </c>
      <c r="C2356" s="193" t="s">
        <v>3649</v>
      </c>
      <c r="D2356" s="195" t="s">
        <v>6917</v>
      </c>
      <c r="E2356" s="193" t="s">
        <v>9398</v>
      </c>
      <c r="F2356" s="193" t="s">
        <v>114</v>
      </c>
      <c r="G2356" s="195" t="s">
        <v>11537</v>
      </c>
      <c r="H2356" s="166" t="s">
        <v>13436</v>
      </c>
      <c r="I2356" s="193" t="s">
        <v>12827</v>
      </c>
      <c r="J2356" s="193" t="s">
        <v>146</v>
      </c>
      <c r="K2356" s="170"/>
      <c r="L2356" s="193" t="s">
        <v>146</v>
      </c>
    </row>
    <row r="2357" spans="1:12" ht="15.75">
      <c r="A2357" s="67">
        <f t="shared" si="36"/>
        <v>2355</v>
      </c>
      <c r="B2357" s="164">
        <v>2355</v>
      </c>
      <c r="C2357" s="193" t="s">
        <v>3650</v>
      </c>
      <c r="D2357" s="195" t="s">
        <v>6918</v>
      </c>
      <c r="E2357" s="193" t="s">
        <v>9399</v>
      </c>
      <c r="F2357" s="193" t="s">
        <v>114</v>
      </c>
      <c r="G2357" s="195" t="s">
        <v>1191</v>
      </c>
      <c r="H2357" s="166" t="s">
        <v>13436</v>
      </c>
      <c r="I2357" s="193" t="s">
        <v>12827</v>
      </c>
      <c r="J2357" s="219" t="s">
        <v>146</v>
      </c>
      <c r="K2357" s="170"/>
      <c r="L2357" s="193" t="s">
        <v>146</v>
      </c>
    </row>
    <row r="2358" spans="1:12" ht="30">
      <c r="A2358" s="67">
        <f t="shared" si="36"/>
        <v>2356</v>
      </c>
      <c r="B2358" s="164">
        <v>2356</v>
      </c>
      <c r="C2358" s="193" t="s">
        <v>3651</v>
      </c>
      <c r="D2358" s="199" t="s">
        <v>6919</v>
      </c>
      <c r="E2358" s="193" t="s">
        <v>9400</v>
      </c>
      <c r="F2358" s="193" t="s">
        <v>59</v>
      </c>
      <c r="G2358" s="195" t="s">
        <v>11538</v>
      </c>
      <c r="H2358" s="166" t="s">
        <v>13436</v>
      </c>
      <c r="I2358" s="193" t="s">
        <v>12828</v>
      </c>
      <c r="J2358" s="193" t="s">
        <v>12665</v>
      </c>
      <c r="K2358" s="170"/>
      <c r="L2358" s="193"/>
    </row>
    <row r="2359" spans="1:12" ht="15.75">
      <c r="A2359" s="67">
        <f t="shared" si="36"/>
        <v>2357</v>
      </c>
      <c r="B2359" s="164">
        <v>2357</v>
      </c>
      <c r="C2359" s="193" t="s">
        <v>3652</v>
      </c>
      <c r="D2359" s="196" t="s">
        <v>6920</v>
      </c>
      <c r="E2359" s="193" t="s">
        <v>9401</v>
      </c>
      <c r="F2359" s="193" t="s">
        <v>59</v>
      </c>
      <c r="G2359" s="195" t="s">
        <v>818</v>
      </c>
      <c r="H2359" s="166" t="s">
        <v>13436</v>
      </c>
      <c r="I2359" s="193" t="s">
        <v>12839</v>
      </c>
      <c r="J2359" s="219" t="s">
        <v>146</v>
      </c>
      <c r="K2359" s="170"/>
      <c r="L2359" s="193"/>
    </row>
    <row r="2360" spans="1:12" ht="30">
      <c r="A2360" s="67">
        <f t="shared" si="36"/>
        <v>2358</v>
      </c>
      <c r="B2360" s="164">
        <v>2358</v>
      </c>
      <c r="C2360" s="193" t="s">
        <v>3653</v>
      </c>
      <c r="D2360" s="199" t="s">
        <v>6921</v>
      </c>
      <c r="E2360" s="193" t="s">
        <v>9402</v>
      </c>
      <c r="F2360" s="193" t="s">
        <v>59</v>
      </c>
      <c r="G2360" s="195" t="s">
        <v>11351</v>
      </c>
      <c r="H2360" s="166" t="s">
        <v>13436</v>
      </c>
      <c r="I2360" s="193" t="s">
        <v>12828</v>
      </c>
      <c r="J2360" s="193" t="s">
        <v>1292</v>
      </c>
      <c r="K2360" s="170"/>
      <c r="L2360" s="193"/>
    </row>
    <row r="2361" spans="1:12" ht="15.75">
      <c r="A2361" s="67">
        <f t="shared" si="36"/>
        <v>2359</v>
      </c>
      <c r="B2361" s="164">
        <v>2359</v>
      </c>
      <c r="C2361" s="193" t="s">
        <v>3654</v>
      </c>
      <c r="D2361" s="199" t="s">
        <v>6922</v>
      </c>
      <c r="E2361" s="193" t="s">
        <v>9403</v>
      </c>
      <c r="F2361" s="193" t="s">
        <v>59</v>
      </c>
      <c r="G2361" s="195" t="s">
        <v>11539</v>
      </c>
      <c r="H2361" s="166" t="s">
        <v>13436</v>
      </c>
      <c r="I2361" s="193" t="s">
        <v>12828</v>
      </c>
      <c r="J2361" s="193" t="s">
        <v>146</v>
      </c>
      <c r="K2361" s="170"/>
      <c r="L2361" s="193"/>
    </row>
    <row r="2362" spans="1:12" ht="15.75">
      <c r="A2362" s="67">
        <f t="shared" si="36"/>
        <v>2360</v>
      </c>
      <c r="B2362" s="164">
        <v>2360</v>
      </c>
      <c r="C2362" s="193" t="s">
        <v>3655</v>
      </c>
      <c r="D2362" s="195" t="s">
        <v>6923</v>
      </c>
      <c r="E2362" s="193" t="s">
        <v>506</v>
      </c>
      <c r="F2362" s="193" t="s">
        <v>59</v>
      </c>
      <c r="G2362" s="195" t="s">
        <v>11339</v>
      </c>
      <c r="H2362" s="166" t="s">
        <v>13436</v>
      </c>
      <c r="I2362" s="193" t="s">
        <v>12832</v>
      </c>
      <c r="J2362" s="219" t="s">
        <v>146</v>
      </c>
      <c r="K2362" s="170"/>
      <c r="L2362" s="193"/>
    </row>
    <row r="2363" spans="1:12" ht="15.75">
      <c r="A2363" s="67">
        <f t="shared" si="36"/>
        <v>2361</v>
      </c>
      <c r="B2363" s="164">
        <v>2361</v>
      </c>
      <c r="C2363" s="193" t="s">
        <v>3656</v>
      </c>
      <c r="D2363" s="195" t="s">
        <v>6924</v>
      </c>
      <c r="E2363" s="193" t="s">
        <v>9404</v>
      </c>
      <c r="F2363" s="193" t="s">
        <v>59</v>
      </c>
      <c r="G2363" s="195" t="s">
        <v>11540</v>
      </c>
      <c r="H2363" s="166" t="s">
        <v>13436</v>
      </c>
      <c r="I2363" s="193" t="s">
        <v>12837</v>
      </c>
      <c r="J2363" s="193" t="s">
        <v>164</v>
      </c>
      <c r="K2363" s="170"/>
      <c r="L2363" s="193"/>
    </row>
    <row r="2364" spans="1:12" ht="30">
      <c r="A2364" s="67">
        <f t="shared" si="36"/>
        <v>2362</v>
      </c>
      <c r="B2364" s="164">
        <v>2362</v>
      </c>
      <c r="C2364" s="193" t="s">
        <v>3657</v>
      </c>
      <c r="D2364" s="201" t="s">
        <v>6925</v>
      </c>
      <c r="E2364" s="193" t="s">
        <v>9405</v>
      </c>
      <c r="F2364" s="193" t="s">
        <v>59</v>
      </c>
      <c r="G2364" s="195" t="s">
        <v>11541</v>
      </c>
      <c r="H2364" s="166" t="s">
        <v>13436</v>
      </c>
      <c r="I2364" s="193" t="s">
        <v>12829</v>
      </c>
      <c r="J2364" s="193" t="s">
        <v>12666</v>
      </c>
      <c r="K2364" s="170"/>
      <c r="L2364" s="193"/>
    </row>
    <row r="2365" spans="1:12" ht="15.75">
      <c r="A2365" s="67">
        <f t="shared" si="36"/>
        <v>2363</v>
      </c>
      <c r="B2365" s="164">
        <v>2363</v>
      </c>
      <c r="C2365" s="193" t="s">
        <v>3658</v>
      </c>
      <c r="D2365" s="199" t="s">
        <v>6926</v>
      </c>
      <c r="E2365" s="193" t="s">
        <v>463</v>
      </c>
      <c r="F2365" s="193" t="s">
        <v>114</v>
      </c>
      <c r="G2365" s="195" t="s">
        <v>11339</v>
      </c>
      <c r="H2365" s="166" t="s">
        <v>13436</v>
      </c>
      <c r="I2365" s="193" t="s">
        <v>12828</v>
      </c>
      <c r="J2365" s="193" t="s">
        <v>146</v>
      </c>
      <c r="K2365" s="170"/>
      <c r="L2365" s="193" t="s">
        <v>146</v>
      </c>
    </row>
    <row r="2366" spans="1:12" ht="15.75">
      <c r="A2366" s="67">
        <f t="shared" si="36"/>
        <v>2364</v>
      </c>
      <c r="B2366" s="164">
        <v>2364</v>
      </c>
      <c r="C2366" s="193" t="s">
        <v>3659</v>
      </c>
      <c r="D2366" s="195" t="s">
        <v>6927</v>
      </c>
      <c r="E2366" s="193" t="s">
        <v>9406</v>
      </c>
      <c r="F2366" s="193" t="s">
        <v>59</v>
      </c>
      <c r="G2366" s="195" t="s">
        <v>1183</v>
      </c>
      <c r="H2366" s="166" t="s">
        <v>13436</v>
      </c>
      <c r="I2366" s="193" t="s">
        <v>12817</v>
      </c>
      <c r="J2366" s="193" t="s">
        <v>146</v>
      </c>
      <c r="K2366" s="170"/>
      <c r="L2366" s="193"/>
    </row>
    <row r="2367" spans="1:12" ht="30">
      <c r="A2367" s="67">
        <f t="shared" si="36"/>
        <v>2365</v>
      </c>
      <c r="B2367" s="164">
        <v>2365</v>
      </c>
      <c r="C2367" s="193" t="s">
        <v>3660</v>
      </c>
      <c r="D2367" s="196" t="s">
        <v>6928</v>
      </c>
      <c r="E2367" s="193" t="s">
        <v>155</v>
      </c>
      <c r="F2367" s="193" t="s">
        <v>114</v>
      </c>
      <c r="G2367" s="195"/>
      <c r="H2367" s="166" t="s">
        <v>13436</v>
      </c>
      <c r="I2367" s="193"/>
      <c r="J2367" s="193" t="s">
        <v>12667</v>
      </c>
      <c r="K2367" s="170"/>
      <c r="L2367" s="193" t="s">
        <v>146</v>
      </c>
    </row>
    <row r="2368" spans="1:12" ht="15.75">
      <c r="A2368" s="67">
        <f t="shared" si="36"/>
        <v>2366</v>
      </c>
      <c r="B2368" s="164">
        <v>2366</v>
      </c>
      <c r="C2368" s="193" t="s">
        <v>3661</v>
      </c>
      <c r="D2368" s="205" t="s">
        <v>6929</v>
      </c>
      <c r="E2368" s="193" t="s">
        <v>161</v>
      </c>
      <c r="F2368" s="193" t="s">
        <v>114</v>
      </c>
      <c r="G2368" s="195" t="s">
        <v>11302</v>
      </c>
      <c r="H2368" s="166" t="s">
        <v>13436</v>
      </c>
      <c r="I2368" s="193" t="s">
        <v>12816</v>
      </c>
      <c r="J2368" s="193" t="s">
        <v>146</v>
      </c>
      <c r="K2368" s="170"/>
      <c r="L2368" s="193" t="s">
        <v>146</v>
      </c>
    </row>
    <row r="2369" spans="1:12" ht="15.75">
      <c r="A2369" s="67">
        <f t="shared" si="36"/>
        <v>2367</v>
      </c>
      <c r="B2369" s="164">
        <v>2367</v>
      </c>
      <c r="C2369" s="193" t="s">
        <v>3662</v>
      </c>
      <c r="D2369" s="195" t="s">
        <v>6930</v>
      </c>
      <c r="E2369" s="193" t="s">
        <v>9407</v>
      </c>
      <c r="F2369" s="193" t="s">
        <v>114</v>
      </c>
      <c r="G2369" s="195" t="s">
        <v>11542</v>
      </c>
      <c r="H2369" s="166" t="s">
        <v>13436</v>
      </c>
      <c r="I2369" s="193" t="s">
        <v>12812</v>
      </c>
      <c r="J2369" s="193" t="s">
        <v>146</v>
      </c>
      <c r="K2369" s="170"/>
      <c r="L2369" s="193" t="s">
        <v>146</v>
      </c>
    </row>
    <row r="2370" spans="1:12" ht="15.75">
      <c r="A2370" s="67">
        <f t="shared" si="36"/>
        <v>2368</v>
      </c>
      <c r="B2370" s="164">
        <v>2368</v>
      </c>
      <c r="C2370" s="193" t="s">
        <v>3663</v>
      </c>
      <c r="D2370" s="195" t="s">
        <v>6931</v>
      </c>
      <c r="E2370" s="193" t="s">
        <v>179</v>
      </c>
      <c r="F2370" s="193" t="s">
        <v>114</v>
      </c>
      <c r="G2370" s="195" t="s">
        <v>11543</v>
      </c>
      <c r="H2370" s="166" t="s">
        <v>13436</v>
      </c>
      <c r="I2370" s="193" t="s">
        <v>12819</v>
      </c>
      <c r="J2370" s="193" t="s">
        <v>164</v>
      </c>
      <c r="K2370" s="170"/>
      <c r="L2370" s="193" t="s">
        <v>146</v>
      </c>
    </row>
    <row r="2371" spans="1:12" ht="30">
      <c r="A2371" s="67">
        <f t="shared" ref="A2371:A2434" si="37">IFERROR(VALUE(RIGHT(C2371,4)),"")</f>
        <v>2369</v>
      </c>
      <c r="B2371" s="164">
        <v>2369</v>
      </c>
      <c r="C2371" s="193" t="s">
        <v>3664</v>
      </c>
      <c r="D2371" s="195" t="s">
        <v>6932</v>
      </c>
      <c r="E2371" s="193" t="s">
        <v>9408</v>
      </c>
      <c r="F2371" s="193" t="s">
        <v>59</v>
      </c>
      <c r="G2371" s="195" t="s">
        <v>11544</v>
      </c>
      <c r="H2371" s="166" t="s">
        <v>13436</v>
      </c>
      <c r="I2371" s="193" t="s">
        <v>12826</v>
      </c>
      <c r="J2371" s="219" t="s">
        <v>12668</v>
      </c>
      <c r="K2371" s="170"/>
      <c r="L2371" s="193"/>
    </row>
    <row r="2372" spans="1:12" ht="15.75">
      <c r="A2372" s="67">
        <f t="shared" si="37"/>
        <v>2370</v>
      </c>
      <c r="B2372" s="164">
        <v>2370</v>
      </c>
      <c r="C2372" s="193" t="s">
        <v>3665</v>
      </c>
      <c r="D2372" s="195" t="s">
        <v>6933</v>
      </c>
      <c r="E2372" s="193" t="s">
        <v>8068</v>
      </c>
      <c r="F2372" s="193" t="s">
        <v>114</v>
      </c>
      <c r="G2372" s="195" t="s">
        <v>11545</v>
      </c>
      <c r="H2372" s="166" t="s">
        <v>13436</v>
      </c>
      <c r="I2372" s="193" t="s">
        <v>12808</v>
      </c>
      <c r="J2372" s="193" t="s">
        <v>146</v>
      </c>
      <c r="K2372" s="170"/>
      <c r="L2372" s="193" t="s">
        <v>146</v>
      </c>
    </row>
    <row r="2373" spans="1:12" ht="15.75">
      <c r="A2373" s="67">
        <f t="shared" si="37"/>
        <v>2371</v>
      </c>
      <c r="B2373" s="164">
        <v>2371</v>
      </c>
      <c r="C2373" s="193" t="s">
        <v>3666</v>
      </c>
      <c r="D2373" s="195" t="s">
        <v>6934</v>
      </c>
      <c r="E2373" s="193" t="s">
        <v>9409</v>
      </c>
      <c r="F2373" s="193" t="s">
        <v>114</v>
      </c>
      <c r="G2373" s="195" t="s">
        <v>1215</v>
      </c>
      <c r="H2373" s="166" t="s">
        <v>13436</v>
      </c>
      <c r="I2373" s="193" t="s">
        <v>12814</v>
      </c>
      <c r="J2373" s="193" t="s">
        <v>146</v>
      </c>
      <c r="K2373" s="170"/>
      <c r="L2373" s="193" t="s">
        <v>146</v>
      </c>
    </row>
    <row r="2374" spans="1:12" ht="30">
      <c r="A2374" s="67">
        <f t="shared" si="37"/>
        <v>2372</v>
      </c>
      <c r="B2374" s="164">
        <v>2372</v>
      </c>
      <c r="C2374" s="193" t="s">
        <v>3667</v>
      </c>
      <c r="D2374" s="206" t="s">
        <v>6935</v>
      </c>
      <c r="E2374" s="193" t="s">
        <v>9410</v>
      </c>
      <c r="F2374" s="193" t="s">
        <v>114</v>
      </c>
      <c r="G2374" s="195" t="s">
        <v>11546</v>
      </c>
      <c r="H2374" s="166" t="s">
        <v>13436</v>
      </c>
      <c r="I2374" s="193" t="s">
        <v>12819</v>
      </c>
      <c r="J2374" s="193" t="s">
        <v>12669</v>
      </c>
      <c r="K2374" s="170"/>
      <c r="L2374" s="193" t="s">
        <v>146</v>
      </c>
    </row>
    <row r="2375" spans="1:12" ht="15.75">
      <c r="A2375" s="67">
        <f t="shared" si="37"/>
        <v>2373</v>
      </c>
      <c r="B2375" s="164">
        <v>2373</v>
      </c>
      <c r="C2375" s="193" t="s">
        <v>3668</v>
      </c>
      <c r="D2375" s="195" t="s">
        <v>6936</v>
      </c>
      <c r="E2375" s="193" t="s">
        <v>9411</v>
      </c>
      <c r="F2375" s="193" t="s">
        <v>114</v>
      </c>
      <c r="G2375" s="195" t="s">
        <v>11547</v>
      </c>
      <c r="H2375" s="166" t="s">
        <v>13436</v>
      </c>
      <c r="I2375" s="193" t="s">
        <v>12819</v>
      </c>
      <c r="J2375" s="193" t="s">
        <v>146</v>
      </c>
      <c r="K2375" s="170"/>
      <c r="L2375" s="193" t="s">
        <v>146</v>
      </c>
    </row>
    <row r="2376" spans="1:12" ht="15.75">
      <c r="A2376" s="67">
        <f t="shared" si="37"/>
        <v>2374</v>
      </c>
      <c r="B2376" s="164">
        <v>2374</v>
      </c>
      <c r="C2376" s="193" t="s">
        <v>3669</v>
      </c>
      <c r="D2376" s="195" t="s">
        <v>6937</v>
      </c>
      <c r="E2376" s="193" t="s">
        <v>8125</v>
      </c>
      <c r="F2376" s="193" t="s">
        <v>114</v>
      </c>
      <c r="G2376" s="195" t="s">
        <v>291</v>
      </c>
      <c r="H2376" s="166" t="s">
        <v>13436</v>
      </c>
      <c r="I2376" s="193" t="s">
        <v>12819</v>
      </c>
      <c r="J2376" s="193" t="s">
        <v>146</v>
      </c>
      <c r="K2376" s="170"/>
      <c r="L2376" s="193" t="s">
        <v>146</v>
      </c>
    </row>
    <row r="2377" spans="1:12" ht="15.75">
      <c r="A2377" s="67">
        <f t="shared" si="37"/>
        <v>2375</v>
      </c>
      <c r="B2377" s="164">
        <v>2375</v>
      </c>
      <c r="C2377" s="193" t="s">
        <v>3670</v>
      </c>
      <c r="D2377" s="195" t="s">
        <v>6938</v>
      </c>
      <c r="E2377" s="193" t="s">
        <v>9412</v>
      </c>
      <c r="F2377" s="193" t="s">
        <v>114</v>
      </c>
      <c r="G2377" s="195" t="s">
        <v>11548</v>
      </c>
      <c r="H2377" s="166" t="s">
        <v>13436</v>
      </c>
      <c r="I2377" s="193" t="s">
        <v>12819</v>
      </c>
      <c r="J2377" s="219" t="s">
        <v>146</v>
      </c>
      <c r="K2377" s="170"/>
      <c r="L2377" s="219" t="s">
        <v>146</v>
      </c>
    </row>
    <row r="2378" spans="1:12" ht="15.75">
      <c r="A2378" s="67">
        <f t="shared" si="37"/>
        <v>2376</v>
      </c>
      <c r="B2378" s="164">
        <v>2376</v>
      </c>
      <c r="C2378" s="193" t="s">
        <v>3671</v>
      </c>
      <c r="D2378" s="197" t="s">
        <v>6939</v>
      </c>
      <c r="E2378" s="193" t="s">
        <v>382</v>
      </c>
      <c r="F2378" s="193" t="s">
        <v>114</v>
      </c>
      <c r="G2378" s="195" t="s">
        <v>11549</v>
      </c>
      <c r="H2378" s="166" t="s">
        <v>13436</v>
      </c>
      <c r="I2378" s="193" t="s">
        <v>12816</v>
      </c>
      <c r="J2378" s="193" t="s">
        <v>12670</v>
      </c>
      <c r="K2378" s="170"/>
      <c r="L2378" s="193" t="s">
        <v>146</v>
      </c>
    </row>
    <row r="2379" spans="1:12" ht="15.75">
      <c r="A2379" s="67">
        <f t="shared" si="37"/>
        <v>2377</v>
      </c>
      <c r="B2379" s="164">
        <v>2377</v>
      </c>
      <c r="C2379" s="193" t="s">
        <v>3672</v>
      </c>
      <c r="D2379" s="208" t="s">
        <v>6940</v>
      </c>
      <c r="E2379" s="193" t="s">
        <v>8782</v>
      </c>
      <c r="F2379" s="193" t="s">
        <v>114</v>
      </c>
      <c r="G2379" s="195" t="s">
        <v>1223</v>
      </c>
      <c r="H2379" s="166" t="s">
        <v>13436</v>
      </c>
      <c r="I2379" s="193" t="s">
        <v>12816</v>
      </c>
      <c r="J2379" s="193" t="s">
        <v>146</v>
      </c>
      <c r="K2379" s="170"/>
      <c r="L2379" s="193" t="s">
        <v>146</v>
      </c>
    </row>
    <row r="2380" spans="1:12" ht="15.75">
      <c r="A2380" s="67">
        <f t="shared" si="37"/>
        <v>2378</v>
      </c>
      <c r="B2380" s="164">
        <v>2378</v>
      </c>
      <c r="C2380" s="193" t="s">
        <v>3673</v>
      </c>
      <c r="D2380" s="195" t="s">
        <v>6941</v>
      </c>
      <c r="E2380" s="193" t="s">
        <v>9413</v>
      </c>
      <c r="F2380" s="193" t="s">
        <v>59</v>
      </c>
      <c r="G2380" s="195" t="s">
        <v>1217</v>
      </c>
      <c r="H2380" s="166" t="s">
        <v>13436</v>
      </c>
      <c r="I2380" s="193" t="s">
        <v>12818</v>
      </c>
      <c r="J2380" s="193" t="s">
        <v>146</v>
      </c>
      <c r="K2380" s="170"/>
      <c r="L2380" s="193"/>
    </row>
    <row r="2381" spans="1:12" ht="15.75">
      <c r="A2381" s="67">
        <f t="shared" si="37"/>
        <v>2379</v>
      </c>
      <c r="B2381" s="164">
        <v>2379</v>
      </c>
      <c r="C2381" s="193" t="s">
        <v>3674</v>
      </c>
      <c r="D2381" s="195" t="s">
        <v>6942</v>
      </c>
      <c r="E2381" s="193" t="s">
        <v>9414</v>
      </c>
      <c r="F2381" s="193" t="s">
        <v>114</v>
      </c>
      <c r="G2381" s="195" t="s">
        <v>11550</v>
      </c>
      <c r="H2381" s="166" t="s">
        <v>13436</v>
      </c>
      <c r="I2381" s="193" t="s">
        <v>12814</v>
      </c>
      <c r="J2381" s="193" t="s">
        <v>146</v>
      </c>
      <c r="K2381" s="170"/>
      <c r="L2381" s="193" t="s">
        <v>146</v>
      </c>
    </row>
    <row r="2382" spans="1:12" ht="15.75">
      <c r="A2382" s="67">
        <f t="shared" si="37"/>
        <v>2380</v>
      </c>
      <c r="B2382" s="164">
        <v>2380</v>
      </c>
      <c r="C2382" s="193" t="s">
        <v>3675</v>
      </c>
      <c r="D2382" s="195" t="s">
        <v>6943</v>
      </c>
      <c r="E2382" s="193" t="s">
        <v>530</v>
      </c>
      <c r="F2382" s="193" t="s">
        <v>114</v>
      </c>
      <c r="G2382" s="195" t="s">
        <v>11436</v>
      </c>
      <c r="H2382" s="166" t="s">
        <v>13436</v>
      </c>
      <c r="I2382" s="193" t="s">
        <v>12814</v>
      </c>
      <c r="J2382" s="193" t="s">
        <v>146</v>
      </c>
      <c r="K2382" s="170"/>
      <c r="L2382" s="193" t="s">
        <v>146</v>
      </c>
    </row>
    <row r="2383" spans="1:12" ht="15.75">
      <c r="A2383" s="67">
        <f t="shared" si="37"/>
        <v>2381</v>
      </c>
      <c r="B2383" s="164">
        <v>2381</v>
      </c>
      <c r="C2383" s="193" t="s">
        <v>3676</v>
      </c>
      <c r="D2383" s="195" t="s">
        <v>6944</v>
      </c>
      <c r="E2383" s="193" t="s">
        <v>9415</v>
      </c>
      <c r="F2383" s="193" t="s">
        <v>114</v>
      </c>
      <c r="G2383" s="195" t="s">
        <v>11551</v>
      </c>
      <c r="H2383" s="166" t="s">
        <v>13436</v>
      </c>
      <c r="I2383" s="193" t="s">
        <v>12817</v>
      </c>
      <c r="J2383" s="193" t="s">
        <v>146</v>
      </c>
      <c r="K2383" s="170"/>
      <c r="L2383" s="193" t="s">
        <v>146</v>
      </c>
    </row>
    <row r="2384" spans="1:12" ht="15.75">
      <c r="A2384" s="67">
        <f t="shared" si="37"/>
        <v>2382</v>
      </c>
      <c r="B2384" s="164">
        <v>2382</v>
      </c>
      <c r="C2384" s="193" t="s">
        <v>3677</v>
      </c>
      <c r="D2384" s="195" t="s">
        <v>6945</v>
      </c>
      <c r="E2384" s="193" t="s">
        <v>9416</v>
      </c>
      <c r="F2384" s="193" t="s">
        <v>59</v>
      </c>
      <c r="G2384" s="195" t="s">
        <v>11401</v>
      </c>
      <c r="H2384" s="166" t="s">
        <v>13436</v>
      </c>
      <c r="I2384" s="193" t="s">
        <v>12819</v>
      </c>
      <c r="J2384" s="193" t="s">
        <v>146</v>
      </c>
      <c r="K2384" s="170"/>
      <c r="L2384" s="193"/>
    </row>
    <row r="2385" spans="1:12" ht="60">
      <c r="A2385" s="67">
        <f t="shared" si="37"/>
        <v>2383</v>
      </c>
      <c r="B2385" s="164">
        <v>2383</v>
      </c>
      <c r="C2385" s="193" t="s">
        <v>3678</v>
      </c>
      <c r="D2385" s="195" t="s">
        <v>6946</v>
      </c>
      <c r="E2385" s="193" t="s">
        <v>9417</v>
      </c>
      <c r="F2385" s="193" t="s">
        <v>114</v>
      </c>
      <c r="G2385" s="195" t="s">
        <v>11205</v>
      </c>
      <c r="H2385" s="166" t="s">
        <v>13436</v>
      </c>
      <c r="I2385" s="193" t="s">
        <v>12812</v>
      </c>
      <c r="J2385" s="219" t="s">
        <v>146</v>
      </c>
      <c r="K2385" s="170"/>
      <c r="L2385" s="193" t="s">
        <v>13350</v>
      </c>
    </row>
    <row r="2386" spans="1:12" ht="15.75">
      <c r="A2386" s="67">
        <f t="shared" si="37"/>
        <v>2384</v>
      </c>
      <c r="B2386" s="164">
        <v>2384</v>
      </c>
      <c r="C2386" s="193" t="s">
        <v>3679</v>
      </c>
      <c r="D2386" s="195" t="s">
        <v>6947</v>
      </c>
      <c r="E2386" s="193" t="s">
        <v>9418</v>
      </c>
      <c r="F2386" s="193" t="s">
        <v>114</v>
      </c>
      <c r="G2386" s="195" t="s">
        <v>814</v>
      </c>
      <c r="H2386" s="166" t="s">
        <v>13436</v>
      </c>
      <c r="I2386" s="193" t="s">
        <v>12814</v>
      </c>
      <c r="J2386" s="193" t="s">
        <v>146</v>
      </c>
      <c r="K2386" s="170"/>
      <c r="L2386" s="193" t="s">
        <v>146</v>
      </c>
    </row>
    <row r="2387" spans="1:12" ht="15.75">
      <c r="A2387" s="67">
        <f t="shared" si="37"/>
        <v>2385</v>
      </c>
      <c r="B2387" s="164">
        <v>2385</v>
      </c>
      <c r="C2387" s="193" t="s">
        <v>3680</v>
      </c>
      <c r="D2387" s="195" t="s">
        <v>6948</v>
      </c>
      <c r="E2387" s="193" t="s">
        <v>9419</v>
      </c>
      <c r="F2387" s="193" t="s">
        <v>114</v>
      </c>
      <c r="G2387" s="195" t="s">
        <v>10523</v>
      </c>
      <c r="H2387" s="166" t="s">
        <v>13436</v>
      </c>
      <c r="I2387" s="193" t="s">
        <v>12814</v>
      </c>
      <c r="J2387" s="193" t="s">
        <v>146</v>
      </c>
      <c r="K2387" s="170"/>
      <c r="L2387" s="193" t="s">
        <v>146</v>
      </c>
    </row>
    <row r="2388" spans="1:12" ht="15.75">
      <c r="A2388" s="67">
        <f t="shared" si="37"/>
        <v>2386</v>
      </c>
      <c r="B2388" s="164">
        <v>2386</v>
      </c>
      <c r="C2388" s="193" t="s">
        <v>3681</v>
      </c>
      <c r="D2388" s="195" t="s">
        <v>6949</v>
      </c>
      <c r="E2388" s="193" t="s">
        <v>9420</v>
      </c>
      <c r="F2388" s="193" t="s">
        <v>59</v>
      </c>
      <c r="G2388" s="195" t="s">
        <v>11396</v>
      </c>
      <c r="H2388" s="166" t="s">
        <v>13436</v>
      </c>
      <c r="I2388" s="193" t="s">
        <v>12819</v>
      </c>
      <c r="J2388" s="193" t="s">
        <v>146</v>
      </c>
      <c r="K2388" s="170"/>
      <c r="L2388" s="193"/>
    </row>
    <row r="2389" spans="1:12" ht="75">
      <c r="A2389" s="67">
        <f t="shared" si="37"/>
        <v>2387</v>
      </c>
      <c r="B2389" s="164">
        <v>2387</v>
      </c>
      <c r="C2389" s="193" t="s">
        <v>3682</v>
      </c>
      <c r="D2389" s="195" t="s">
        <v>6950</v>
      </c>
      <c r="E2389" s="193" t="s">
        <v>9421</v>
      </c>
      <c r="F2389" s="193" t="s">
        <v>114</v>
      </c>
      <c r="G2389" s="195" t="s">
        <v>11552</v>
      </c>
      <c r="H2389" s="166" t="s">
        <v>13436</v>
      </c>
      <c r="I2389" s="193" t="s">
        <v>12819</v>
      </c>
      <c r="J2389" s="193" t="s">
        <v>146</v>
      </c>
      <c r="K2389" s="170"/>
      <c r="L2389" s="193" t="s">
        <v>13351</v>
      </c>
    </row>
    <row r="2390" spans="1:12" ht="15.75">
      <c r="A2390" s="67">
        <f t="shared" si="37"/>
        <v>2388</v>
      </c>
      <c r="B2390" s="164">
        <v>2388</v>
      </c>
      <c r="C2390" s="193" t="s">
        <v>3683</v>
      </c>
      <c r="D2390" s="195" t="s">
        <v>6951</v>
      </c>
      <c r="E2390" s="193" t="s">
        <v>559</v>
      </c>
      <c r="F2390" s="193" t="s">
        <v>114</v>
      </c>
      <c r="G2390" s="195" t="s">
        <v>879</v>
      </c>
      <c r="H2390" s="166" t="s">
        <v>13436</v>
      </c>
      <c r="I2390" s="193" t="s">
        <v>12819</v>
      </c>
      <c r="J2390" s="193" t="s">
        <v>146</v>
      </c>
      <c r="K2390" s="170"/>
      <c r="L2390" s="193" t="s">
        <v>146</v>
      </c>
    </row>
    <row r="2391" spans="1:12" ht="15.75">
      <c r="A2391" s="67">
        <f t="shared" si="37"/>
        <v>2389</v>
      </c>
      <c r="B2391" s="164">
        <v>2389</v>
      </c>
      <c r="C2391" s="193" t="s">
        <v>3684</v>
      </c>
      <c r="D2391" s="195" t="s">
        <v>6952</v>
      </c>
      <c r="E2391" s="193" t="s">
        <v>270</v>
      </c>
      <c r="F2391" s="193" t="s">
        <v>114</v>
      </c>
      <c r="G2391" s="195" t="s">
        <v>11553</v>
      </c>
      <c r="H2391" s="166" t="s">
        <v>13436</v>
      </c>
      <c r="I2391" s="193" t="s">
        <v>12817</v>
      </c>
      <c r="J2391" s="219" t="s">
        <v>146</v>
      </c>
      <c r="K2391" s="170"/>
      <c r="L2391" s="193" t="s">
        <v>146</v>
      </c>
    </row>
    <row r="2392" spans="1:12" ht="15.75">
      <c r="A2392" s="67">
        <f t="shared" si="37"/>
        <v>2390</v>
      </c>
      <c r="B2392" s="164">
        <v>2390</v>
      </c>
      <c r="C2392" s="193" t="s">
        <v>3685</v>
      </c>
      <c r="D2392" s="195" t="s">
        <v>6953</v>
      </c>
      <c r="E2392" s="193" t="s">
        <v>331</v>
      </c>
      <c r="F2392" s="193" t="s">
        <v>114</v>
      </c>
      <c r="G2392" s="195" t="s">
        <v>1087</v>
      </c>
      <c r="H2392" s="166" t="s">
        <v>13436</v>
      </c>
      <c r="I2392" s="193" t="s">
        <v>12829</v>
      </c>
      <c r="J2392" s="193" t="s">
        <v>146</v>
      </c>
      <c r="K2392" s="170"/>
      <c r="L2392" s="193" t="s">
        <v>146</v>
      </c>
    </row>
    <row r="2393" spans="1:12" ht="15.75">
      <c r="A2393" s="67">
        <f t="shared" si="37"/>
        <v>2391</v>
      </c>
      <c r="B2393" s="164">
        <v>2391</v>
      </c>
      <c r="C2393" s="193" t="s">
        <v>3686</v>
      </c>
      <c r="D2393" s="195" t="s">
        <v>6954</v>
      </c>
      <c r="E2393" s="193" t="s">
        <v>9422</v>
      </c>
      <c r="F2393" s="193" t="s">
        <v>114</v>
      </c>
      <c r="G2393" s="195" t="s">
        <v>855</v>
      </c>
      <c r="H2393" s="166" t="s">
        <v>13436</v>
      </c>
      <c r="I2393" s="193" t="s">
        <v>12829</v>
      </c>
      <c r="J2393" s="219" t="s">
        <v>146</v>
      </c>
      <c r="K2393" s="170"/>
      <c r="L2393" s="193" t="s">
        <v>146</v>
      </c>
    </row>
    <row r="2394" spans="1:12" ht="45">
      <c r="A2394" s="67">
        <f t="shared" si="37"/>
        <v>2392</v>
      </c>
      <c r="B2394" s="164">
        <v>2392</v>
      </c>
      <c r="C2394" s="193" t="s">
        <v>3687</v>
      </c>
      <c r="D2394" s="199" t="s">
        <v>6955</v>
      </c>
      <c r="E2394" s="193" t="s">
        <v>9423</v>
      </c>
      <c r="F2394" s="193" t="s">
        <v>114</v>
      </c>
      <c r="G2394" s="195" t="s">
        <v>1151</v>
      </c>
      <c r="H2394" s="166" t="s">
        <v>13436</v>
      </c>
      <c r="I2394" s="193" t="s">
        <v>12828</v>
      </c>
      <c r="J2394" s="193" t="s">
        <v>284</v>
      </c>
      <c r="K2394" s="170"/>
      <c r="L2394" s="193" t="s">
        <v>13352</v>
      </c>
    </row>
    <row r="2395" spans="1:12" ht="30">
      <c r="A2395" s="67">
        <f t="shared" si="37"/>
        <v>2393</v>
      </c>
      <c r="B2395" s="164">
        <v>2393</v>
      </c>
      <c r="C2395" s="193" t="s">
        <v>3688</v>
      </c>
      <c r="D2395" s="195" t="s">
        <v>6956</v>
      </c>
      <c r="E2395" s="193" t="s">
        <v>9412</v>
      </c>
      <c r="F2395" s="193" t="s">
        <v>114</v>
      </c>
      <c r="G2395" s="195" t="s">
        <v>1076</v>
      </c>
      <c r="H2395" s="166" t="s">
        <v>13436</v>
      </c>
      <c r="I2395" s="193" t="s">
        <v>12829</v>
      </c>
      <c r="J2395" s="219" t="s">
        <v>12671</v>
      </c>
      <c r="K2395" s="170"/>
      <c r="L2395" s="219" t="s">
        <v>146</v>
      </c>
    </row>
    <row r="2396" spans="1:12" ht="15.75">
      <c r="A2396" s="67">
        <f t="shared" si="37"/>
        <v>2394</v>
      </c>
      <c r="B2396" s="164">
        <v>2394</v>
      </c>
      <c r="C2396" s="193" t="s">
        <v>3689</v>
      </c>
      <c r="D2396" s="195" t="s">
        <v>6957</v>
      </c>
      <c r="E2396" s="193" t="s">
        <v>9424</v>
      </c>
      <c r="F2396" s="193" t="s">
        <v>114</v>
      </c>
      <c r="G2396" s="195" t="s">
        <v>11554</v>
      </c>
      <c r="H2396" s="166" t="s">
        <v>13436</v>
      </c>
      <c r="I2396" s="193" t="s">
        <v>12819</v>
      </c>
      <c r="J2396" s="193" t="s">
        <v>146</v>
      </c>
      <c r="K2396" s="170"/>
      <c r="L2396" s="193" t="s">
        <v>146</v>
      </c>
    </row>
    <row r="2397" spans="1:12" ht="15.75">
      <c r="A2397" s="67">
        <f t="shared" si="37"/>
        <v>2395</v>
      </c>
      <c r="B2397" s="164">
        <v>2395</v>
      </c>
      <c r="C2397" s="193" t="s">
        <v>3690</v>
      </c>
      <c r="D2397" s="197" t="s">
        <v>6958</v>
      </c>
      <c r="E2397" s="193" t="s">
        <v>9425</v>
      </c>
      <c r="F2397" s="193" t="s">
        <v>114</v>
      </c>
      <c r="G2397" s="195" t="s">
        <v>11054</v>
      </c>
      <c r="H2397" s="166" t="s">
        <v>13436</v>
      </c>
      <c r="I2397" s="193" t="s">
        <v>12816</v>
      </c>
      <c r="J2397" s="193" t="s">
        <v>146</v>
      </c>
      <c r="K2397" s="170"/>
      <c r="L2397" s="193" t="s">
        <v>146</v>
      </c>
    </row>
    <row r="2398" spans="1:12" ht="15.75">
      <c r="A2398" s="67">
        <f t="shared" si="37"/>
        <v>2396</v>
      </c>
      <c r="B2398" s="164">
        <v>2396</v>
      </c>
      <c r="C2398" s="193" t="s">
        <v>3691</v>
      </c>
      <c r="D2398" s="195" t="s">
        <v>6959</v>
      </c>
      <c r="E2398" s="193" t="s">
        <v>9426</v>
      </c>
      <c r="F2398" s="193" t="s">
        <v>114</v>
      </c>
      <c r="G2398" s="195" t="s">
        <v>11555</v>
      </c>
      <c r="H2398" s="166" t="s">
        <v>13436</v>
      </c>
      <c r="I2398" s="193" t="s">
        <v>12814</v>
      </c>
      <c r="J2398" s="193" t="s">
        <v>147</v>
      </c>
      <c r="K2398" s="170"/>
      <c r="L2398" s="193" t="s">
        <v>146</v>
      </c>
    </row>
    <row r="2399" spans="1:12" ht="15.75">
      <c r="A2399" s="67">
        <f t="shared" si="37"/>
        <v>2397</v>
      </c>
      <c r="B2399" s="164">
        <v>2397</v>
      </c>
      <c r="C2399" s="193" t="s">
        <v>3692</v>
      </c>
      <c r="D2399" s="195" t="s">
        <v>6960</v>
      </c>
      <c r="E2399" s="193" t="s">
        <v>9427</v>
      </c>
      <c r="F2399" s="193" t="s">
        <v>114</v>
      </c>
      <c r="G2399" s="195" t="s">
        <v>11556</v>
      </c>
      <c r="H2399" s="166" t="s">
        <v>13436</v>
      </c>
      <c r="I2399" s="193" t="s">
        <v>12817</v>
      </c>
      <c r="J2399" s="193" t="s">
        <v>146</v>
      </c>
      <c r="K2399" s="170"/>
      <c r="L2399" s="193" t="s">
        <v>146</v>
      </c>
    </row>
    <row r="2400" spans="1:12" ht="30">
      <c r="A2400" s="67">
        <f t="shared" si="37"/>
        <v>2398</v>
      </c>
      <c r="B2400" s="164">
        <v>2398</v>
      </c>
      <c r="C2400" s="193" t="s">
        <v>3693</v>
      </c>
      <c r="D2400" s="195" t="s">
        <v>6961</v>
      </c>
      <c r="E2400" s="193" t="s">
        <v>9329</v>
      </c>
      <c r="F2400" s="193" t="s">
        <v>114</v>
      </c>
      <c r="G2400" s="195" t="s">
        <v>1158</v>
      </c>
      <c r="H2400" s="166" t="s">
        <v>13436</v>
      </c>
      <c r="I2400" s="193" t="s">
        <v>12813</v>
      </c>
      <c r="J2400" s="193" t="s">
        <v>146</v>
      </c>
      <c r="K2400" s="170"/>
      <c r="L2400" s="193" t="s">
        <v>13353</v>
      </c>
    </row>
    <row r="2401" spans="1:12" ht="30">
      <c r="A2401" s="67">
        <f t="shared" si="37"/>
        <v>2399</v>
      </c>
      <c r="B2401" s="164">
        <v>2399</v>
      </c>
      <c r="C2401" s="193" t="s">
        <v>3694</v>
      </c>
      <c r="D2401" s="205" t="s">
        <v>6962</v>
      </c>
      <c r="E2401" s="193" t="s">
        <v>9428</v>
      </c>
      <c r="F2401" s="193" t="s">
        <v>114</v>
      </c>
      <c r="G2401" s="195" t="s">
        <v>11557</v>
      </c>
      <c r="H2401" s="166" t="s">
        <v>13436</v>
      </c>
      <c r="I2401" s="193" t="s">
        <v>12816</v>
      </c>
      <c r="J2401" s="193" t="s">
        <v>1252</v>
      </c>
      <c r="K2401" s="170"/>
      <c r="L2401" s="193" t="s">
        <v>13354</v>
      </c>
    </row>
    <row r="2402" spans="1:12" ht="15.75">
      <c r="A2402" s="67">
        <f t="shared" si="37"/>
        <v>2400</v>
      </c>
      <c r="B2402" s="164">
        <v>2400</v>
      </c>
      <c r="C2402" s="193" t="s">
        <v>3695</v>
      </c>
      <c r="D2402" s="195" t="s">
        <v>6963</v>
      </c>
      <c r="E2402" s="193" t="s">
        <v>8135</v>
      </c>
      <c r="F2402" s="193" t="s">
        <v>114</v>
      </c>
      <c r="G2402" s="195" t="s">
        <v>804</v>
      </c>
      <c r="H2402" s="166" t="s">
        <v>13436</v>
      </c>
      <c r="I2402" s="193" t="s">
        <v>12817</v>
      </c>
      <c r="J2402" s="193" t="s">
        <v>148</v>
      </c>
      <c r="K2402" s="170"/>
      <c r="L2402" s="193" t="s">
        <v>146</v>
      </c>
    </row>
    <row r="2403" spans="1:12" ht="15.75">
      <c r="A2403" s="67">
        <f t="shared" si="37"/>
        <v>2401</v>
      </c>
      <c r="B2403" s="164">
        <v>2401</v>
      </c>
      <c r="C2403" s="193" t="s">
        <v>3696</v>
      </c>
      <c r="D2403" s="203" t="s">
        <v>6964</v>
      </c>
      <c r="E2403" s="193" t="s">
        <v>9045</v>
      </c>
      <c r="F2403" s="193" t="s">
        <v>114</v>
      </c>
      <c r="G2403" s="195" t="s">
        <v>11558</v>
      </c>
      <c r="H2403" s="166" t="s">
        <v>13436</v>
      </c>
      <c r="I2403" s="193" t="s">
        <v>12827</v>
      </c>
      <c r="J2403" s="193" t="s">
        <v>146</v>
      </c>
      <c r="K2403" s="170"/>
      <c r="L2403" s="193" t="s">
        <v>146</v>
      </c>
    </row>
    <row r="2404" spans="1:12" ht="30">
      <c r="A2404" s="67">
        <f t="shared" si="37"/>
        <v>2402</v>
      </c>
      <c r="B2404" s="164">
        <v>2402</v>
      </c>
      <c r="C2404" s="193" t="s">
        <v>3697</v>
      </c>
      <c r="D2404" s="195" t="s">
        <v>6965</v>
      </c>
      <c r="E2404" s="193" t="s">
        <v>9429</v>
      </c>
      <c r="F2404" s="193" t="s">
        <v>114</v>
      </c>
      <c r="G2404" s="195" t="s">
        <v>195</v>
      </c>
      <c r="H2404" s="166" t="s">
        <v>13436</v>
      </c>
      <c r="I2404" s="193" t="s">
        <v>12838</v>
      </c>
      <c r="J2404" s="193" t="s">
        <v>1252</v>
      </c>
      <c r="K2404" s="170"/>
      <c r="L2404" s="193" t="s">
        <v>13355</v>
      </c>
    </row>
    <row r="2405" spans="1:12" ht="15.75">
      <c r="A2405" s="67">
        <f t="shared" si="37"/>
        <v>2403</v>
      </c>
      <c r="B2405" s="164">
        <v>2403</v>
      </c>
      <c r="C2405" s="193" t="s">
        <v>3698</v>
      </c>
      <c r="D2405" s="195" t="s">
        <v>6966</v>
      </c>
      <c r="E2405" s="193" t="s">
        <v>9430</v>
      </c>
      <c r="F2405" s="193" t="s">
        <v>114</v>
      </c>
      <c r="G2405" s="195" t="s">
        <v>11559</v>
      </c>
      <c r="H2405" s="166" t="s">
        <v>13436</v>
      </c>
      <c r="I2405" s="193" t="s">
        <v>12817</v>
      </c>
      <c r="J2405" s="193" t="s">
        <v>146</v>
      </c>
      <c r="K2405" s="170"/>
      <c r="L2405" s="193" t="s">
        <v>146</v>
      </c>
    </row>
    <row r="2406" spans="1:12" ht="15.75">
      <c r="A2406" s="67">
        <f t="shared" si="37"/>
        <v>2404</v>
      </c>
      <c r="B2406" s="164">
        <v>2404</v>
      </c>
      <c r="C2406" s="193" t="s">
        <v>3699</v>
      </c>
      <c r="D2406" s="195" t="s">
        <v>6967</v>
      </c>
      <c r="E2406" s="193" t="s">
        <v>273</v>
      </c>
      <c r="F2406" s="193" t="s">
        <v>114</v>
      </c>
      <c r="G2406" s="195" t="s">
        <v>11034</v>
      </c>
      <c r="H2406" s="166" t="s">
        <v>13436</v>
      </c>
      <c r="I2406" s="193" t="s">
        <v>12814</v>
      </c>
      <c r="J2406" s="193" t="s">
        <v>146</v>
      </c>
      <c r="K2406" s="170"/>
      <c r="L2406" s="193" t="s">
        <v>146</v>
      </c>
    </row>
    <row r="2407" spans="1:12" ht="15.75">
      <c r="A2407" s="67">
        <f t="shared" si="37"/>
        <v>2405</v>
      </c>
      <c r="B2407" s="164">
        <v>2405</v>
      </c>
      <c r="C2407" s="193" t="s">
        <v>3700</v>
      </c>
      <c r="D2407" s="195" t="s">
        <v>6968</v>
      </c>
      <c r="E2407" s="193" t="s">
        <v>9431</v>
      </c>
      <c r="F2407" s="193" t="s">
        <v>114</v>
      </c>
      <c r="G2407" s="195" t="s">
        <v>1179</v>
      </c>
      <c r="H2407" s="166" t="s">
        <v>13436</v>
      </c>
      <c r="I2407" s="193" t="s">
        <v>12818</v>
      </c>
      <c r="J2407" s="219" t="s">
        <v>146</v>
      </c>
      <c r="K2407" s="170"/>
      <c r="L2407" s="193" t="s">
        <v>146</v>
      </c>
    </row>
    <row r="2408" spans="1:12" ht="15.75">
      <c r="A2408" s="67">
        <f t="shared" si="37"/>
        <v>2406</v>
      </c>
      <c r="B2408" s="164">
        <v>2406</v>
      </c>
      <c r="C2408" s="193" t="s">
        <v>3701</v>
      </c>
      <c r="D2408" s="195" t="s">
        <v>6969</v>
      </c>
      <c r="E2408" s="193" t="s">
        <v>9432</v>
      </c>
      <c r="F2408" s="193" t="s">
        <v>59</v>
      </c>
      <c r="G2408" s="195" t="s">
        <v>11203</v>
      </c>
      <c r="H2408" s="166" t="s">
        <v>13436</v>
      </c>
      <c r="I2408" s="193" t="s">
        <v>12817</v>
      </c>
      <c r="J2408" s="193" t="s">
        <v>146</v>
      </c>
      <c r="K2408" s="170"/>
      <c r="L2408" s="193"/>
    </row>
    <row r="2409" spans="1:12" ht="15.75">
      <c r="A2409" s="67">
        <f t="shared" si="37"/>
        <v>2407</v>
      </c>
      <c r="B2409" s="164">
        <v>2407</v>
      </c>
      <c r="C2409" s="193" t="s">
        <v>3702</v>
      </c>
      <c r="D2409" s="195" t="s">
        <v>6970</v>
      </c>
      <c r="E2409" s="193" t="s">
        <v>9433</v>
      </c>
      <c r="F2409" s="193" t="s">
        <v>114</v>
      </c>
      <c r="G2409" s="195" t="s">
        <v>978</v>
      </c>
      <c r="H2409" s="166" t="s">
        <v>13436</v>
      </c>
      <c r="I2409" s="193" t="s">
        <v>12827</v>
      </c>
      <c r="J2409" s="193" t="s">
        <v>146</v>
      </c>
      <c r="K2409" s="170"/>
      <c r="L2409" s="193" t="s">
        <v>146</v>
      </c>
    </row>
    <row r="2410" spans="1:12" ht="15.75">
      <c r="A2410" s="67">
        <f t="shared" si="37"/>
        <v>2408</v>
      </c>
      <c r="B2410" s="164">
        <v>2408</v>
      </c>
      <c r="C2410" s="193" t="s">
        <v>3703</v>
      </c>
      <c r="D2410" s="195" t="s">
        <v>6971</v>
      </c>
      <c r="E2410" s="193" t="s">
        <v>666</v>
      </c>
      <c r="F2410" s="193" t="s">
        <v>59</v>
      </c>
      <c r="G2410" s="195" t="s">
        <v>982</v>
      </c>
      <c r="H2410" s="166" t="s">
        <v>13436</v>
      </c>
      <c r="I2410" s="193" t="s">
        <v>12826</v>
      </c>
      <c r="J2410" s="193" t="s">
        <v>146</v>
      </c>
      <c r="K2410" s="170"/>
      <c r="L2410" s="193"/>
    </row>
    <row r="2411" spans="1:12" ht="15.75">
      <c r="A2411" s="67">
        <f t="shared" si="37"/>
        <v>2409</v>
      </c>
      <c r="B2411" s="164">
        <v>2409</v>
      </c>
      <c r="C2411" s="193" t="s">
        <v>3704</v>
      </c>
      <c r="D2411" s="195" t="s">
        <v>6972</v>
      </c>
      <c r="E2411" s="193" t="s">
        <v>342</v>
      </c>
      <c r="F2411" s="193" t="s">
        <v>114</v>
      </c>
      <c r="G2411" s="195" t="s">
        <v>11560</v>
      </c>
      <c r="H2411" s="166" t="s">
        <v>13436</v>
      </c>
      <c r="I2411" s="193" t="s">
        <v>12825</v>
      </c>
      <c r="J2411" s="193" t="s">
        <v>146</v>
      </c>
      <c r="K2411" s="170"/>
      <c r="L2411" s="193" t="s">
        <v>146</v>
      </c>
    </row>
    <row r="2412" spans="1:12" ht="15.75">
      <c r="A2412" s="67">
        <f t="shared" si="37"/>
        <v>2410</v>
      </c>
      <c r="B2412" s="164">
        <v>2410</v>
      </c>
      <c r="C2412" s="193" t="s">
        <v>3705</v>
      </c>
      <c r="D2412" s="195" t="s">
        <v>6973</v>
      </c>
      <c r="E2412" s="193" t="s">
        <v>9434</v>
      </c>
      <c r="F2412" s="193" t="s">
        <v>114</v>
      </c>
      <c r="G2412" s="195" t="s">
        <v>11561</v>
      </c>
      <c r="H2412" s="166" t="s">
        <v>13436</v>
      </c>
      <c r="I2412" s="193" t="s">
        <v>12817</v>
      </c>
      <c r="J2412" s="193" t="s">
        <v>146</v>
      </c>
      <c r="K2412" s="170"/>
      <c r="L2412" s="193" t="s">
        <v>146</v>
      </c>
    </row>
    <row r="2413" spans="1:12" ht="15.75">
      <c r="A2413" s="67">
        <f t="shared" si="37"/>
        <v>2411</v>
      </c>
      <c r="B2413" s="164">
        <v>2411</v>
      </c>
      <c r="C2413" s="193" t="s">
        <v>3706</v>
      </c>
      <c r="D2413" s="195" t="s">
        <v>6974</v>
      </c>
      <c r="E2413" s="193" t="s">
        <v>9435</v>
      </c>
      <c r="F2413" s="193" t="s">
        <v>114</v>
      </c>
      <c r="G2413" s="195" t="s">
        <v>11032</v>
      </c>
      <c r="H2413" s="166" t="s">
        <v>13436</v>
      </c>
      <c r="I2413" s="193" t="s">
        <v>12814</v>
      </c>
      <c r="J2413" s="193" t="s">
        <v>1252</v>
      </c>
      <c r="K2413" s="170"/>
      <c r="L2413" s="193" t="s">
        <v>146</v>
      </c>
    </row>
    <row r="2414" spans="1:12" ht="15.75">
      <c r="A2414" s="67">
        <f t="shared" si="37"/>
        <v>2412</v>
      </c>
      <c r="B2414" s="164">
        <v>2412</v>
      </c>
      <c r="C2414" s="193" t="s">
        <v>3707</v>
      </c>
      <c r="D2414" s="195" t="s">
        <v>6975</v>
      </c>
      <c r="E2414" s="193" t="s">
        <v>9436</v>
      </c>
      <c r="F2414" s="193" t="s">
        <v>59</v>
      </c>
      <c r="G2414" s="195" t="s">
        <v>11562</v>
      </c>
      <c r="H2414" s="166" t="s">
        <v>13436</v>
      </c>
      <c r="I2414" s="193" t="s">
        <v>12817</v>
      </c>
      <c r="J2414" s="219" t="s">
        <v>146</v>
      </c>
      <c r="K2414" s="170"/>
      <c r="L2414" s="193"/>
    </row>
    <row r="2415" spans="1:12" ht="15.75">
      <c r="A2415" s="67">
        <f t="shared" si="37"/>
        <v>2413</v>
      </c>
      <c r="B2415" s="164">
        <v>2413</v>
      </c>
      <c r="C2415" s="193" t="s">
        <v>3708</v>
      </c>
      <c r="D2415" s="195" t="s">
        <v>6976</v>
      </c>
      <c r="E2415" s="193" t="s">
        <v>9032</v>
      </c>
      <c r="F2415" s="193" t="s">
        <v>114</v>
      </c>
      <c r="G2415" s="195" t="s">
        <v>11563</v>
      </c>
      <c r="H2415" s="166" t="s">
        <v>13436</v>
      </c>
      <c r="I2415" s="193" t="s">
        <v>12814</v>
      </c>
      <c r="J2415" s="193" t="s">
        <v>146</v>
      </c>
      <c r="K2415" s="170"/>
      <c r="L2415" s="193" t="s">
        <v>146</v>
      </c>
    </row>
    <row r="2416" spans="1:12" ht="15.75">
      <c r="A2416" s="67">
        <f t="shared" si="37"/>
        <v>2414</v>
      </c>
      <c r="B2416" s="164">
        <v>2414</v>
      </c>
      <c r="C2416" s="193" t="s">
        <v>3709</v>
      </c>
      <c r="D2416" s="195" t="s">
        <v>6977</v>
      </c>
      <c r="E2416" s="193" t="s">
        <v>9437</v>
      </c>
      <c r="F2416" s="193" t="s">
        <v>114</v>
      </c>
      <c r="G2416" s="195" t="s">
        <v>11564</v>
      </c>
      <c r="H2416" s="166" t="s">
        <v>13436</v>
      </c>
      <c r="I2416" s="193" t="s">
        <v>12814</v>
      </c>
      <c r="J2416" s="193" t="s">
        <v>146</v>
      </c>
      <c r="K2416" s="170"/>
      <c r="L2416" s="193" t="s">
        <v>146</v>
      </c>
    </row>
    <row r="2417" spans="1:12" ht="15.75">
      <c r="A2417" s="67">
        <f t="shared" si="37"/>
        <v>2415</v>
      </c>
      <c r="B2417" s="164">
        <v>2415</v>
      </c>
      <c r="C2417" s="193" t="s">
        <v>3710</v>
      </c>
      <c r="D2417" s="195" t="s">
        <v>6978</v>
      </c>
      <c r="E2417" s="193" t="s">
        <v>9438</v>
      </c>
      <c r="F2417" s="193" t="s">
        <v>59</v>
      </c>
      <c r="G2417" s="195" t="s">
        <v>11565</v>
      </c>
      <c r="H2417" s="166" t="s">
        <v>13436</v>
      </c>
      <c r="I2417" s="193" t="s">
        <v>12817</v>
      </c>
      <c r="J2417" s="219" t="s">
        <v>146</v>
      </c>
      <c r="K2417" s="170"/>
      <c r="L2417" s="193"/>
    </row>
    <row r="2418" spans="1:12" ht="15.75">
      <c r="A2418" s="67">
        <f t="shared" si="37"/>
        <v>2416</v>
      </c>
      <c r="B2418" s="164">
        <v>2416</v>
      </c>
      <c r="C2418" s="193" t="s">
        <v>3711</v>
      </c>
      <c r="D2418" s="195" t="s">
        <v>6979</v>
      </c>
      <c r="E2418" s="193" t="s">
        <v>9439</v>
      </c>
      <c r="F2418" s="193" t="s">
        <v>114</v>
      </c>
      <c r="G2418" s="195" t="s">
        <v>955</v>
      </c>
      <c r="H2418" s="166" t="s">
        <v>13436</v>
      </c>
      <c r="I2418" s="193" t="s">
        <v>12817</v>
      </c>
      <c r="J2418" s="193" t="s">
        <v>146</v>
      </c>
      <c r="K2418" s="170"/>
      <c r="L2418" s="193" t="s">
        <v>146</v>
      </c>
    </row>
    <row r="2419" spans="1:12" ht="15.75">
      <c r="A2419" s="67">
        <f t="shared" si="37"/>
        <v>2417</v>
      </c>
      <c r="B2419" s="164">
        <v>2417</v>
      </c>
      <c r="C2419" s="193" t="s">
        <v>3712</v>
      </c>
      <c r="D2419" s="195" t="s">
        <v>6980</v>
      </c>
      <c r="E2419" s="193" t="s">
        <v>9440</v>
      </c>
      <c r="F2419" s="193" t="s">
        <v>59</v>
      </c>
      <c r="G2419" s="195" t="s">
        <v>11566</v>
      </c>
      <c r="H2419" s="166" t="s">
        <v>13436</v>
      </c>
      <c r="I2419" s="193" t="s">
        <v>12825</v>
      </c>
      <c r="J2419" s="193" t="s">
        <v>146</v>
      </c>
      <c r="K2419" s="170"/>
      <c r="L2419" s="193"/>
    </row>
    <row r="2420" spans="1:12" ht="15.75">
      <c r="A2420" s="67">
        <f t="shared" si="37"/>
        <v>2418</v>
      </c>
      <c r="B2420" s="164">
        <v>2418</v>
      </c>
      <c r="C2420" s="193" t="s">
        <v>3713</v>
      </c>
      <c r="D2420" s="195" t="s">
        <v>6981</v>
      </c>
      <c r="E2420" s="193" t="s">
        <v>9441</v>
      </c>
      <c r="F2420" s="193" t="s">
        <v>114</v>
      </c>
      <c r="G2420" s="195" t="s">
        <v>11567</v>
      </c>
      <c r="H2420" s="166" t="s">
        <v>13436</v>
      </c>
      <c r="I2420" s="193" t="s">
        <v>12817</v>
      </c>
      <c r="J2420" s="193" t="s">
        <v>146</v>
      </c>
      <c r="K2420" s="170"/>
      <c r="L2420" s="193" t="s">
        <v>146</v>
      </c>
    </row>
    <row r="2421" spans="1:12" ht="30">
      <c r="A2421" s="67">
        <f t="shared" si="37"/>
        <v>2419</v>
      </c>
      <c r="B2421" s="164">
        <v>2419</v>
      </c>
      <c r="C2421" s="193" t="s">
        <v>3714</v>
      </c>
      <c r="D2421" s="195" t="s">
        <v>6982</v>
      </c>
      <c r="E2421" s="193" t="s">
        <v>8734</v>
      </c>
      <c r="F2421" s="193" t="s">
        <v>114</v>
      </c>
      <c r="G2421" s="195" t="s">
        <v>11568</v>
      </c>
      <c r="H2421" s="166" t="s">
        <v>13436</v>
      </c>
      <c r="I2421" s="193" t="s">
        <v>12814</v>
      </c>
      <c r="J2421" s="193" t="s">
        <v>146</v>
      </c>
      <c r="K2421" s="170"/>
      <c r="L2421" s="193" t="s">
        <v>13356</v>
      </c>
    </row>
    <row r="2422" spans="1:12" ht="15.75">
      <c r="A2422" s="67">
        <f t="shared" si="37"/>
        <v>2420</v>
      </c>
      <c r="B2422" s="164">
        <v>2420</v>
      </c>
      <c r="C2422" s="193" t="s">
        <v>3715</v>
      </c>
      <c r="D2422" s="195" t="s">
        <v>6983</v>
      </c>
      <c r="E2422" s="193" t="s">
        <v>9442</v>
      </c>
      <c r="F2422" s="193" t="s">
        <v>114</v>
      </c>
      <c r="G2422" s="195" t="s">
        <v>11569</v>
      </c>
      <c r="H2422" s="166" t="s">
        <v>13436</v>
      </c>
      <c r="I2422" s="193" t="s">
        <v>12813</v>
      </c>
      <c r="J2422" s="193" t="s">
        <v>146</v>
      </c>
      <c r="K2422" s="170"/>
      <c r="L2422" s="193" t="s">
        <v>146</v>
      </c>
    </row>
    <row r="2423" spans="1:12" ht="15.75">
      <c r="A2423" s="67">
        <f t="shared" si="37"/>
        <v>2421</v>
      </c>
      <c r="B2423" s="164">
        <v>2421</v>
      </c>
      <c r="C2423" s="193" t="s">
        <v>3716</v>
      </c>
      <c r="D2423" s="195" t="s">
        <v>6984</v>
      </c>
      <c r="E2423" s="193" t="s">
        <v>9443</v>
      </c>
      <c r="F2423" s="193" t="s">
        <v>114</v>
      </c>
      <c r="G2423" s="195" t="s">
        <v>11570</v>
      </c>
      <c r="H2423" s="166" t="s">
        <v>13436</v>
      </c>
      <c r="I2423" s="193" t="s">
        <v>12813</v>
      </c>
      <c r="J2423" s="193" t="s">
        <v>146</v>
      </c>
      <c r="K2423" s="170"/>
      <c r="L2423" s="193" t="s">
        <v>146</v>
      </c>
    </row>
    <row r="2424" spans="1:12" ht="30">
      <c r="A2424" s="67">
        <f t="shared" si="37"/>
        <v>2422</v>
      </c>
      <c r="B2424" s="164">
        <v>2422</v>
      </c>
      <c r="C2424" s="193" t="s">
        <v>3717</v>
      </c>
      <c r="D2424" s="195" t="s">
        <v>6985</v>
      </c>
      <c r="E2424" s="193" t="s">
        <v>9444</v>
      </c>
      <c r="F2424" s="193" t="s">
        <v>114</v>
      </c>
      <c r="G2424" s="195" t="s">
        <v>11571</v>
      </c>
      <c r="H2424" s="166" t="s">
        <v>13436</v>
      </c>
      <c r="I2424" s="193" t="s">
        <v>12813</v>
      </c>
      <c r="J2424" s="193" t="s">
        <v>12672</v>
      </c>
      <c r="K2424" s="170"/>
      <c r="L2424" s="193" t="s">
        <v>146</v>
      </c>
    </row>
    <row r="2425" spans="1:12" ht="30">
      <c r="A2425" s="67">
        <f t="shared" si="37"/>
        <v>2423</v>
      </c>
      <c r="B2425" s="164">
        <v>2423</v>
      </c>
      <c r="C2425" s="193" t="s">
        <v>3718</v>
      </c>
      <c r="D2425" s="208" t="s">
        <v>6986</v>
      </c>
      <c r="E2425" s="193" t="s">
        <v>9445</v>
      </c>
      <c r="F2425" s="193" t="s">
        <v>114</v>
      </c>
      <c r="G2425" s="195" t="s">
        <v>1070</v>
      </c>
      <c r="H2425" s="166" t="s">
        <v>13436</v>
      </c>
      <c r="I2425" s="193" t="s">
        <v>12816</v>
      </c>
      <c r="J2425" s="193" t="s">
        <v>146</v>
      </c>
      <c r="K2425" s="170"/>
      <c r="L2425" s="193" t="s">
        <v>13357</v>
      </c>
    </row>
    <row r="2426" spans="1:12" ht="15.75">
      <c r="A2426" s="67">
        <f t="shared" si="37"/>
        <v>2424</v>
      </c>
      <c r="B2426" s="164">
        <v>2424</v>
      </c>
      <c r="C2426" s="193" t="s">
        <v>3719</v>
      </c>
      <c r="D2426" s="197" t="s">
        <v>6987</v>
      </c>
      <c r="E2426" s="193" t="s">
        <v>9446</v>
      </c>
      <c r="F2426" s="193" t="s">
        <v>114</v>
      </c>
      <c r="G2426" s="195" t="s">
        <v>981</v>
      </c>
      <c r="H2426" s="166" t="s">
        <v>13436</v>
      </c>
      <c r="I2426" s="193" t="s">
        <v>12816</v>
      </c>
      <c r="J2426" s="193" t="s">
        <v>146</v>
      </c>
      <c r="K2426" s="170"/>
      <c r="L2426" s="193" t="s">
        <v>146</v>
      </c>
    </row>
    <row r="2427" spans="1:12" ht="15.75">
      <c r="A2427" s="67">
        <f t="shared" si="37"/>
        <v>2425</v>
      </c>
      <c r="B2427" s="164">
        <v>2425</v>
      </c>
      <c r="C2427" s="193" t="s">
        <v>3720</v>
      </c>
      <c r="D2427" s="195" t="s">
        <v>6988</v>
      </c>
      <c r="E2427" s="193" t="s">
        <v>9447</v>
      </c>
      <c r="F2427" s="193" t="s">
        <v>114</v>
      </c>
      <c r="G2427" s="195" t="s">
        <v>1075</v>
      </c>
      <c r="H2427" s="166" t="s">
        <v>13436</v>
      </c>
      <c r="I2427" s="193" t="s">
        <v>12818</v>
      </c>
      <c r="J2427" s="193" t="s">
        <v>146</v>
      </c>
      <c r="K2427" s="170"/>
      <c r="L2427" s="193" t="s">
        <v>146</v>
      </c>
    </row>
    <row r="2428" spans="1:12" ht="15.75">
      <c r="A2428" s="67">
        <f t="shared" si="37"/>
        <v>2426</v>
      </c>
      <c r="B2428" s="164">
        <v>2426</v>
      </c>
      <c r="C2428" s="193" t="s">
        <v>3721</v>
      </c>
      <c r="D2428" s="195" t="s">
        <v>6989</v>
      </c>
      <c r="E2428" s="193" t="s">
        <v>9448</v>
      </c>
      <c r="F2428" s="193" t="s">
        <v>59</v>
      </c>
      <c r="G2428" s="195" t="s">
        <v>10764</v>
      </c>
      <c r="H2428" s="166" t="s">
        <v>13436</v>
      </c>
      <c r="I2428" s="193" t="s">
        <v>12825</v>
      </c>
      <c r="J2428" s="219" t="s">
        <v>146</v>
      </c>
      <c r="K2428" s="170"/>
      <c r="L2428" s="193"/>
    </row>
    <row r="2429" spans="1:12" ht="15.75">
      <c r="A2429" s="67">
        <f t="shared" si="37"/>
        <v>2427</v>
      </c>
      <c r="B2429" s="164">
        <v>2427</v>
      </c>
      <c r="C2429" s="193" t="s">
        <v>3722</v>
      </c>
      <c r="D2429" s="195" t="s">
        <v>6990</v>
      </c>
      <c r="E2429" s="193" t="s">
        <v>8721</v>
      </c>
      <c r="F2429" s="193" t="s">
        <v>114</v>
      </c>
      <c r="G2429" s="195" t="s">
        <v>1143</v>
      </c>
      <c r="H2429" s="166" t="s">
        <v>13436</v>
      </c>
      <c r="I2429" s="193" t="s">
        <v>12825</v>
      </c>
      <c r="J2429" s="193" t="s">
        <v>146</v>
      </c>
      <c r="K2429" s="170"/>
      <c r="L2429" s="193" t="s">
        <v>146</v>
      </c>
    </row>
    <row r="2430" spans="1:12" ht="15.75">
      <c r="A2430" s="67">
        <f t="shared" si="37"/>
        <v>2428</v>
      </c>
      <c r="B2430" s="164">
        <v>2428</v>
      </c>
      <c r="C2430" s="193" t="s">
        <v>3723</v>
      </c>
      <c r="D2430" s="195" t="s">
        <v>6991</v>
      </c>
      <c r="E2430" s="193" t="s">
        <v>8002</v>
      </c>
      <c r="F2430" s="193" t="s">
        <v>114</v>
      </c>
      <c r="G2430" s="195" t="s">
        <v>11572</v>
      </c>
      <c r="H2430" s="166" t="s">
        <v>13436</v>
      </c>
      <c r="I2430" s="193" t="s">
        <v>12818</v>
      </c>
      <c r="J2430" s="193" t="s">
        <v>147</v>
      </c>
      <c r="K2430" s="170"/>
      <c r="L2430" s="193" t="s">
        <v>146</v>
      </c>
    </row>
    <row r="2431" spans="1:12" ht="30">
      <c r="A2431" s="67">
        <f t="shared" si="37"/>
        <v>2429</v>
      </c>
      <c r="B2431" s="164">
        <v>2429</v>
      </c>
      <c r="C2431" s="193" t="s">
        <v>3724</v>
      </c>
      <c r="D2431" s="195" t="s">
        <v>6992</v>
      </c>
      <c r="E2431" s="193" t="s">
        <v>154</v>
      </c>
      <c r="F2431" s="193" t="s">
        <v>114</v>
      </c>
      <c r="G2431" s="195" t="s">
        <v>10465</v>
      </c>
      <c r="H2431" s="166" t="s">
        <v>13436</v>
      </c>
      <c r="I2431" s="193" t="s">
        <v>12819</v>
      </c>
      <c r="J2431" s="193" t="s">
        <v>146</v>
      </c>
      <c r="K2431" s="170"/>
      <c r="L2431" s="193" t="s">
        <v>13358</v>
      </c>
    </row>
    <row r="2432" spans="1:12" ht="15.75">
      <c r="A2432" s="67">
        <f t="shared" si="37"/>
        <v>2430</v>
      </c>
      <c r="B2432" s="164">
        <v>2430</v>
      </c>
      <c r="C2432" s="193" t="s">
        <v>3725</v>
      </c>
      <c r="D2432" s="195" t="s">
        <v>6993</v>
      </c>
      <c r="E2432" s="193" t="s">
        <v>170</v>
      </c>
      <c r="F2432" s="193" t="s">
        <v>114</v>
      </c>
      <c r="G2432" s="195" t="s">
        <v>1224</v>
      </c>
      <c r="H2432" s="166" t="s">
        <v>13436</v>
      </c>
      <c r="I2432" s="193" t="s">
        <v>12819</v>
      </c>
      <c r="J2432" s="193" t="s">
        <v>146</v>
      </c>
      <c r="K2432" s="170"/>
      <c r="L2432" s="193" t="s">
        <v>146</v>
      </c>
    </row>
    <row r="2433" spans="1:12" ht="15.75">
      <c r="A2433" s="67">
        <f t="shared" si="37"/>
        <v>2431</v>
      </c>
      <c r="B2433" s="164">
        <v>2431</v>
      </c>
      <c r="C2433" s="193" t="s">
        <v>3726</v>
      </c>
      <c r="D2433" s="195" t="s">
        <v>6994</v>
      </c>
      <c r="E2433" s="193" t="s">
        <v>322</v>
      </c>
      <c r="F2433" s="193" t="s">
        <v>114</v>
      </c>
      <c r="G2433" s="195" t="s">
        <v>11573</v>
      </c>
      <c r="H2433" s="166" t="s">
        <v>13436</v>
      </c>
      <c r="I2433" s="193" t="s">
        <v>12835</v>
      </c>
      <c r="J2433" s="219" t="s">
        <v>146</v>
      </c>
      <c r="K2433" s="170"/>
      <c r="L2433" s="193" t="s">
        <v>146</v>
      </c>
    </row>
    <row r="2434" spans="1:12" ht="15.75">
      <c r="A2434" s="67">
        <f t="shared" si="37"/>
        <v>2432</v>
      </c>
      <c r="B2434" s="164">
        <v>2432</v>
      </c>
      <c r="C2434" s="193" t="s">
        <v>3727</v>
      </c>
      <c r="D2434" s="195" t="s">
        <v>6995</v>
      </c>
      <c r="E2434" s="193" t="s">
        <v>9449</v>
      </c>
      <c r="F2434" s="193" t="s">
        <v>114</v>
      </c>
      <c r="G2434" s="195" t="s">
        <v>11574</v>
      </c>
      <c r="H2434" s="166" t="s">
        <v>13436</v>
      </c>
      <c r="I2434" s="193" t="s">
        <v>12827</v>
      </c>
      <c r="J2434" s="193" t="s">
        <v>146</v>
      </c>
      <c r="K2434" s="170"/>
      <c r="L2434" s="193" t="s">
        <v>146</v>
      </c>
    </row>
    <row r="2435" spans="1:12" ht="15.75">
      <c r="A2435" s="67">
        <f t="shared" ref="A2435:A2498" si="38">IFERROR(VALUE(RIGHT(C2435,4)),"")</f>
        <v>2433</v>
      </c>
      <c r="B2435" s="164">
        <v>2433</v>
      </c>
      <c r="C2435" s="193" t="s">
        <v>3728</v>
      </c>
      <c r="D2435" s="195" t="s">
        <v>6996</v>
      </c>
      <c r="E2435" s="193" t="s">
        <v>180</v>
      </c>
      <c r="F2435" s="193" t="s">
        <v>114</v>
      </c>
      <c r="G2435" s="195" t="s">
        <v>11575</v>
      </c>
      <c r="H2435" s="166" t="s">
        <v>13436</v>
      </c>
      <c r="I2435" s="193" t="s">
        <v>12835</v>
      </c>
      <c r="J2435" s="219" t="s">
        <v>146</v>
      </c>
      <c r="K2435" s="170"/>
      <c r="L2435" s="193" t="s">
        <v>146</v>
      </c>
    </row>
    <row r="2436" spans="1:12" ht="15.75">
      <c r="A2436" s="67">
        <f t="shared" si="38"/>
        <v>2434</v>
      </c>
      <c r="B2436" s="164">
        <v>2434</v>
      </c>
      <c r="C2436" s="193" t="s">
        <v>3729</v>
      </c>
      <c r="D2436" s="195" t="s">
        <v>6997</v>
      </c>
      <c r="E2436" s="193" t="s">
        <v>314</v>
      </c>
      <c r="F2436" s="193" t="s">
        <v>114</v>
      </c>
      <c r="G2436" s="195" t="s">
        <v>987</v>
      </c>
      <c r="H2436" s="166" t="s">
        <v>13436</v>
      </c>
      <c r="I2436" s="193" t="s">
        <v>12812</v>
      </c>
      <c r="J2436" s="193" t="s">
        <v>1252</v>
      </c>
      <c r="K2436" s="170"/>
      <c r="L2436" s="193" t="s">
        <v>146</v>
      </c>
    </row>
    <row r="2437" spans="1:12" ht="15.75">
      <c r="A2437" s="67">
        <f t="shared" si="38"/>
        <v>2435</v>
      </c>
      <c r="B2437" s="164">
        <v>2435</v>
      </c>
      <c r="C2437" s="193" t="s">
        <v>3730</v>
      </c>
      <c r="D2437" s="208" t="s">
        <v>6998</v>
      </c>
      <c r="E2437" s="193" t="s">
        <v>9450</v>
      </c>
      <c r="F2437" s="193" t="s">
        <v>59</v>
      </c>
      <c r="G2437" s="195" t="s">
        <v>11576</v>
      </c>
      <c r="H2437" s="166" t="s">
        <v>13436</v>
      </c>
      <c r="I2437" s="193" t="s">
        <v>12816</v>
      </c>
      <c r="J2437" s="193" t="s">
        <v>146</v>
      </c>
      <c r="K2437" s="170"/>
      <c r="L2437" s="193"/>
    </row>
    <row r="2438" spans="1:12" ht="30">
      <c r="A2438" s="67">
        <f t="shared" si="38"/>
        <v>2436</v>
      </c>
      <c r="B2438" s="164">
        <v>2436</v>
      </c>
      <c r="C2438" s="193" t="s">
        <v>3731</v>
      </c>
      <c r="D2438" s="195" t="s">
        <v>6999</v>
      </c>
      <c r="E2438" s="193" t="s">
        <v>9451</v>
      </c>
      <c r="F2438" s="193" t="s">
        <v>114</v>
      </c>
      <c r="G2438" s="195" t="s">
        <v>11577</v>
      </c>
      <c r="H2438" s="166" t="s">
        <v>13436</v>
      </c>
      <c r="I2438" s="193" t="s">
        <v>12819</v>
      </c>
      <c r="J2438" s="193" t="s">
        <v>12673</v>
      </c>
      <c r="K2438" s="170"/>
      <c r="L2438" s="193" t="s">
        <v>146</v>
      </c>
    </row>
    <row r="2439" spans="1:12" ht="15.75">
      <c r="A2439" s="67">
        <f t="shared" si="38"/>
        <v>2437</v>
      </c>
      <c r="B2439" s="164">
        <v>2437</v>
      </c>
      <c r="C2439" s="193" t="s">
        <v>3732</v>
      </c>
      <c r="D2439" s="195" t="s">
        <v>7000</v>
      </c>
      <c r="E2439" s="193" t="s">
        <v>9452</v>
      </c>
      <c r="F2439" s="193" t="s">
        <v>114</v>
      </c>
      <c r="G2439" s="195" t="s">
        <v>11578</v>
      </c>
      <c r="H2439" s="166" t="s">
        <v>13436</v>
      </c>
      <c r="I2439" s="193" t="s">
        <v>12825</v>
      </c>
      <c r="J2439" s="193" t="s">
        <v>146</v>
      </c>
      <c r="K2439" s="170"/>
      <c r="L2439" s="193" t="s">
        <v>146</v>
      </c>
    </row>
    <row r="2440" spans="1:12" ht="15.75">
      <c r="A2440" s="67">
        <f t="shared" si="38"/>
        <v>2438</v>
      </c>
      <c r="B2440" s="164">
        <v>2438</v>
      </c>
      <c r="C2440" s="193" t="s">
        <v>3733</v>
      </c>
      <c r="D2440" s="195" t="s">
        <v>7001</v>
      </c>
      <c r="E2440" s="193" t="s">
        <v>9453</v>
      </c>
      <c r="F2440" s="193" t="s">
        <v>114</v>
      </c>
      <c r="G2440" s="195" t="s">
        <v>11579</v>
      </c>
      <c r="H2440" s="166" t="s">
        <v>13436</v>
      </c>
      <c r="I2440" s="193" t="s">
        <v>12813</v>
      </c>
      <c r="J2440" s="193" t="s">
        <v>1270</v>
      </c>
      <c r="K2440" s="170"/>
      <c r="L2440" s="193" t="s">
        <v>146</v>
      </c>
    </row>
    <row r="2441" spans="1:12" ht="15.75">
      <c r="A2441" s="67">
        <f t="shared" si="38"/>
        <v>2439</v>
      </c>
      <c r="B2441" s="164">
        <v>2439</v>
      </c>
      <c r="C2441" s="193" t="s">
        <v>3734</v>
      </c>
      <c r="D2441" s="195" t="s">
        <v>7002</v>
      </c>
      <c r="E2441" s="193" t="s">
        <v>8519</v>
      </c>
      <c r="F2441" s="193" t="s">
        <v>114</v>
      </c>
      <c r="G2441" s="195" t="s">
        <v>10244</v>
      </c>
      <c r="H2441" s="166" t="s">
        <v>13436</v>
      </c>
      <c r="I2441" s="193" t="s">
        <v>12835</v>
      </c>
      <c r="J2441" s="193" t="s">
        <v>146</v>
      </c>
      <c r="K2441" s="170"/>
      <c r="L2441" s="193" t="s">
        <v>146</v>
      </c>
    </row>
    <row r="2442" spans="1:12" ht="15.75">
      <c r="A2442" s="67">
        <f t="shared" si="38"/>
        <v>2440</v>
      </c>
      <c r="B2442" s="164">
        <v>2440</v>
      </c>
      <c r="C2442" s="193" t="s">
        <v>3735</v>
      </c>
      <c r="D2442" s="195" t="s">
        <v>7003</v>
      </c>
      <c r="E2442" s="193" t="s">
        <v>405</v>
      </c>
      <c r="F2442" s="193" t="s">
        <v>114</v>
      </c>
      <c r="G2442" s="195" t="s">
        <v>11580</v>
      </c>
      <c r="H2442" s="166" t="s">
        <v>13436</v>
      </c>
      <c r="I2442" s="193" t="s">
        <v>1250</v>
      </c>
      <c r="J2442" s="219" t="s">
        <v>146</v>
      </c>
      <c r="K2442" s="170"/>
      <c r="L2442" s="193" t="s">
        <v>146</v>
      </c>
    </row>
    <row r="2443" spans="1:12" ht="15.75">
      <c r="A2443" s="67">
        <f t="shared" si="38"/>
        <v>2441</v>
      </c>
      <c r="B2443" s="164">
        <v>2441</v>
      </c>
      <c r="C2443" s="193" t="s">
        <v>3736</v>
      </c>
      <c r="D2443" s="195" t="s">
        <v>7004</v>
      </c>
      <c r="E2443" s="193" t="s">
        <v>9454</v>
      </c>
      <c r="F2443" s="193" t="s">
        <v>114</v>
      </c>
      <c r="G2443" s="195" t="s">
        <v>282</v>
      </c>
      <c r="H2443" s="166" t="s">
        <v>13436</v>
      </c>
      <c r="I2443" s="193" t="s">
        <v>12836</v>
      </c>
      <c r="J2443" s="193" t="s">
        <v>146</v>
      </c>
      <c r="K2443" s="170"/>
      <c r="L2443" s="193" t="s">
        <v>146</v>
      </c>
    </row>
    <row r="2444" spans="1:12" ht="30">
      <c r="A2444" s="67">
        <f t="shared" si="38"/>
        <v>2442</v>
      </c>
      <c r="B2444" s="164">
        <v>2442</v>
      </c>
      <c r="C2444" s="193" t="s">
        <v>3737</v>
      </c>
      <c r="D2444" s="195" t="s">
        <v>7005</v>
      </c>
      <c r="E2444" s="193" t="s">
        <v>9455</v>
      </c>
      <c r="F2444" s="193" t="s">
        <v>114</v>
      </c>
      <c r="G2444" s="195" t="s">
        <v>11168</v>
      </c>
      <c r="H2444" s="166" t="s">
        <v>13436</v>
      </c>
      <c r="I2444" s="193" t="s">
        <v>12827</v>
      </c>
      <c r="J2444" s="193" t="s">
        <v>12674</v>
      </c>
      <c r="K2444" s="170"/>
      <c r="L2444" s="193" t="s">
        <v>146</v>
      </c>
    </row>
    <row r="2445" spans="1:12" ht="45">
      <c r="A2445" s="67">
        <f t="shared" si="38"/>
        <v>2443</v>
      </c>
      <c r="B2445" s="164">
        <v>2443</v>
      </c>
      <c r="C2445" s="193" t="s">
        <v>3738</v>
      </c>
      <c r="D2445" s="195" t="s">
        <v>7006</v>
      </c>
      <c r="E2445" s="193" t="s">
        <v>318</v>
      </c>
      <c r="F2445" s="193" t="s">
        <v>114</v>
      </c>
      <c r="G2445" s="195" t="s">
        <v>11581</v>
      </c>
      <c r="H2445" s="166" t="s">
        <v>13436</v>
      </c>
      <c r="I2445" s="193" t="s">
        <v>12836</v>
      </c>
      <c r="J2445" s="193" t="s">
        <v>12675</v>
      </c>
      <c r="K2445" s="170"/>
      <c r="L2445" s="193" t="s">
        <v>13359</v>
      </c>
    </row>
    <row r="2446" spans="1:12" ht="15.75">
      <c r="A2446" s="67">
        <f t="shared" si="38"/>
        <v>2444</v>
      </c>
      <c r="B2446" s="164">
        <v>2444</v>
      </c>
      <c r="C2446" s="193" t="s">
        <v>3739</v>
      </c>
      <c r="D2446" s="195" t="s">
        <v>7007</v>
      </c>
      <c r="E2446" s="193" t="s">
        <v>9456</v>
      </c>
      <c r="F2446" s="193" t="s">
        <v>59</v>
      </c>
      <c r="G2446" s="195" t="s">
        <v>1085</v>
      </c>
      <c r="H2446" s="166" t="s">
        <v>13436</v>
      </c>
      <c r="I2446" s="193" t="s">
        <v>12836</v>
      </c>
      <c r="J2446" s="193" t="s">
        <v>164</v>
      </c>
      <c r="K2446" s="170"/>
      <c r="L2446" s="193"/>
    </row>
    <row r="2447" spans="1:12" ht="15.75">
      <c r="A2447" s="67">
        <f t="shared" si="38"/>
        <v>2445</v>
      </c>
      <c r="B2447" s="164">
        <v>2445</v>
      </c>
      <c r="C2447" s="193" t="s">
        <v>3740</v>
      </c>
      <c r="D2447" s="195" t="s">
        <v>7008</v>
      </c>
      <c r="E2447" s="193" t="s">
        <v>9457</v>
      </c>
      <c r="F2447" s="193" t="s">
        <v>114</v>
      </c>
      <c r="G2447" s="195" t="s">
        <v>1179</v>
      </c>
      <c r="H2447" s="166" t="s">
        <v>13436</v>
      </c>
      <c r="I2447" s="193" t="s">
        <v>12819</v>
      </c>
      <c r="J2447" s="193" t="s">
        <v>146</v>
      </c>
      <c r="K2447" s="170"/>
      <c r="L2447" s="193" t="s">
        <v>146</v>
      </c>
    </row>
    <row r="2448" spans="1:12" ht="45">
      <c r="A2448" s="67">
        <f t="shared" si="38"/>
        <v>2446</v>
      </c>
      <c r="B2448" s="164">
        <v>2446</v>
      </c>
      <c r="C2448" s="193" t="s">
        <v>3741</v>
      </c>
      <c r="D2448" s="195" t="s">
        <v>7009</v>
      </c>
      <c r="E2448" s="193" t="s">
        <v>9458</v>
      </c>
      <c r="F2448" s="193" t="s">
        <v>114</v>
      </c>
      <c r="G2448" s="195" t="s">
        <v>700</v>
      </c>
      <c r="H2448" s="166" t="s">
        <v>13436</v>
      </c>
      <c r="I2448" s="193" t="s">
        <v>12838</v>
      </c>
      <c r="J2448" s="193" t="s">
        <v>12676</v>
      </c>
      <c r="K2448" s="170"/>
      <c r="L2448" s="193" t="s">
        <v>146</v>
      </c>
    </row>
    <row r="2449" spans="1:12" ht="15.75">
      <c r="A2449" s="67">
        <f t="shared" si="38"/>
        <v>2447</v>
      </c>
      <c r="B2449" s="164">
        <v>2447</v>
      </c>
      <c r="C2449" s="193" t="s">
        <v>3742</v>
      </c>
      <c r="D2449" s="195" t="s">
        <v>7010</v>
      </c>
      <c r="E2449" s="193" t="s">
        <v>570</v>
      </c>
      <c r="F2449" s="193" t="s">
        <v>59</v>
      </c>
      <c r="G2449" s="195" t="s">
        <v>11582</v>
      </c>
      <c r="H2449" s="166" t="s">
        <v>13436</v>
      </c>
      <c r="I2449" s="193" t="s">
        <v>12821</v>
      </c>
      <c r="J2449" s="193" t="s">
        <v>146</v>
      </c>
      <c r="K2449" s="170"/>
      <c r="L2449" s="193"/>
    </row>
    <row r="2450" spans="1:12" ht="15.75">
      <c r="A2450" s="67">
        <f t="shared" si="38"/>
        <v>2448</v>
      </c>
      <c r="B2450" s="164">
        <v>2448</v>
      </c>
      <c r="C2450" s="193" t="s">
        <v>3743</v>
      </c>
      <c r="D2450" s="195" t="s">
        <v>7011</v>
      </c>
      <c r="E2450" s="193" t="s">
        <v>9459</v>
      </c>
      <c r="F2450" s="193" t="s">
        <v>59</v>
      </c>
      <c r="G2450" s="195" t="s">
        <v>996</v>
      </c>
      <c r="H2450" s="166" t="s">
        <v>13436</v>
      </c>
      <c r="I2450" s="193" t="s">
        <v>12825</v>
      </c>
      <c r="J2450" s="193" t="s">
        <v>164</v>
      </c>
      <c r="K2450" s="170"/>
      <c r="L2450" s="193"/>
    </row>
    <row r="2451" spans="1:12" ht="15.75">
      <c r="A2451" s="67">
        <f t="shared" si="38"/>
        <v>2449</v>
      </c>
      <c r="B2451" s="164">
        <v>2449</v>
      </c>
      <c r="C2451" s="193" t="s">
        <v>3744</v>
      </c>
      <c r="D2451" s="195" t="s">
        <v>7012</v>
      </c>
      <c r="E2451" s="193" t="s">
        <v>621</v>
      </c>
      <c r="F2451" s="193" t="s">
        <v>114</v>
      </c>
      <c r="G2451" s="195" t="s">
        <v>10459</v>
      </c>
      <c r="H2451" s="166" t="s">
        <v>13436</v>
      </c>
      <c r="I2451" s="193" t="s">
        <v>12819</v>
      </c>
      <c r="J2451" s="193" t="s">
        <v>146</v>
      </c>
      <c r="K2451" s="170"/>
      <c r="L2451" s="193" t="s">
        <v>146</v>
      </c>
    </row>
    <row r="2452" spans="1:12" ht="15.75">
      <c r="A2452" s="67">
        <f t="shared" si="38"/>
        <v>2450</v>
      </c>
      <c r="B2452" s="164">
        <v>2450</v>
      </c>
      <c r="C2452" s="193" t="s">
        <v>3745</v>
      </c>
      <c r="D2452" s="195" t="s">
        <v>7013</v>
      </c>
      <c r="E2452" s="193" t="s">
        <v>9460</v>
      </c>
      <c r="F2452" s="193" t="s">
        <v>59</v>
      </c>
      <c r="G2452" s="195" t="s">
        <v>11583</v>
      </c>
      <c r="H2452" s="166" t="s">
        <v>13436</v>
      </c>
      <c r="I2452" s="193" t="s">
        <v>12819</v>
      </c>
      <c r="J2452" s="219" t="s">
        <v>146</v>
      </c>
      <c r="K2452" s="170"/>
      <c r="L2452" s="193"/>
    </row>
    <row r="2453" spans="1:12" ht="15.75">
      <c r="A2453" s="67">
        <f t="shared" si="38"/>
        <v>2451</v>
      </c>
      <c r="B2453" s="164">
        <v>2451</v>
      </c>
      <c r="C2453" s="193" t="s">
        <v>3746</v>
      </c>
      <c r="D2453" s="195" t="s">
        <v>7014</v>
      </c>
      <c r="E2453" s="193" t="s">
        <v>9461</v>
      </c>
      <c r="F2453" s="193" t="s">
        <v>114</v>
      </c>
      <c r="G2453" s="195" t="s">
        <v>924</v>
      </c>
      <c r="H2453" s="166" t="s">
        <v>13436</v>
      </c>
      <c r="I2453" s="193" t="s">
        <v>12819</v>
      </c>
      <c r="J2453" s="193" t="s">
        <v>146</v>
      </c>
      <c r="K2453" s="170"/>
      <c r="L2453" s="193" t="s">
        <v>146</v>
      </c>
    </row>
    <row r="2454" spans="1:12" ht="15.75">
      <c r="A2454" s="67">
        <f t="shared" si="38"/>
        <v>2452</v>
      </c>
      <c r="B2454" s="164">
        <v>2452</v>
      </c>
      <c r="C2454" s="193" t="s">
        <v>3747</v>
      </c>
      <c r="D2454" s="195" t="s">
        <v>7015</v>
      </c>
      <c r="E2454" s="193" t="s">
        <v>165</v>
      </c>
      <c r="F2454" s="193" t="s">
        <v>114</v>
      </c>
      <c r="G2454" s="195" t="s">
        <v>983</v>
      </c>
      <c r="H2454" s="166" t="s">
        <v>13436</v>
      </c>
      <c r="I2454" s="193" t="s">
        <v>12836</v>
      </c>
      <c r="J2454" s="193" t="s">
        <v>146</v>
      </c>
      <c r="K2454" s="170"/>
      <c r="L2454" s="193" t="s">
        <v>146</v>
      </c>
    </row>
    <row r="2455" spans="1:12" ht="15.75">
      <c r="A2455" s="67">
        <f t="shared" si="38"/>
        <v>2453</v>
      </c>
      <c r="B2455" s="164">
        <v>2453</v>
      </c>
      <c r="C2455" s="193" t="s">
        <v>3748</v>
      </c>
      <c r="D2455" s="195" t="s">
        <v>7016</v>
      </c>
      <c r="E2455" s="193" t="s">
        <v>9462</v>
      </c>
      <c r="F2455" s="193" t="s">
        <v>59</v>
      </c>
      <c r="G2455" s="195" t="s">
        <v>11584</v>
      </c>
      <c r="H2455" s="166" t="s">
        <v>13436</v>
      </c>
      <c r="I2455" s="193" t="s">
        <v>12812</v>
      </c>
      <c r="J2455" s="219" t="s">
        <v>286</v>
      </c>
      <c r="K2455" s="170"/>
      <c r="L2455" s="193"/>
    </row>
    <row r="2456" spans="1:12" ht="30">
      <c r="A2456" s="67">
        <f t="shared" si="38"/>
        <v>2454</v>
      </c>
      <c r="B2456" s="164">
        <v>2454</v>
      </c>
      <c r="C2456" s="193" t="s">
        <v>3749</v>
      </c>
      <c r="D2456" s="195" t="s">
        <v>7017</v>
      </c>
      <c r="E2456" s="193" t="s">
        <v>9463</v>
      </c>
      <c r="F2456" s="193" t="s">
        <v>114</v>
      </c>
      <c r="G2456" s="195" t="s">
        <v>11585</v>
      </c>
      <c r="H2456" s="166" t="s">
        <v>13436</v>
      </c>
      <c r="I2456" s="193" t="s">
        <v>12819</v>
      </c>
      <c r="J2456" s="193" t="s">
        <v>12677</v>
      </c>
      <c r="K2456" s="170"/>
      <c r="L2456" s="193" t="s">
        <v>146</v>
      </c>
    </row>
    <row r="2457" spans="1:12" ht="15.75">
      <c r="A2457" s="67">
        <f t="shared" si="38"/>
        <v>2455</v>
      </c>
      <c r="B2457" s="164">
        <v>2455</v>
      </c>
      <c r="C2457" s="193" t="s">
        <v>3750</v>
      </c>
      <c r="D2457" s="195" t="s">
        <v>7018</v>
      </c>
      <c r="E2457" s="193" t="s">
        <v>655</v>
      </c>
      <c r="F2457" s="193" t="s">
        <v>59</v>
      </c>
      <c r="G2457" s="195" t="s">
        <v>11586</v>
      </c>
      <c r="H2457" s="166" t="s">
        <v>13436</v>
      </c>
      <c r="I2457" s="193" t="s">
        <v>12817</v>
      </c>
      <c r="J2457" s="193" t="s">
        <v>146</v>
      </c>
      <c r="K2457" s="170"/>
      <c r="L2457" s="193"/>
    </row>
    <row r="2458" spans="1:12" ht="15.75">
      <c r="A2458" s="67">
        <f t="shared" si="38"/>
        <v>2456</v>
      </c>
      <c r="B2458" s="164">
        <v>2456</v>
      </c>
      <c r="C2458" s="193" t="s">
        <v>3751</v>
      </c>
      <c r="D2458" s="195" t="s">
        <v>7019</v>
      </c>
      <c r="E2458" s="193" t="s">
        <v>9464</v>
      </c>
      <c r="F2458" s="193" t="s">
        <v>59</v>
      </c>
      <c r="G2458" s="195" t="s">
        <v>1068</v>
      </c>
      <c r="H2458" s="166" t="s">
        <v>13436</v>
      </c>
      <c r="I2458" s="193" t="s">
        <v>12817</v>
      </c>
      <c r="J2458" s="193" t="s">
        <v>146</v>
      </c>
      <c r="K2458" s="170"/>
      <c r="L2458" s="193"/>
    </row>
    <row r="2459" spans="1:12" ht="75">
      <c r="A2459" s="67">
        <f t="shared" si="38"/>
        <v>2457</v>
      </c>
      <c r="B2459" s="164">
        <v>2457</v>
      </c>
      <c r="C2459" s="193" t="s">
        <v>3752</v>
      </c>
      <c r="D2459" s="195" t="s">
        <v>7020</v>
      </c>
      <c r="E2459" s="193" t="s">
        <v>9465</v>
      </c>
      <c r="F2459" s="193" t="s">
        <v>114</v>
      </c>
      <c r="G2459" s="195" t="s">
        <v>11587</v>
      </c>
      <c r="H2459" s="166" t="s">
        <v>13436</v>
      </c>
      <c r="I2459" s="193" t="s">
        <v>12814</v>
      </c>
      <c r="J2459" s="193" t="s">
        <v>12678</v>
      </c>
      <c r="K2459" s="170"/>
      <c r="L2459" s="193" t="s">
        <v>13360</v>
      </c>
    </row>
    <row r="2460" spans="1:12" ht="15.75">
      <c r="A2460" s="67">
        <f t="shared" si="38"/>
        <v>2458</v>
      </c>
      <c r="B2460" s="164">
        <v>2458</v>
      </c>
      <c r="C2460" s="193" t="s">
        <v>3753</v>
      </c>
      <c r="D2460" s="195" t="s">
        <v>7021</v>
      </c>
      <c r="E2460" s="193" t="s">
        <v>8042</v>
      </c>
      <c r="F2460" s="193" t="s">
        <v>114</v>
      </c>
      <c r="G2460" s="195" t="s">
        <v>10269</v>
      </c>
      <c r="H2460" s="166" t="s">
        <v>13436</v>
      </c>
      <c r="I2460" s="193" t="s">
        <v>12818</v>
      </c>
      <c r="J2460" s="193" t="s">
        <v>146</v>
      </c>
      <c r="K2460" s="170"/>
      <c r="L2460" s="193" t="s">
        <v>146</v>
      </c>
    </row>
    <row r="2461" spans="1:12" ht="15.75">
      <c r="A2461" s="67">
        <f t="shared" si="38"/>
        <v>2459</v>
      </c>
      <c r="B2461" s="164">
        <v>2459</v>
      </c>
      <c r="C2461" s="193" t="s">
        <v>3754</v>
      </c>
      <c r="D2461" s="195" t="s">
        <v>7022</v>
      </c>
      <c r="E2461" s="193" t="s">
        <v>9466</v>
      </c>
      <c r="F2461" s="193" t="s">
        <v>59</v>
      </c>
      <c r="G2461" s="195" t="s">
        <v>11588</v>
      </c>
      <c r="H2461" s="166" t="s">
        <v>13436</v>
      </c>
      <c r="I2461" s="193" t="s">
        <v>12819</v>
      </c>
      <c r="J2461" s="193" t="s">
        <v>147</v>
      </c>
      <c r="K2461" s="170"/>
      <c r="L2461" s="193"/>
    </row>
    <row r="2462" spans="1:12" ht="15.75">
      <c r="A2462" s="67">
        <f t="shared" si="38"/>
        <v>2460</v>
      </c>
      <c r="B2462" s="164">
        <v>2460</v>
      </c>
      <c r="C2462" s="193" t="s">
        <v>3755</v>
      </c>
      <c r="D2462" s="197" t="s">
        <v>7023</v>
      </c>
      <c r="E2462" s="193" t="s">
        <v>9467</v>
      </c>
      <c r="F2462" s="193" t="s">
        <v>114</v>
      </c>
      <c r="G2462" s="195" t="s">
        <v>11589</v>
      </c>
      <c r="H2462" s="166" t="s">
        <v>13436</v>
      </c>
      <c r="I2462" s="193" t="s">
        <v>12816</v>
      </c>
      <c r="J2462" s="193" t="s">
        <v>146</v>
      </c>
      <c r="K2462" s="170"/>
      <c r="L2462" s="193" t="s">
        <v>146</v>
      </c>
    </row>
    <row r="2463" spans="1:12" ht="30">
      <c r="A2463" s="67">
        <f t="shared" si="38"/>
        <v>2461</v>
      </c>
      <c r="B2463" s="164">
        <v>2461</v>
      </c>
      <c r="C2463" s="193" t="s">
        <v>3756</v>
      </c>
      <c r="D2463" s="197" t="s">
        <v>7024</v>
      </c>
      <c r="E2463" s="193" t="s">
        <v>307</v>
      </c>
      <c r="F2463" s="193" t="s">
        <v>114</v>
      </c>
      <c r="G2463" s="195" t="s">
        <v>813</v>
      </c>
      <c r="H2463" s="166" t="s">
        <v>13436</v>
      </c>
      <c r="I2463" s="193" t="s">
        <v>12816</v>
      </c>
      <c r="J2463" s="193" t="s">
        <v>12679</v>
      </c>
      <c r="K2463" s="170"/>
      <c r="L2463" s="193" t="s">
        <v>146</v>
      </c>
    </row>
    <row r="2464" spans="1:12" ht="15.75">
      <c r="A2464" s="67">
        <f t="shared" si="38"/>
        <v>2462</v>
      </c>
      <c r="B2464" s="164">
        <v>2462</v>
      </c>
      <c r="C2464" s="193" t="s">
        <v>3757</v>
      </c>
      <c r="D2464" s="205" t="s">
        <v>7025</v>
      </c>
      <c r="E2464" s="193" t="s">
        <v>8194</v>
      </c>
      <c r="F2464" s="193" t="s">
        <v>114</v>
      </c>
      <c r="G2464" s="195" t="s">
        <v>10872</v>
      </c>
      <c r="H2464" s="166" t="s">
        <v>13436</v>
      </c>
      <c r="I2464" s="193" t="s">
        <v>12816</v>
      </c>
      <c r="J2464" s="193" t="s">
        <v>146</v>
      </c>
      <c r="K2464" s="170"/>
      <c r="L2464" s="193" t="s">
        <v>146</v>
      </c>
    </row>
    <row r="2465" spans="1:12" ht="15.75">
      <c r="A2465" s="67">
        <f t="shared" si="38"/>
        <v>2463</v>
      </c>
      <c r="B2465" s="164">
        <v>2463</v>
      </c>
      <c r="C2465" s="193" t="s">
        <v>3758</v>
      </c>
      <c r="D2465" s="195" t="s">
        <v>7026</v>
      </c>
      <c r="E2465" s="193" t="s">
        <v>409</v>
      </c>
      <c r="F2465" s="193" t="s">
        <v>114</v>
      </c>
      <c r="G2465" s="195" t="s">
        <v>276</v>
      </c>
      <c r="H2465" s="166" t="s">
        <v>13436</v>
      </c>
      <c r="I2465" s="193" t="s">
        <v>12814</v>
      </c>
      <c r="J2465" s="219" t="s">
        <v>146</v>
      </c>
      <c r="K2465" s="170"/>
      <c r="L2465" s="219" t="s">
        <v>146</v>
      </c>
    </row>
    <row r="2466" spans="1:12" ht="15.75">
      <c r="A2466" s="67">
        <f t="shared" si="38"/>
        <v>2464</v>
      </c>
      <c r="B2466" s="164">
        <v>2464</v>
      </c>
      <c r="C2466" s="193" t="s">
        <v>3759</v>
      </c>
      <c r="D2466" s="195" t="s">
        <v>7027</v>
      </c>
      <c r="E2466" s="193" t="s">
        <v>8355</v>
      </c>
      <c r="F2466" s="193" t="s">
        <v>114</v>
      </c>
      <c r="G2466" s="195" t="s">
        <v>11003</v>
      </c>
      <c r="H2466" s="166" t="s">
        <v>13436</v>
      </c>
      <c r="I2466" s="193" t="s">
        <v>12818</v>
      </c>
      <c r="J2466" s="193" t="s">
        <v>146</v>
      </c>
      <c r="K2466" s="170"/>
      <c r="L2466" s="193" t="s">
        <v>146</v>
      </c>
    </row>
    <row r="2467" spans="1:12" ht="30">
      <c r="A2467" s="67">
        <f t="shared" si="38"/>
        <v>2465</v>
      </c>
      <c r="B2467" s="164">
        <v>2465</v>
      </c>
      <c r="C2467" s="193" t="s">
        <v>3760</v>
      </c>
      <c r="D2467" s="197" t="s">
        <v>7028</v>
      </c>
      <c r="E2467" s="193" t="s">
        <v>9468</v>
      </c>
      <c r="F2467" s="193" t="s">
        <v>114</v>
      </c>
      <c r="G2467" s="195" t="s">
        <v>11590</v>
      </c>
      <c r="H2467" s="166" t="s">
        <v>13436</v>
      </c>
      <c r="I2467" s="193" t="s">
        <v>12816</v>
      </c>
      <c r="J2467" s="193" t="s">
        <v>12680</v>
      </c>
      <c r="K2467" s="170"/>
      <c r="L2467" s="193" t="s">
        <v>13361</v>
      </c>
    </row>
    <row r="2468" spans="1:12" ht="30">
      <c r="A2468" s="67">
        <f t="shared" si="38"/>
        <v>2466</v>
      </c>
      <c r="B2468" s="164">
        <v>2466</v>
      </c>
      <c r="C2468" s="193" t="s">
        <v>3761</v>
      </c>
      <c r="D2468" s="195" t="s">
        <v>7029</v>
      </c>
      <c r="E2468" s="193" t="s">
        <v>8002</v>
      </c>
      <c r="F2468" s="193" t="s">
        <v>114</v>
      </c>
      <c r="G2468" s="195" t="s">
        <v>11591</v>
      </c>
      <c r="H2468" s="166" t="s">
        <v>13436</v>
      </c>
      <c r="I2468" s="193" t="s">
        <v>12814</v>
      </c>
      <c r="J2468" s="193" t="s">
        <v>146</v>
      </c>
      <c r="K2468" s="170"/>
      <c r="L2468" s="193" t="s">
        <v>12955</v>
      </c>
    </row>
    <row r="2469" spans="1:12" ht="15.75">
      <c r="A2469" s="67">
        <f t="shared" si="38"/>
        <v>2467</v>
      </c>
      <c r="B2469" s="164">
        <v>2467</v>
      </c>
      <c r="C2469" s="193" t="s">
        <v>3762</v>
      </c>
      <c r="D2469" s="195" t="s">
        <v>7030</v>
      </c>
      <c r="E2469" s="193" t="s">
        <v>9469</v>
      </c>
      <c r="F2469" s="193" t="s">
        <v>114</v>
      </c>
      <c r="G2469" s="195" t="s">
        <v>11592</v>
      </c>
      <c r="H2469" s="166" t="s">
        <v>13436</v>
      </c>
      <c r="I2469" s="193" t="s">
        <v>12814</v>
      </c>
      <c r="J2469" s="219" t="s">
        <v>146</v>
      </c>
      <c r="K2469" s="170"/>
      <c r="L2469" s="193" t="s">
        <v>146</v>
      </c>
    </row>
    <row r="2470" spans="1:12" ht="15.75">
      <c r="A2470" s="67">
        <f t="shared" si="38"/>
        <v>2468</v>
      </c>
      <c r="B2470" s="164">
        <v>2468</v>
      </c>
      <c r="C2470" s="193" t="s">
        <v>3763</v>
      </c>
      <c r="D2470" s="195" t="s">
        <v>7031</v>
      </c>
      <c r="E2470" s="193" t="s">
        <v>9470</v>
      </c>
      <c r="F2470" s="193" t="s">
        <v>59</v>
      </c>
      <c r="G2470" s="195" t="s">
        <v>11593</v>
      </c>
      <c r="H2470" s="166" t="s">
        <v>13436</v>
      </c>
      <c r="I2470" s="193" t="s">
        <v>12819</v>
      </c>
      <c r="J2470" s="193" t="s">
        <v>146</v>
      </c>
      <c r="K2470" s="170"/>
      <c r="L2470" s="193"/>
    </row>
    <row r="2471" spans="1:12" ht="15.75">
      <c r="A2471" s="67">
        <f t="shared" si="38"/>
        <v>2469</v>
      </c>
      <c r="B2471" s="164">
        <v>2469</v>
      </c>
      <c r="C2471" s="193" t="s">
        <v>3764</v>
      </c>
      <c r="D2471" s="195" t="s">
        <v>7032</v>
      </c>
      <c r="E2471" s="193" t="s">
        <v>459</v>
      </c>
      <c r="F2471" s="193" t="s">
        <v>114</v>
      </c>
      <c r="G2471" s="195" t="s">
        <v>1039</v>
      </c>
      <c r="H2471" s="166" t="s">
        <v>13436</v>
      </c>
      <c r="I2471" s="193" t="s">
        <v>12814</v>
      </c>
      <c r="J2471" s="193" t="s">
        <v>146</v>
      </c>
      <c r="K2471" s="170"/>
      <c r="L2471" s="193" t="s">
        <v>146</v>
      </c>
    </row>
    <row r="2472" spans="1:12" ht="30">
      <c r="A2472" s="67">
        <f t="shared" si="38"/>
        <v>2470</v>
      </c>
      <c r="B2472" s="164">
        <v>2470</v>
      </c>
      <c r="C2472" s="193" t="s">
        <v>3765</v>
      </c>
      <c r="D2472" s="195" t="s">
        <v>7033</v>
      </c>
      <c r="E2472" s="193" t="s">
        <v>500</v>
      </c>
      <c r="F2472" s="193" t="s">
        <v>59</v>
      </c>
      <c r="G2472" s="195" t="s">
        <v>1094</v>
      </c>
      <c r="H2472" s="166" t="s">
        <v>13436</v>
      </c>
      <c r="I2472" s="193" t="s">
        <v>12817</v>
      </c>
      <c r="J2472" s="193" t="s">
        <v>12681</v>
      </c>
      <c r="K2472" s="170"/>
      <c r="L2472" s="193"/>
    </row>
    <row r="2473" spans="1:12" ht="15.75">
      <c r="A2473" s="67">
        <f t="shared" si="38"/>
        <v>2471</v>
      </c>
      <c r="B2473" s="164">
        <v>2471</v>
      </c>
      <c r="C2473" s="193" t="s">
        <v>3766</v>
      </c>
      <c r="D2473" s="195" t="s">
        <v>7034</v>
      </c>
      <c r="E2473" s="193" t="s">
        <v>9471</v>
      </c>
      <c r="F2473" s="193" t="s">
        <v>114</v>
      </c>
      <c r="G2473" s="195" t="s">
        <v>11594</v>
      </c>
      <c r="H2473" s="166" t="s">
        <v>13436</v>
      </c>
      <c r="I2473" s="193" t="s">
        <v>12835</v>
      </c>
      <c r="J2473" s="193"/>
      <c r="K2473" s="170"/>
      <c r="L2473" s="193"/>
    </row>
    <row r="2474" spans="1:12" ht="15.75">
      <c r="A2474" s="67">
        <f t="shared" si="38"/>
        <v>2472</v>
      </c>
      <c r="B2474" s="164">
        <v>2472</v>
      </c>
      <c r="C2474" s="193" t="s">
        <v>3767</v>
      </c>
      <c r="D2474" s="197" t="s">
        <v>7035</v>
      </c>
      <c r="E2474" s="193" t="s">
        <v>9472</v>
      </c>
      <c r="F2474" s="193" t="s">
        <v>59</v>
      </c>
      <c r="G2474" s="195" t="s">
        <v>11595</v>
      </c>
      <c r="H2474" s="166" t="s">
        <v>13436</v>
      </c>
      <c r="I2474" s="193" t="s">
        <v>12816</v>
      </c>
      <c r="J2474" s="193" t="s">
        <v>146</v>
      </c>
      <c r="K2474" s="170"/>
      <c r="L2474" s="193"/>
    </row>
    <row r="2475" spans="1:12" ht="15.75">
      <c r="A2475" s="67">
        <f t="shared" si="38"/>
        <v>2473</v>
      </c>
      <c r="B2475" s="164">
        <v>2473</v>
      </c>
      <c r="C2475" s="193" t="s">
        <v>3768</v>
      </c>
      <c r="D2475" s="197" t="s">
        <v>7036</v>
      </c>
      <c r="E2475" s="193" t="s">
        <v>9473</v>
      </c>
      <c r="F2475" s="193" t="s">
        <v>59</v>
      </c>
      <c r="G2475" s="195" t="s">
        <v>1090</v>
      </c>
      <c r="H2475" s="166" t="s">
        <v>13436</v>
      </c>
      <c r="I2475" s="193" t="s">
        <v>12816</v>
      </c>
      <c r="J2475" s="193" t="s">
        <v>1252</v>
      </c>
      <c r="K2475" s="170"/>
      <c r="L2475" s="193"/>
    </row>
    <row r="2476" spans="1:12" ht="30">
      <c r="A2476" s="67">
        <f t="shared" si="38"/>
        <v>2474</v>
      </c>
      <c r="B2476" s="164">
        <v>2474</v>
      </c>
      <c r="C2476" s="193" t="s">
        <v>3769</v>
      </c>
      <c r="D2476" s="195" t="s">
        <v>7037</v>
      </c>
      <c r="E2476" s="193" t="s">
        <v>434</v>
      </c>
      <c r="F2476" s="193" t="s">
        <v>114</v>
      </c>
      <c r="G2476" s="195" t="s">
        <v>11596</v>
      </c>
      <c r="H2476" s="166" t="s">
        <v>13436</v>
      </c>
      <c r="I2476" s="193" t="s">
        <v>12814</v>
      </c>
      <c r="J2476" s="193" t="s">
        <v>12682</v>
      </c>
      <c r="K2476" s="170"/>
      <c r="L2476" s="193" t="s">
        <v>146</v>
      </c>
    </row>
    <row r="2477" spans="1:12" ht="15.75">
      <c r="A2477" s="67">
        <f t="shared" si="38"/>
        <v>2475</v>
      </c>
      <c r="B2477" s="164">
        <v>2475</v>
      </c>
      <c r="C2477" s="193" t="s">
        <v>3770</v>
      </c>
      <c r="D2477" s="195" t="s">
        <v>7038</v>
      </c>
      <c r="E2477" s="193" t="s">
        <v>9474</v>
      </c>
      <c r="F2477" s="193" t="s">
        <v>114</v>
      </c>
      <c r="G2477" s="195" t="s">
        <v>11597</v>
      </c>
      <c r="H2477" s="166" t="s">
        <v>13436</v>
      </c>
      <c r="I2477" s="193" t="s">
        <v>12819</v>
      </c>
      <c r="J2477" s="193" t="s">
        <v>146</v>
      </c>
      <c r="K2477" s="170"/>
      <c r="L2477" s="193" t="s">
        <v>146</v>
      </c>
    </row>
    <row r="2478" spans="1:12" ht="15.75">
      <c r="A2478" s="67">
        <f t="shared" si="38"/>
        <v>2476</v>
      </c>
      <c r="B2478" s="164">
        <v>2476</v>
      </c>
      <c r="C2478" s="193" t="s">
        <v>3771</v>
      </c>
      <c r="D2478" s="195" t="s">
        <v>7039</v>
      </c>
      <c r="E2478" s="193" t="s">
        <v>489</v>
      </c>
      <c r="F2478" s="193" t="s">
        <v>59</v>
      </c>
      <c r="G2478" s="195" t="s">
        <v>699</v>
      </c>
      <c r="H2478" s="166" t="s">
        <v>13436</v>
      </c>
      <c r="I2478" s="193" t="s">
        <v>12825</v>
      </c>
      <c r="J2478" s="193" t="s">
        <v>146</v>
      </c>
      <c r="K2478" s="170"/>
      <c r="L2478" s="193"/>
    </row>
    <row r="2479" spans="1:12" ht="15.75">
      <c r="A2479" s="67">
        <f t="shared" si="38"/>
        <v>2477</v>
      </c>
      <c r="B2479" s="164">
        <v>2477</v>
      </c>
      <c r="C2479" s="193" t="s">
        <v>3772</v>
      </c>
      <c r="D2479" s="195" t="s">
        <v>7040</v>
      </c>
      <c r="E2479" s="193" t="s">
        <v>166</v>
      </c>
      <c r="F2479" s="193" t="s">
        <v>114</v>
      </c>
      <c r="G2479" s="195" t="s">
        <v>11598</v>
      </c>
      <c r="H2479" s="166" t="s">
        <v>13436</v>
      </c>
      <c r="I2479" s="193" t="s">
        <v>12814</v>
      </c>
      <c r="J2479" s="219" t="s">
        <v>146</v>
      </c>
      <c r="K2479" s="170"/>
      <c r="L2479" s="193" t="s">
        <v>146</v>
      </c>
    </row>
    <row r="2480" spans="1:12" ht="15.75">
      <c r="A2480" s="67">
        <f t="shared" si="38"/>
        <v>2478</v>
      </c>
      <c r="B2480" s="164">
        <v>2478</v>
      </c>
      <c r="C2480" s="193" t="s">
        <v>3773</v>
      </c>
      <c r="D2480" s="195" t="s">
        <v>7041</v>
      </c>
      <c r="E2480" s="193" t="s">
        <v>351</v>
      </c>
      <c r="F2480" s="193" t="s">
        <v>114</v>
      </c>
      <c r="G2480" s="195" t="s">
        <v>785</v>
      </c>
      <c r="H2480" s="166" t="s">
        <v>13436</v>
      </c>
      <c r="I2480" s="193" t="s">
        <v>12827</v>
      </c>
      <c r="J2480" s="193" t="s">
        <v>146</v>
      </c>
      <c r="K2480" s="170"/>
      <c r="L2480" s="193" t="s">
        <v>146</v>
      </c>
    </row>
    <row r="2481" spans="1:12" ht="15.75">
      <c r="A2481" s="67">
        <f t="shared" si="38"/>
        <v>2479</v>
      </c>
      <c r="B2481" s="164">
        <v>2479</v>
      </c>
      <c r="C2481" s="193" t="s">
        <v>3774</v>
      </c>
      <c r="D2481" s="195" t="s">
        <v>7042</v>
      </c>
      <c r="E2481" s="193" t="s">
        <v>9473</v>
      </c>
      <c r="F2481" s="193" t="s">
        <v>59</v>
      </c>
      <c r="G2481" s="195" t="s">
        <v>11599</v>
      </c>
      <c r="H2481" s="166" t="s">
        <v>13436</v>
      </c>
      <c r="I2481" s="193" t="s">
        <v>12825</v>
      </c>
      <c r="J2481" s="193" t="s">
        <v>146</v>
      </c>
      <c r="K2481" s="170"/>
      <c r="L2481" s="193"/>
    </row>
    <row r="2482" spans="1:12" ht="15.75">
      <c r="A2482" s="67">
        <f t="shared" si="38"/>
        <v>2480</v>
      </c>
      <c r="B2482" s="164">
        <v>2480</v>
      </c>
      <c r="C2482" s="193" t="s">
        <v>3775</v>
      </c>
      <c r="D2482" s="195" t="s">
        <v>7043</v>
      </c>
      <c r="E2482" s="193" t="s">
        <v>8692</v>
      </c>
      <c r="F2482" s="193" t="s">
        <v>114</v>
      </c>
      <c r="G2482" s="195" t="s">
        <v>11600</v>
      </c>
      <c r="H2482" s="166" t="s">
        <v>13436</v>
      </c>
      <c r="I2482" s="193" t="s">
        <v>12836</v>
      </c>
      <c r="J2482" s="193" t="s">
        <v>146</v>
      </c>
      <c r="K2482" s="170"/>
      <c r="L2482" s="193" t="s">
        <v>146</v>
      </c>
    </row>
    <row r="2483" spans="1:12" ht="30">
      <c r="A2483" s="67">
        <f t="shared" si="38"/>
        <v>2481</v>
      </c>
      <c r="B2483" s="164">
        <v>2481</v>
      </c>
      <c r="C2483" s="193" t="s">
        <v>3776</v>
      </c>
      <c r="D2483" s="195" t="s">
        <v>7044</v>
      </c>
      <c r="E2483" s="193" t="s">
        <v>9475</v>
      </c>
      <c r="F2483" s="193" t="s">
        <v>114</v>
      </c>
      <c r="G2483" s="195" t="s">
        <v>11601</v>
      </c>
      <c r="H2483" s="166" t="s">
        <v>13436</v>
      </c>
      <c r="I2483" s="193" t="s">
        <v>12814</v>
      </c>
      <c r="J2483" s="219" t="s">
        <v>12683</v>
      </c>
      <c r="K2483" s="170"/>
      <c r="L2483" s="193" t="s">
        <v>146</v>
      </c>
    </row>
    <row r="2484" spans="1:12" ht="15.75">
      <c r="A2484" s="67">
        <f t="shared" si="38"/>
        <v>2482</v>
      </c>
      <c r="B2484" s="164">
        <v>2482</v>
      </c>
      <c r="C2484" s="193" t="s">
        <v>3777</v>
      </c>
      <c r="D2484" s="195" t="s">
        <v>7045</v>
      </c>
      <c r="E2484" s="193" t="s">
        <v>9476</v>
      </c>
      <c r="F2484" s="193" t="s">
        <v>114</v>
      </c>
      <c r="G2484" s="195" t="s">
        <v>11602</v>
      </c>
      <c r="H2484" s="166" t="s">
        <v>13436</v>
      </c>
      <c r="I2484" s="193" t="s">
        <v>12814</v>
      </c>
      <c r="J2484" s="193" t="s">
        <v>146</v>
      </c>
      <c r="K2484" s="170"/>
      <c r="L2484" s="193" t="s">
        <v>146</v>
      </c>
    </row>
    <row r="2485" spans="1:12" ht="15.75">
      <c r="A2485" s="67">
        <f t="shared" si="38"/>
        <v>2483</v>
      </c>
      <c r="B2485" s="164">
        <v>2483</v>
      </c>
      <c r="C2485" s="193" t="s">
        <v>3778</v>
      </c>
      <c r="D2485" s="195" t="s">
        <v>7046</v>
      </c>
      <c r="E2485" s="193" t="s">
        <v>432</v>
      </c>
      <c r="F2485" s="193" t="s">
        <v>59</v>
      </c>
      <c r="G2485" s="195" t="s">
        <v>11603</v>
      </c>
      <c r="H2485" s="166" t="s">
        <v>13436</v>
      </c>
      <c r="I2485" s="193" t="s">
        <v>12817</v>
      </c>
      <c r="J2485" s="219" t="s">
        <v>146</v>
      </c>
      <c r="K2485" s="170"/>
      <c r="L2485" s="193"/>
    </row>
    <row r="2486" spans="1:12" ht="15.75">
      <c r="A2486" s="67">
        <f t="shared" si="38"/>
        <v>2484</v>
      </c>
      <c r="B2486" s="164">
        <v>2484</v>
      </c>
      <c r="C2486" s="193" t="s">
        <v>3779</v>
      </c>
      <c r="D2486" s="195" t="s">
        <v>7047</v>
      </c>
      <c r="E2486" s="193" t="s">
        <v>9477</v>
      </c>
      <c r="F2486" s="193" t="s">
        <v>114</v>
      </c>
      <c r="G2486" s="195" t="s">
        <v>11604</v>
      </c>
      <c r="H2486" s="166" t="s">
        <v>13436</v>
      </c>
      <c r="I2486" s="193" t="s">
        <v>12836</v>
      </c>
      <c r="J2486" s="219" t="s">
        <v>146</v>
      </c>
      <c r="K2486" s="170"/>
      <c r="L2486" s="193" t="s">
        <v>146</v>
      </c>
    </row>
    <row r="2487" spans="1:12" ht="60">
      <c r="A2487" s="67">
        <f t="shared" si="38"/>
        <v>2485</v>
      </c>
      <c r="B2487" s="164">
        <v>2485</v>
      </c>
      <c r="C2487" s="193" t="s">
        <v>3780</v>
      </c>
      <c r="D2487" s="195" t="s">
        <v>7048</v>
      </c>
      <c r="E2487" s="193" t="s">
        <v>8643</v>
      </c>
      <c r="F2487" s="193" t="s">
        <v>114</v>
      </c>
      <c r="G2487" s="195" t="s">
        <v>11605</v>
      </c>
      <c r="H2487" s="166" t="s">
        <v>13436</v>
      </c>
      <c r="I2487" s="193" t="s">
        <v>12814</v>
      </c>
      <c r="J2487" s="193" t="s">
        <v>146</v>
      </c>
      <c r="K2487" s="170"/>
      <c r="L2487" s="193" t="s">
        <v>13362</v>
      </c>
    </row>
    <row r="2488" spans="1:12" ht="30">
      <c r="A2488" s="67">
        <f t="shared" si="38"/>
        <v>2486</v>
      </c>
      <c r="B2488" s="164">
        <v>2486</v>
      </c>
      <c r="C2488" s="193" t="s">
        <v>3781</v>
      </c>
      <c r="D2488" s="195" t="s">
        <v>7049</v>
      </c>
      <c r="E2488" s="193" t="s">
        <v>9478</v>
      </c>
      <c r="F2488" s="193" t="s">
        <v>114</v>
      </c>
      <c r="G2488" s="195" t="s">
        <v>683</v>
      </c>
      <c r="H2488" s="166" t="s">
        <v>13436</v>
      </c>
      <c r="I2488" s="193" t="s">
        <v>12814</v>
      </c>
      <c r="J2488" s="193" t="s">
        <v>146</v>
      </c>
      <c r="K2488" s="170"/>
      <c r="L2488" s="193" t="s">
        <v>13363</v>
      </c>
    </row>
    <row r="2489" spans="1:12" ht="15.75">
      <c r="A2489" s="67">
        <f t="shared" si="38"/>
        <v>2487</v>
      </c>
      <c r="B2489" s="164">
        <v>2487</v>
      </c>
      <c r="C2489" s="193" t="s">
        <v>3782</v>
      </c>
      <c r="D2489" s="195" t="s">
        <v>7050</v>
      </c>
      <c r="E2489" s="193" t="s">
        <v>9479</v>
      </c>
      <c r="F2489" s="193" t="s">
        <v>114</v>
      </c>
      <c r="G2489" s="195" t="s">
        <v>11606</v>
      </c>
      <c r="H2489" s="166" t="s">
        <v>13436</v>
      </c>
      <c r="I2489" s="193" t="s">
        <v>12814</v>
      </c>
      <c r="J2489" s="193" t="s">
        <v>147</v>
      </c>
      <c r="K2489" s="170"/>
      <c r="L2489" s="193" t="s">
        <v>146</v>
      </c>
    </row>
    <row r="2490" spans="1:12" ht="75">
      <c r="A2490" s="67">
        <f t="shared" si="38"/>
        <v>2488</v>
      </c>
      <c r="B2490" s="164">
        <v>2488</v>
      </c>
      <c r="C2490" s="193" t="s">
        <v>3783</v>
      </c>
      <c r="D2490" s="195" t="s">
        <v>7051</v>
      </c>
      <c r="E2490" s="193" t="s">
        <v>318</v>
      </c>
      <c r="F2490" s="193" t="s">
        <v>114</v>
      </c>
      <c r="G2490" s="195" t="s">
        <v>896</v>
      </c>
      <c r="H2490" s="166" t="s">
        <v>13436</v>
      </c>
      <c r="I2490" s="193" t="s">
        <v>12814</v>
      </c>
      <c r="J2490" s="193" t="s">
        <v>147</v>
      </c>
      <c r="K2490" s="170"/>
      <c r="L2490" s="193" t="s">
        <v>13364</v>
      </c>
    </row>
    <row r="2491" spans="1:12" ht="15.75">
      <c r="A2491" s="67">
        <f t="shared" si="38"/>
        <v>2489</v>
      </c>
      <c r="B2491" s="164">
        <v>2489</v>
      </c>
      <c r="C2491" s="193" t="s">
        <v>3784</v>
      </c>
      <c r="D2491" s="195" t="s">
        <v>7052</v>
      </c>
      <c r="E2491" s="193" t="s">
        <v>9480</v>
      </c>
      <c r="F2491" s="193" t="s">
        <v>114</v>
      </c>
      <c r="G2491" s="195" t="s">
        <v>11607</v>
      </c>
      <c r="H2491" s="166" t="s">
        <v>13436</v>
      </c>
      <c r="I2491" s="193" t="s">
        <v>12820</v>
      </c>
      <c r="J2491" s="193" t="s">
        <v>146</v>
      </c>
      <c r="K2491" s="170"/>
      <c r="L2491" s="193" t="s">
        <v>146</v>
      </c>
    </row>
    <row r="2492" spans="1:12" ht="30">
      <c r="A2492" s="67">
        <f t="shared" si="38"/>
        <v>2490</v>
      </c>
      <c r="B2492" s="164">
        <v>2490</v>
      </c>
      <c r="C2492" s="193" t="s">
        <v>3785</v>
      </c>
      <c r="D2492" s="195" t="s">
        <v>7053</v>
      </c>
      <c r="E2492" s="193" t="s">
        <v>9481</v>
      </c>
      <c r="F2492" s="193" t="s">
        <v>114</v>
      </c>
      <c r="G2492" s="195" t="s">
        <v>11608</v>
      </c>
      <c r="H2492" s="166" t="s">
        <v>13436</v>
      </c>
      <c r="I2492" s="193" t="s">
        <v>12819</v>
      </c>
      <c r="J2492" s="193" t="s">
        <v>148</v>
      </c>
      <c r="K2492" s="170"/>
      <c r="L2492" s="193" t="s">
        <v>13365</v>
      </c>
    </row>
    <row r="2493" spans="1:12" ht="15.75">
      <c r="A2493" s="67">
        <f t="shared" si="38"/>
        <v>2491</v>
      </c>
      <c r="B2493" s="164">
        <v>2491</v>
      </c>
      <c r="C2493" s="193" t="s">
        <v>3786</v>
      </c>
      <c r="D2493" s="197" t="s">
        <v>7054</v>
      </c>
      <c r="E2493" s="193" t="s">
        <v>9482</v>
      </c>
      <c r="F2493" s="193" t="s">
        <v>114</v>
      </c>
      <c r="G2493" s="195" t="s">
        <v>10378</v>
      </c>
      <c r="H2493" s="166" t="s">
        <v>13436</v>
      </c>
      <c r="I2493" s="193" t="s">
        <v>12816</v>
      </c>
      <c r="J2493" s="193" t="s">
        <v>146</v>
      </c>
      <c r="K2493" s="170"/>
      <c r="L2493" s="193" t="s">
        <v>146</v>
      </c>
    </row>
    <row r="2494" spans="1:12" ht="30">
      <c r="A2494" s="67">
        <f t="shared" si="38"/>
        <v>2492</v>
      </c>
      <c r="B2494" s="164">
        <v>2492</v>
      </c>
      <c r="C2494" s="193" t="s">
        <v>3787</v>
      </c>
      <c r="D2494" s="197" t="s">
        <v>7055</v>
      </c>
      <c r="E2494" s="193" t="s">
        <v>539</v>
      </c>
      <c r="F2494" s="193" t="s">
        <v>114</v>
      </c>
      <c r="G2494" s="195" t="s">
        <v>11609</v>
      </c>
      <c r="H2494" s="166" t="s">
        <v>13436</v>
      </c>
      <c r="I2494" s="193" t="s">
        <v>12816</v>
      </c>
      <c r="J2494" s="193" t="s">
        <v>12684</v>
      </c>
      <c r="K2494" s="170"/>
      <c r="L2494" s="193" t="s">
        <v>13366</v>
      </c>
    </row>
    <row r="2495" spans="1:12" ht="15.75">
      <c r="A2495" s="67">
        <f t="shared" si="38"/>
        <v>2493</v>
      </c>
      <c r="B2495" s="164">
        <v>2493</v>
      </c>
      <c r="C2495" s="193" t="s">
        <v>3788</v>
      </c>
      <c r="D2495" s="195" t="s">
        <v>7056</v>
      </c>
      <c r="E2495" s="193" t="s">
        <v>212</v>
      </c>
      <c r="F2495" s="193" t="s">
        <v>59</v>
      </c>
      <c r="G2495" s="195" t="s">
        <v>11610</v>
      </c>
      <c r="H2495" s="166" t="s">
        <v>13436</v>
      </c>
      <c r="I2495" s="193" t="s">
        <v>12825</v>
      </c>
      <c r="J2495" s="193" t="s">
        <v>146</v>
      </c>
      <c r="K2495" s="170"/>
      <c r="L2495" s="193"/>
    </row>
    <row r="2496" spans="1:12" ht="15.75">
      <c r="A2496" s="67">
        <f t="shared" si="38"/>
        <v>2494</v>
      </c>
      <c r="B2496" s="164">
        <v>2494</v>
      </c>
      <c r="C2496" s="193" t="s">
        <v>3789</v>
      </c>
      <c r="D2496" s="195" t="s">
        <v>7057</v>
      </c>
      <c r="E2496" s="193" t="s">
        <v>7933</v>
      </c>
      <c r="F2496" s="193" t="s">
        <v>59</v>
      </c>
      <c r="G2496" s="195" t="s">
        <v>959</v>
      </c>
      <c r="H2496" s="166" t="s">
        <v>13436</v>
      </c>
      <c r="I2496" s="193" t="s">
        <v>12817</v>
      </c>
      <c r="J2496" s="219" t="s">
        <v>146</v>
      </c>
      <c r="K2496" s="170"/>
      <c r="L2496" s="193"/>
    </row>
    <row r="2497" spans="1:12" ht="15.75">
      <c r="A2497" s="67">
        <f t="shared" si="38"/>
        <v>2495</v>
      </c>
      <c r="B2497" s="164">
        <v>2495</v>
      </c>
      <c r="C2497" s="193" t="s">
        <v>3790</v>
      </c>
      <c r="D2497" s="195" t="s">
        <v>7058</v>
      </c>
      <c r="E2497" s="193" t="s">
        <v>663</v>
      </c>
      <c r="F2497" s="193" t="s">
        <v>114</v>
      </c>
      <c r="G2497" s="195" t="s">
        <v>1093</v>
      </c>
      <c r="H2497" s="166" t="s">
        <v>13436</v>
      </c>
      <c r="I2497" s="193" t="s">
        <v>12818</v>
      </c>
      <c r="J2497" s="193" t="s">
        <v>1270</v>
      </c>
      <c r="K2497" s="170"/>
      <c r="L2497" s="193" t="s">
        <v>146</v>
      </c>
    </row>
    <row r="2498" spans="1:12" ht="15.75">
      <c r="A2498" s="67">
        <f t="shared" si="38"/>
        <v>2496</v>
      </c>
      <c r="B2498" s="164">
        <v>2496</v>
      </c>
      <c r="C2498" s="193" t="s">
        <v>3791</v>
      </c>
      <c r="D2498" s="204" t="s">
        <v>7059</v>
      </c>
      <c r="E2498" s="193" t="s">
        <v>450</v>
      </c>
      <c r="F2498" s="193" t="s">
        <v>114</v>
      </c>
      <c r="G2498" s="195" t="s">
        <v>10796</v>
      </c>
      <c r="H2498" s="166" t="s">
        <v>13436</v>
      </c>
      <c r="I2498" s="193" t="s">
        <v>12816</v>
      </c>
      <c r="J2498" s="193" t="s">
        <v>146</v>
      </c>
      <c r="K2498" s="170"/>
      <c r="L2498" s="193" t="s">
        <v>146</v>
      </c>
    </row>
    <row r="2499" spans="1:12" ht="15.75">
      <c r="A2499" s="67">
        <f t="shared" ref="A2499:A2562" si="39">IFERROR(VALUE(RIGHT(C2499,4)),"")</f>
        <v>2497</v>
      </c>
      <c r="B2499" s="164">
        <v>2497</v>
      </c>
      <c r="C2499" s="193" t="s">
        <v>3792</v>
      </c>
      <c r="D2499" s="195" t="s">
        <v>7060</v>
      </c>
      <c r="E2499" s="193" t="s">
        <v>9483</v>
      </c>
      <c r="F2499" s="193" t="s">
        <v>114</v>
      </c>
      <c r="G2499" s="195" t="s">
        <v>693</v>
      </c>
      <c r="H2499" s="166" t="s">
        <v>13436</v>
      </c>
      <c r="I2499" s="193" t="s">
        <v>12838</v>
      </c>
      <c r="J2499" s="193" t="s">
        <v>146</v>
      </c>
      <c r="K2499" s="170"/>
      <c r="L2499" s="193" t="s">
        <v>146</v>
      </c>
    </row>
    <row r="2500" spans="1:12" ht="15.75">
      <c r="A2500" s="67">
        <f t="shared" si="39"/>
        <v>2498</v>
      </c>
      <c r="B2500" s="164">
        <v>2498</v>
      </c>
      <c r="C2500" s="193" t="s">
        <v>3793</v>
      </c>
      <c r="D2500" s="195" t="s">
        <v>7061</v>
      </c>
      <c r="E2500" s="193" t="s">
        <v>8918</v>
      </c>
      <c r="F2500" s="193" t="s">
        <v>114</v>
      </c>
      <c r="G2500" s="195" t="s">
        <v>1204</v>
      </c>
      <c r="H2500" s="166" t="s">
        <v>13436</v>
      </c>
      <c r="I2500" s="193" t="s">
        <v>12838</v>
      </c>
      <c r="J2500" s="193" t="s">
        <v>146</v>
      </c>
      <c r="K2500" s="170"/>
      <c r="L2500" s="193" t="s">
        <v>146</v>
      </c>
    </row>
    <row r="2501" spans="1:12" ht="15.75">
      <c r="A2501" s="67">
        <f t="shared" si="39"/>
        <v>2499</v>
      </c>
      <c r="B2501" s="164">
        <v>2499</v>
      </c>
      <c r="C2501" s="193" t="s">
        <v>3794</v>
      </c>
      <c r="D2501" s="195" t="s">
        <v>7062</v>
      </c>
      <c r="E2501" s="193" t="s">
        <v>9484</v>
      </c>
      <c r="F2501" s="193" t="s">
        <v>114</v>
      </c>
      <c r="G2501" s="195" t="s">
        <v>11611</v>
      </c>
      <c r="H2501" s="166" t="s">
        <v>13436</v>
      </c>
      <c r="I2501" s="193" t="s">
        <v>12819</v>
      </c>
      <c r="J2501" s="193" t="s">
        <v>12685</v>
      </c>
      <c r="K2501" s="170"/>
      <c r="L2501" s="193" t="s">
        <v>146</v>
      </c>
    </row>
    <row r="2502" spans="1:12" ht="15.75">
      <c r="A2502" s="67">
        <f t="shared" si="39"/>
        <v>2500</v>
      </c>
      <c r="B2502" s="164">
        <v>2500</v>
      </c>
      <c r="C2502" s="193" t="s">
        <v>3795</v>
      </c>
      <c r="D2502" s="195" t="s">
        <v>7063</v>
      </c>
      <c r="E2502" s="193" t="s">
        <v>522</v>
      </c>
      <c r="F2502" s="193" t="s">
        <v>114</v>
      </c>
      <c r="G2502" s="195" t="s">
        <v>11612</v>
      </c>
      <c r="H2502" s="166" t="s">
        <v>13436</v>
      </c>
      <c r="I2502" s="193" t="s">
        <v>12819</v>
      </c>
      <c r="J2502" s="193" t="s">
        <v>146</v>
      </c>
      <c r="K2502" s="170"/>
      <c r="L2502" s="193" t="s">
        <v>146</v>
      </c>
    </row>
    <row r="2503" spans="1:12" ht="15.75">
      <c r="A2503" s="67">
        <f t="shared" si="39"/>
        <v>2501</v>
      </c>
      <c r="B2503" s="164">
        <v>2501</v>
      </c>
      <c r="C2503" s="193" t="s">
        <v>3796</v>
      </c>
      <c r="D2503" s="195" t="s">
        <v>7064</v>
      </c>
      <c r="E2503" s="193" t="s">
        <v>217</v>
      </c>
      <c r="F2503" s="193" t="s">
        <v>114</v>
      </c>
      <c r="G2503" s="195" t="s">
        <v>11613</v>
      </c>
      <c r="H2503" s="166" t="s">
        <v>13436</v>
      </c>
      <c r="I2503" s="193" t="s">
        <v>12836</v>
      </c>
      <c r="J2503" s="193" t="s">
        <v>146</v>
      </c>
      <c r="K2503" s="170"/>
      <c r="L2503" s="193" t="s">
        <v>146</v>
      </c>
    </row>
    <row r="2504" spans="1:12" ht="30">
      <c r="A2504" s="67">
        <f t="shared" si="39"/>
        <v>2502</v>
      </c>
      <c r="B2504" s="164">
        <v>2502</v>
      </c>
      <c r="C2504" s="193" t="s">
        <v>3797</v>
      </c>
      <c r="D2504" s="195" t="s">
        <v>7065</v>
      </c>
      <c r="E2504" s="193" t="s">
        <v>9485</v>
      </c>
      <c r="F2504" s="193" t="s">
        <v>114</v>
      </c>
      <c r="G2504" s="195" t="s">
        <v>11614</v>
      </c>
      <c r="H2504" s="166" t="s">
        <v>13436</v>
      </c>
      <c r="I2504" s="193" t="s">
        <v>12836</v>
      </c>
      <c r="J2504" s="193" t="s">
        <v>12686</v>
      </c>
      <c r="K2504" s="170"/>
      <c r="L2504" s="193" t="s">
        <v>146</v>
      </c>
    </row>
    <row r="2505" spans="1:12" ht="15.75">
      <c r="A2505" s="67">
        <f t="shared" si="39"/>
        <v>2503</v>
      </c>
      <c r="B2505" s="164">
        <v>2503</v>
      </c>
      <c r="C2505" s="193" t="s">
        <v>3798</v>
      </c>
      <c r="D2505" s="195" t="s">
        <v>7066</v>
      </c>
      <c r="E2505" s="193" t="s">
        <v>359</v>
      </c>
      <c r="F2505" s="193" t="s">
        <v>114</v>
      </c>
      <c r="G2505" s="195" t="s">
        <v>685</v>
      </c>
      <c r="H2505" s="166" t="s">
        <v>13436</v>
      </c>
      <c r="I2505" s="193" t="s">
        <v>12819</v>
      </c>
      <c r="J2505" s="193" t="s">
        <v>146</v>
      </c>
      <c r="K2505" s="170"/>
      <c r="L2505" s="193" t="s">
        <v>146</v>
      </c>
    </row>
    <row r="2506" spans="1:12" ht="30">
      <c r="A2506" s="67">
        <f t="shared" si="39"/>
        <v>2504</v>
      </c>
      <c r="B2506" s="164">
        <v>2504</v>
      </c>
      <c r="C2506" s="193" t="s">
        <v>3799</v>
      </c>
      <c r="D2506" s="195" t="s">
        <v>7067</v>
      </c>
      <c r="E2506" s="193" t="s">
        <v>9486</v>
      </c>
      <c r="F2506" s="193" t="s">
        <v>114</v>
      </c>
      <c r="G2506" s="195" t="s">
        <v>11615</v>
      </c>
      <c r="H2506" s="166" t="s">
        <v>13436</v>
      </c>
      <c r="I2506" s="193" t="s">
        <v>12814</v>
      </c>
      <c r="J2506" s="193" t="s">
        <v>12432</v>
      </c>
      <c r="K2506" s="170"/>
      <c r="L2506" s="193" t="s">
        <v>146</v>
      </c>
    </row>
    <row r="2507" spans="1:12" ht="15.75">
      <c r="A2507" s="67">
        <f t="shared" si="39"/>
        <v>2505</v>
      </c>
      <c r="B2507" s="164">
        <v>2505</v>
      </c>
      <c r="C2507" s="193" t="s">
        <v>3800</v>
      </c>
      <c r="D2507" s="195" t="s">
        <v>7068</v>
      </c>
      <c r="E2507" s="193" t="s">
        <v>335</v>
      </c>
      <c r="F2507" s="193" t="s">
        <v>114</v>
      </c>
      <c r="G2507" s="195" t="s">
        <v>10070</v>
      </c>
      <c r="H2507" s="166" t="s">
        <v>13436</v>
      </c>
      <c r="I2507" s="193" t="s">
        <v>12819</v>
      </c>
      <c r="J2507" s="193" t="s">
        <v>146</v>
      </c>
      <c r="K2507" s="170"/>
      <c r="L2507" s="193" t="s">
        <v>146</v>
      </c>
    </row>
    <row r="2508" spans="1:12" ht="15.75">
      <c r="A2508" s="67">
        <f t="shared" si="39"/>
        <v>2506</v>
      </c>
      <c r="B2508" s="164">
        <v>2506</v>
      </c>
      <c r="C2508" s="193" t="s">
        <v>3801</v>
      </c>
      <c r="D2508" s="195" t="s">
        <v>7069</v>
      </c>
      <c r="E2508" s="193" t="s">
        <v>9487</v>
      </c>
      <c r="F2508" s="193" t="s">
        <v>59</v>
      </c>
      <c r="G2508" s="195" t="s">
        <v>10795</v>
      </c>
      <c r="H2508" s="166" t="s">
        <v>13436</v>
      </c>
      <c r="I2508" s="193" t="s">
        <v>12819</v>
      </c>
      <c r="J2508" s="193" t="s">
        <v>12687</v>
      </c>
      <c r="K2508" s="170"/>
      <c r="L2508" s="193"/>
    </row>
    <row r="2509" spans="1:12" ht="15.75">
      <c r="A2509" s="67">
        <f t="shared" si="39"/>
        <v>2507</v>
      </c>
      <c r="B2509" s="164">
        <v>2507</v>
      </c>
      <c r="C2509" s="193" t="s">
        <v>3802</v>
      </c>
      <c r="D2509" s="195" t="s">
        <v>7070</v>
      </c>
      <c r="E2509" s="193" t="s">
        <v>9488</v>
      </c>
      <c r="F2509" s="193" t="s">
        <v>114</v>
      </c>
      <c r="G2509" s="195" t="s">
        <v>11616</v>
      </c>
      <c r="H2509" s="166" t="s">
        <v>13436</v>
      </c>
      <c r="I2509" s="193" t="s">
        <v>12819</v>
      </c>
      <c r="J2509" s="193" t="s">
        <v>146</v>
      </c>
      <c r="K2509" s="170"/>
      <c r="L2509" s="193" t="s">
        <v>146</v>
      </c>
    </row>
    <row r="2510" spans="1:12" ht="15.75">
      <c r="A2510" s="67">
        <f t="shared" si="39"/>
        <v>2508</v>
      </c>
      <c r="B2510" s="164">
        <v>2508</v>
      </c>
      <c r="C2510" s="193" t="s">
        <v>3803</v>
      </c>
      <c r="D2510" s="197" t="s">
        <v>7071</v>
      </c>
      <c r="E2510" s="193" t="s">
        <v>9489</v>
      </c>
      <c r="F2510" s="193" t="s">
        <v>114</v>
      </c>
      <c r="G2510" s="195" t="s">
        <v>11617</v>
      </c>
      <c r="H2510" s="166" t="s">
        <v>13436</v>
      </c>
      <c r="I2510" s="193" t="s">
        <v>12816</v>
      </c>
      <c r="J2510" s="193" t="s">
        <v>146</v>
      </c>
      <c r="K2510" s="170"/>
      <c r="L2510" s="193" t="s">
        <v>146</v>
      </c>
    </row>
    <row r="2511" spans="1:12" ht="15.75">
      <c r="A2511" s="67">
        <f t="shared" si="39"/>
        <v>2509</v>
      </c>
      <c r="B2511" s="164">
        <v>2509</v>
      </c>
      <c r="C2511" s="193" t="s">
        <v>3804</v>
      </c>
      <c r="D2511" s="195" t="s">
        <v>7072</v>
      </c>
      <c r="E2511" s="193" t="s">
        <v>9490</v>
      </c>
      <c r="F2511" s="193" t="s">
        <v>114</v>
      </c>
      <c r="G2511" s="195" t="s">
        <v>10365</v>
      </c>
      <c r="H2511" s="166" t="s">
        <v>13436</v>
      </c>
      <c r="I2511" s="193" t="s">
        <v>12814</v>
      </c>
      <c r="J2511" s="193" t="s">
        <v>146</v>
      </c>
      <c r="K2511" s="170"/>
      <c r="L2511" s="193" t="s">
        <v>146</v>
      </c>
    </row>
    <row r="2512" spans="1:12" ht="15.75">
      <c r="A2512" s="67">
        <f t="shared" si="39"/>
        <v>2510</v>
      </c>
      <c r="B2512" s="164">
        <v>2510</v>
      </c>
      <c r="C2512" s="193" t="s">
        <v>3805</v>
      </c>
      <c r="D2512" s="195" t="s">
        <v>7073</v>
      </c>
      <c r="E2512" s="193" t="s">
        <v>9491</v>
      </c>
      <c r="F2512" s="193" t="s">
        <v>59</v>
      </c>
      <c r="G2512" s="195" t="s">
        <v>11618</v>
      </c>
      <c r="H2512" s="166" t="s">
        <v>13436</v>
      </c>
      <c r="I2512" s="193" t="s">
        <v>12819</v>
      </c>
      <c r="J2512" s="219" t="s">
        <v>146</v>
      </c>
      <c r="K2512" s="170"/>
      <c r="L2512" s="193"/>
    </row>
    <row r="2513" spans="1:12" ht="30">
      <c r="A2513" s="67">
        <f t="shared" si="39"/>
        <v>2511</v>
      </c>
      <c r="B2513" s="164">
        <v>2511</v>
      </c>
      <c r="C2513" s="193" t="s">
        <v>3806</v>
      </c>
      <c r="D2513" s="195" t="s">
        <v>7074</v>
      </c>
      <c r="E2513" s="193" t="s">
        <v>7860</v>
      </c>
      <c r="F2513" s="193" t="s">
        <v>114</v>
      </c>
      <c r="G2513" s="195" t="s">
        <v>11619</v>
      </c>
      <c r="H2513" s="166" t="s">
        <v>13436</v>
      </c>
      <c r="I2513" s="193" t="s">
        <v>12814</v>
      </c>
      <c r="J2513" s="193" t="s">
        <v>12688</v>
      </c>
      <c r="K2513" s="170"/>
      <c r="L2513" s="193" t="s">
        <v>146</v>
      </c>
    </row>
    <row r="2514" spans="1:12" ht="15.75">
      <c r="A2514" s="67">
        <f t="shared" si="39"/>
        <v>2512</v>
      </c>
      <c r="B2514" s="164">
        <v>2512</v>
      </c>
      <c r="C2514" s="193" t="s">
        <v>3807</v>
      </c>
      <c r="D2514" s="214" t="s">
        <v>7075</v>
      </c>
      <c r="E2514" s="193" t="s">
        <v>9492</v>
      </c>
      <c r="F2514" s="193" t="s">
        <v>59</v>
      </c>
      <c r="G2514" s="195" t="s">
        <v>11620</v>
      </c>
      <c r="H2514" s="166" t="s">
        <v>13436</v>
      </c>
      <c r="I2514" s="193" t="s">
        <v>12816</v>
      </c>
      <c r="J2514" s="193" t="s">
        <v>11995</v>
      </c>
      <c r="K2514" s="170"/>
      <c r="L2514" s="193"/>
    </row>
    <row r="2515" spans="1:12" ht="15.75">
      <c r="A2515" s="67">
        <f t="shared" si="39"/>
        <v>2513</v>
      </c>
      <c r="B2515" s="164">
        <v>2513</v>
      </c>
      <c r="C2515" s="193" t="s">
        <v>3808</v>
      </c>
      <c r="D2515" s="195" t="s">
        <v>7076</v>
      </c>
      <c r="E2515" s="193" t="s">
        <v>9493</v>
      </c>
      <c r="F2515" s="193" t="s">
        <v>59</v>
      </c>
      <c r="G2515" s="195" t="s">
        <v>11621</v>
      </c>
      <c r="H2515" s="166" t="s">
        <v>13436</v>
      </c>
      <c r="I2515" s="193" t="s">
        <v>12832</v>
      </c>
      <c r="J2515" s="193" t="s">
        <v>12689</v>
      </c>
      <c r="K2515" s="170"/>
      <c r="L2515" s="193"/>
    </row>
    <row r="2516" spans="1:12" ht="15.75">
      <c r="A2516" s="67">
        <f t="shared" si="39"/>
        <v>2514</v>
      </c>
      <c r="B2516" s="164">
        <v>2514</v>
      </c>
      <c r="C2516" s="193" t="s">
        <v>3809</v>
      </c>
      <c r="D2516" s="195" t="s">
        <v>7077</v>
      </c>
      <c r="E2516" s="193" t="s">
        <v>9494</v>
      </c>
      <c r="F2516" s="193" t="s">
        <v>114</v>
      </c>
      <c r="G2516" s="195" t="s">
        <v>11622</v>
      </c>
      <c r="H2516" s="166" t="s">
        <v>13436</v>
      </c>
      <c r="I2516" s="193" t="s">
        <v>12819</v>
      </c>
      <c r="J2516" s="193" t="s">
        <v>146</v>
      </c>
      <c r="K2516" s="170"/>
      <c r="L2516" s="193" t="s">
        <v>146</v>
      </c>
    </row>
    <row r="2517" spans="1:12" ht="15.75">
      <c r="A2517" s="67">
        <f t="shared" si="39"/>
        <v>2515</v>
      </c>
      <c r="B2517" s="164">
        <v>2515</v>
      </c>
      <c r="C2517" s="193" t="s">
        <v>3810</v>
      </c>
      <c r="D2517" s="195" t="s">
        <v>7078</v>
      </c>
      <c r="E2517" s="193" t="s">
        <v>153</v>
      </c>
      <c r="F2517" s="193" t="s">
        <v>114</v>
      </c>
      <c r="G2517" s="195" t="s">
        <v>11623</v>
      </c>
      <c r="H2517" s="166" t="s">
        <v>13436</v>
      </c>
      <c r="I2517" s="193" t="s">
        <v>12838</v>
      </c>
      <c r="J2517" s="193" t="s">
        <v>146</v>
      </c>
      <c r="K2517" s="170"/>
      <c r="L2517" s="193" t="s">
        <v>146</v>
      </c>
    </row>
    <row r="2518" spans="1:12" ht="75">
      <c r="A2518" s="67">
        <f t="shared" si="39"/>
        <v>2516</v>
      </c>
      <c r="B2518" s="164">
        <v>2516</v>
      </c>
      <c r="C2518" s="193" t="s">
        <v>3811</v>
      </c>
      <c r="D2518" s="195" t="s">
        <v>7079</v>
      </c>
      <c r="E2518" s="193" t="s">
        <v>9495</v>
      </c>
      <c r="F2518" s="193" t="s">
        <v>114</v>
      </c>
      <c r="G2518" s="195" t="s">
        <v>10309</v>
      </c>
      <c r="H2518" s="166" t="s">
        <v>13436</v>
      </c>
      <c r="I2518" s="193" t="s">
        <v>12814</v>
      </c>
      <c r="J2518" s="193" t="s">
        <v>12690</v>
      </c>
      <c r="K2518" s="170"/>
      <c r="L2518" s="193" t="s">
        <v>13367</v>
      </c>
    </row>
    <row r="2519" spans="1:12" ht="15.75">
      <c r="A2519" s="67">
        <f t="shared" si="39"/>
        <v>2517</v>
      </c>
      <c r="B2519" s="164">
        <v>2517</v>
      </c>
      <c r="C2519" s="193" t="s">
        <v>3812</v>
      </c>
      <c r="D2519" s="195" t="s">
        <v>7080</v>
      </c>
      <c r="E2519" s="193" t="s">
        <v>9496</v>
      </c>
      <c r="F2519" s="193" t="s">
        <v>114</v>
      </c>
      <c r="G2519" s="195" t="s">
        <v>11165</v>
      </c>
      <c r="H2519" s="166" t="s">
        <v>13436</v>
      </c>
      <c r="I2519" s="193" t="s">
        <v>12838</v>
      </c>
      <c r="J2519" s="193" t="s">
        <v>146</v>
      </c>
      <c r="K2519" s="170"/>
      <c r="L2519" s="193" t="s">
        <v>146</v>
      </c>
    </row>
    <row r="2520" spans="1:12" ht="15.75">
      <c r="A2520" s="67">
        <f t="shared" si="39"/>
        <v>2518</v>
      </c>
      <c r="B2520" s="164">
        <v>2518</v>
      </c>
      <c r="C2520" s="193" t="s">
        <v>3813</v>
      </c>
      <c r="D2520" s="195" t="s">
        <v>7081</v>
      </c>
      <c r="E2520" s="193" t="s">
        <v>8048</v>
      </c>
      <c r="F2520" s="193" t="s">
        <v>114</v>
      </c>
      <c r="G2520" s="195" t="s">
        <v>11624</v>
      </c>
      <c r="H2520" s="166" t="s">
        <v>13436</v>
      </c>
      <c r="I2520" s="193" t="s">
        <v>12825</v>
      </c>
      <c r="J2520" s="219" t="s">
        <v>146</v>
      </c>
      <c r="K2520" s="170"/>
      <c r="L2520" s="193" t="s">
        <v>146</v>
      </c>
    </row>
    <row r="2521" spans="1:12" ht="15.75">
      <c r="A2521" s="67">
        <f t="shared" si="39"/>
        <v>2519</v>
      </c>
      <c r="B2521" s="164">
        <v>2519</v>
      </c>
      <c r="C2521" s="193" t="s">
        <v>3814</v>
      </c>
      <c r="D2521" s="195" t="s">
        <v>7082</v>
      </c>
      <c r="E2521" s="193" t="s">
        <v>177</v>
      </c>
      <c r="F2521" s="193" t="s">
        <v>114</v>
      </c>
      <c r="G2521" s="195" t="s">
        <v>11625</v>
      </c>
      <c r="H2521" s="166" t="s">
        <v>13436</v>
      </c>
      <c r="I2521" s="193" t="s">
        <v>12836</v>
      </c>
      <c r="J2521" s="193" t="s">
        <v>146</v>
      </c>
      <c r="K2521" s="170"/>
      <c r="L2521" s="193" t="s">
        <v>146</v>
      </c>
    </row>
    <row r="2522" spans="1:12" ht="15.75">
      <c r="A2522" s="67">
        <f t="shared" si="39"/>
        <v>2520</v>
      </c>
      <c r="B2522" s="164">
        <v>2520</v>
      </c>
      <c r="C2522" s="193" t="s">
        <v>3815</v>
      </c>
      <c r="D2522" s="195" t="s">
        <v>7083</v>
      </c>
      <c r="E2522" s="193" t="s">
        <v>617</v>
      </c>
      <c r="F2522" s="193" t="s">
        <v>114</v>
      </c>
      <c r="G2522" s="195" t="s">
        <v>923</v>
      </c>
      <c r="H2522" s="166" t="s">
        <v>13436</v>
      </c>
      <c r="I2522" s="193" t="s">
        <v>12836</v>
      </c>
      <c r="J2522" s="219" t="s">
        <v>146</v>
      </c>
      <c r="K2522" s="170"/>
      <c r="L2522" s="193" t="s">
        <v>146</v>
      </c>
    </row>
    <row r="2523" spans="1:12" ht="30">
      <c r="A2523" s="67">
        <f t="shared" si="39"/>
        <v>2521</v>
      </c>
      <c r="B2523" s="164">
        <v>2521</v>
      </c>
      <c r="C2523" s="193" t="s">
        <v>3816</v>
      </c>
      <c r="D2523" s="195" t="s">
        <v>7084</v>
      </c>
      <c r="E2523" s="193" t="s">
        <v>9497</v>
      </c>
      <c r="F2523" s="193" t="s">
        <v>114</v>
      </c>
      <c r="G2523" s="195" t="s">
        <v>11373</v>
      </c>
      <c r="H2523" s="166" t="s">
        <v>13436</v>
      </c>
      <c r="I2523" s="193" t="s">
        <v>12819</v>
      </c>
      <c r="J2523" s="193" t="s">
        <v>12691</v>
      </c>
      <c r="K2523" s="170"/>
      <c r="L2523" s="193" t="s">
        <v>146</v>
      </c>
    </row>
    <row r="2524" spans="1:12" ht="15.75">
      <c r="A2524" s="67">
        <f t="shared" si="39"/>
        <v>2522</v>
      </c>
      <c r="B2524" s="164">
        <v>2522</v>
      </c>
      <c r="C2524" s="193" t="s">
        <v>3817</v>
      </c>
      <c r="D2524" s="195" t="s">
        <v>7085</v>
      </c>
      <c r="E2524" s="193" t="s">
        <v>9498</v>
      </c>
      <c r="F2524" s="193" t="s">
        <v>114</v>
      </c>
      <c r="G2524" s="195" t="s">
        <v>11568</v>
      </c>
      <c r="H2524" s="166" t="s">
        <v>13436</v>
      </c>
      <c r="I2524" s="193" t="s">
        <v>12819</v>
      </c>
      <c r="J2524" s="193" t="s">
        <v>146</v>
      </c>
      <c r="K2524" s="170"/>
      <c r="L2524" s="193" t="s">
        <v>146</v>
      </c>
    </row>
    <row r="2525" spans="1:12" ht="15.75">
      <c r="A2525" s="67">
        <f t="shared" si="39"/>
        <v>2523</v>
      </c>
      <c r="B2525" s="164">
        <v>2523</v>
      </c>
      <c r="C2525" s="193" t="s">
        <v>3818</v>
      </c>
      <c r="D2525" s="195" t="s">
        <v>7086</v>
      </c>
      <c r="E2525" s="193" t="s">
        <v>356</v>
      </c>
      <c r="F2525" s="193" t="s">
        <v>114</v>
      </c>
      <c r="G2525" s="195" t="s">
        <v>960</v>
      </c>
      <c r="H2525" s="166" t="s">
        <v>13436</v>
      </c>
      <c r="I2525" s="193" t="s">
        <v>12836</v>
      </c>
      <c r="J2525" s="193" t="s">
        <v>146</v>
      </c>
      <c r="K2525" s="170"/>
      <c r="L2525" s="193" t="s">
        <v>146</v>
      </c>
    </row>
    <row r="2526" spans="1:12" ht="15.75">
      <c r="A2526" s="67">
        <f t="shared" si="39"/>
        <v>2524</v>
      </c>
      <c r="B2526" s="164">
        <v>2524</v>
      </c>
      <c r="C2526" s="193" t="s">
        <v>3819</v>
      </c>
      <c r="D2526" s="195" t="s">
        <v>7087</v>
      </c>
      <c r="E2526" s="193" t="s">
        <v>9499</v>
      </c>
      <c r="F2526" s="193" t="s">
        <v>114</v>
      </c>
      <c r="G2526" s="195" t="s">
        <v>11626</v>
      </c>
      <c r="H2526" s="166" t="s">
        <v>13436</v>
      </c>
      <c r="I2526" s="193" t="s">
        <v>12836</v>
      </c>
      <c r="J2526" s="219" t="s">
        <v>146</v>
      </c>
      <c r="K2526" s="170"/>
      <c r="L2526" s="219" t="s">
        <v>146</v>
      </c>
    </row>
    <row r="2527" spans="1:12" ht="30">
      <c r="A2527" s="67">
        <f t="shared" si="39"/>
        <v>2525</v>
      </c>
      <c r="B2527" s="164">
        <v>2525</v>
      </c>
      <c r="C2527" s="193" t="s">
        <v>3820</v>
      </c>
      <c r="D2527" s="197" t="s">
        <v>7088</v>
      </c>
      <c r="E2527" s="193" t="s">
        <v>8257</v>
      </c>
      <c r="F2527" s="193" t="s">
        <v>114</v>
      </c>
      <c r="G2527" s="195" t="s">
        <v>1141</v>
      </c>
      <c r="H2527" s="166" t="s">
        <v>13436</v>
      </c>
      <c r="I2527" s="193" t="s">
        <v>12816</v>
      </c>
      <c r="J2527" s="193" t="s">
        <v>12692</v>
      </c>
      <c r="K2527" s="170"/>
      <c r="L2527" s="193" t="s">
        <v>146</v>
      </c>
    </row>
    <row r="2528" spans="1:12" ht="30">
      <c r="A2528" s="67">
        <f t="shared" si="39"/>
        <v>2526</v>
      </c>
      <c r="B2528" s="164">
        <v>2526</v>
      </c>
      <c r="C2528" s="193" t="s">
        <v>3821</v>
      </c>
      <c r="D2528" s="206" t="s">
        <v>7089</v>
      </c>
      <c r="E2528" s="193" t="s">
        <v>198</v>
      </c>
      <c r="F2528" s="193" t="s">
        <v>114</v>
      </c>
      <c r="G2528" s="195" t="s">
        <v>11627</v>
      </c>
      <c r="H2528" s="166" t="s">
        <v>13436</v>
      </c>
      <c r="I2528" s="193" t="s">
        <v>12836</v>
      </c>
      <c r="J2528" s="193" t="s">
        <v>12688</v>
      </c>
      <c r="K2528" s="170"/>
      <c r="L2528" s="193" t="s">
        <v>146</v>
      </c>
    </row>
    <row r="2529" spans="1:12" ht="15.75">
      <c r="A2529" s="67">
        <f t="shared" si="39"/>
        <v>2527</v>
      </c>
      <c r="B2529" s="164">
        <v>2527</v>
      </c>
      <c r="C2529" s="193" t="s">
        <v>3822</v>
      </c>
      <c r="D2529" s="197" t="s">
        <v>7090</v>
      </c>
      <c r="E2529" s="193" t="s">
        <v>9500</v>
      </c>
      <c r="F2529" s="193" t="s">
        <v>114</v>
      </c>
      <c r="G2529" s="195" t="s">
        <v>11628</v>
      </c>
      <c r="H2529" s="166" t="s">
        <v>13436</v>
      </c>
      <c r="I2529" s="193" t="s">
        <v>12816</v>
      </c>
      <c r="J2529" s="193" t="s">
        <v>146</v>
      </c>
      <c r="K2529" s="170"/>
      <c r="L2529" s="193" t="s">
        <v>146</v>
      </c>
    </row>
    <row r="2530" spans="1:12" ht="15.75">
      <c r="A2530" s="67">
        <f t="shared" si="39"/>
        <v>2528</v>
      </c>
      <c r="B2530" s="164">
        <v>2528</v>
      </c>
      <c r="C2530" s="193" t="s">
        <v>3823</v>
      </c>
      <c r="D2530" s="205" t="s">
        <v>7091</v>
      </c>
      <c r="E2530" s="193" t="s">
        <v>9501</v>
      </c>
      <c r="F2530" s="193" t="s">
        <v>114</v>
      </c>
      <c r="G2530" s="195" t="s">
        <v>11629</v>
      </c>
      <c r="H2530" s="166" t="s">
        <v>13436</v>
      </c>
      <c r="I2530" s="193" t="s">
        <v>12816</v>
      </c>
      <c r="J2530" s="193" t="s">
        <v>146</v>
      </c>
      <c r="K2530" s="170"/>
      <c r="L2530" s="193" t="s">
        <v>146</v>
      </c>
    </row>
    <row r="2531" spans="1:12" ht="30">
      <c r="A2531" s="67">
        <f t="shared" si="39"/>
        <v>2529</v>
      </c>
      <c r="B2531" s="164">
        <v>2529</v>
      </c>
      <c r="C2531" s="193" t="s">
        <v>3824</v>
      </c>
      <c r="D2531" s="195" t="s">
        <v>7092</v>
      </c>
      <c r="E2531" s="193" t="s">
        <v>9502</v>
      </c>
      <c r="F2531" s="193" t="s">
        <v>114</v>
      </c>
      <c r="G2531" s="195" t="s">
        <v>11630</v>
      </c>
      <c r="H2531" s="166" t="s">
        <v>13436</v>
      </c>
      <c r="I2531" s="193" t="s">
        <v>12819</v>
      </c>
      <c r="J2531" s="193" t="s">
        <v>12693</v>
      </c>
      <c r="K2531" s="170"/>
      <c r="L2531" s="193" t="s">
        <v>146</v>
      </c>
    </row>
    <row r="2532" spans="1:12" ht="15.75">
      <c r="A2532" s="67">
        <f t="shared" si="39"/>
        <v>2530</v>
      </c>
      <c r="B2532" s="164">
        <v>2530</v>
      </c>
      <c r="C2532" s="193" t="s">
        <v>3825</v>
      </c>
      <c r="D2532" s="195" t="s">
        <v>7093</v>
      </c>
      <c r="E2532" s="193" t="s">
        <v>9503</v>
      </c>
      <c r="F2532" s="193" t="s">
        <v>114</v>
      </c>
      <c r="G2532" s="195" t="s">
        <v>1035</v>
      </c>
      <c r="H2532" s="166" t="s">
        <v>13436</v>
      </c>
      <c r="I2532" s="193" t="s">
        <v>12827</v>
      </c>
      <c r="J2532" s="193" t="s">
        <v>146</v>
      </c>
      <c r="K2532" s="170"/>
      <c r="L2532" s="193" t="s">
        <v>146</v>
      </c>
    </row>
    <row r="2533" spans="1:12" ht="15.75">
      <c r="A2533" s="67">
        <f t="shared" si="39"/>
        <v>2531</v>
      </c>
      <c r="B2533" s="164">
        <v>2531</v>
      </c>
      <c r="C2533" s="193" t="s">
        <v>3826</v>
      </c>
      <c r="D2533" s="204" t="s">
        <v>7094</v>
      </c>
      <c r="E2533" s="193" t="s">
        <v>9504</v>
      </c>
      <c r="F2533" s="193" t="s">
        <v>114</v>
      </c>
      <c r="G2533" s="195" t="s">
        <v>11518</v>
      </c>
      <c r="H2533" s="166" t="s">
        <v>13436</v>
      </c>
      <c r="I2533" s="193" t="s">
        <v>12816</v>
      </c>
      <c r="J2533" s="193" t="s">
        <v>146</v>
      </c>
      <c r="K2533" s="170"/>
      <c r="L2533" s="193" t="s">
        <v>146</v>
      </c>
    </row>
    <row r="2534" spans="1:12" ht="15.75">
      <c r="A2534" s="67">
        <f t="shared" si="39"/>
        <v>2532</v>
      </c>
      <c r="B2534" s="164">
        <v>2532</v>
      </c>
      <c r="C2534" s="193" t="s">
        <v>3827</v>
      </c>
      <c r="D2534" s="195" t="s">
        <v>7095</v>
      </c>
      <c r="E2534" s="193" t="s">
        <v>9505</v>
      </c>
      <c r="F2534" s="193" t="s">
        <v>114</v>
      </c>
      <c r="G2534" s="195" t="s">
        <v>11631</v>
      </c>
      <c r="H2534" s="166" t="s">
        <v>13436</v>
      </c>
      <c r="I2534" s="193" t="s">
        <v>12814</v>
      </c>
      <c r="J2534" s="193" t="s">
        <v>146</v>
      </c>
      <c r="K2534" s="170"/>
      <c r="L2534" s="193" t="s">
        <v>146</v>
      </c>
    </row>
    <row r="2535" spans="1:12" ht="15.75">
      <c r="A2535" s="67">
        <f t="shared" si="39"/>
        <v>2533</v>
      </c>
      <c r="B2535" s="164">
        <v>2533</v>
      </c>
      <c r="C2535" s="193" t="s">
        <v>3828</v>
      </c>
      <c r="D2535" s="213" t="s">
        <v>7096</v>
      </c>
      <c r="E2535" s="193" t="s">
        <v>9506</v>
      </c>
      <c r="F2535" s="193" t="s">
        <v>114</v>
      </c>
      <c r="G2535" s="195" t="s">
        <v>990</v>
      </c>
      <c r="H2535" s="166" t="s">
        <v>13436</v>
      </c>
      <c r="I2535" s="193" t="s">
        <v>12819</v>
      </c>
      <c r="J2535" s="193" t="s">
        <v>146</v>
      </c>
      <c r="K2535" s="170"/>
      <c r="L2535" s="193" t="s">
        <v>146</v>
      </c>
    </row>
    <row r="2536" spans="1:12" ht="15.75">
      <c r="A2536" s="67">
        <f t="shared" si="39"/>
        <v>2534</v>
      </c>
      <c r="B2536" s="164">
        <v>2534</v>
      </c>
      <c r="C2536" s="193" t="s">
        <v>3829</v>
      </c>
      <c r="D2536" s="195" t="s">
        <v>7097</v>
      </c>
      <c r="E2536" s="193" t="s">
        <v>9507</v>
      </c>
      <c r="F2536" s="193" t="s">
        <v>114</v>
      </c>
      <c r="G2536" s="195" t="s">
        <v>11632</v>
      </c>
      <c r="H2536" s="166" t="s">
        <v>13436</v>
      </c>
      <c r="I2536" s="193" t="s">
        <v>12818</v>
      </c>
      <c r="J2536" s="193" t="s">
        <v>146</v>
      </c>
      <c r="K2536" s="170"/>
      <c r="L2536" s="193" t="s">
        <v>146</v>
      </c>
    </row>
    <row r="2537" spans="1:12" ht="15.75">
      <c r="A2537" s="67">
        <f t="shared" si="39"/>
        <v>2535</v>
      </c>
      <c r="B2537" s="164">
        <v>2535</v>
      </c>
      <c r="C2537" s="193" t="s">
        <v>3830</v>
      </c>
      <c r="D2537" s="195" t="s">
        <v>7098</v>
      </c>
      <c r="E2537" s="193" t="s">
        <v>9508</v>
      </c>
      <c r="F2537" s="193" t="s">
        <v>114</v>
      </c>
      <c r="G2537" s="195" t="s">
        <v>11633</v>
      </c>
      <c r="H2537" s="166" t="s">
        <v>13436</v>
      </c>
      <c r="I2537" s="193" t="s">
        <v>12814</v>
      </c>
      <c r="J2537" s="193" t="s">
        <v>146</v>
      </c>
      <c r="K2537" s="170"/>
      <c r="L2537" s="193" t="s">
        <v>146</v>
      </c>
    </row>
    <row r="2538" spans="1:12" ht="15.75">
      <c r="A2538" s="67">
        <f t="shared" si="39"/>
        <v>2536</v>
      </c>
      <c r="B2538" s="164">
        <v>2536</v>
      </c>
      <c r="C2538" s="193" t="s">
        <v>3831</v>
      </c>
      <c r="D2538" s="209" t="s">
        <v>7099</v>
      </c>
      <c r="E2538" s="193" t="s">
        <v>9509</v>
      </c>
      <c r="F2538" s="193" t="s">
        <v>59</v>
      </c>
      <c r="G2538" s="195" t="s">
        <v>11634</v>
      </c>
      <c r="H2538" s="166" t="s">
        <v>13436</v>
      </c>
      <c r="I2538" s="193" t="s">
        <v>12816</v>
      </c>
      <c r="J2538" s="193" t="s">
        <v>147</v>
      </c>
      <c r="K2538" s="170"/>
      <c r="L2538" s="193"/>
    </row>
    <row r="2539" spans="1:12" ht="30">
      <c r="A2539" s="67">
        <f t="shared" si="39"/>
        <v>2537</v>
      </c>
      <c r="B2539" s="164">
        <v>2537</v>
      </c>
      <c r="C2539" s="193" t="s">
        <v>3832</v>
      </c>
      <c r="D2539" s="195" t="s">
        <v>7100</v>
      </c>
      <c r="E2539" s="193" t="s">
        <v>8519</v>
      </c>
      <c r="F2539" s="193" t="s">
        <v>114</v>
      </c>
      <c r="G2539" s="195" t="s">
        <v>11635</v>
      </c>
      <c r="H2539" s="166" t="s">
        <v>13436</v>
      </c>
      <c r="I2539" s="193" t="s">
        <v>12814</v>
      </c>
      <c r="J2539" s="193" t="s">
        <v>12694</v>
      </c>
      <c r="K2539" s="170"/>
      <c r="L2539" s="193" t="s">
        <v>146</v>
      </c>
    </row>
    <row r="2540" spans="1:12" ht="30">
      <c r="A2540" s="67">
        <f t="shared" si="39"/>
        <v>2538</v>
      </c>
      <c r="B2540" s="164">
        <v>2538</v>
      </c>
      <c r="C2540" s="193" t="s">
        <v>3833</v>
      </c>
      <c r="D2540" s="195" t="s">
        <v>7101</v>
      </c>
      <c r="E2540" s="193" t="s">
        <v>490</v>
      </c>
      <c r="F2540" s="193" t="s">
        <v>114</v>
      </c>
      <c r="G2540" s="195" t="s">
        <v>11636</v>
      </c>
      <c r="H2540" s="166" t="s">
        <v>13436</v>
      </c>
      <c r="I2540" s="193" t="s">
        <v>12814</v>
      </c>
      <c r="J2540" s="193" t="s">
        <v>12695</v>
      </c>
      <c r="K2540" s="170"/>
      <c r="L2540" s="193" t="s">
        <v>146</v>
      </c>
    </row>
    <row r="2541" spans="1:12" ht="30">
      <c r="A2541" s="67">
        <f t="shared" si="39"/>
        <v>2539</v>
      </c>
      <c r="B2541" s="164">
        <v>2539</v>
      </c>
      <c r="C2541" s="193" t="s">
        <v>3834</v>
      </c>
      <c r="D2541" s="195" t="s">
        <v>7102</v>
      </c>
      <c r="E2541" s="193" t="s">
        <v>153</v>
      </c>
      <c r="F2541" s="193" t="s">
        <v>114</v>
      </c>
      <c r="G2541" s="195" t="s">
        <v>11637</v>
      </c>
      <c r="H2541" s="166" t="s">
        <v>13436</v>
      </c>
      <c r="I2541" s="193" t="s">
        <v>12838</v>
      </c>
      <c r="J2541" s="193" t="s">
        <v>164</v>
      </c>
      <c r="K2541" s="170"/>
      <c r="L2541" s="193" t="s">
        <v>13368</v>
      </c>
    </row>
    <row r="2542" spans="1:12" ht="45">
      <c r="A2542" s="67">
        <f t="shared" si="39"/>
        <v>2540</v>
      </c>
      <c r="B2542" s="164">
        <v>2540</v>
      </c>
      <c r="C2542" s="193" t="s">
        <v>3835</v>
      </c>
      <c r="D2542" s="195" t="s">
        <v>7103</v>
      </c>
      <c r="E2542" s="193" t="s">
        <v>9510</v>
      </c>
      <c r="F2542" s="193" t="s">
        <v>114</v>
      </c>
      <c r="G2542" s="195" t="s">
        <v>10360</v>
      </c>
      <c r="H2542" s="166" t="s">
        <v>13436</v>
      </c>
      <c r="I2542" s="193" t="s">
        <v>12838</v>
      </c>
      <c r="J2542" s="193" t="s">
        <v>12696</v>
      </c>
      <c r="K2542" s="170"/>
      <c r="L2542" s="193" t="s">
        <v>146</v>
      </c>
    </row>
    <row r="2543" spans="1:12" ht="15.75">
      <c r="A2543" s="67">
        <f t="shared" si="39"/>
        <v>2541</v>
      </c>
      <c r="B2543" s="164">
        <v>2541</v>
      </c>
      <c r="C2543" s="193" t="s">
        <v>3836</v>
      </c>
      <c r="D2543" s="195" t="s">
        <v>7104</v>
      </c>
      <c r="E2543" s="193" t="s">
        <v>444</v>
      </c>
      <c r="F2543" s="193" t="s">
        <v>114</v>
      </c>
      <c r="G2543" s="195" t="s">
        <v>11638</v>
      </c>
      <c r="H2543" s="166" t="s">
        <v>13436</v>
      </c>
      <c r="I2543" s="193" t="s">
        <v>12814</v>
      </c>
      <c r="J2543" s="193" t="s">
        <v>146</v>
      </c>
      <c r="K2543" s="170"/>
      <c r="L2543" s="193" t="s">
        <v>146</v>
      </c>
    </row>
    <row r="2544" spans="1:12" ht="15.75">
      <c r="A2544" s="67">
        <f t="shared" si="39"/>
        <v>2542</v>
      </c>
      <c r="B2544" s="164">
        <v>2542</v>
      </c>
      <c r="C2544" s="193" t="s">
        <v>3837</v>
      </c>
      <c r="D2544" s="195" t="s">
        <v>7105</v>
      </c>
      <c r="E2544" s="193" t="s">
        <v>8677</v>
      </c>
      <c r="F2544" s="193" t="s">
        <v>114</v>
      </c>
      <c r="G2544" s="195" t="s">
        <v>10410</v>
      </c>
      <c r="H2544" s="166" t="s">
        <v>13436</v>
      </c>
      <c r="I2544" s="193" t="s">
        <v>12814</v>
      </c>
      <c r="J2544" s="219" t="s">
        <v>146</v>
      </c>
      <c r="K2544" s="170"/>
      <c r="L2544" s="193" t="s">
        <v>146</v>
      </c>
    </row>
    <row r="2545" spans="1:12" ht="15.75">
      <c r="A2545" s="67">
        <f t="shared" si="39"/>
        <v>2543</v>
      </c>
      <c r="B2545" s="164">
        <v>2543</v>
      </c>
      <c r="C2545" s="193" t="s">
        <v>3838</v>
      </c>
      <c r="D2545" s="195" t="s">
        <v>7106</v>
      </c>
      <c r="E2545" s="193" t="s">
        <v>588</v>
      </c>
      <c r="F2545" s="193" t="s">
        <v>114</v>
      </c>
      <c r="G2545" s="195" t="s">
        <v>11409</v>
      </c>
      <c r="H2545" s="166" t="s">
        <v>13436</v>
      </c>
      <c r="I2545" s="193" t="s">
        <v>12819</v>
      </c>
      <c r="J2545" s="193" t="s">
        <v>1252</v>
      </c>
      <c r="K2545" s="170"/>
      <c r="L2545" s="193" t="s">
        <v>146</v>
      </c>
    </row>
    <row r="2546" spans="1:12" ht="45">
      <c r="A2546" s="67">
        <f t="shared" si="39"/>
        <v>2544</v>
      </c>
      <c r="B2546" s="164">
        <v>2544</v>
      </c>
      <c r="C2546" s="193" t="s">
        <v>3839</v>
      </c>
      <c r="D2546" s="195" t="s">
        <v>7107</v>
      </c>
      <c r="E2546" s="193" t="s">
        <v>396</v>
      </c>
      <c r="F2546" s="193" t="s">
        <v>114</v>
      </c>
      <c r="G2546" s="195" t="s">
        <v>11639</v>
      </c>
      <c r="H2546" s="166" t="s">
        <v>13436</v>
      </c>
      <c r="I2546" s="193" t="s">
        <v>12838</v>
      </c>
      <c r="J2546" s="193" t="s">
        <v>146</v>
      </c>
      <c r="K2546" s="170"/>
      <c r="L2546" s="193" t="s">
        <v>13369</v>
      </c>
    </row>
    <row r="2547" spans="1:12" ht="15.75">
      <c r="A2547" s="67">
        <f t="shared" si="39"/>
        <v>2545</v>
      </c>
      <c r="B2547" s="164">
        <v>2545</v>
      </c>
      <c r="C2547" s="193" t="s">
        <v>3840</v>
      </c>
      <c r="D2547" s="208" t="s">
        <v>7108</v>
      </c>
      <c r="E2547" s="193" t="s">
        <v>9511</v>
      </c>
      <c r="F2547" s="193" t="s">
        <v>114</v>
      </c>
      <c r="G2547" s="195" t="s">
        <v>10220</v>
      </c>
      <c r="H2547" s="166" t="s">
        <v>13436</v>
      </c>
      <c r="I2547" s="193" t="s">
        <v>12816</v>
      </c>
      <c r="J2547" s="193" t="s">
        <v>146</v>
      </c>
      <c r="K2547" s="170"/>
      <c r="L2547" s="193" t="s">
        <v>146</v>
      </c>
    </row>
    <row r="2548" spans="1:12" ht="15.75">
      <c r="A2548" s="67">
        <f t="shared" si="39"/>
        <v>2546</v>
      </c>
      <c r="B2548" s="164">
        <v>2546</v>
      </c>
      <c r="C2548" s="193" t="s">
        <v>3841</v>
      </c>
      <c r="D2548" s="195" t="s">
        <v>7109</v>
      </c>
      <c r="E2548" s="193" t="s">
        <v>161</v>
      </c>
      <c r="F2548" s="193" t="s">
        <v>114</v>
      </c>
      <c r="G2548" s="195" t="s">
        <v>1078</v>
      </c>
      <c r="H2548" s="166" t="s">
        <v>13436</v>
      </c>
      <c r="I2548" s="193" t="s">
        <v>12819</v>
      </c>
      <c r="J2548" s="193" t="s">
        <v>146</v>
      </c>
      <c r="K2548" s="170"/>
      <c r="L2548" s="193" t="s">
        <v>146</v>
      </c>
    </row>
    <row r="2549" spans="1:12" ht="15.75">
      <c r="A2549" s="67">
        <f t="shared" si="39"/>
        <v>2547</v>
      </c>
      <c r="B2549" s="164">
        <v>2547</v>
      </c>
      <c r="C2549" s="193" t="s">
        <v>3842</v>
      </c>
      <c r="D2549" s="195" t="s">
        <v>7110</v>
      </c>
      <c r="E2549" s="193" t="s">
        <v>400</v>
      </c>
      <c r="F2549" s="193" t="s">
        <v>114</v>
      </c>
      <c r="G2549" s="195" t="s">
        <v>11640</v>
      </c>
      <c r="H2549" s="166" t="s">
        <v>13436</v>
      </c>
      <c r="I2549" s="193" t="s">
        <v>12819</v>
      </c>
      <c r="J2549" s="193" t="s">
        <v>146</v>
      </c>
      <c r="K2549" s="170"/>
      <c r="L2549" s="193" t="s">
        <v>146</v>
      </c>
    </row>
    <row r="2550" spans="1:12" ht="15.75">
      <c r="A2550" s="67">
        <f t="shared" si="39"/>
        <v>2548</v>
      </c>
      <c r="B2550" s="164">
        <v>2548</v>
      </c>
      <c r="C2550" s="193" t="s">
        <v>3843</v>
      </c>
      <c r="D2550" s="195" t="s">
        <v>7111</v>
      </c>
      <c r="E2550" s="193" t="s">
        <v>9512</v>
      </c>
      <c r="F2550" s="193" t="s">
        <v>114</v>
      </c>
      <c r="G2550" s="195" t="s">
        <v>1118</v>
      </c>
      <c r="H2550" s="166" t="s">
        <v>13436</v>
      </c>
      <c r="I2550" s="193" t="s">
        <v>12819</v>
      </c>
      <c r="J2550" s="193" t="s">
        <v>146</v>
      </c>
      <c r="K2550" s="170"/>
      <c r="L2550" s="193" t="s">
        <v>146</v>
      </c>
    </row>
    <row r="2551" spans="1:12" ht="15.75">
      <c r="A2551" s="67">
        <f t="shared" si="39"/>
        <v>2549</v>
      </c>
      <c r="B2551" s="164">
        <v>2549</v>
      </c>
      <c r="C2551" s="193" t="s">
        <v>3844</v>
      </c>
      <c r="D2551" s="195" t="s">
        <v>7112</v>
      </c>
      <c r="E2551" s="193" t="s">
        <v>425</v>
      </c>
      <c r="F2551" s="193" t="s">
        <v>114</v>
      </c>
      <c r="G2551" s="195" t="s">
        <v>10766</v>
      </c>
      <c r="H2551" s="166" t="s">
        <v>13436</v>
      </c>
      <c r="I2551" s="193" t="s">
        <v>12827</v>
      </c>
      <c r="J2551" s="193" t="s">
        <v>12697</v>
      </c>
      <c r="K2551" s="170"/>
      <c r="L2551" s="193" t="s">
        <v>146</v>
      </c>
    </row>
    <row r="2552" spans="1:12" ht="30">
      <c r="A2552" s="67">
        <f t="shared" si="39"/>
        <v>2550</v>
      </c>
      <c r="B2552" s="164">
        <v>2550</v>
      </c>
      <c r="C2552" s="193" t="s">
        <v>3845</v>
      </c>
      <c r="D2552" s="195" t="s">
        <v>7113</v>
      </c>
      <c r="E2552" s="193" t="s">
        <v>9513</v>
      </c>
      <c r="F2552" s="193" t="s">
        <v>114</v>
      </c>
      <c r="G2552" s="195" t="s">
        <v>11641</v>
      </c>
      <c r="H2552" s="166" t="s">
        <v>13436</v>
      </c>
      <c r="I2552" s="193" t="s">
        <v>12821</v>
      </c>
      <c r="J2552" s="193" t="s">
        <v>12698</v>
      </c>
      <c r="K2552" s="170"/>
      <c r="L2552" s="193" t="s">
        <v>146</v>
      </c>
    </row>
    <row r="2553" spans="1:12" ht="75">
      <c r="A2553" s="67">
        <f t="shared" si="39"/>
        <v>2551</v>
      </c>
      <c r="B2553" s="164">
        <v>2551</v>
      </c>
      <c r="C2553" s="193" t="s">
        <v>3846</v>
      </c>
      <c r="D2553" s="195" t="s">
        <v>7114</v>
      </c>
      <c r="E2553" s="193" t="s">
        <v>9514</v>
      </c>
      <c r="F2553" s="193" t="s">
        <v>114</v>
      </c>
      <c r="G2553" s="195" t="s">
        <v>692</v>
      </c>
      <c r="H2553" s="166" t="s">
        <v>13436</v>
      </c>
      <c r="I2553" s="193" t="s">
        <v>12818</v>
      </c>
      <c r="J2553" s="193" t="s">
        <v>146</v>
      </c>
      <c r="K2553" s="170"/>
      <c r="L2553" s="193" t="s">
        <v>13370</v>
      </c>
    </row>
    <row r="2554" spans="1:12" ht="45">
      <c r="A2554" s="67">
        <f t="shared" si="39"/>
        <v>2552</v>
      </c>
      <c r="B2554" s="164">
        <v>2552</v>
      </c>
      <c r="C2554" s="193" t="s">
        <v>3847</v>
      </c>
      <c r="D2554" s="195" t="s">
        <v>7115</v>
      </c>
      <c r="E2554" s="193" t="s">
        <v>9287</v>
      </c>
      <c r="F2554" s="193" t="s">
        <v>114</v>
      </c>
      <c r="G2554" s="195" t="s">
        <v>1002</v>
      </c>
      <c r="H2554" s="166" t="s">
        <v>13436</v>
      </c>
      <c r="I2554" s="193" t="s">
        <v>12819</v>
      </c>
      <c r="J2554" s="193" t="s">
        <v>12699</v>
      </c>
      <c r="K2554" s="170"/>
      <c r="L2554" s="193" t="s">
        <v>146</v>
      </c>
    </row>
    <row r="2555" spans="1:12" ht="30">
      <c r="A2555" s="67">
        <f t="shared" si="39"/>
        <v>2553</v>
      </c>
      <c r="B2555" s="164">
        <v>2553</v>
      </c>
      <c r="C2555" s="193" t="s">
        <v>3848</v>
      </c>
      <c r="D2555" s="204" t="s">
        <v>7116</v>
      </c>
      <c r="E2555" s="193" t="s">
        <v>456</v>
      </c>
      <c r="F2555" s="193" t="s">
        <v>114</v>
      </c>
      <c r="G2555" s="195" t="s">
        <v>11642</v>
      </c>
      <c r="H2555" s="166" t="s">
        <v>13436</v>
      </c>
      <c r="I2555" s="193" t="s">
        <v>12816</v>
      </c>
      <c r="J2555" s="193" t="s">
        <v>12700</v>
      </c>
      <c r="K2555" s="170"/>
      <c r="L2555" s="193" t="s">
        <v>146</v>
      </c>
    </row>
    <row r="2556" spans="1:12" ht="15.75">
      <c r="A2556" s="67">
        <f t="shared" si="39"/>
        <v>2554</v>
      </c>
      <c r="B2556" s="164">
        <v>2554</v>
      </c>
      <c r="C2556" s="193" t="s">
        <v>3849</v>
      </c>
      <c r="D2556" s="195" t="s">
        <v>7117</v>
      </c>
      <c r="E2556" s="193" t="s">
        <v>9515</v>
      </c>
      <c r="F2556" s="193" t="s">
        <v>114</v>
      </c>
      <c r="G2556" s="195" t="s">
        <v>10977</v>
      </c>
      <c r="H2556" s="166" t="s">
        <v>13436</v>
      </c>
      <c r="I2556" s="193" t="s">
        <v>12838</v>
      </c>
      <c r="J2556" s="193" t="s">
        <v>1252</v>
      </c>
      <c r="K2556" s="170"/>
      <c r="L2556" s="193" t="s">
        <v>146</v>
      </c>
    </row>
    <row r="2557" spans="1:12" ht="15.75">
      <c r="A2557" s="67">
        <f t="shared" si="39"/>
        <v>2555</v>
      </c>
      <c r="B2557" s="164">
        <v>2555</v>
      </c>
      <c r="C2557" s="193" t="s">
        <v>3850</v>
      </c>
      <c r="D2557" s="195" t="s">
        <v>7118</v>
      </c>
      <c r="E2557" s="193" t="s">
        <v>9516</v>
      </c>
      <c r="F2557" s="193" t="s">
        <v>59</v>
      </c>
      <c r="G2557" s="195" t="s">
        <v>11564</v>
      </c>
      <c r="H2557" s="166" t="s">
        <v>13436</v>
      </c>
      <c r="I2557" s="193" t="s">
        <v>12818</v>
      </c>
      <c r="J2557" s="193" t="s">
        <v>146</v>
      </c>
      <c r="K2557" s="170"/>
      <c r="L2557" s="193"/>
    </row>
    <row r="2558" spans="1:12" ht="15.75">
      <c r="A2558" s="67">
        <f t="shared" si="39"/>
        <v>2556</v>
      </c>
      <c r="B2558" s="164">
        <v>2556</v>
      </c>
      <c r="C2558" s="193" t="s">
        <v>3851</v>
      </c>
      <c r="D2558" s="195" t="s">
        <v>7119</v>
      </c>
      <c r="E2558" s="193" t="s">
        <v>9517</v>
      </c>
      <c r="F2558" s="193" t="s">
        <v>114</v>
      </c>
      <c r="G2558" s="195" t="s">
        <v>11643</v>
      </c>
      <c r="H2558" s="166" t="s">
        <v>13436</v>
      </c>
      <c r="I2558" s="193" t="s">
        <v>12814</v>
      </c>
      <c r="J2558" s="219" t="s">
        <v>146</v>
      </c>
      <c r="K2558" s="170"/>
      <c r="L2558" s="193" t="s">
        <v>146</v>
      </c>
    </row>
    <row r="2559" spans="1:12" ht="15.75">
      <c r="A2559" s="67">
        <f t="shared" si="39"/>
        <v>2557</v>
      </c>
      <c r="B2559" s="164">
        <v>2557</v>
      </c>
      <c r="C2559" s="193" t="s">
        <v>3852</v>
      </c>
      <c r="D2559" s="195" t="s">
        <v>7120</v>
      </c>
      <c r="E2559" s="193" t="s">
        <v>8163</v>
      </c>
      <c r="F2559" s="193" t="s">
        <v>114</v>
      </c>
      <c r="G2559" s="195" t="s">
        <v>11055</v>
      </c>
      <c r="H2559" s="166" t="s">
        <v>13436</v>
      </c>
      <c r="I2559" s="193" t="s">
        <v>12814</v>
      </c>
      <c r="J2559" s="193" t="s">
        <v>146</v>
      </c>
      <c r="K2559" s="170"/>
      <c r="L2559" s="193" t="s">
        <v>146</v>
      </c>
    </row>
    <row r="2560" spans="1:12" ht="15.75">
      <c r="A2560" s="67">
        <f t="shared" si="39"/>
        <v>2558</v>
      </c>
      <c r="B2560" s="164">
        <v>2558</v>
      </c>
      <c r="C2560" s="193" t="s">
        <v>3853</v>
      </c>
      <c r="D2560" s="195" t="s">
        <v>7121</v>
      </c>
      <c r="E2560" s="193" t="s">
        <v>8643</v>
      </c>
      <c r="F2560" s="193" t="s">
        <v>114</v>
      </c>
      <c r="G2560" s="195" t="s">
        <v>11644</v>
      </c>
      <c r="H2560" s="166" t="s">
        <v>13436</v>
      </c>
      <c r="I2560" s="193" t="s">
        <v>12818</v>
      </c>
      <c r="J2560" s="193" t="s">
        <v>146</v>
      </c>
      <c r="K2560" s="170"/>
      <c r="L2560" s="193" t="s">
        <v>146</v>
      </c>
    </row>
    <row r="2561" spans="1:12" ht="30">
      <c r="A2561" s="67">
        <f t="shared" si="39"/>
        <v>2559</v>
      </c>
      <c r="B2561" s="164">
        <v>2559</v>
      </c>
      <c r="C2561" s="193" t="s">
        <v>3854</v>
      </c>
      <c r="D2561" s="195" t="s">
        <v>7122</v>
      </c>
      <c r="E2561" s="193" t="s">
        <v>8510</v>
      </c>
      <c r="F2561" s="193" t="s">
        <v>114</v>
      </c>
      <c r="G2561" s="195" t="s">
        <v>911</v>
      </c>
      <c r="H2561" s="166" t="s">
        <v>13436</v>
      </c>
      <c r="I2561" s="193" t="s">
        <v>12814</v>
      </c>
      <c r="J2561" s="193" t="s">
        <v>1281</v>
      </c>
      <c r="K2561" s="170"/>
      <c r="L2561" s="193" t="s">
        <v>146</v>
      </c>
    </row>
    <row r="2562" spans="1:12" ht="15.75">
      <c r="A2562" s="67">
        <f t="shared" si="39"/>
        <v>2560</v>
      </c>
      <c r="B2562" s="164">
        <v>2560</v>
      </c>
      <c r="C2562" s="193" t="s">
        <v>3855</v>
      </c>
      <c r="D2562" s="195" t="s">
        <v>7123</v>
      </c>
      <c r="E2562" s="193" t="s">
        <v>9518</v>
      </c>
      <c r="F2562" s="193" t="s">
        <v>114</v>
      </c>
      <c r="G2562" s="195" t="s">
        <v>11645</v>
      </c>
      <c r="H2562" s="166" t="s">
        <v>13436</v>
      </c>
      <c r="I2562" s="193" t="s">
        <v>12818</v>
      </c>
      <c r="J2562" s="219" t="s">
        <v>146</v>
      </c>
      <c r="K2562" s="170"/>
      <c r="L2562" s="219" t="s">
        <v>146</v>
      </c>
    </row>
    <row r="2563" spans="1:12" ht="15.75">
      <c r="A2563" s="67">
        <f t="shared" ref="A2563:A2626" si="40">IFERROR(VALUE(RIGHT(C2563,4)),"")</f>
        <v>2561</v>
      </c>
      <c r="B2563" s="164">
        <v>2561</v>
      </c>
      <c r="C2563" s="193" t="s">
        <v>3856</v>
      </c>
      <c r="D2563" s="195" t="s">
        <v>7124</v>
      </c>
      <c r="E2563" s="193" t="s">
        <v>551</v>
      </c>
      <c r="F2563" s="193" t="s">
        <v>114</v>
      </c>
      <c r="G2563" s="195" t="s">
        <v>767</v>
      </c>
      <c r="H2563" s="166" t="s">
        <v>13436</v>
      </c>
      <c r="I2563" s="193" t="s">
        <v>12819</v>
      </c>
      <c r="J2563" s="193" t="s">
        <v>146</v>
      </c>
      <c r="K2563" s="170"/>
      <c r="L2563" s="193" t="s">
        <v>146</v>
      </c>
    </row>
    <row r="2564" spans="1:12" ht="15.75">
      <c r="A2564" s="67">
        <f t="shared" si="40"/>
        <v>2562</v>
      </c>
      <c r="B2564" s="164">
        <v>2562</v>
      </c>
      <c r="C2564" s="193" t="s">
        <v>3857</v>
      </c>
      <c r="D2564" s="195" t="s">
        <v>7125</v>
      </c>
      <c r="E2564" s="193" t="s">
        <v>350</v>
      </c>
      <c r="F2564" s="193" t="s">
        <v>114</v>
      </c>
      <c r="G2564" s="195" t="s">
        <v>830</v>
      </c>
      <c r="H2564" s="166" t="s">
        <v>13436</v>
      </c>
      <c r="I2564" s="193" t="s">
        <v>1250</v>
      </c>
      <c r="J2564" s="193" t="s">
        <v>147</v>
      </c>
      <c r="K2564" s="170"/>
      <c r="L2564" s="193" t="s">
        <v>146</v>
      </c>
    </row>
    <row r="2565" spans="1:12" ht="15.75">
      <c r="A2565" s="67">
        <f t="shared" si="40"/>
        <v>2563</v>
      </c>
      <c r="B2565" s="164">
        <v>2563</v>
      </c>
      <c r="C2565" s="193" t="s">
        <v>3858</v>
      </c>
      <c r="D2565" s="195" t="s">
        <v>7126</v>
      </c>
      <c r="E2565" s="193" t="s">
        <v>9519</v>
      </c>
      <c r="F2565" s="193" t="s">
        <v>114</v>
      </c>
      <c r="G2565" s="195" t="s">
        <v>962</v>
      </c>
      <c r="H2565" s="166" t="s">
        <v>13436</v>
      </c>
      <c r="I2565" s="193" t="s">
        <v>12819</v>
      </c>
      <c r="J2565" s="193" t="s">
        <v>146</v>
      </c>
      <c r="K2565" s="170"/>
      <c r="L2565" s="193" t="s">
        <v>146</v>
      </c>
    </row>
    <row r="2566" spans="1:12" ht="15.75">
      <c r="A2566" s="67">
        <f t="shared" si="40"/>
        <v>2564</v>
      </c>
      <c r="B2566" s="164">
        <v>2564</v>
      </c>
      <c r="C2566" s="193" t="s">
        <v>3859</v>
      </c>
      <c r="D2566" s="197" t="s">
        <v>7127</v>
      </c>
      <c r="E2566" s="193" t="s">
        <v>9520</v>
      </c>
      <c r="F2566" s="193" t="s">
        <v>114</v>
      </c>
      <c r="G2566" s="195" t="s">
        <v>11646</v>
      </c>
      <c r="H2566" s="166" t="s">
        <v>13436</v>
      </c>
      <c r="I2566" s="193" t="s">
        <v>12816</v>
      </c>
      <c r="J2566" s="193" t="s">
        <v>146</v>
      </c>
      <c r="K2566" s="170"/>
      <c r="L2566" s="193" t="s">
        <v>146</v>
      </c>
    </row>
    <row r="2567" spans="1:12" ht="15.75">
      <c r="A2567" s="67">
        <f t="shared" si="40"/>
        <v>2565</v>
      </c>
      <c r="B2567" s="164">
        <v>2565</v>
      </c>
      <c r="C2567" s="193" t="s">
        <v>3860</v>
      </c>
      <c r="D2567" s="195" t="s">
        <v>7128</v>
      </c>
      <c r="E2567" s="193" t="s">
        <v>8403</v>
      </c>
      <c r="F2567" s="193" t="s">
        <v>114</v>
      </c>
      <c r="G2567" s="195" t="s">
        <v>917</v>
      </c>
      <c r="H2567" s="166" t="s">
        <v>13436</v>
      </c>
      <c r="I2567" s="193" t="s">
        <v>12814</v>
      </c>
      <c r="J2567" s="193" t="s">
        <v>146</v>
      </c>
      <c r="K2567" s="170"/>
      <c r="L2567" s="193" t="s">
        <v>146</v>
      </c>
    </row>
    <row r="2568" spans="1:12" ht="15.75">
      <c r="A2568" s="67">
        <f t="shared" si="40"/>
        <v>2566</v>
      </c>
      <c r="B2568" s="164">
        <v>2566</v>
      </c>
      <c r="C2568" s="193" t="s">
        <v>3861</v>
      </c>
      <c r="D2568" s="195" t="s">
        <v>7129</v>
      </c>
      <c r="E2568" s="193" t="s">
        <v>9521</v>
      </c>
      <c r="F2568" s="193" t="s">
        <v>114</v>
      </c>
      <c r="G2568" s="195" t="s">
        <v>894</v>
      </c>
      <c r="H2568" s="166" t="s">
        <v>13436</v>
      </c>
      <c r="I2568" s="193" t="s">
        <v>12814</v>
      </c>
      <c r="J2568" s="193" t="s">
        <v>1252</v>
      </c>
      <c r="K2568" s="170"/>
      <c r="L2568" s="193" t="s">
        <v>146</v>
      </c>
    </row>
    <row r="2569" spans="1:12" ht="15.75">
      <c r="A2569" s="67">
        <f t="shared" si="40"/>
        <v>2567</v>
      </c>
      <c r="B2569" s="164">
        <v>2567</v>
      </c>
      <c r="C2569" s="193" t="s">
        <v>3862</v>
      </c>
      <c r="D2569" s="195" t="s">
        <v>7130</v>
      </c>
      <c r="E2569" s="193" t="s">
        <v>170</v>
      </c>
      <c r="F2569" s="193" t="s">
        <v>114</v>
      </c>
      <c r="G2569" s="195" t="s">
        <v>11647</v>
      </c>
      <c r="H2569" s="166" t="s">
        <v>13436</v>
      </c>
      <c r="I2569" s="193" t="s">
        <v>12819</v>
      </c>
      <c r="J2569" s="193" t="s">
        <v>146</v>
      </c>
      <c r="K2569" s="170"/>
      <c r="L2569" s="193" t="s">
        <v>146</v>
      </c>
    </row>
    <row r="2570" spans="1:12" ht="15.75">
      <c r="A2570" s="67">
        <f t="shared" si="40"/>
        <v>2568</v>
      </c>
      <c r="B2570" s="164">
        <v>2568</v>
      </c>
      <c r="C2570" s="193" t="s">
        <v>3863</v>
      </c>
      <c r="D2570" s="195" t="s">
        <v>7131</v>
      </c>
      <c r="E2570" s="193" t="s">
        <v>154</v>
      </c>
      <c r="F2570" s="193" t="s">
        <v>114</v>
      </c>
      <c r="G2570" s="195" t="s">
        <v>11648</v>
      </c>
      <c r="H2570" s="166" t="s">
        <v>13436</v>
      </c>
      <c r="I2570" s="193" t="s">
        <v>12819</v>
      </c>
      <c r="J2570" s="193" t="s">
        <v>146</v>
      </c>
      <c r="K2570" s="170"/>
      <c r="L2570" s="193" t="s">
        <v>146</v>
      </c>
    </row>
    <row r="2571" spans="1:12" ht="15.75">
      <c r="A2571" s="67">
        <f t="shared" si="40"/>
        <v>2569</v>
      </c>
      <c r="B2571" s="164">
        <v>2569</v>
      </c>
      <c r="C2571" s="193" t="s">
        <v>3864</v>
      </c>
      <c r="D2571" s="195" t="s">
        <v>7132</v>
      </c>
      <c r="E2571" s="193" t="s">
        <v>9522</v>
      </c>
      <c r="F2571" s="193" t="s">
        <v>114</v>
      </c>
      <c r="G2571" s="195" t="s">
        <v>11649</v>
      </c>
      <c r="H2571" s="166" t="s">
        <v>13436</v>
      </c>
      <c r="I2571" s="193" t="s">
        <v>12812</v>
      </c>
      <c r="J2571" s="193" t="s">
        <v>146</v>
      </c>
      <c r="K2571" s="170"/>
      <c r="L2571" s="193" t="s">
        <v>146</v>
      </c>
    </row>
    <row r="2572" spans="1:12" ht="60">
      <c r="A2572" s="67">
        <f t="shared" si="40"/>
        <v>2570</v>
      </c>
      <c r="B2572" s="164">
        <v>2570</v>
      </c>
      <c r="C2572" s="193" t="s">
        <v>3865</v>
      </c>
      <c r="D2572" s="195" t="s">
        <v>7133</v>
      </c>
      <c r="E2572" s="193" t="s">
        <v>180</v>
      </c>
      <c r="F2572" s="193" t="s">
        <v>114</v>
      </c>
      <c r="G2572" s="195" t="s">
        <v>11650</v>
      </c>
      <c r="H2572" s="166" t="s">
        <v>13436</v>
      </c>
      <c r="I2572" s="193" t="s">
        <v>12814</v>
      </c>
      <c r="J2572" s="193" t="s">
        <v>146</v>
      </c>
      <c r="K2572" s="170"/>
      <c r="L2572" s="193" t="s">
        <v>13371</v>
      </c>
    </row>
    <row r="2573" spans="1:12" ht="30">
      <c r="A2573" s="67">
        <f t="shared" si="40"/>
        <v>2571</v>
      </c>
      <c r="B2573" s="164">
        <v>2571</v>
      </c>
      <c r="C2573" s="193" t="s">
        <v>3866</v>
      </c>
      <c r="D2573" s="195" t="s">
        <v>7134</v>
      </c>
      <c r="E2573" s="193" t="s">
        <v>9523</v>
      </c>
      <c r="F2573" s="193" t="s">
        <v>114</v>
      </c>
      <c r="G2573" s="195" t="s">
        <v>279</v>
      </c>
      <c r="H2573" s="166" t="s">
        <v>13436</v>
      </c>
      <c r="I2573" s="193" t="s">
        <v>12817</v>
      </c>
      <c r="J2573" s="193" t="s">
        <v>12701</v>
      </c>
      <c r="K2573" s="170"/>
      <c r="L2573" s="193" t="s">
        <v>146</v>
      </c>
    </row>
    <row r="2574" spans="1:12" ht="15.75">
      <c r="A2574" s="67">
        <f t="shared" si="40"/>
        <v>2572</v>
      </c>
      <c r="B2574" s="164">
        <v>2572</v>
      </c>
      <c r="C2574" s="193" t="s">
        <v>3867</v>
      </c>
      <c r="D2574" s="195" t="s">
        <v>7135</v>
      </c>
      <c r="E2574" s="193" t="s">
        <v>9524</v>
      </c>
      <c r="F2574" s="193" t="s">
        <v>114</v>
      </c>
      <c r="G2574" s="195" t="s">
        <v>11651</v>
      </c>
      <c r="H2574" s="166" t="s">
        <v>13436</v>
      </c>
      <c r="I2574" s="193" t="s">
        <v>12814</v>
      </c>
      <c r="J2574" s="193" t="s">
        <v>146</v>
      </c>
      <c r="K2574" s="170"/>
      <c r="L2574" s="193" t="s">
        <v>146</v>
      </c>
    </row>
    <row r="2575" spans="1:12" ht="15.75">
      <c r="A2575" s="67">
        <f t="shared" si="40"/>
        <v>2573</v>
      </c>
      <c r="B2575" s="164">
        <v>2573</v>
      </c>
      <c r="C2575" s="193" t="s">
        <v>3868</v>
      </c>
      <c r="D2575" s="195" t="s">
        <v>7136</v>
      </c>
      <c r="E2575" s="193" t="s">
        <v>9525</v>
      </c>
      <c r="F2575" s="193" t="s">
        <v>114</v>
      </c>
      <c r="G2575" s="195" t="s">
        <v>11652</v>
      </c>
      <c r="H2575" s="166" t="s">
        <v>13436</v>
      </c>
      <c r="I2575" s="193" t="s">
        <v>12814</v>
      </c>
      <c r="J2575" s="193" t="s">
        <v>146</v>
      </c>
      <c r="K2575" s="170"/>
      <c r="L2575" s="193" t="s">
        <v>146</v>
      </c>
    </row>
    <row r="2576" spans="1:12" ht="45">
      <c r="A2576" s="67">
        <f t="shared" si="40"/>
        <v>2574</v>
      </c>
      <c r="B2576" s="164">
        <v>2574</v>
      </c>
      <c r="C2576" s="193" t="s">
        <v>3869</v>
      </c>
      <c r="D2576" s="195" t="s">
        <v>7137</v>
      </c>
      <c r="E2576" s="193" t="s">
        <v>9526</v>
      </c>
      <c r="F2576" s="193" t="s">
        <v>114</v>
      </c>
      <c r="G2576" s="195" t="s">
        <v>1245</v>
      </c>
      <c r="H2576" s="166" t="s">
        <v>13436</v>
      </c>
      <c r="I2576" s="193" t="s">
        <v>12814</v>
      </c>
      <c r="J2576" s="193" t="s">
        <v>12702</v>
      </c>
      <c r="K2576" s="170"/>
      <c r="L2576" s="193" t="s">
        <v>146</v>
      </c>
    </row>
    <row r="2577" spans="1:12" ht="15.75">
      <c r="A2577" s="67">
        <f t="shared" si="40"/>
        <v>2575</v>
      </c>
      <c r="B2577" s="164">
        <v>2575</v>
      </c>
      <c r="C2577" s="193" t="s">
        <v>3870</v>
      </c>
      <c r="D2577" s="195" t="s">
        <v>7138</v>
      </c>
      <c r="E2577" s="193" t="s">
        <v>9527</v>
      </c>
      <c r="F2577" s="193" t="s">
        <v>114</v>
      </c>
      <c r="G2577" s="195" t="s">
        <v>11653</v>
      </c>
      <c r="H2577" s="166" t="s">
        <v>13436</v>
      </c>
      <c r="I2577" s="193" t="s">
        <v>12814</v>
      </c>
      <c r="J2577" s="219" t="s">
        <v>146</v>
      </c>
      <c r="K2577" s="170"/>
      <c r="L2577" s="219" t="s">
        <v>146</v>
      </c>
    </row>
    <row r="2578" spans="1:12" ht="15.75">
      <c r="A2578" s="67">
        <f t="shared" si="40"/>
        <v>2576</v>
      </c>
      <c r="B2578" s="164">
        <v>2576</v>
      </c>
      <c r="C2578" s="193" t="s">
        <v>3871</v>
      </c>
      <c r="D2578" s="195" t="s">
        <v>7139</v>
      </c>
      <c r="E2578" s="193" t="s">
        <v>9528</v>
      </c>
      <c r="F2578" s="193" t="s">
        <v>114</v>
      </c>
      <c r="G2578" s="195" t="s">
        <v>231</v>
      </c>
      <c r="H2578" s="166" t="s">
        <v>13436</v>
      </c>
      <c r="I2578" s="193" t="s">
        <v>12814</v>
      </c>
      <c r="J2578" s="193" t="s">
        <v>146</v>
      </c>
      <c r="K2578" s="170"/>
      <c r="L2578" s="193" t="s">
        <v>146</v>
      </c>
    </row>
    <row r="2579" spans="1:12" ht="15.75">
      <c r="A2579" s="67">
        <f t="shared" si="40"/>
        <v>2577</v>
      </c>
      <c r="B2579" s="164">
        <v>2577</v>
      </c>
      <c r="C2579" s="193" t="s">
        <v>3872</v>
      </c>
      <c r="D2579" s="195" t="s">
        <v>7140</v>
      </c>
      <c r="E2579" s="193" t="s">
        <v>212</v>
      </c>
      <c r="F2579" s="193" t="s">
        <v>59</v>
      </c>
      <c r="G2579" s="195" t="s">
        <v>11654</v>
      </c>
      <c r="H2579" s="166" t="s">
        <v>13436</v>
      </c>
      <c r="I2579" s="193" t="s">
        <v>12817</v>
      </c>
      <c r="J2579" s="193" t="s">
        <v>146</v>
      </c>
      <c r="K2579" s="170"/>
      <c r="L2579" s="193"/>
    </row>
    <row r="2580" spans="1:12" ht="30">
      <c r="A2580" s="67">
        <f t="shared" si="40"/>
        <v>2578</v>
      </c>
      <c r="B2580" s="164">
        <v>2578</v>
      </c>
      <c r="C2580" s="193" t="s">
        <v>3873</v>
      </c>
      <c r="D2580" s="195" t="s">
        <v>7141</v>
      </c>
      <c r="E2580" s="193" t="s">
        <v>636</v>
      </c>
      <c r="F2580" s="193" t="s">
        <v>114</v>
      </c>
      <c r="G2580" s="195" t="s">
        <v>11655</v>
      </c>
      <c r="H2580" s="166" t="s">
        <v>13436</v>
      </c>
      <c r="I2580" s="193" t="s">
        <v>12814</v>
      </c>
      <c r="J2580" s="193" t="s">
        <v>1268</v>
      </c>
      <c r="K2580" s="170"/>
      <c r="L2580" s="193" t="s">
        <v>146</v>
      </c>
    </row>
    <row r="2581" spans="1:12" ht="15.75">
      <c r="A2581" s="67">
        <f t="shared" si="40"/>
        <v>2579</v>
      </c>
      <c r="B2581" s="164">
        <v>2579</v>
      </c>
      <c r="C2581" s="193" t="s">
        <v>3874</v>
      </c>
      <c r="D2581" s="195" t="s">
        <v>7142</v>
      </c>
      <c r="E2581" s="193" t="s">
        <v>8441</v>
      </c>
      <c r="F2581" s="193" t="s">
        <v>59</v>
      </c>
      <c r="G2581" s="195" t="s">
        <v>11656</v>
      </c>
      <c r="H2581" s="166" t="s">
        <v>13436</v>
      </c>
      <c r="I2581" s="193" t="s">
        <v>12817</v>
      </c>
      <c r="J2581" s="193" t="s">
        <v>147</v>
      </c>
      <c r="K2581" s="170"/>
      <c r="L2581" s="193"/>
    </row>
    <row r="2582" spans="1:12" ht="15.75">
      <c r="A2582" s="67">
        <f t="shared" si="40"/>
        <v>2580</v>
      </c>
      <c r="B2582" s="164">
        <v>2580</v>
      </c>
      <c r="C2582" s="193" t="s">
        <v>3875</v>
      </c>
      <c r="D2582" s="195" t="s">
        <v>7143</v>
      </c>
      <c r="E2582" s="193" t="s">
        <v>9529</v>
      </c>
      <c r="F2582" s="193" t="s">
        <v>59</v>
      </c>
      <c r="G2582" s="195" t="s">
        <v>11657</v>
      </c>
      <c r="H2582" s="166" t="s">
        <v>13436</v>
      </c>
      <c r="I2582" s="193" t="s">
        <v>12817</v>
      </c>
      <c r="J2582" s="193" t="s">
        <v>146</v>
      </c>
      <c r="K2582" s="170"/>
      <c r="L2582" s="193"/>
    </row>
    <row r="2583" spans="1:12" ht="15.75">
      <c r="A2583" s="67">
        <f t="shared" si="40"/>
        <v>2581</v>
      </c>
      <c r="B2583" s="164">
        <v>2581</v>
      </c>
      <c r="C2583" s="193" t="s">
        <v>3876</v>
      </c>
      <c r="D2583" s="195" t="s">
        <v>7144</v>
      </c>
      <c r="E2583" s="193" t="s">
        <v>8626</v>
      </c>
      <c r="F2583" s="193" t="s">
        <v>114</v>
      </c>
      <c r="G2583" s="195" t="s">
        <v>301</v>
      </c>
      <c r="H2583" s="166" t="s">
        <v>13436</v>
      </c>
      <c r="I2583" s="193" t="s">
        <v>12827</v>
      </c>
      <c r="J2583" s="193" t="s">
        <v>146</v>
      </c>
      <c r="K2583" s="170"/>
      <c r="L2583" s="193" t="s">
        <v>146</v>
      </c>
    </row>
    <row r="2584" spans="1:12" ht="15.75">
      <c r="A2584" s="67">
        <f t="shared" si="40"/>
        <v>2582</v>
      </c>
      <c r="B2584" s="164">
        <v>2582</v>
      </c>
      <c r="C2584" s="193" t="s">
        <v>3877</v>
      </c>
      <c r="D2584" s="195" t="s">
        <v>7145</v>
      </c>
      <c r="E2584" s="193" t="s">
        <v>533</v>
      </c>
      <c r="F2584" s="193" t="s">
        <v>114</v>
      </c>
      <c r="G2584" s="195" t="s">
        <v>11658</v>
      </c>
      <c r="H2584" s="166" t="s">
        <v>13436</v>
      </c>
      <c r="I2584" s="193" t="s">
        <v>12814</v>
      </c>
      <c r="J2584" s="219" t="s">
        <v>146</v>
      </c>
      <c r="K2584" s="170"/>
      <c r="L2584" s="219" t="s">
        <v>146</v>
      </c>
    </row>
    <row r="2585" spans="1:12" ht="15.75">
      <c r="A2585" s="67">
        <f t="shared" si="40"/>
        <v>2583</v>
      </c>
      <c r="B2585" s="164">
        <v>2583</v>
      </c>
      <c r="C2585" s="193" t="s">
        <v>3878</v>
      </c>
      <c r="D2585" s="195" t="s">
        <v>7146</v>
      </c>
      <c r="E2585" s="193" t="s">
        <v>9530</v>
      </c>
      <c r="F2585" s="193" t="s">
        <v>114</v>
      </c>
      <c r="G2585" s="195" t="s">
        <v>1136</v>
      </c>
      <c r="H2585" s="166" t="s">
        <v>13436</v>
      </c>
      <c r="I2585" s="193" t="s">
        <v>12814</v>
      </c>
      <c r="J2585" s="193" t="s">
        <v>146</v>
      </c>
      <c r="K2585" s="170"/>
      <c r="L2585" s="193" t="s">
        <v>146</v>
      </c>
    </row>
    <row r="2586" spans="1:12" ht="30">
      <c r="A2586" s="67">
        <f t="shared" si="40"/>
        <v>2584</v>
      </c>
      <c r="B2586" s="164">
        <v>2584</v>
      </c>
      <c r="C2586" s="193" t="s">
        <v>3879</v>
      </c>
      <c r="D2586" s="195" t="s">
        <v>7147</v>
      </c>
      <c r="E2586" s="193" t="s">
        <v>9531</v>
      </c>
      <c r="F2586" s="193" t="s">
        <v>114</v>
      </c>
      <c r="G2586" s="195" t="s">
        <v>11659</v>
      </c>
      <c r="H2586" s="166" t="s">
        <v>13436</v>
      </c>
      <c r="I2586" s="193" t="s">
        <v>12814</v>
      </c>
      <c r="J2586" s="193" t="s">
        <v>12476</v>
      </c>
      <c r="K2586" s="170"/>
      <c r="L2586" s="193" t="s">
        <v>146</v>
      </c>
    </row>
    <row r="2587" spans="1:12" ht="30">
      <c r="A2587" s="67">
        <f t="shared" si="40"/>
        <v>2585</v>
      </c>
      <c r="B2587" s="164">
        <v>2585</v>
      </c>
      <c r="C2587" s="193" t="s">
        <v>3880</v>
      </c>
      <c r="D2587" s="195" t="s">
        <v>7148</v>
      </c>
      <c r="E2587" s="193" t="s">
        <v>8334</v>
      </c>
      <c r="F2587" s="193" t="s">
        <v>114</v>
      </c>
      <c r="G2587" s="195" t="s">
        <v>11660</v>
      </c>
      <c r="H2587" s="166" t="s">
        <v>13436</v>
      </c>
      <c r="I2587" s="193" t="s">
        <v>12814</v>
      </c>
      <c r="J2587" s="193" t="s">
        <v>12703</v>
      </c>
      <c r="K2587" s="170"/>
      <c r="L2587" s="193" t="s">
        <v>146</v>
      </c>
    </row>
    <row r="2588" spans="1:12" ht="15.75">
      <c r="A2588" s="67">
        <f t="shared" si="40"/>
        <v>2586</v>
      </c>
      <c r="B2588" s="164">
        <v>2586</v>
      </c>
      <c r="C2588" s="193" t="s">
        <v>3881</v>
      </c>
      <c r="D2588" s="197" t="s">
        <v>7149</v>
      </c>
      <c r="E2588" s="193" t="s">
        <v>489</v>
      </c>
      <c r="F2588" s="193" t="s">
        <v>59</v>
      </c>
      <c r="G2588" s="195" t="s">
        <v>11661</v>
      </c>
      <c r="H2588" s="166" t="s">
        <v>13436</v>
      </c>
      <c r="I2588" s="193" t="s">
        <v>12816</v>
      </c>
      <c r="J2588" s="219" t="s">
        <v>146</v>
      </c>
      <c r="K2588" s="170"/>
      <c r="L2588" s="193"/>
    </row>
    <row r="2589" spans="1:12" ht="30">
      <c r="A2589" s="67">
        <f t="shared" si="40"/>
        <v>2587</v>
      </c>
      <c r="B2589" s="164">
        <v>2587</v>
      </c>
      <c r="C2589" s="193" t="s">
        <v>3882</v>
      </c>
      <c r="D2589" s="195" t="s">
        <v>7150</v>
      </c>
      <c r="E2589" s="193" t="s">
        <v>9532</v>
      </c>
      <c r="F2589" s="193" t="s">
        <v>114</v>
      </c>
      <c r="G2589" s="195" t="s">
        <v>1192</v>
      </c>
      <c r="H2589" s="166" t="s">
        <v>13436</v>
      </c>
      <c r="I2589" s="193" t="s">
        <v>12827</v>
      </c>
      <c r="J2589" s="193" t="s">
        <v>1280</v>
      </c>
      <c r="K2589" s="170"/>
      <c r="L2589" s="193" t="s">
        <v>146</v>
      </c>
    </row>
    <row r="2590" spans="1:12" ht="15.75">
      <c r="A2590" s="67">
        <f t="shared" si="40"/>
        <v>2588</v>
      </c>
      <c r="B2590" s="164">
        <v>2588</v>
      </c>
      <c r="C2590" s="193" t="s">
        <v>3883</v>
      </c>
      <c r="D2590" s="195" t="s">
        <v>7151</v>
      </c>
      <c r="E2590" s="193" t="s">
        <v>9533</v>
      </c>
      <c r="F2590" s="193" t="s">
        <v>59</v>
      </c>
      <c r="G2590" s="195" t="s">
        <v>11662</v>
      </c>
      <c r="H2590" s="166" t="s">
        <v>13436</v>
      </c>
      <c r="I2590" s="193" t="s">
        <v>12812</v>
      </c>
      <c r="J2590" s="219" t="s">
        <v>147</v>
      </c>
      <c r="K2590" s="170"/>
      <c r="L2590" s="193"/>
    </row>
    <row r="2591" spans="1:12" ht="15.75">
      <c r="A2591" s="67">
        <f t="shared" si="40"/>
        <v>2589</v>
      </c>
      <c r="B2591" s="164">
        <v>2589</v>
      </c>
      <c r="C2591" s="193" t="s">
        <v>3884</v>
      </c>
      <c r="D2591" s="195" t="s">
        <v>7152</v>
      </c>
      <c r="E2591" s="193" t="s">
        <v>9534</v>
      </c>
      <c r="F2591" s="193" t="s">
        <v>114</v>
      </c>
      <c r="G2591" s="195" t="s">
        <v>1088</v>
      </c>
      <c r="H2591" s="166" t="s">
        <v>13436</v>
      </c>
      <c r="I2591" s="193" t="s">
        <v>12814</v>
      </c>
      <c r="J2591" s="193" t="s">
        <v>146</v>
      </c>
      <c r="K2591" s="170"/>
      <c r="L2591" s="193" t="s">
        <v>146</v>
      </c>
    </row>
    <row r="2592" spans="1:12" ht="45">
      <c r="A2592" s="67">
        <f t="shared" si="40"/>
        <v>2590</v>
      </c>
      <c r="B2592" s="164">
        <v>2590</v>
      </c>
      <c r="C2592" s="193" t="s">
        <v>3885</v>
      </c>
      <c r="D2592" s="195" t="s">
        <v>7153</v>
      </c>
      <c r="E2592" s="193" t="s">
        <v>9535</v>
      </c>
      <c r="F2592" s="193" t="s">
        <v>59</v>
      </c>
      <c r="G2592" s="195" t="s">
        <v>11663</v>
      </c>
      <c r="H2592" s="166" t="s">
        <v>13436</v>
      </c>
      <c r="I2592" s="193" t="s">
        <v>12817</v>
      </c>
      <c r="J2592" s="193" t="s">
        <v>12704</v>
      </c>
      <c r="K2592" s="170"/>
      <c r="L2592" s="193"/>
    </row>
    <row r="2593" spans="1:12" ht="30">
      <c r="A2593" s="67">
        <f t="shared" si="40"/>
        <v>2591</v>
      </c>
      <c r="B2593" s="164">
        <v>2591</v>
      </c>
      <c r="C2593" s="193" t="s">
        <v>3886</v>
      </c>
      <c r="D2593" s="195" t="s">
        <v>7154</v>
      </c>
      <c r="E2593" s="193" t="s">
        <v>9536</v>
      </c>
      <c r="F2593" s="193" t="s">
        <v>59</v>
      </c>
      <c r="G2593" s="195" t="s">
        <v>11664</v>
      </c>
      <c r="H2593" s="166" t="s">
        <v>13436</v>
      </c>
      <c r="I2593" s="193" t="s">
        <v>12821</v>
      </c>
      <c r="J2593" s="193" t="s">
        <v>12705</v>
      </c>
      <c r="K2593" s="170"/>
      <c r="L2593" s="193"/>
    </row>
    <row r="2594" spans="1:12" ht="15.75">
      <c r="A2594" s="67">
        <f t="shared" si="40"/>
        <v>2592</v>
      </c>
      <c r="B2594" s="164">
        <v>2592</v>
      </c>
      <c r="C2594" s="193" t="s">
        <v>3887</v>
      </c>
      <c r="D2594" s="195" t="s">
        <v>7155</v>
      </c>
      <c r="E2594" s="193" t="s">
        <v>9537</v>
      </c>
      <c r="F2594" s="193" t="s">
        <v>114</v>
      </c>
      <c r="G2594" s="195" t="s">
        <v>11626</v>
      </c>
      <c r="H2594" s="166" t="s">
        <v>13436</v>
      </c>
      <c r="I2594" s="193" t="s">
        <v>12821</v>
      </c>
      <c r="J2594" s="219" t="s">
        <v>146</v>
      </c>
      <c r="K2594" s="170"/>
      <c r="L2594" s="193" t="s">
        <v>146</v>
      </c>
    </row>
    <row r="2595" spans="1:12" ht="15.75">
      <c r="A2595" s="67">
        <f t="shared" si="40"/>
        <v>2593</v>
      </c>
      <c r="B2595" s="164">
        <v>2593</v>
      </c>
      <c r="C2595" s="193" t="s">
        <v>3888</v>
      </c>
      <c r="D2595" s="195" t="s">
        <v>7156</v>
      </c>
      <c r="E2595" s="193" t="s">
        <v>9538</v>
      </c>
      <c r="F2595" s="193" t="s">
        <v>59</v>
      </c>
      <c r="G2595" s="195" t="s">
        <v>1104</v>
      </c>
      <c r="H2595" s="166" t="s">
        <v>13436</v>
      </c>
      <c r="I2595" s="193" t="s">
        <v>12821</v>
      </c>
      <c r="J2595" s="193" t="s">
        <v>146</v>
      </c>
      <c r="K2595" s="170"/>
      <c r="L2595" s="193"/>
    </row>
    <row r="2596" spans="1:12" ht="30">
      <c r="A2596" s="67">
        <f t="shared" si="40"/>
        <v>2594</v>
      </c>
      <c r="B2596" s="164">
        <v>2594</v>
      </c>
      <c r="C2596" s="193" t="s">
        <v>3889</v>
      </c>
      <c r="D2596" s="195" t="s">
        <v>7157</v>
      </c>
      <c r="E2596" s="193" t="s">
        <v>9539</v>
      </c>
      <c r="F2596" s="193" t="s">
        <v>114</v>
      </c>
      <c r="G2596" s="195" t="s">
        <v>914</v>
      </c>
      <c r="H2596" s="166" t="s">
        <v>13436</v>
      </c>
      <c r="I2596" s="193" t="s">
        <v>12814</v>
      </c>
      <c r="J2596" s="193" t="s">
        <v>12706</v>
      </c>
      <c r="K2596" s="168"/>
      <c r="L2596" s="193" t="s">
        <v>146</v>
      </c>
    </row>
    <row r="2597" spans="1:12" ht="15">
      <c r="A2597" s="67">
        <f t="shared" si="40"/>
        <v>2595</v>
      </c>
      <c r="B2597" s="164">
        <v>2595</v>
      </c>
      <c r="C2597" s="193" t="s">
        <v>3890</v>
      </c>
      <c r="D2597" s="195" t="s">
        <v>7158</v>
      </c>
      <c r="E2597" s="193" t="s">
        <v>9540</v>
      </c>
      <c r="F2597" s="193" t="s">
        <v>114</v>
      </c>
      <c r="G2597" s="195" t="s">
        <v>863</v>
      </c>
      <c r="H2597" s="166" t="s">
        <v>13436</v>
      </c>
      <c r="I2597" s="193" t="s">
        <v>12819</v>
      </c>
      <c r="J2597" s="193" t="s">
        <v>146</v>
      </c>
      <c r="K2597" s="168"/>
      <c r="L2597" s="193" t="s">
        <v>146</v>
      </c>
    </row>
    <row r="2598" spans="1:12" ht="15">
      <c r="A2598" s="67">
        <f t="shared" si="40"/>
        <v>2596</v>
      </c>
      <c r="B2598" s="164">
        <v>2596</v>
      </c>
      <c r="C2598" s="193" t="s">
        <v>3891</v>
      </c>
      <c r="D2598" s="195" t="s">
        <v>7159</v>
      </c>
      <c r="E2598" s="193" t="s">
        <v>8043</v>
      </c>
      <c r="F2598" s="193" t="s">
        <v>114</v>
      </c>
      <c r="G2598" s="195" t="s">
        <v>1009</v>
      </c>
      <c r="H2598" s="166" t="s">
        <v>13436</v>
      </c>
      <c r="I2598" s="193" t="s">
        <v>12836</v>
      </c>
      <c r="J2598" s="219" t="s">
        <v>146</v>
      </c>
      <c r="K2598" s="168"/>
      <c r="L2598" s="193" t="s">
        <v>146</v>
      </c>
    </row>
    <row r="2599" spans="1:12" ht="15">
      <c r="A2599" s="67">
        <f t="shared" si="40"/>
        <v>2597</v>
      </c>
      <c r="B2599" s="164">
        <v>2597</v>
      </c>
      <c r="C2599" s="193" t="s">
        <v>3892</v>
      </c>
      <c r="D2599" s="195" t="s">
        <v>7160</v>
      </c>
      <c r="E2599" s="193" t="s">
        <v>9541</v>
      </c>
      <c r="F2599" s="193" t="s">
        <v>114</v>
      </c>
      <c r="G2599" s="195" t="s">
        <v>947</v>
      </c>
      <c r="H2599" s="166" t="s">
        <v>13436</v>
      </c>
      <c r="I2599" s="193" t="s">
        <v>12838</v>
      </c>
      <c r="J2599" s="193" t="s">
        <v>146</v>
      </c>
      <c r="K2599" s="168"/>
      <c r="L2599" s="193" t="s">
        <v>146</v>
      </c>
    </row>
    <row r="2600" spans="1:12" ht="45">
      <c r="A2600" s="67">
        <f t="shared" si="40"/>
        <v>2598</v>
      </c>
      <c r="B2600" s="164">
        <v>2598</v>
      </c>
      <c r="C2600" s="193" t="s">
        <v>3893</v>
      </c>
      <c r="D2600" s="195" t="s">
        <v>7161</v>
      </c>
      <c r="E2600" s="193" t="s">
        <v>9542</v>
      </c>
      <c r="F2600" s="193" t="s">
        <v>114</v>
      </c>
      <c r="G2600" s="195" t="s">
        <v>909</v>
      </c>
      <c r="H2600" s="166" t="s">
        <v>13436</v>
      </c>
      <c r="I2600" s="193" t="s">
        <v>12817</v>
      </c>
      <c r="J2600" s="219" t="s">
        <v>12707</v>
      </c>
      <c r="K2600" s="168"/>
      <c r="L2600" s="219" t="s">
        <v>13372</v>
      </c>
    </row>
    <row r="2601" spans="1:12" ht="15">
      <c r="A2601" s="67">
        <f t="shared" si="40"/>
        <v>2599</v>
      </c>
      <c r="B2601" s="164">
        <v>2599</v>
      </c>
      <c r="C2601" s="193" t="s">
        <v>3894</v>
      </c>
      <c r="D2601" s="195" t="s">
        <v>7162</v>
      </c>
      <c r="E2601" s="193" t="s">
        <v>8003</v>
      </c>
      <c r="F2601" s="193" t="s">
        <v>114</v>
      </c>
      <c r="G2601" s="195" t="s">
        <v>1173</v>
      </c>
      <c r="H2601" s="166" t="s">
        <v>13436</v>
      </c>
      <c r="I2601" s="193" t="s">
        <v>12814</v>
      </c>
      <c r="J2601" s="193" t="s">
        <v>146</v>
      </c>
      <c r="K2601" s="168"/>
      <c r="L2601" s="193" t="s">
        <v>146</v>
      </c>
    </row>
    <row r="2602" spans="1:12" ht="15">
      <c r="A2602" s="67">
        <f t="shared" si="40"/>
        <v>2600</v>
      </c>
      <c r="B2602" s="164">
        <v>2600</v>
      </c>
      <c r="C2602" s="193" t="s">
        <v>3895</v>
      </c>
      <c r="D2602" s="195" t="s">
        <v>7163</v>
      </c>
      <c r="E2602" s="193" t="s">
        <v>576</v>
      </c>
      <c r="F2602" s="193" t="s">
        <v>114</v>
      </c>
      <c r="G2602" s="195" t="s">
        <v>11665</v>
      </c>
      <c r="H2602" s="166" t="s">
        <v>13436</v>
      </c>
      <c r="I2602" s="193" t="s">
        <v>12814</v>
      </c>
      <c r="J2602" s="193" t="s">
        <v>146</v>
      </c>
      <c r="K2602" s="168"/>
      <c r="L2602" s="193" t="s">
        <v>146</v>
      </c>
    </row>
    <row r="2603" spans="1:12" ht="30">
      <c r="A2603" s="67">
        <f t="shared" si="40"/>
        <v>2601</v>
      </c>
      <c r="B2603" s="164">
        <v>2601</v>
      </c>
      <c r="C2603" s="193" t="s">
        <v>3896</v>
      </c>
      <c r="D2603" s="195" t="s">
        <v>7164</v>
      </c>
      <c r="E2603" s="193" t="s">
        <v>9543</v>
      </c>
      <c r="F2603" s="193" t="s">
        <v>114</v>
      </c>
      <c r="G2603" s="195" t="s">
        <v>11666</v>
      </c>
      <c r="H2603" s="166" t="s">
        <v>13436</v>
      </c>
      <c r="I2603" s="193" t="s">
        <v>12821</v>
      </c>
      <c r="J2603" s="193" t="s">
        <v>1288</v>
      </c>
      <c r="K2603" s="168"/>
      <c r="L2603" s="193" t="s">
        <v>146</v>
      </c>
    </row>
    <row r="2604" spans="1:12" ht="15">
      <c r="A2604" s="67">
        <f t="shared" si="40"/>
        <v>2602</v>
      </c>
      <c r="B2604" s="164">
        <v>2602</v>
      </c>
      <c r="C2604" s="193" t="s">
        <v>3897</v>
      </c>
      <c r="D2604" s="195" t="s">
        <v>7165</v>
      </c>
      <c r="E2604" s="193" t="s">
        <v>9544</v>
      </c>
      <c r="F2604" s="193" t="s">
        <v>59</v>
      </c>
      <c r="G2604" s="195" t="s">
        <v>936</v>
      </c>
      <c r="H2604" s="166" t="s">
        <v>13436</v>
      </c>
      <c r="I2604" s="193" t="s">
        <v>12832</v>
      </c>
      <c r="J2604" s="193" t="s">
        <v>147</v>
      </c>
      <c r="K2604" s="168"/>
      <c r="L2604" s="193"/>
    </row>
    <row r="2605" spans="1:12" ht="15">
      <c r="A2605" s="67">
        <f t="shared" si="40"/>
        <v>2603</v>
      </c>
      <c r="B2605" s="164">
        <v>2603</v>
      </c>
      <c r="C2605" s="193" t="s">
        <v>3898</v>
      </c>
      <c r="D2605" s="195" t="s">
        <v>7166</v>
      </c>
      <c r="E2605" s="193" t="s">
        <v>660</v>
      </c>
      <c r="F2605" s="193" t="s">
        <v>114</v>
      </c>
      <c r="G2605" s="195" t="s">
        <v>1023</v>
      </c>
      <c r="H2605" s="166" t="s">
        <v>13436</v>
      </c>
      <c r="I2605" s="193" t="s">
        <v>12814</v>
      </c>
      <c r="J2605" s="193" t="s">
        <v>146</v>
      </c>
      <c r="K2605" s="168"/>
      <c r="L2605" s="193" t="s">
        <v>146</v>
      </c>
    </row>
    <row r="2606" spans="1:12" ht="15">
      <c r="A2606" s="67">
        <f t="shared" si="40"/>
        <v>2604</v>
      </c>
      <c r="B2606" s="164">
        <v>2604</v>
      </c>
      <c r="C2606" s="193" t="s">
        <v>3899</v>
      </c>
      <c r="D2606" s="195" t="s">
        <v>7167</v>
      </c>
      <c r="E2606" s="193" t="s">
        <v>165</v>
      </c>
      <c r="F2606" s="193" t="s">
        <v>114</v>
      </c>
      <c r="G2606" s="195" t="s">
        <v>11667</v>
      </c>
      <c r="H2606" s="166" t="s">
        <v>13436</v>
      </c>
      <c r="I2606" s="193" t="s">
        <v>12819</v>
      </c>
      <c r="J2606" s="193" t="s">
        <v>146</v>
      </c>
      <c r="K2606" s="168"/>
      <c r="L2606" s="193" t="s">
        <v>146</v>
      </c>
    </row>
    <row r="2607" spans="1:12" ht="30">
      <c r="A2607" s="67">
        <f t="shared" si="40"/>
        <v>2605</v>
      </c>
      <c r="B2607" s="164">
        <v>2605</v>
      </c>
      <c r="C2607" s="193" t="s">
        <v>3900</v>
      </c>
      <c r="D2607" s="195" t="s">
        <v>7168</v>
      </c>
      <c r="E2607" s="193" t="s">
        <v>9545</v>
      </c>
      <c r="F2607" s="193" t="s">
        <v>114</v>
      </c>
      <c r="G2607" s="195" t="s">
        <v>1243</v>
      </c>
      <c r="H2607" s="166" t="s">
        <v>13436</v>
      </c>
      <c r="I2607" s="193" t="s">
        <v>12821</v>
      </c>
      <c r="J2607" s="193" t="s">
        <v>1252</v>
      </c>
      <c r="K2607" s="168"/>
      <c r="L2607" s="193" t="s">
        <v>13373</v>
      </c>
    </row>
    <row r="2608" spans="1:12" ht="15">
      <c r="A2608" s="67">
        <f t="shared" si="40"/>
        <v>2606</v>
      </c>
      <c r="B2608" s="164">
        <v>2606</v>
      </c>
      <c r="C2608" s="193" t="s">
        <v>3901</v>
      </c>
      <c r="D2608" s="195" t="s">
        <v>7169</v>
      </c>
      <c r="E2608" s="193" t="s">
        <v>623</v>
      </c>
      <c r="F2608" s="193" t="s">
        <v>114</v>
      </c>
      <c r="G2608" s="195" t="s">
        <v>1241</v>
      </c>
      <c r="H2608" s="166" t="s">
        <v>13436</v>
      </c>
      <c r="I2608" s="193" t="s">
        <v>12819</v>
      </c>
      <c r="J2608" s="219" t="s">
        <v>146</v>
      </c>
      <c r="K2608" s="168"/>
      <c r="L2608" s="219" t="s">
        <v>146</v>
      </c>
    </row>
    <row r="2609" spans="1:12" ht="30">
      <c r="A2609" s="67">
        <f t="shared" si="40"/>
        <v>2607</v>
      </c>
      <c r="B2609" s="164">
        <v>2607</v>
      </c>
      <c r="C2609" s="193" t="s">
        <v>3902</v>
      </c>
      <c r="D2609" s="195" t="s">
        <v>7170</v>
      </c>
      <c r="E2609" s="193" t="s">
        <v>307</v>
      </c>
      <c r="F2609" s="193" t="s">
        <v>114</v>
      </c>
      <c r="G2609" s="195" t="s">
        <v>11668</v>
      </c>
      <c r="H2609" s="166" t="s">
        <v>13436</v>
      </c>
      <c r="I2609" s="193" t="s">
        <v>12819</v>
      </c>
      <c r="J2609" s="193" t="s">
        <v>12708</v>
      </c>
      <c r="K2609" s="168"/>
      <c r="L2609" s="193" t="s">
        <v>146</v>
      </c>
    </row>
    <row r="2610" spans="1:12" ht="15">
      <c r="A2610" s="67">
        <f t="shared" si="40"/>
        <v>2608</v>
      </c>
      <c r="B2610" s="164">
        <v>2608</v>
      </c>
      <c r="C2610" s="193" t="s">
        <v>3903</v>
      </c>
      <c r="D2610" s="195" t="s">
        <v>7171</v>
      </c>
      <c r="E2610" s="193" t="s">
        <v>9546</v>
      </c>
      <c r="F2610" s="193" t="s">
        <v>114</v>
      </c>
      <c r="G2610" s="195" t="s">
        <v>11297</v>
      </c>
      <c r="H2610" s="166" t="s">
        <v>13436</v>
      </c>
      <c r="I2610" s="193" t="s">
        <v>12819</v>
      </c>
      <c r="J2610" s="193" t="s">
        <v>146</v>
      </c>
      <c r="K2610" s="168"/>
      <c r="L2610" s="193" t="s">
        <v>146</v>
      </c>
    </row>
    <row r="2611" spans="1:12" ht="15">
      <c r="A2611" s="67">
        <f t="shared" si="40"/>
        <v>2609</v>
      </c>
      <c r="B2611" s="164">
        <v>2609</v>
      </c>
      <c r="C2611" s="193" t="s">
        <v>3904</v>
      </c>
      <c r="D2611" s="195" t="s">
        <v>7172</v>
      </c>
      <c r="E2611" s="193" t="s">
        <v>9547</v>
      </c>
      <c r="F2611" s="193" t="s">
        <v>114</v>
      </c>
      <c r="G2611" s="195" t="s">
        <v>11669</v>
      </c>
      <c r="H2611" s="166" t="s">
        <v>13436</v>
      </c>
      <c r="I2611" s="193" t="s">
        <v>12819</v>
      </c>
      <c r="J2611" s="193" t="s">
        <v>146</v>
      </c>
      <c r="K2611" s="168"/>
      <c r="L2611" s="193" t="s">
        <v>146</v>
      </c>
    </row>
    <row r="2612" spans="1:12" ht="15">
      <c r="A2612" s="67">
        <f t="shared" si="40"/>
        <v>2610</v>
      </c>
      <c r="B2612" s="164">
        <v>2610</v>
      </c>
      <c r="C2612" s="193" t="s">
        <v>3905</v>
      </c>
      <c r="D2612" s="195" t="s">
        <v>7173</v>
      </c>
      <c r="E2612" s="193" t="s">
        <v>9548</v>
      </c>
      <c r="F2612" s="193" t="s">
        <v>59</v>
      </c>
      <c r="G2612" s="195" t="s">
        <v>11670</v>
      </c>
      <c r="H2612" s="166" t="s">
        <v>13436</v>
      </c>
      <c r="I2612" s="193" t="s">
        <v>12821</v>
      </c>
      <c r="J2612" s="193" t="s">
        <v>147</v>
      </c>
      <c r="K2612" s="168"/>
      <c r="L2612" s="193"/>
    </row>
    <row r="2613" spans="1:12" ht="15">
      <c r="A2613" s="67">
        <f t="shared" si="40"/>
        <v>2611</v>
      </c>
      <c r="B2613" s="164">
        <v>2611</v>
      </c>
      <c r="C2613" s="193" t="s">
        <v>3906</v>
      </c>
      <c r="D2613" s="208" t="s">
        <v>7174</v>
      </c>
      <c r="E2613" s="193" t="s">
        <v>9549</v>
      </c>
      <c r="F2613" s="193" t="s">
        <v>114</v>
      </c>
      <c r="G2613" s="195" t="s">
        <v>11671</v>
      </c>
      <c r="H2613" s="166" t="s">
        <v>13436</v>
      </c>
      <c r="I2613" s="193" t="s">
        <v>12816</v>
      </c>
      <c r="J2613" s="193" t="s">
        <v>146</v>
      </c>
      <c r="K2613" s="168"/>
      <c r="L2613" s="193" t="s">
        <v>146</v>
      </c>
    </row>
    <row r="2614" spans="1:12" ht="15">
      <c r="A2614" s="67">
        <f t="shared" si="40"/>
        <v>2612</v>
      </c>
      <c r="B2614" s="164">
        <v>2612</v>
      </c>
      <c r="C2614" s="193" t="s">
        <v>3907</v>
      </c>
      <c r="D2614" s="195" t="s">
        <v>7175</v>
      </c>
      <c r="E2614" s="193" t="s">
        <v>9550</v>
      </c>
      <c r="F2614" s="193" t="s">
        <v>114</v>
      </c>
      <c r="G2614" s="195" t="s">
        <v>11672</v>
      </c>
      <c r="H2614" s="166" t="s">
        <v>13436</v>
      </c>
      <c r="I2614" s="193" t="s">
        <v>12814</v>
      </c>
      <c r="J2614" s="219" t="s">
        <v>146</v>
      </c>
      <c r="K2614" s="168"/>
      <c r="L2614" s="219" t="s">
        <v>146</v>
      </c>
    </row>
    <row r="2615" spans="1:12" ht="60">
      <c r="A2615" s="67">
        <f t="shared" si="40"/>
        <v>2613</v>
      </c>
      <c r="B2615" s="164">
        <v>2613</v>
      </c>
      <c r="C2615" s="193" t="s">
        <v>3908</v>
      </c>
      <c r="D2615" s="195" t="s">
        <v>7176</v>
      </c>
      <c r="E2615" s="193" t="s">
        <v>9551</v>
      </c>
      <c r="F2615" s="193" t="s">
        <v>114</v>
      </c>
      <c r="G2615" s="195" t="s">
        <v>11673</v>
      </c>
      <c r="H2615" s="166" t="s">
        <v>13436</v>
      </c>
      <c r="I2615" s="193" t="s">
        <v>12814</v>
      </c>
      <c r="J2615" s="193" t="s">
        <v>146</v>
      </c>
      <c r="K2615" s="168"/>
      <c r="L2615" s="193" t="s">
        <v>13374</v>
      </c>
    </row>
    <row r="2616" spans="1:12" ht="30">
      <c r="A2616" s="67">
        <f t="shared" si="40"/>
        <v>2614</v>
      </c>
      <c r="B2616" s="164">
        <v>2614</v>
      </c>
      <c r="C2616" s="193" t="s">
        <v>3909</v>
      </c>
      <c r="D2616" s="195" t="s">
        <v>7177</v>
      </c>
      <c r="E2616" s="193" t="s">
        <v>9552</v>
      </c>
      <c r="F2616" s="193" t="s">
        <v>114</v>
      </c>
      <c r="G2616" s="195" t="s">
        <v>11236</v>
      </c>
      <c r="H2616" s="166" t="s">
        <v>13436</v>
      </c>
      <c r="I2616" s="193" t="s">
        <v>12814</v>
      </c>
      <c r="J2616" s="193" t="s">
        <v>12709</v>
      </c>
      <c r="K2616" s="168"/>
      <c r="L2616" s="193" t="s">
        <v>146</v>
      </c>
    </row>
    <row r="2617" spans="1:12" ht="15">
      <c r="A2617" s="67">
        <f t="shared" si="40"/>
        <v>2615</v>
      </c>
      <c r="B2617" s="164">
        <v>2615</v>
      </c>
      <c r="C2617" s="193" t="s">
        <v>3910</v>
      </c>
      <c r="D2617" s="195" t="s">
        <v>7178</v>
      </c>
      <c r="E2617" s="193" t="s">
        <v>9553</v>
      </c>
      <c r="F2617" s="193" t="s">
        <v>114</v>
      </c>
      <c r="G2617" s="195" t="s">
        <v>1120</v>
      </c>
      <c r="H2617" s="166" t="s">
        <v>13436</v>
      </c>
      <c r="I2617" s="193" t="s">
        <v>12814</v>
      </c>
      <c r="J2617" s="193" t="s">
        <v>146</v>
      </c>
      <c r="K2617" s="168"/>
      <c r="L2617" s="193" t="s">
        <v>146</v>
      </c>
    </row>
    <row r="2618" spans="1:12" ht="45">
      <c r="A2618" s="67">
        <f t="shared" si="40"/>
        <v>2616</v>
      </c>
      <c r="B2618" s="164">
        <v>2616</v>
      </c>
      <c r="C2618" s="193" t="s">
        <v>3911</v>
      </c>
      <c r="D2618" s="195" t="s">
        <v>7179</v>
      </c>
      <c r="E2618" s="193" t="s">
        <v>9554</v>
      </c>
      <c r="F2618" s="193" t="s">
        <v>114</v>
      </c>
      <c r="G2618" s="195" t="s">
        <v>1147</v>
      </c>
      <c r="H2618" s="166" t="s">
        <v>13436</v>
      </c>
      <c r="I2618" s="193" t="s">
        <v>12814</v>
      </c>
      <c r="J2618" s="219" t="s">
        <v>12710</v>
      </c>
      <c r="K2618" s="168"/>
      <c r="L2618" s="193" t="s">
        <v>146</v>
      </c>
    </row>
    <row r="2619" spans="1:12" ht="15">
      <c r="A2619" s="67">
        <f t="shared" si="40"/>
        <v>2617</v>
      </c>
      <c r="B2619" s="164">
        <v>2617</v>
      </c>
      <c r="C2619" s="193" t="s">
        <v>3912</v>
      </c>
      <c r="D2619" s="195" t="s">
        <v>7180</v>
      </c>
      <c r="E2619" s="193" t="s">
        <v>166</v>
      </c>
      <c r="F2619" s="193" t="s">
        <v>114</v>
      </c>
      <c r="G2619" s="195" t="s">
        <v>11674</v>
      </c>
      <c r="H2619" s="166" t="s">
        <v>13436</v>
      </c>
      <c r="I2619" s="193" t="s">
        <v>12814</v>
      </c>
      <c r="J2619" s="193" t="s">
        <v>146</v>
      </c>
      <c r="K2619" s="168"/>
      <c r="L2619" s="193" t="s">
        <v>146</v>
      </c>
    </row>
    <row r="2620" spans="1:12" ht="30">
      <c r="A2620" s="67">
        <f t="shared" si="40"/>
        <v>2618</v>
      </c>
      <c r="B2620" s="164">
        <v>2618</v>
      </c>
      <c r="C2620" s="193" t="s">
        <v>3913</v>
      </c>
      <c r="D2620" s="195" t="s">
        <v>7181</v>
      </c>
      <c r="E2620" s="193" t="s">
        <v>9555</v>
      </c>
      <c r="F2620" s="193" t="s">
        <v>114</v>
      </c>
      <c r="G2620" s="195" t="s">
        <v>296</v>
      </c>
      <c r="H2620" s="166" t="s">
        <v>13436</v>
      </c>
      <c r="I2620" s="193" t="s">
        <v>12814</v>
      </c>
      <c r="J2620" s="193" t="s">
        <v>12711</v>
      </c>
      <c r="K2620" s="168"/>
      <c r="L2620" s="193" t="s">
        <v>146</v>
      </c>
    </row>
    <row r="2621" spans="1:12" ht="30">
      <c r="A2621" s="67">
        <f t="shared" si="40"/>
        <v>2619</v>
      </c>
      <c r="B2621" s="164">
        <v>2619</v>
      </c>
      <c r="C2621" s="193" t="s">
        <v>3914</v>
      </c>
      <c r="D2621" s="195" t="s">
        <v>7182</v>
      </c>
      <c r="E2621" s="193" t="s">
        <v>9556</v>
      </c>
      <c r="F2621" s="193" t="s">
        <v>114</v>
      </c>
      <c r="G2621" s="195" t="s">
        <v>11675</v>
      </c>
      <c r="H2621" s="166" t="s">
        <v>13436</v>
      </c>
      <c r="I2621" s="193" t="s">
        <v>12814</v>
      </c>
      <c r="J2621" s="193" t="s">
        <v>146</v>
      </c>
      <c r="K2621" s="168"/>
      <c r="L2621" s="193" t="s">
        <v>13375</v>
      </c>
    </row>
    <row r="2622" spans="1:12" ht="15">
      <c r="A2622" s="67">
        <f t="shared" si="40"/>
        <v>2620</v>
      </c>
      <c r="B2622" s="164">
        <v>2620</v>
      </c>
      <c r="C2622" s="193" t="s">
        <v>3915</v>
      </c>
      <c r="D2622" s="195" t="s">
        <v>7183</v>
      </c>
      <c r="E2622" s="193" t="s">
        <v>9557</v>
      </c>
      <c r="F2622" s="193" t="s">
        <v>114</v>
      </c>
      <c r="G2622" s="195" t="s">
        <v>11662</v>
      </c>
      <c r="H2622" s="166" t="s">
        <v>13436</v>
      </c>
      <c r="I2622" s="193" t="s">
        <v>12814</v>
      </c>
      <c r="J2622" s="193" t="s">
        <v>146</v>
      </c>
      <c r="K2622" s="168"/>
      <c r="L2622" s="193" t="s">
        <v>146</v>
      </c>
    </row>
    <row r="2623" spans="1:12" ht="15">
      <c r="A2623" s="67">
        <f t="shared" si="40"/>
        <v>2621</v>
      </c>
      <c r="B2623" s="164">
        <v>2621</v>
      </c>
      <c r="C2623" s="193" t="s">
        <v>3916</v>
      </c>
      <c r="D2623" s="195" t="s">
        <v>7184</v>
      </c>
      <c r="E2623" s="193" t="s">
        <v>456</v>
      </c>
      <c r="F2623" s="193" t="s">
        <v>114</v>
      </c>
      <c r="G2623" s="195" t="s">
        <v>11676</v>
      </c>
      <c r="H2623" s="166" t="s">
        <v>13436</v>
      </c>
      <c r="I2623" s="193" t="s">
        <v>12819</v>
      </c>
      <c r="J2623" s="193" t="s">
        <v>146</v>
      </c>
      <c r="K2623" s="168"/>
      <c r="L2623" s="193" t="s">
        <v>146</v>
      </c>
    </row>
    <row r="2624" spans="1:12" ht="15">
      <c r="A2624" s="67">
        <f t="shared" si="40"/>
        <v>2622</v>
      </c>
      <c r="B2624" s="164">
        <v>2622</v>
      </c>
      <c r="C2624" s="193" t="s">
        <v>3917</v>
      </c>
      <c r="D2624" s="206" t="s">
        <v>7185</v>
      </c>
      <c r="E2624" s="193" t="s">
        <v>643</v>
      </c>
      <c r="F2624" s="193" t="s">
        <v>114</v>
      </c>
      <c r="G2624" s="195" t="s">
        <v>1139</v>
      </c>
      <c r="H2624" s="166" t="s">
        <v>13436</v>
      </c>
      <c r="I2624" s="193" t="s">
        <v>12814</v>
      </c>
      <c r="J2624" s="193" t="s">
        <v>146</v>
      </c>
      <c r="K2624" s="168"/>
      <c r="L2624" s="193" t="s">
        <v>146</v>
      </c>
    </row>
    <row r="2625" spans="1:12" ht="15">
      <c r="A2625" s="67">
        <f t="shared" si="40"/>
        <v>2623</v>
      </c>
      <c r="B2625" s="164">
        <v>2623</v>
      </c>
      <c r="C2625" s="193" t="s">
        <v>3918</v>
      </c>
      <c r="D2625" s="195" t="s">
        <v>7186</v>
      </c>
      <c r="E2625" s="193" t="s">
        <v>9558</v>
      </c>
      <c r="F2625" s="193" t="s">
        <v>114</v>
      </c>
      <c r="G2625" s="195" t="s">
        <v>9998</v>
      </c>
      <c r="H2625" s="166" t="s">
        <v>13436</v>
      </c>
      <c r="I2625" s="193" t="s">
        <v>12818</v>
      </c>
      <c r="J2625" s="193" t="s">
        <v>146</v>
      </c>
      <c r="K2625" s="168"/>
      <c r="L2625" s="193" t="s">
        <v>146</v>
      </c>
    </row>
    <row r="2626" spans="1:12" ht="15">
      <c r="A2626" s="67">
        <f t="shared" si="40"/>
        <v>2624</v>
      </c>
      <c r="B2626" s="164">
        <v>2624</v>
      </c>
      <c r="C2626" s="193" t="s">
        <v>3919</v>
      </c>
      <c r="D2626" s="195" t="s">
        <v>7187</v>
      </c>
      <c r="E2626" s="193" t="s">
        <v>212</v>
      </c>
      <c r="F2626" s="193" t="s">
        <v>59</v>
      </c>
      <c r="G2626" s="195" t="s">
        <v>11677</v>
      </c>
      <c r="H2626" s="166" t="s">
        <v>13436</v>
      </c>
      <c r="I2626" s="193" t="s">
        <v>1250</v>
      </c>
      <c r="J2626" s="193" t="s">
        <v>147</v>
      </c>
      <c r="K2626" s="168"/>
      <c r="L2626" s="193"/>
    </row>
    <row r="2627" spans="1:12" ht="15">
      <c r="A2627" s="67">
        <f t="shared" ref="A2627:A2690" si="41">IFERROR(VALUE(RIGHT(C2627,4)),"")</f>
        <v>2625</v>
      </c>
      <c r="B2627" s="164">
        <v>2625</v>
      </c>
      <c r="C2627" s="193" t="s">
        <v>3920</v>
      </c>
      <c r="D2627" s="196" t="s">
        <v>7188</v>
      </c>
      <c r="E2627" s="193" t="s">
        <v>9559</v>
      </c>
      <c r="F2627" s="193" t="s">
        <v>114</v>
      </c>
      <c r="G2627" s="195" t="s">
        <v>768</v>
      </c>
      <c r="H2627" s="166" t="s">
        <v>13436</v>
      </c>
      <c r="I2627" s="193" t="s">
        <v>12840</v>
      </c>
      <c r="J2627" s="193" t="s">
        <v>1270</v>
      </c>
      <c r="K2627" s="168"/>
      <c r="L2627" s="193" t="s">
        <v>146</v>
      </c>
    </row>
    <row r="2628" spans="1:12" ht="15">
      <c r="A2628" s="67">
        <f t="shared" si="41"/>
        <v>2626</v>
      </c>
      <c r="B2628" s="164">
        <v>2626</v>
      </c>
      <c r="C2628" s="193" t="s">
        <v>3921</v>
      </c>
      <c r="D2628" s="195" t="s">
        <v>7189</v>
      </c>
      <c r="E2628" s="193" t="s">
        <v>638</v>
      </c>
      <c r="F2628" s="193" t="s">
        <v>114</v>
      </c>
      <c r="G2628" s="195" t="s">
        <v>11678</v>
      </c>
      <c r="H2628" s="166" t="s">
        <v>13436</v>
      </c>
      <c r="I2628" s="193" t="s">
        <v>12812</v>
      </c>
      <c r="J2628" s="219" t="s">
        <v>146</v>
      </c>
      <c r="K2628" s="168"/>
      <c r="L2628" s="219" t="s">
        <v>146</v>
      </c>
    </row>
    <row r="2629" spans="1:12" ht="15">
      <c r="A2629" s="67">
        <f t="shared" si="41"/>
        <v>2627</v>
      </c>
      <c r="B2629" s="164">
        <v>2627</v>
      </c>
      <c r="C2629" s="193" t="s">
        <v>3922</v>
      </c>
      <c r="D2629" s="195" t="s">
        <v>7190</v>
      </c>
      <c r="E2629" s="193" t="s">
        <v>9560</v>
      </c>
      <c r="F2629" s="193" t="s">
        <v>114</v>
      </c>
      <c r="G2629" s="195" t="s">
        <v>11679</v>
      </c>
      <c r="H2629" s="166" t="s">
        <v>13436</v>
      </c>
      <c r="I2629" s="193" t="s">
        <v>12819</v>
      </c>
      <c r="J2629" s="193" t="s">
        <v>147</v>
      </c>
      <c r="K2629" s="168"/>
      <c r="L2629" s="193" t="s">
        <v>146</v>
      </c>
    </row>
    <row r="2630" spans="1:12" ht="15">
      <c r="A2630" s="67">
        <f t="shared" si="41"/>
        <v>2628</v>
      </c>
      <c r="B2630" s="164">
        <v>2628</v>
      </c>
      <c r="C2630" s="193" t="s">
        <v>3923</v>
      </c>
      <c r="D2630" s="195" t="s">
        <v>7191</v>
      </c>
      <c r="E2630" s="193" t="s">
        <v>9561</v>
      </c>
      <c r="F2630" s="193" t="s">
        <v>59</v>
      </c>
      <c r="G2630" s="195" t="s">
        <v>1203</v>
      </c>
      <c r="H2630" s="166" t="s">
        <v>13436</v>
      </c>
      <c r="I2630" s="193" t="s">
        <v>12812</v>
      </c>
      <c r="J2630" s="193" t="s">
        <v>146</v>
      </c>
      <c r="K2630" s="168"/>
      <c r="L2630" s="193"/>
    </row>
    <row r="2631" spans="1:12" ht="15">
      <c r="A2631" s="67">
        <f t="shared" si="41"/>
        <v>2629</v>
      </c>
      <c r="B2631" s="164">
        <v>2629</v>
      </c>
      <c r="C2631" s="193" t="s">
        <v>3924</v>
      </c>
      <c r="D2631" s="195" t="s">
        <v>7192</v>
      </c>
      <c r="E2631" s="193" t="s">
        <v>8515</v>
      </c>
      <c r="F2631" s="193" t="s">
        <v>114</v>
      </c>
      <c r="G2631" s="195" t="s">
        <v>1105</v>
      </c>
      <c r="H2631" s="166" t="s">
        <v>13436</v>
      </c>
      <c r="I2631" s="193" t="s">
        <v>12838</v>
      </c>
      <c r="J2631" s="219" t="s">
        <v>146</v>
      </c>
      <c r="K2631" s="168"/>
      <c r="L2631" s="219" t="s">
        <v>146</v>
      </c>
    </row>
    <row r="2632" spans="1:12" ht="30">
      <c r="A2632" s="67">
        <f t="shared" si="41"/>
        <v>2630</v>
      </c>
      <c r="B2632" s="164">
        <v>2630</v>
      </c>
      <c r="C2632" s="193" t="s">
        <v>3925</v>
      </c>
      <c r="D2632" s="195" t="s">
        <v>7193</v>
      </c>
      <c r="E2632" s="193" t="s">
        <v>9562</v>
      </c>
      <c r="F2632" s="193" t="s">
        <v>114</v>
      </c>
      <c r="G2632" s="195" t="s">
        <v>11245</v>
      </c>
      <c r="H2632" s="166" t="s">
        <v>13436</v>
      </c>
      <c r="I2632" s="193" t="s">
        <v>12819</v>
      </c>
      <c r="J2632" s="219" t="s">
        <v>146</v>
      </c>
      <c r="K2632" s="168"/>
      <c r="L2632" s="193" t="s">
        <v>13376</v>
      </c>
    </row>
    <row r="2633" spans="1:12" ht="105">
      <c r="A2633" s="67">
        <f t="shared" si="41"/>
        <v>2631</v>
      </c>
      <c r="B2633" s="164">
        <v>2631</v>
      </c>
      <c r="C2633" s="193" t="s">
        <v>3926</v>
      </c>
      <c r="D2633" s="195" t="s">
        <v>7194</v>
      </c>
      <c r="E2633" s="193" t="s">
        <v>9563</v>
      </c>
      <c r="F2633" s="193" t="s">
        <v>114</v>
      </c>
      <c r="G2633" s="195" t="s">
        <v>11579</v>
      </c>
      <c r="H2633" s="166" t="s">
        <v>13436</v>
      </c>
      <c r="I2633" s="193" t="s">
        <v>12814</v>
      </c>
      <c r="J2633" s="193" t="s">
        <v>146</v>
      </c>
      <c r="K2633" s="168"/>
      <c r="L2633" s="193" t="s">
        <v>13377</v>
      </c>
    </row>
    <row r="2634" spans="1:12" ht="30">
      <c r="A2634" s="67">
        <f t="shared" si="41"/>
        <v>2632</v>
      </c>
      <c r="B2634" s="164">
        <v>2632</v>
      </c>
      <c r="C2634" s="193" t="s">
        <v>3927</v>
      </c>
      <c r="D2634" s="208" t="s">
        <v>7195</v>
      </c>
      <c r="E2634" s="193" t="s">
        <v>9564</v>
      </c>
      <c r="F2634" s="193" t="s">
        <v>114</v>
      </c>
      <c r="G2634" s="195" t="s">
        <v>1145</v>
      </c>
      <c r="H2634" s="166" t="s">
        <v>13436</v>
      </c>
      <c r="I2634" s="193" t="s">
        <v>12816</v>
      </c>
      <c r="J2634" s="193" t="s">
        <v>1252</v>
      </c>
      <c r="K2634" s="168"/>
      <c r="L2634" s="193" t="s">
        <v>13378</v>
      </c>
    </row>
    <row r="2635" spans="1:12" ht="15">
      <c r="A2635" s="67">
        <f t="shared" si="41"/>
        <v>2633</v>
      </c>
      <c r="B2635" s="164">
        <v>2633</v>
      </c>
      <c r="C2635" s="193" t="s">
        <v>3928</v>
      </c>
      <c r="D2635" s="195" t="s">
        <v>7196</v>
      </c>
      <c r="E2635" s="193" t="s">
        <v>9565</v>
      </c>
      <c r="F2635" s="193" t="s">
        <v>114</v>
      </c>
      <c r="G2635" s="195" t="s">
        <v>11680</v>
      </c>
      <c r="H2635" s="166" t="s">
        <v>13436</v>
      </c>
      <c r="I2635" s="193" t="s">
        <v>12814</v>
      </c>
      <c r="J2635" s="193" t="s">
        <v>146</v>
      </c>
      <c r="K2635" s="168"/>
      <c r="L2635" s="193" t="s">
        <v>146</v>
      </c>
    </row>
    <row r="2636" spans="1:12" ht="15">
      <c r="A2636" s="67">
        <f t="shared" si="41"/>
        <v>2634</v>
      </c>
      <c r="B2636" s="164">
        <v>2634</v>
      </c>
      <c r="C2636" s="193" t="s">
        <v>3929</v>
      </c>
      <c r="D2636" s="195" t="s">
        <v>7197</v>
      </c>
      <c r="E2636" s="193" t="s">
        <v>9566</v>
      </c>
      <c r="F2636" s="193" t="s">
        <v>114</v>
      </c>
      <c r="G2636" s="195" t="s">
        <v>11681</v>
      </c>
      <c r="H2636" s="166" t="s">
        <v>13436</v>
      </c>
      <c r="I2636" s="193" t="s">
        <v>12814</v>
      </c>
      <c r="J2636" s="193" t="s">
        <v>146</v>
      </c>
      <c r="K2636" s="168"/>
      <c r="L2636" s="193" t="s">
        <v>146</v>
      </c>
    </row>
    <row r="2637" spans="1:12" ht="30">
      <c r="A2637" s="67">
        <f t="shared" si="41"/>
        <v>2635</v>
      </c>
      <c r="B2637" s="164">
        <v>2635</v>
      </c>
      <c r="C2637" s="193" t="s">
        <v>3930</v>
      </c>
      <c r="D2637" s="195" t="s">
        <v>7198</v>
      </c>
      <c r="E2637" s="193" t="s">
        <v>9567</v>
      </c>
      <c r="F2637" s="193" t="s">
        <v>114</v>
      </c>
      <c r="G2637" s="195" t="s">
        <v>11682</v>
      </c>
      <c r="H2637" s="166" t="s">
        <v>13436</v>
      </c>
      <c r="I2637" s="193" t="s">
        <v>12814</v>
      </c>
      <c r="J2637" s="193" t="s">
        <v>146</v>
      </c>
      <c r="K2637" s="168"/>
      <c r="L2637" s="193" t="s">
        <v>13379</v>
      </c>
    </row>
    <row r="2638" spans="1:12" ht="30">
      <c r="A2638" s="67">
        <f t="shared" si="41"/>
        <v>2636</v>
      </c>
      <c r="B2638" s="164">
        <v>2636</v>
      </c>
      <c r="C2638" s="193" t="s">
        <v>3931</v>
      </c>
      <c r="D2638" s="195" t="s">
        <v>7199</v>
      </c>
      <c r="E2638" s="193" t="s">
        <v>418</v>
      </c>
      <c r="F2638" s="193" t="s">
        <v>114</v>
      </c>
      <c r="G2638" s="195" t="s">
        <v>10082</v>
      </c>
      <c r="H2638" s="166" t="s">
        <v>13436</v>
      </c>
      <c r="I2638" s="193" t="s">
        <v>12819</v>
      </c>
      <c r="J2638" s="193" t="s">
        <v>1267</v>
      </c>
      <c r="K2638" s="168"/>
      <c r="L2638" s="193" t="s">
        <v>146</v>
      </c>
    </row>
    <row r="2639" spans="1:12" ht="15">
      <c r="A2639" s="67">
        <f t="shared" si="41"/>
        <v>2637</v>
      </c>
      <c r="B2639" s="164">
        <v>2637</v>
      </c>
      <c r="C2639" s="193" t="s">
        <v>3932</v>
      </c>
      <c r="D2639" s="195" t="s">
        <v>7200</v>
      </c>
      <c r="E2639" s="193" t="s">
        <v>9568</v>
      </c>
      <c r="F2639" s="193" t="s">
        <v>114</v>
      </c>
      <c r="G2639" s="195" t="s">
        <v>11683</v>
      </c>
      <c r="H2639" s="166" t="s">
        <v>13436</v>
      </c>
      <c r="I2639" s="193" t="s">
        <v>12838</v>
      </c>
      <c r="J2639" s="193" t="s">
        <v>146</v>
      </c>
      <c r="K2639" s="168"/>
      <c r="L2639" s="193" t="s">
        <v>146</v>
      </c>
    </row>
    <row r="2640" spans="1:12" ht="15">
      <c r="A2640" s="67">
        <f t="shared" si="41"/>
        <v>2638</v>
      </c>
      <c r="B2640" s="164">
        <v>2638</v>
      </c>
      <c r="C2640" s="193" t="s">
        <v>3933</v>
      </c>
      <c r="D2640" s="195" t="s">
        <v>7201</v>
      </c>
      <c r="E2640" s="193" t="s">
        <v>188</v>
      </c>
      <c r="F2640" s="193" t="s">
        <v>114</v>
      </c>
      <c r="G2640" s="195" t="s">
        <v>11009</v>
      </c>
      <c r="H2640" s="166" t="s">
        <v>13436</v>
      </c>
      <c r="I2640" s="193" t="s">
        <v>12838</v>
      </c>
      <c r="J2640" s="193" t="s">
        <v>146</v>
      </c>
      <c r="K2640" s="168"/>
      <c r="L2640" s="193" t="s">
        <v>146</v>
      </c>
    </row>
    <row r="2641" spans="1:12" ht="45">
      <c r="A2641" s="67">
        <f t="shared" si="41"/>
        <v>2639</v>
      </c>
      <c r="B2641" s="164">
        <v>2639</v>
      </c>
      <c r="C2641" s="193" t="s">
        <v>3934</v>
      </c>
      <c r="D2641" s="195" t="s">
        <v>7202</v>
      </c>
      <c r="E2641" s="193" t="s">
        <v>204</v>
      </c>
      <c r="F2641" s="193" t="s">
        <v>114</v>
      </c>
      <c r="G2641" s="195" t="s">
        <v>10842</v>
      </c>
      <c r="H2641" s="166" t="s">
        <v>13436</v>
      </c>
      <c r="I2641" s="193" t="s">
        <v>12818</v>
      </c>
      <c r="J2641" s="193" t="s">
        <v>12712</v>
      </c>
      <c r="K2641" s="168"/>
      <c r="L2641" s="193" t="s">
        <v>146</v>
      </c>
    </row>
    <row r="2642" spans="1:12" ht="15">
      <c r="A2642" s="67">
        <f t="shared" si="41"/>
        <v>2640</v>
      </c>
      <c r="B2642" s="164">
        <v>2640</v>
      </c>
      <c r="C2642" s="193" t="s">
        <v>3935</v>
      </c>
      <c r="D2642" s="195" t="s">
        <v>7203</v>
      </c>
      <c r="E2642" s="193" t="s">
        <v>9569</v>
      </c>
      <c r="F2642" s="193" t="s">
        <v>114</v>
      </c>
      <c r="G2642" s="195" t="s">
        <v>210</v>
      </c>
      <c r="H2642" s="166" t="s">
        <v>13436</v>
      </c>
      <c r="I2642" s="193" t="s">
        <v>12838</v>
      </c>
      <c r="J2642" s="193" t="s">
        <v>146</v>
      </c>
      <c r="K2642" s="168"/>
      <c r="L2642" s="193" t="s">
        <v>146</v>
      </c>
    </row>
    <row r="2643" spans="1:12" ht="15">
      <c r="A2643" s="67">
        <f t="shared" si="41"/>
        <v>2641</v>
      </c>
      <c r="B2643" s="164">
        <v>2641</v>
      </c>
      <c r="C2643" s="193" t="s">
        <v>3936</v>
      </c>
      <c r="D2643" s="195" t="s">
        <v>7204</v>
      </c>
      <c r="E2643" s="193" t="s">
        <v>399</v>
      </c>
      <c r="F2643" s="193" t="s">
        <v>114</v>
      </c>
      <c r="G2643" s="195" t="s">
        <v>11684</v>
      </c>
      <c r="H2643" s="166" t="s">
        <v>13436</v>
      </c>
      <c r="I2643" s="193" t="s">
        <v>12819</v>
      </c>
      <c r="J2643" s="193" t="s">
        <v>146</v>
      </c>
      <c r="K2643" s="168"/>
      <c r="L2643" s="193" t="s">
        <v>146</v>
      </c>
    </row>
    <row r="2644" spans="1:12" ht="15">
      <c r="A2644" s="67">
        <f t="shared" si="41"/>
        <v>2642</v>
      </c>
      <c r="B2644" s="164">
        <v>2642</v>
      </c>
      <c r="C2644" s="193" t="s">
        <v>3937</v>
      </c>
      <c r="D2644" s="195" t="s">
        <v>7205</v>
      </c>
      <c r="E2644" s="193" t="s">
        <v>314</v>
      </c>
      <c r="F2644" s="193" t="s">
        <v>114</v>
      </c>
      <c r="G2644" s="195" t="s">
        <v>1009</v>
      </c>
      <c r="H2644" s="166" t="s">
        <v>13436</v>
      </c>
      <c r="I2644" s="193" t="s">
        <v>12818</v>
      </c>
      <c r="J2644" s="193" t="s">
        <v>146</v>
      </c>
      <c r="K2644" s="168"/>
      <c r="L2644" s="193" t="s">
        <v>146</v>
      </c>
    </row>
    <row r="2645" spans="1:12" ht="15">
      <c r="A2645" s="67">
        <f t="shared" si="41"/>
        <v>2643</v>
      </c>
      <c r="B2645" s="164">
        <v>2643</v>
      </c>
      <c r="C2645" s="193" t="s">
        <v>3938</v>
      </c>
      <c r="D2645" s="195" t="s">
        <v>7206</v>
      </c>
      <c r="E2645" s="193" t="s">
        <v>9570</v>
      </c>
      <c r="F2645" s="193" t="s">
        <v>114</v>
      </c>
      <c r="G2645" s="195" t="s">
        <v>11685</v>
      </c>
      <c r="H2645" s="166" t="s">
        <v>13436</v>
      </c>
      <c r="I2645" s="193" t="s">
        <v>12819</v>
      </c>
      <c r="J2645" s="193" t="s">
        <v>146</v>
      </c>
      <c r="K2645" s="168"/>
      <c r="L2645" s="193" t="s">
        <v>146</v>
      </c>
    </row>
    <row r="2646" spans="1:12" ht="75">
      <c r="A2646" s="67">
        <f t="shared" si="41"/>
        <v>2644</v>
      </c>
      <c r="B2646" s="164">
        <v>2644</v>
      </c>
      <c r="C2646" s="193" t="s">
        <v>3939</v>
      </c>
      <c r="D2646" s="195" t="s">
        <v>7207</v>
      </c>
      <c r="E2646" s="193" t="s">
        <v>9571</v>
      </c>
      <c r="F2646" s="193" t="s">
        <v>114</v>
      </c>
      <c r="G2646" s="195" t="s">
        <v>704</v>
      </c>
      <c r="H2646" s="166" t="s">
        <v>13436</v>
      </c>
      <c r="I2646" s="193" t="s">
        <v>12838</v>
      </c>
      <c r="J2646" s="193" t="s">
        <v>12713</v>
      </c>
      <c r="K2646" s="168"/>
      <c r="L2646" s="193" t="s">
        <v>13380</v>
      </c>
    </row>
    <row r="2647" spans="1:12" ht="60">
      <c r="A2647" s="67">
        <f t="shared" si="41"/>
        <v>2645</v>
      </c>
      <c r="B2647" s="164">
        <v>2645</v>
      </c>
      <c r="C2647" s="193" t="s">
        <v>3940</v>
      </c>
      <c r="D2647" s="195" t="s">
        <v>7208</v>
      </c>
      <c r="E2647" s="193" t="s">
        <v>7997</v>
      </c>
      <c r="F2647" s="193" t="s">
        <v>114</v>
      </c>
      <c r="G2647" s="195" t="s">
        <v>11686</v>
      </c>
      <c r="H2647" s="166" t="s">
        <v>13436</v>
      </c>
      <c r="I2647" s="193" t="s">
        <v>12818</v>
      </c>
      <c r="J2647" s="193" t="s">
        <v>146</v>
      </c>
      <c r="K2647" s="168"/>
      <c r="L2647" s="193" t="s">
        <v>13381</v>
      </c>
    </row>
    <row r="2648" spans="1:12" ht="15">
      <c r="A2648" s="67">
        <f t="shared" si="41"/>
        <v>2646</v>
      </c>
      <c r="B2648" s="164">
        <v>2646</v>
      </c>
      <c r="C2648" s="193" t="s">
        <v>3941</v>
      </c>
      <c r="D2648" s="195" t="s">
        <v>7209</v>
      </c>
      <c r="E2648" s="193" t="s">
        <v>639</v>
      </c>
      <c r="F2648" s="193" t="s">
        <v>114</v>
      </c>
      <c r="G2648" s="195" t="s">
        <v>1121</v>
      </c>
      <c r="H2648" s="166" t="s">
        <v>13436</v>
      </c>
      <c r="I2648" s="193" t="s">
        <v>12835</v>
      </c>
      <c r="J2648" s="193" t="s">
        <v>146</v>
      </c>
      <c r="K2648" s="168"/>
      <c r="L2648" s="193" t="s">
        <v>146</v>
      </c>
    </row>
    <row r="2649" spans="1:12" ht="15">
      <c r="A2649" s="67">
        <f t="shared" si="41"/>
        <v>2647</v>
      </c>
      <c r="B2649" s="164">
        <v>2647</v>
      </c>
      <c r="C2649" s="193" t="s">
        <v>3942</v>
      </c>
      <c r="D2649" s="195" t="s">
        <v>7210</v>
      </c>
      <c r="E2649" s="193" t="s">
        <v>9572</v>
      </c>
      <c r="F2649" s="193" t="s">
        <v>114</v>
      </c>
      <c r="G2649" s="195" t="s">
        <v>1111</v>
      </c>
      <c r="H2649" s="166" t="s">
        <v>13436</v>
      </c>
      <c r="I2649" s="193" t="s">
        <v>12814</v>
      </c>
      <c r="J2649" s="193" t="s">
        <v>146</v>
      </c>
      <c r="K2649" s="168"/>
      <c r="L2649" s="193" t="s">
        <v>146</v>
      </c>
    </row>
    <row r="2650" spans="1:12" ht="15">
      <c r="A2650" s="67">
        <f t="shared" si="41"/>
        <v>2648</v>
      </c>
      <c r="B2650" s="164">
        <v>2648</v>
      </c>
      <c r="C2650" s="193" t="s">
        <v>3943</v>
      </c>
      <c r="D2650" s="195" t="s">
        <v>7211</v>
      </c>
      <c r="E2650" s="193" t="s">
        <v>9573</v>
      </c>
      <c r="F2650" s="193" t="s">
        <v>59</v>
      </c>
      <c r="G2650" s="195" t="s">
        <v>11687</v>
      </c>
      <c r="H2650" s="166" t="s">
        <v>13436</v>
      </c>
      <c r="I2650" s="193" t="s">
        <v>12812</v>
      </c>
      <c r="J2650" s="219" t="s">
        <v>146</v>
      </c>
      <c r="K2650" s="168"/>
      <c r="L2650" s="193"/>
    </row>
    <row r="2651" spans="1:12" ht="30">
      <c r="A2651" s="67">
        <f t="shared" si="41"/>
        <v>2649</v>
      </c>
      <c r="B2651" s="164">
        <v>2649</v>
      </c>
      <c r="C2651" s="193" t="s">
        <v>3944</v>
      </c>
      <c r="D2651" s="195" t="s">
        <v>7212</v>
      </c>
      <c r="E2651" s="193" t="s">
        <v>9574</v>
      </c>
      <c r="F2651" s="193" t="s">
        <v>114</v>
      </c>
      <c r="G2651" s="195" t="s">
        <v>1122</v>
      </c>
      <c r="H2651" s="166" t="s">
        <v>13436</v>
      </c>
      <c r="I2651" s="193" t="s">
        <v>12835</v>
      </c>
      <c r="J2651" s="193" t="s">
        <v>146</v>
      </c>
      <c r="K2651" s="168"/>
      <c r="L2651" s="193" t="s">
        <v>13257</v>
      </c>
    </row>
    <row r="2652" spans="1:12" ht="15">
      <c r="A2652" s="67">
        <f t="shared" si="41"/>
        <v>2650</v>
      </c>
      <c r="B2652" s="164">
        <v>2650</v>
      </c>
      <c r="C2652" s="193" t="s">
        <v>3945</v>
      </c>
      <c r="D2652" s="195" t="s">
        <v>7213</v>
      </c>
      <c r="E2652" s="193" t="s">
        <v>9575</v>
      </c>
      <c r="F2652" s="193" t="s">
        <v>59</v>
      </c>
      <c r="G2652" s="195" t="s">
        <v>1185</v>
      </c>
      <c r="H2652" s="166" t="s">
        <v>13436</v>
      </c>
      <c r="I2652" s="193" t="s">
        <v>12812</v>
      </c>
      <c r="J2652" s="219" t="s">
        <v>146</v>
      </c>
      <c r="K2652" s="168"/>
      <c r="L2652" s="193"/>
    </row>
    <row r="2653" spans="1:12" ht="15">
      <c r="A2653" s="67">
        <f t="shared" si="41"/>
        <v>2651</v>
      </c>
      <c r="B2653" s="164">
        <v>2651</v>
      </c>
      <c r="C2653" s="193" t="s">
        <v>3946</v>
      </c>
      <c r="D2653" s="195" t="s">
        <v>7214</v>
      </c>
      <c r="E2653" s="193" t="s">
        <v>9576</v>
      </c>
      <c r="F2653" s="193" t="s">
        <v>59</v>
      </c>
      <c r="G2653" s="195" t="s">
        <v>11688</v>
      </c>
      <c r="H2653" s="166" t="s">
        <v>13436</v>
      </c>
      <c r="I2653" s="193" t="s">
        <v>12832</v>
      </c>
      <c r="J2653" s="193"/>
      <c r="K2653" s="168"/>
      <c r="L2653" s="193"/>
    </row>
    <row r="2654" spans="1:12" ht="15">
      <c r="A2654" s="67">
        <f t="shared" si="41"/>
        <v>2652</v>
      </c>
      <c r="B2654" s="164">
        <v>2652</v>
      </c>
      <c r="C2654" s="193" t="s">
        <v>3947</v>
      </c>
      <c r="D2654" s="195" t="s">
        <v>7215</v>
      </c>
      <c r="E2654" s="193" t="s">
        <v>9577</v>
      </c>
      <c r="F2654" s="193" t="s">
        <v>114</v>
      </c>
      <c r="G2654" s="195" t="s">
        <v>11689</v>
      </c>
      <c r="H2654" s="166" t="s">
        <v>13436</v>
      </c>
      <c r="I2654" s="193" t="s">
        <v>12835</v>
      </c>
      <c r="J2654" s="193" t="s">
        <v>146</v>
      </c>
      <c r="K2654" s="168"/>
      <c r="L2654" s="193" t="s">
        <v>146</v>
      </c>
    </row>
    <row r="2655" spans="1:12" ht="15">
      <c r="A2655" s="67">
        <f t="shared" si="41"/>
        <v>2653</v>
      </c>
      <c r="B2655" s="164">
        <v>2653</v>
      </c>
      <c r="C2655" s="193" t="s">
        <v>3948</v>
      </c>
      <c r="D2655" s="195" t="s">
        <v>7216</v>
      </c>
      <c r="E2655" s="193" t="s">
        <v>653</v>
      </c>
      <c r="F2655" s="193" t="s">
        <v>114</v>
      </c>
      <c r="G2655" s="195" t="s">
        <v>1184</v>
      </c>
      <c r="H2655" s="166" t="s">
        <v>13436</v>
      </c>
      <c r="I2655" s="193" t="s">
        <v>12835</v>
      </c>
      <c r="J2655" s="193" t="s">
        <v>146</v>
      </c>
      <c r="K2655" s="168"/>
      <c r="L2655" s="193" t="s">
        <v>146</v>
      </c>
    </row>
    <row r="2656" spans="1:12" ht="15">
      <c r="A2656" s="67">
        <f t="shared" si="41"/>
        <v>2654</v>
      </c>
      <c r="B2656" s="164">
        <v>2654</v>
      </c>
      <c r="C2656" s="193" t="s">
        <v>3949</v>
      </c>
      <c r="D2656" s="195" t="s">
        <v>7217</v>
      </c>
      <c r="E2656" s="193" t="s">
        <v>441</v>
      </c>
      <c r="F2656" s="193" t="s">
        <v>114</v>
      </c>
      <c r="G2656" s="195" t="s">
        <v>11690</v>
      </c>
      <c r="H2656" s="166" t="s">
        <v>13436</v>
      </c>
      <c r="I2656" s="193" t="s">
        <v>12835</v>
      </c>
      <c r="J2656" s="193" t="s">
        <v>146</v>
      </c>
      <c r="K2656" s="168"/>
      <c r="L2656" s="193" t="s">
        <v>146</v>
      </c>
    </row>
    <row r="2657" spans="1:12" ht="15">
      <c r="A2657" s="67">
        <f t="shared" si="41"/>
        <v>2655</v>
      </c>
      <c r="B2657" s="164">
        <v>2655</v>
      </c>
      <c r="C2657" s="193" t="s">
        <v>3950</v>
      </c>
      <c r="D2657" s="195" t="s">
        <v>7218</v>
      </c>
      <c r="E2657" s="193" t="s">
        <v>8807</v>
      </c>
      <c r="F2657" s="193" t="s">
        <v>114</v>
      </c>
      <c r="G2657" s="195" t="s">
        <v>11541</v>
      </c>
      <c r="H2657" s="166" t="s">
        <v>13436</v>
      </c>
      <c r="I2657" s="193" t="s">
        <v>12835</v>
      </c>
      <c r="J2657" s="193" t="s">
        <v>146</v>
      </c>
      <c r="K2657" s="168"/>
      <c r="L2657" s="193" t="s">
        <v>146</v>
      </c>
    </row>
    <row r="2658" spans="1:12" ht="15">
      <c r="A2658" s="67">
        <f t="shared" si="41"/>
        <v>2656</v>
      </c>
      <c r="B2658" s="164">
        <v>2656</v>
      </c>
      <c r="C2658" s="193" t="s">
        <v>3951</v>
      </c>
      <c r="D2658" s="195" t="s">
        <v>7219</v>
      </c>
      <c r="E2658" s="193" t="s">
        <v>9374</v>
      </c>
      <c r="F2658" s="193" t="s">
        <v>59</v>
      </c>
      <c r="G2658" s="195" t="s">
        <v>11691</v>
      </c>
      <c r="H2658" s="166" t="s">
        <v>13436</v>
      </c>
      <c r="I2658" s="193" t="s">
        <v>12838</v>
      </c>
      <c r="J2658" s="193" t="s">
        <v>146</v>
      </c>
      <c r="K2658" s="168"/>
      <c r="L2658" s="193"/>
    </row>
    <row r="2659" spans="1:12" ht="15">
      <c r="A2659" s="67">
        <f t="shared" si="41"/>
        <v>2657</v>
      </c>
      <c r="B2659" s="164">
        <v>2657</v>
      </c>
      <c r="C2659" s="193" t="s">
        <v>3952</v>
      </c>
      <c r="D2659" s="195" t="s">
        <v>7220</v>
      </c>
      <c r="E2659" s="193" t="s">
        <v>9578</v>
      </c>
      <c r="F2659" s="193" t="s">
        <v>114</v>
      </c>
      <c r="G2659" s="195" t="s">
        <v>11692</v>
      </c>
      <c r="H2659" s="166" t="s">
        <v>13436</v>
      </c>
      <c r="I2659" s="193" t="s">
        <v>12814</v>
      </c>
      <c r="J2659" s="219" t="s">
        <v>146</v>
      </c>
      <c r="K2659" s="168"/>
      <c r="L2659" s="193" t="s">
        <v>146</v>
      </c>
    </row>
    <row r="2660" spans="1:12" ht="15">
      <c r="A2660" s="67">
        <f t="shared" si="41"/>
        <v>2658</v>
      </c>
      <c r="B2660" s="164">
        <v>2658</v>
      </c>
      <c r="C2660" s="193" t="s">
        <v>3953</v>
      </c>
      <c r="D2660" s="195" t="s">
        <v>7221</v>
      </c>
      <c r="E2660" s="193" t="s">
        <v>159</v>
      </c>
      <c r="F2660" s="193" t="s">
        <v>114</v>
      </c>
      <c r="G2660" s="195" t="s">
        <v>11693</v>
      </c>
      <c r="H2660" s="166" t="s">
        <v>13436</v>
      </c>
      <c r="I2660" s="193" t="s">
        <v>12814</v>
      </c>
      <c r="J2660" s="193" t="s">
        <v>147</v>
      </c>
      <c r="K2660" s="168"/>
      <c r="L2660" s="193" t="s">
        <v>146</v>
      </c>
    </row>
    <row r="2661" spans="1:12" ht="15">
      <c r="A2661" s="67">
        <f t="shared" si="41"/>
        <v>2659</v>
      </c>
      <c r="B2661" s="164">
        <v>2659</v>
      </c>
      <c r="C2661" s="193" t="s">
        <v>3954</v>
      </c>
      <c r="D2661" s="195" t="s">
        <v>7222</v>
      </c>
      <c r="E2661" s="193" t="s">
        <v>9579</v>
      </c>
      <c r="F2661" s="193" t="s">
        <v>114</v>
      </c>
      <c r="G2661" s="195" t="s">
        <v>843</v>
      </c>
      <c r="H2661" s="166" t="s">
        <v>13436</v>
      </c>
      <c r="I2661" s="193" t="s">
        <v>12814</v>
      </c>
      <c r="J2661" s="193"/>
      <c r="K2661" s="168"/>
      <c r="L2661" s="193"/>
    </row>
    <row r="2662" spans="1:12" ht="30">
      <c r="A2662" s="67">
        <f t="shared" si="41"/>
        <v>2660</v>
      </c>
      <c r="B2662" s="164">
        <v>2660</v>
      </c>
      <c r="C2662" s="193" t="s">
        <v>3955</v>
      </c>
      <c r="D2662" s="195" t="s">
        <v>7223</v>
      </c>
      <c r="E2662" s="193" t="s">
        <v>9580</v>
      </c>
      <c r="F2662" s="193" t="s">
        <v>114</v>
      </c>
      <c r="G2662" s="195" t="s">
        <v>11428</v>
      </c>
      <c r="H2662" s="166" t="s">
        <v>13436</v>
      </c>
      <c r="I2662" s="193" t="s">
        <v>12814</v>
      </c>
      <c r="J2662" s="193" t="s">
        <v>146</v>
      </c>
      <c r="K2662" s="168"/>
      <c r="L2662" s="193" t="s">
        <v>13382</v>
      </c>
    </row>
    <row r="2663" spans="1:12" ht="75">
      <c r="A2663" s="67">
        <f t="shared" si="41"/>
        <v>2661</v>
      </c>
      <c r="B2663" s="164">
        <v>2661</v>
      </c>
      <c r="C2663" s="193" t="s">
        <v>3956</v>
      </c>
      <c r="D2663" s="208" t="s">
        <v>7224</v>
      </c>
      <c r="E2663" s="193" t="s">
        <v>213</v>
      </c>
      <c r="F2663" s="193" t="s">
        <v>114</v>
      </c>
      <c r="G2663" s="195" t="s">
        <v>11694</v>
      </c>
      <c r="H2663" s="166" t="s">
        <v>13436</v>
      </c>
      <c r="I2663" s="193" t="s">
        <v>12816</v>
      </c>
      <c r="J2663" s="193" t="s">
        <v>146</v>
      </c>
      <c r="K2663" s="168"/>
      <c r="L2663" s="193" t="s">
        <v>13383</v>
      </c>
    </row>
    <row r="2664" spans="1:12" ht="15">
      <c r="A2664" s="67">
        <f t="shared" si="41"/>
        <v>2662</v>
      </c>
      <c r="B2664" s="164">
        <v>2662</v>
      </c>
      <c r="C2664" s="193" t="s">
        <v>3957</v>
      </c>
      <c r="D2664" s="197" t="s">
        <v>7225</v>
      </c>
      <c r="E2664" s="193" t="s">
        <v>8031</v>
      </c>
      <c r="F2664" s="193" t="s">
        <v>114</v>
      </c>
      <c r="G2664" s="195" t="s">
        <v>11654</v>
      </c>
      <c r="H2664" s="166" t="s">
        <v>13436</v>
      </c>
      <c r="I2664" s="193" t="s">
        <v>12816</v>
      </c>
      <c r="J2664" s="193" t="s">
        <v>146</v>
      </c>
      <c r="K2664" s="168"/>
      <c r="L2664" s="193" t="s">
        <v>146</v>
      </c>
    </row>
    <row r="2665" spans="1:12" ht="45">
      <c r="A2665" s="67">
        <f t="shared" si="41"/>
        <v>2663</v>
      </c>
      <c r="B2665" s="164">
        <v>2663</v>
      </c>
      <c r="C2665" s="193" t="s">
        <v>3958</v>
      </c>
      <c r="D2665" s="195" t="s">
        <v>7226</v>
      </c>
      <c r="E2665" s="193" t="s">
        <v>378</v>
      </c>
      <c r="F2665" s="193" t="s">
        <v>114</v>
      </c>
      <c r="G2665" s="195" t="s">
        <v>11695</v>
      </c>
      <c r="H2665" s="166" t="s">
        <v>13436</v>
      </c>
      <c r="I2665" s="193" t="s">
        <v>12812</v>
      </c>
      <c r="J2665" s="219" t="s">
        <v>12714</v>
      </c>
      <c r="K2665" s="168"/>
      <c r="L2665" s="219" t="s">
        <v>146</v>
      </c>
    </row>
    <row r="2666" spans="1:12" ht="15">
      <c r="A2666" s="67">
        <f t="shared" si="41"/>
        <v>2664</v>
      </c>
      <c r="B2666" s="164">
        <v>2664</v>
      </c>
      <c r="C2666" s="193" t="s">
        <v>3959</v>
      </c>
      <c r="D2666" s="205" t="s">
        <v>7227</v>
      </c>
      <c r="E2666" s="193" t="s">
        <v>9581</v>
      </c>
      <c r="F2666" s="193" t="s">
        <v>114</v>
      </c>
      <c r="G2666" s="195" t="s">
        <v>11696</v>
      </c>
      <c r="H2666" s="166" t="s">
        <v>13436</v>
      </c>
      <c r="I2666" s="193" t="s">
        <v>12816</v>
      </c>
      <c r="J2666" s="193" t="s">
        <v>146</v>
      </c>
      <c r="K2666" s="168"/>
      <c r="L2666" s="193" t="s">
        <v>146</v>
      </c>
    </row>
    <row r="2667" spans="1:12" ht="15">
      <c r="A2667" s="67">
        <f t="shared" si="41"/>
        <v>2665</v>
      </c>
      <c r="B2667" s="164">
        <v>2665</v>
      </c>
      <c r="C2667" s="193" t="s">
        <v>3960</v>
      </c>
      <c r="D2667" s="195" t="s">
        <v>7228</v>
      </c>
      <c r="E2667" s="193" t="s">
        <v>9582</v>
      </c>
      <c r="F2667" s="193" t="s">
        <v>59</v>
      </c>
      <c r="G2667" s="195" t="s">
        <v>11697</v>
      </c>
      <c r="H2667" s="166" t="s">
        <v>13436</v>
      </c>
      <c r="I2667" s="193" t="s">
        <v>12838</v>
      </c>
      <c r="J2667" s="193" t="s">
        <v>146</v>
      </c>
      <c r="K2667" s="168"/>
      <c r="L2667" s="193"/>
    </row>
    <row r="2668" spans="1:12" ht="15">
      <c r="A2668" s="67">
        <f t="shared" si="41"/>
        <v>2666</v>
      </c>
      <c r="B2668" s="164">
        <v>2666</v>
      </c>
      <c r="C2668" s="193" t="s">
        <v>3961</v>
      </c>
      <c r="D2668" s="195" t="s">
        <v>7229</v>
      </c>
      <c r="E2668" s="193" t="s">
        <v>9583</v>
      </c>
      <c r="F2668" s="193" t="s">
        <v>114</v>
      </c>
      <c r="G2668" s="195" t="s">
        <v>11272</v>
      </c>
      <c r="H2668" s="166" t="s">
        <v>13436</v>
      </c>
      <c r="I2668" s="193" t="s">
        <v>12814</v>
      </c>
      <c r="J2668" s="193"/>
      <c r="K2668" s="168"/>
      <c r="L2668" s="193" t="s">
        <v>146</v>
      </c>
    </row>
    <row r="2669" spans="1:12" ht="30">
      <c r="A2669" s="67">
        <f t="shared" si="41"/>
        <v>2667</v>
      </c>
      <c r="B2669" s="164">
        <v>2667</v>
      </c>
      <c r="C2669" s="193" t="s">
        <v>3962</v>
      </c>
      <c r="D2669" s="195" t="s">
        <v>7230</v>
      </c>
      <c r="E2669" s="193" t="s">
        <v>9584</v>
      </c>
      <c r="F2669" s="193" t="s">
        <v>114</v>
      </c>
      <c r="G2669" s="195" t="s">
        <v>897</v>
      </c>
      <c r="H2669" s="166" t="s">
        <v>13436</v>
      </c>
      <c r="I2669" s="193" t="s">
        <v>12814</v>
      </c>
      <c r="J2669" s="193" t="s">
        <v>1252</v>
      </c>
      <c r="K2669" s="168"/>
      <c r="L2669" s="193" t="s">
        <v>13384</v>
      </c>
    </row>
    <row r="2670" spans="1:12" ht="15">
      <c r="A2670" s="67">
        <f t="shared" si="41"/>
        <v>2668</v>
      </c>
      <c r="B2670" s="164">
        <v>2668</v>
      </c>
      <c r="C2670" s="193" t="s">
        <v>3963</v>
      </c>
      <c r="D2670" s="195" t="s">
        <v>7231</v>
      </c>
      <c r="E2670" s="193" t="s">
        <v>9585</v>
      </c>
      <c r="F2670" s="193" t="s">
        <v>114</v>
      </c>
      <c r="G2670" s="195" t="s">
        <v>11698</v>
      </c>
      <c r="H2670" s="166" t="s">
        <v>13436</v>
      </c>
      <c r="I2670" s="193" t="s">
        <v>12814</v>
      </c>
      <c r="J2670" s="193" t="s">
        <v>146</v>
      </c>
      <c r="K2670" s="168"/>
      <c r="L2670" s="193" t="s">
        <v>146</v>
      </c>
    </row>
    <row r="2671" spans="1:12" ht="15">
      <c r="A2671" s="67">
        <f t="shared" si="41"/>
        <v>2669</v>
      </c>
      <c r="B2671" s="164">
        <v>2669</v>
      </c>
      <c r="C2671" s="193" t="s">
        <v>3964</v>
      </c>
      <c r="D2671" s="195" t="s">
        <v>7232</v>
      </c>
      <c r="E2671" s="193" t="s">
        <v>7991</v>
      </c>
      <c r="F2671" s="193" t="s">
        <v>114</v>
      </c>
      <c r="G2671" s="195" t="s">
        <v>11699</v>
      </c>
      <c r="H2671" s="166" t="s">
        <v>13436</v>
      </c>
      <c r="I2671" s="193" t="s">
        <v>12838</v>
      </c>
      <c r="J2671" s="193" t="s">
        <v>146</v>
      </c>
      <c r="K2671" s="168"/>
      <c r="L2671" s="193" t="s">
        <v>146</v>
      </c>
    </row>
    <row r="2672" spans="1:12" ht="15">
      <c r="A2672" s="67">
        <f t="shared" si="41"/>
        <v>2670</v>
      </c>
      <c r="B2672" s="164">
        <v>2670</v>
      </c>
      <c r="C2672" s="193" t="s">
        <v>3965</v>
      </c>
      <c r="D2672" s="195" t="s">
        <v>7233</v>
      </c>
      <c r="E2672" s="193" t="s">
        <v>8655</v>
      </c>
      <c r="F2672" s="193" t="s">
        <v>114</v>
      </c>
      <c r="G2672" s="195" t="s">
        <v>10525</v>
      </c>
      <c r="H2672" s="166" t="s">
        <v>13436</v>
      </c>
      <c r="I2672" s="193" t="s">
        <v>12838</v>
      </c>
      <c r="J2672" s="193" t="s">
        <v>146</v>
      </c>
      <c r="K2672" s="168"/>
      <c r="L2672" s="193" t="s">
        <v>146</v>
      </c>
    </row>
    <row r="2673" spans="1:12" ht="75">
      <c r="A2673" s="67">
        <f t="shared" si="41"/>
        <v>2671</v>
      </c>
      <c r="B2673" s="164">
        <v>2671</v>
      </c>
      <c r="C2673" s="193" t="s">
        <v>3966</v>
      </c>
      <c r="D2673" s="195" t="s">
        <v>7234</v>
      </c>
      <c r="E2673" s="193" t="s">
        <v>608</v>
      </c>
      <c r="F2673" s="193" t="s">
        <v>114</v>
      </c>
      <c r="G2673" s="195" t="s">
        <v>10833</v>
      </c>
      <c r="H2673" s="166" t="s">
        <v>13436</v>
      </c>
      <c r="I2673" s="193" t="s">
        <v>12838</v>
      </c>
      <c r="J2673" s="193" t="s">
        <v>146</v>
      </c>
      <c r="K2673" s="168"/>
      <c r="L2673" s="193" t="s">
        <v>13385</v>
      </c>
    </row>
    <row r="2674" spans="1:12" ht="30">
      <c r="A2674" s="67">
        <f t="shared" si="41"/>
        <v>2672</v>
      </c>
      <c r="B2674" s="164">
        <v>2672</v>
      </c>
      <c r="C2674" s="193" t="s">
        <v>3967</v>
      </c>
      <c r="D2674" s="195" t="s">
        <v>7235</v>
      </c>
      <c r="E2674" s="193" t="s">
        <v>9586</v>
      </c>
      <c r="F2674" s="193" t="s">
        <v>114</v>
      </c>
      <c r="G2674" s="195" t="s">
        <v>11157</v>
      </c>
      <c r="H2674" s="166" t="s">
        <v>13436</v>
      </c>
      <c r="I2674" s="193" t="s">
        <v>12838</v>
      </c>
      <c r="J2674" s="193" t="s">
        <v>12715</v>
      </c>
      <c r="K2674" s="168"/>
      <c r="L2674" s="193" t="s">
        <v>146</v>
      </c>
    </row>
    <row r="2675" spans="1:12" ht="15">
      <c r="A2675" s="67">
        <f t="shared" si="41"/>
        <v>2673</v>
      </c>
      <c r="B2675" s="164">
        <v>2673</v>
      </c>
      <c r="C2675" s="193" t="s">
        <v>3968</v>
      </c>
      <c r="D2675" s="195" t="s">
        <v>7236</v>
      </c>
      <c r="E2675" s="193" t="s">
        <v>362</v>
      </c>
      <c r="F2675" s="193" t="s">
        <v>114</v>
      </c>
      <c r="G2675" s="195" t="s">
        <v>832</v>
      </c>
      <c r="H2675" s="166" t="s">
        <v>13436</v>
      </c>
      <c r="I2675" s="193" t="s">
        <v>12816</v>
      </c>
      <c r="J2675" s="193" t="s">
        <v>146</v>
      </c>
      <c r="K2675" s="168"/>
      <c r="L2675" s="193" t="s">
        <v>146</v>
      </c>
    </row>
    <row r="2676" spans="1:12" ht="60">
      <c r="A2676" s="67">
        <f t="shared" si="41"/>
        <v>2674</v>
      </c>
      <c r="B2676" s="164">
        <v>2674</v>
      </c>
      <c r="C2676" s="193" t="s">
        <v>3969</v>
      </c>
      <c r="D2676" s="195" t="s">
        <v>7237</v>
      </c>
      <c r="E2676" s="193" t="s">
        <v>633</v>
      </c>
      <c r="F2676" s="193" t="s">
        <v>114</v>
      </c>
      <c r="G2676" s="195" t="s">
        <v>10295</v>
      </c>
      <c r="H2676" s="166" t="s">
        <v>13436</v>
      </c>
      <c r="I2676" s="193" t="s">
        <v>12812</v>
      </c>
      <c r="J2676" s="219" t="s">
        <v>146</v>
      </c>
      <c r="K2676" s="168"/>
      <c r="L2676" s="193" t="s">
        <v>13386</v>
      </c>
    </row>
    <row r="2677" spans="1:12" ht="15">
      <c r="A2677" s="67">
        <f t="shared" si="41"/>
        <v>2675</v>
      </c>
      <c r="B2677" s="164">
        <v>2675</v>
      </c>
      <c r="C2677" s="193" t="s">
        <v>3970</v>
      </c>
      <c r="D2677" s="199" t="s">
        <v>7238</v>
      </c>
      <c r="E2677" s="193" t="s">
        <v>9587</v>
      </c>
      <c r="F2677" s="193" t="s">
        <v>59</v>
      </c>
      <c r="G2677" s="195" t="s">
        <v>11700</v>
      </c>
      <c r="H2677" s="166" t="s">
        <v>13436</v>
      </c>
      <c r="I2677" s="193" t="s">
        <v>12831</v>
      </c>
      <c r="J2677" s="193" t="s">
        <v>146</v>
      </c>
      <c r="K2677" s="168"/>
      <c r="L2677" s="193"/>
    </row>
    <row r="2678" spans="1:12" ht="15">
      <c r="A2678" s="67">
        <f t="shared" si="41"/>
        <v>2676</v>
      </c>
      <c r="B2678" s="164">
        <v>2676</v>
      </c>
      <c r="C2678" s="193" t="s">
        <v>3971</v>
      </c>
      <c r="D2678" s="195" t="s">
        <v>7239</v>
      </c>
      <c r="E2678" s="193" t="s">
        <v>9588</v>
      </c>
      <c r="F2678" s="193" t="s">
        <v>59</v>
      </c>
      <c r="G2678" s="195" t="s">
        <v>11701</v>
      </c>
      <c r="H2678" s="166" t="s">
        <v>13436</v>
      </c>
      <c r="I2678" s="193" t="s">
        <v>12838</v>
      </c>
      <c r="J2678" s="193" t="s">
        <v>146</v>
      </c>
      <c r="K2678" s="168"/>
      <c r="L2678" s="193"/>
    </row>
    <row r="2679" spans="1:12" ht="30">
      <c r="A2679" s="67">
        <f t="shared" si="41"/>
        <v>2677</v>
      </c>
      <c r="B2679" s="164">
        <v>2677</v>
      </c>
      <c r="C2679" s="193" t="s">
        <v>3972</v>
      </c>
      <c r="D2679" s="195" t="s">
        <v>7240</v>
      </c>
      <c r="E2679" s="193" t="s">
        <v>8219</v>
      </c>
      <c r="F2679" s="193" t="s">
        <v>114</v>
      </c>
      <c r="G2679" s="195" t="s">
        <v>11474</v>
      </c>
      <c r="H2679" s="166" t="s">
        <v>13436</v>
      </c>
      <c r="I2679" s="193" t="s">
        <v>12814</v>
      </c>
      <c r="J2679" s="193" t="s">
        <v>12716</v>
      </c>
      <c r="K2679" s="168"/>
      <c r="L2679" s="193" t="s">
        <v>13387</v>
      </c>
    </row>
    <row r="2680" spans="1:12" ht="30">
      <c r="A2680" s="67">
        <f t="shared" si="41"/>
        <v>2678</v>
      </c>
      <c r="B2680" s="164">
        <v>2678</v>
      </c>
      <c r="C2680" s="193" t="s">
        <v>3973</v>
      </c>
      <c r="D2680" s="195" t="s">
        <v>7241</v>
      </c>
      <c r="E2680" s="193" t="s">
        <v>479</v>
      </c>
      <c r="F2680" s="193" t="s">
        <v>114</v>
      </c>
      <c r="G2680" s="195" t="s">
        <v>11702</v>
      </c>
      <c r="H2680" s="166" t="s">
        <v>13436</v>
      </c>
      <c r="I2680" s="193" t="s">
        <v>12814</v>
      </c>
      <c r="J2680" s="219" t="s">
        <v>146</v>
      </c>
      <c r="K2680" s="168"/>
      <c r="L2680" s="193" t="s">
        <v>13388</v>
      </c>
    </row>
    <row r="2681" spans="1:12" ht="15">
      <c r="A2681" s="67">
        <f t="shared" si="41"/>
        <v>2679</v>
      </c>
      <c r="B2681" s="164">
        <v>2679</v>
      </c>
      <c r="C2681" s="193" t="s">
        <v>3974</v>
      </c>
      <c r="D2681" s="195" t="s">
        <v>7242</v>
      </c>
      <c r="E2681" s="193" t="s">
        <v>9589</v>
      </c>
      <c r="F2681" s="193" t="s">
        <v>114</v>
      </c>
      <c r="G2681" s="195" t="s">
        <v>707</v>
      </c>
      <c r="H2681" s="166" t="s">
        <v>13436</v>
      </c>
      <c r="I2681" s="193" t="s">
        <v>12827</v>
      </c>
      <c r="J2681" s="193" t="s">
        <v>1255</v>
      </c>
      <c r="K2681" s="168"/>
      <c r="L2681" s="193" t="s">
        <v>146</v>
      </c>
    </row>
    <row r="2682" spans="1:12" ht="15">
      <c r="A2682" s="67">
        <f t="shared" si="41"/>
        <v>2680</v>
      </c>
      <c r="B2682" s="164">
        <v>2680</v>
      </c>
      <c r="C2682" s="193" t="s">
        <v>3975</v>
      </c>
      <c r="D2682" s="195" t="s">
        <v>7243</v>
      </c>
      <c r="E2682" s="193" t="s">
        <v>8613</v>
      </c>
      <c r="F2682" s="193" t="s">
        <v>114</v>
      </c>
      <c r="G2682" s="195" t="s">
        <v>786</v>
      </c>
      <c r="H2682" s="166" t="s">
        <v>13436</v>
      </c>
      <c r="I2682" s="193" t="s">
        <v>12838</v>
      </c>
      <c r="J2682" s="193" t="s">
        <v>146</v>
      </c>
      <c r="K2682" s="168"/>
      <c r="L2682" s="193" t="s">
        <v>146</v>
      </c>
    </row>
    <row r="2683" spans="1:12" ht="15">
      <c r="A2683" s="67">
        <f t="shared" si="41"/>
        <v>2681</v>
      </c>
      <c r="B2683" s="164">
        <v>2681</v>
      </c>
      <c r="C2683" s="193" t="s">
        <v>3976</v>
      </c>
      <c r="D2683" s="195" t="s">
        <v>7244</v>
      </c>
      <c r="E2683" s="193" t="s">
        <v>9590</v>
      </c>
      <c r="F2683" s="193" t="s">
        <v>114</v>
      </c>
      <c r="G2683" s="195" t="s">
        <v>710</v>
      </c>
      <c r="H2683" s="166" t="s">
        <v>13436</v>
      </c>
      <c r="I2683" s="193" t="s">
        <v>12819</v>
      </c>
      <c r="J2683" s="193" t="s">
        <v>146</v>
      </c>
      <c r="K2683" s="168"/>
      <c r="L2683" s="193" t="s">
        <v>146</v>
      </c>
    </row>
    <row r="2684" spans="1:12" ht="30">
      <c r="A2684" s="67">
        <f t="shared" si="41"/>
        <v>2682</v>
      </c>
      <c r="B2684" s="164">
        <v>2682</v>
      </c>
      <c r="C2684" s="193" t="s">
        <v>3977</v>
      </c>
      <c r="D2684" s="195" t="s">
        <v>7245</v>
      </c>
      <c r="E2684" s="193" t="s">
        <v>157</v>
      </c>
      <c r="F2684" s="193" t="s">
        <v>114</v>
      </c>
      <c r="G2684" s="195" t="s">
        <v>11703</v>
      </c>
      <c r="H2684" s="166" t="s">
        <v>13436</v>
      </c>
      <c r="I2684" s="193" t="s">
        <v>12838</v>
      </c>
      <c r="J2684" s="193" t="s">
        <v>146</v>
      </c>
      <c r="K2684" s="168"/>
      <c r="L2684" s="193" t="s">
        <v>13389</v>
      </c>
    </row>
    <row r="2685" spans="1:12" ht="15">
      <c r="A2685" s="67">
        <f t="shared" si="41"/>
        <v>2683</v>
      </c>
      <c r="B2685" s="164">
        <v>2683</v>
      </c>
      <c r="C2685" s="193" t="s">
        <v>3978</v>
      </c>
      <c r="D2685" s="195" t="s">
        <v>7246</v>
      </c>
      <c r="E2685" s="193" t="s">
        <v>8125</v>
      </c>
      <c r="F2685" s="193" t="s">
        <v>114</v>
      </c>
      <c r="G2685" s="195" t="s">
        <v>11704</v>
      </c>
      <c r="H2685" s="166" t="s">
        <v>13436</v>
      </c>
      <c r="I2685" s="193" t="s">
        <v>12819</v>
      </c>
      <c r="J2685" s="193" t="s">
        <v>12647</v>
      </c>
      <c r="K2685" s="168"/>
      <c r="L2685" s="193" t="s">
        <v>146</v>
      </c>
    </row>
    <row r="2686" spans="1:12" ht="15">
      <c r="A2686" s="67">
        <f t="shared" si="41"/>
        <v>2684</v>
      </c>
      <c r="B2686" s="164">
        <v>2684</v>
      </c>
      <c r="C2686" s="193" t="s">
        <v>3979</v>
      </c>
      <c r="D2686" s="195" t="s">
        <v>7247</v>
      </c>
      <c r="E2686" s="193" t="s">
        <v>9591</v>
      </c>
      <c r="F2686" s="193" t="s">
        <v>114</v>
      </c>
      <c r="G2686" s="195" t="s">
        <v>1233</v>
      </c>
      <c r="H2686" s="166" t="s">
        <v>13436</v>
      </c>
      <c r="I2686" s="193" t="s">
        <v>12814</v>
      </c>
      <c r="J2686" s="193" t="s">
        <v>146</v>
      </c>
      <c r="K2686" s="168"/>
      <c r="L2686" s="193" t="s">
        <v>146</v>
      </c>
    </row>
    <row r="2687" spans="1:12" ht="15">
      <c r="A2687" s="67">
        <f t="shared" si="41"/>
        <v>2685</v>
      </c>
      <c r="B2687" s="164">
        <v>2685</v>
      </c>
      <c r="C2687" s="193" t="s">
        <v>3980</v>
      </c>
      <c r="D2687" s="195" t="s">
        <v>7248</v>
      </c>
      <c r="E2687" s="193" t="s">
        <v>9592</v>
      </c>
      <c r="F2687" s="193" t="s">
        <v>114</v>
      </c>
      <c r="G2687" s="195" t="s">
        <v>11705</v>
      </c>
      <c r="H2687" s="166" t="s">
        <v>13436</v>
      </c>
      <c r="I2687" s="193" t="s">
        <v>12818</v>
      </c>
      <c r="J2687" s="193" t="s">
        <v>12717</v>
      </c>
      <c r="K2687" s="168"/>
      <c r="L2687" s="193" t="s">
        <v>146</v>
      </c>
    </row>
    <row r="2688" spans="1:12" ht="30">
      <c r="A2688" s="67">
        <f t="shared" si="41"/>
        <v>2686</v>
      </c>
      <c r="B2688" s="164">
        <v>2686</v>
      </c>
      <c r="C2688" s="193" t="s">
        <v>3981</v>
      </c>
      <c r="D2688" s="195" t="s">
        <v>7249</v>
      </c>
      <c r="E2688" s="193" t="s">
        <v>9593</v>
      </c>
      <c r="F2688" s="193" t="s">
        <v>114</v>
      </c>
      <c r="G2688" s="195" t="s">
        <v>10916</v>
      </c>
      <c r="H2688" s="166" t="s">
        <v>13436</v>
      </c>
      <c r="I2688" s="193" t="s">
        <v>12838</v>
      </c>
      <c r="J2688" s="193" t="s">
        <v>146</v>
      </c>
      <c r="K2688" s="168"/>
      <c r="L2688" s="193" t="s">
        <v>13390</v>
      </c>
    </row>
    <row r="2689" spans="1:12" ht="15">
      <c r="A2689" s="67">
        <f t="shared" si="41"/>
        <v>2687</v>
      </c>
      <c r="B2689" s="164">
        <v>2687</v>
      </c>
      <c r="C2689" s="193" t="s">
        <v>3982</v>
      </c>
      <c r="D2689" s="195" t="s">
        <v>7250</v>
      </c>
      <c r="E2689" s="193" t="s">
        <v>9594</v>
      </c>
      <c r="F2689" s="193" t="s">
        <v>114</v>
      </c>
      <c r="G2689" s="195" t="s">
        <v>777</v>
      </c>
      <c r="H2689" s="166" t="s">
        <v>13436</v>
      </c>
      <c r="I2689" s="193" t="s">
        <v>12838</v>
      </c>
      <c r="J2689" s="193" t="s">
        <v>146</v>
      </c>
      <c r="K2689" s="168"/>
      <c r="L2689" s="193" t="s">
        <v>146</v>
      </c>
    </row>
    <row r="2690" spans="1:12" ht="15">
      <c r="A2690" s="67">
        <f t="shared" si="41"/>
        <v>2688</v>
      </c>
      <c r="B2690" s="164">
        <v>2688</v>
      </c>
      <c r="C2690" s="193" t="s">
        <v>3983</v>
      </c>
      <c r="D2690" s="197" t="s">
        <v>7251</v>
      </c>
      <c r="E2690" s="193" t="s">
        <v>9595</v>
      </c>
      <c r="F2690" s="193" t="s">
        <v>59</v>
      </c>
      <c r="G2690" s="195" t="s">
        <v>11706</v>
      </c>
      <c r="H2690" s="166" t="s">
        <v>13436</v>
      </c>
      <c r="I2690" s="193" t="s">
        <v>12816</v>
      </c>
      <c r="J2690" s="193" t="s">
        <v>146</v>
      </c>
      <c r="K2690" s="168"/>
      <c r="L2690" s="193"/>
    </row>
    <row r="2691" spans="1:12" ht="15">
      <c r="A2691" s="67">
        <f t="shared" ref="A2691:A2754" si="42">IFERROR(VALUE(RIGHT(C2691,4)),"")</f>
        <v>2689</v>
      </c>
      <c r="B2691" s="164">
        <v>2689</v>
      </c>
      <c r="C2691" s="193" t="s">
        <v>3984</v>
      </c>
      <c r="D2691" s="195" t="s">
        <v>7252</v>
      </c>
      <c r="E2691" s="193" t="s">
        <v>208</v>
      </c>
      <c r="F2691" s="193" t="s">
        <v>114</v>
      </c>
      <c r="G2691" s="195" t="s">
        <v>11485</v>
      </c>
      <c r="H2691" s="166" t="s">
        <v>13436</v>
      </c>
      <c r="I2691" s="193" t="s">
        <v>12836</v>
      </c>
      <c r="J2691" s="193" t="s">
        <v>1272</v>
      </c>
      <c r="K2691" s="168"/>
      <c r="L2691" s="193" t="s">
        <v>146</v>
      </c>
    </row>
    <row r="2692" spans="1:12" ht="60">
      <c r="A2692" s="67">
        <f t="shared" si="42"/>
        <v>2690</v>
      </c>
      <c r="B2692" s="164">
        <v>2690</v>
      </c>
      <c r="C2692" s="193" t="s">
        <v>3985</v>
      </c>
      <c r="D2692" s="195" t="s">
        <v>7253</v>
      </c>
      <c r="E2692" s="193" t="s">
        <v>9596</v>
      </c>
      <c r="F2692" s="193" t="s">
        <v>114</v>
      </c>
      <c r="G2692" s="195" t="s">
        <v>10132</v>
      </c>
      <c r="H2692" s="166" t="s">
        <v>13436</v>
      </c>
      <c r="I2692" s="193" t="s">
        <v>12838</v>
      </c>
      <c r="J2692" s="193" t="s">
        <v>12718</v>
      </c>
      <c r="K2692" s="168"/>
      <c r="L2692" s="193" t="s">
        <v>146</v>
      </c>
    </row>
    <row r="2693" spans="1:12" ht="15">
      <c r="A2693" s="67">
        <f t="shared" si="42"/>
        <v>2691</v>
      </c>
      <c r="B2693" s="164">
        <v>2691</v>
      </c>
      <c r="C2693" s="193" t="s">
        <v>3986</v>
      </c>
      <c r="D2693" s="195" t="s">
        <v>7254</v>
      </c>
      <c r="E2693" s="193" t="s">
        <v>9597</v>
      </c>
      <c r="F2693" s="193" t="s">
        <v>59</v>
      </c>
      <c r="G2693" s="195" t="s">
        <v>11707</v>
      </c>
      <c r="H2693" s="166" t="s">
        <v>13436</v>
      </c>
      <c r="I2693" s="193" t="s">
        <v>12821</v>
      </c>
      <c r="J2693" s="193" t="s">
        <v>146</v>
      </c>
      <c r="K2693" s="168"/>
      <c r="L2693" s="193"/>
    </row>
    <row r="2694" spans="1:12" ht="15">
      <c r="A2694" s="67">
        <f t="shared" si="42"/>
        <v>2692</v>
      </c>
      <c r="B2694" s="164">
        <v>2692</v>
      </c>
      <c r="C2694" s="193" t="s">
        <v>3987</v>
      </c>
      <c r="D2694" s="195" t="s">
        <v>7255</v>
      </c>
      <c r="E2694" s="193" t="s">
        <v>9598</v>
      </c>
      <c r="F2694" s="193" t="s">
        <v>114</v>
      </c>
      <c r="G2694" s="195" t="s">
        <v>10525</v>
      </c>
      <c r="H2694" s="166" t="s">
        <v>13436</v>
      </c>
      <c r="I2694" s="193" t="s">
        <v>12819</v>
      </c>
      <c r="J2694" s="193" t="s">
        <v>146</v>
      </c>
      <c r="K2694" s="168"/>
      <c r="L2694" s="193" t="s">
        <v>146</v>
      </c>
    </row>
    <row r="2695" spans="1:12" ht="60">
      <c r="A2695" s="67">
        <f t="shared" si="42"/>
        <v>2693</v>
      </c>
      <c r="B2695" s="164">
        <v>2693</v>
      </c>
      <c r="C2695" s="193" t="s">
        <v>3988</v>
      </c>
      <c r="D2695" s="195" t="s">
        <v>7256</v>
      </c>
      <c r="E2695" s="193" t="s">
        <v>9599</v>
      </c>
      <c r="F2695" s="193" t="s">
        <v>114</v>
      </c>
      <c r="G2695" s="195" t="s">
        <v>852</v>
      </c>
      <c r="H2695" s="166" t="s">
        <v>13436</v>
      </c>
      <c r="I2695" s="193" t="s">
        <v>12819</v>
      </c>
      <c r="J2695" s="193" t="s">
        <v>12719</v>
      </c>
      <c r="K2695" s="168"/>
      <c r="L2695" s="193" t="s">
        <v>13391</v>
      </c>
    </row>
    <row r="2696" spans="1:12" ht="30">
      <c r="A2696" s="67">
        <f t="shared" si="42"/>
        <v>2694</v>
      </c>
      <c r="B2696" s="164">
        <v>2694</v>
      </c>
      <c r="C2696" s="193" t="s">
        <v>3989</v>
      </c>
      <c r="D2696" s="205" t="s">
        <v>7257</v>
      </c>
      <c r="E2696" s="193" t="s">
        <v>9600</v>
      </c>
      <c r="F2696" s="193" t="s">
        <v>114</v>
      </c>
      <c r="G2696" s="195" t="s">
        <v>1126</v>
      </c>
      <c r="H2696" s="166" t="s">
        <v>13436</v>
      </c>
      <c r="I2696" s="193" t="s">
        <v>12816</v>
      </c>
      <c r="J2696" s="193" t="s">
        <v>12720</v>
      </c>
      <c r="K2696" s="168"/>
      <c r="L2696" s="193" t="s">
        <v>146</v>
      </c>
    </row>
    <row r="2697" spans="1:12" ht="30">
      <c r="A2697" s="67">
        <f t="shared" si="42"/>
        <v>2695</v>
      </c>
      <c r="B2697" s="164">
        <v>2695</v>
      </c>
      <c r="C2697" s="193" t="s">
        <v>3990</v>
      </c>
      <c r="D2697" s="195" t="s">
        <v>7258</v>
      </c>
      <c r="E2697" s="193" t="s">
        <v>9601</v>
      </c>
      <c r="F2697" s="193" t="s">
        <v>114</v>
      </c>
      <c r="G2697" s="195" t="s">
        <v>11708</v>
      </c>
      <c r="H2697" s="166" t="s">
        <v>13436</v>
      </c>
      <c r="I2697" s="193" t="s">
        <v>12827</v>
      </c>
      <c r="J2697" s="193" t="s">
        <v>12721</v>
      </c>
      <c r="K2697" s="168"/>
      <c r="L2697" s="193" t="s">
        <v>146</v>
      </c>
    </row>
    <row r="2698" spans="1:12" ht="15">
      <c r="A2698" s="67">
        <f t="shared" si="42"/>
        <v>2696</v>
      </c>
      <c r="B2698" s="164">
        <v>2696</v>
      </c>
      <c r="C2698" s="193" t="s">
        <v>3991</v>
      </c>
      <c r="D2698" s="195" t="s">
        <v>7259</v>
      </c>
      <c r="E2698" s="193" t="s">
        <v>167</v>
      </c>
      <c r="F2698" s="193" t="s">
        <v>114</v>
      </c>
      <c r="G2698" s="195" t="s">
        <v>1062</v>
      </c>
      <c r="H2698" s="166" t="s">
        <v>13436</v>
      </c>
      <c r="I2698" s="193" t="s">
        <v>12814</v>
      </c>
      <c r="J2698" s="193" t="s">
        <v>146</v>
      </c>
      <c r="K2698" s="168"/>
      <c r="L2698" s="193" t="s">
        <v>146</v>
      </c>
    </row>
    <row r="2699" spans="1:12" ht="15">
      <c r="A2699" s="67">
        <f t="shared" si="42"/>
        <v>2697</v>
      </c>
      <c r="B2699" s="164">
        <v>2697</v>
      </c>
      <c r="C2699" s="193" t="s">
        <v>3992</v>
      </c>
      <c r="D2699" s="195" t="s">
        <v>7260</v>
      </c>
      <c r="E2699" s="193" t="s">
        <v>453</v>
      </c>
      <c r="F2699" s="193" t="s">
        <v>114</v>
      </c>
      <c r="G2699" s="195" t="s">
        <v>11709</v>
      </c>
      <c r="H2699" s="166" t="s">
        <v>13436</v>
      </c>
      <c r="I2699" s="193" t="s">
        <v>12814</v>
      </c>
      <c r="J2699" s="193" t="s">
        <v>146</v>
      </c>
      <c r="K2699" s="168"/>
      <c r="L2699" s="193" t="s">
        <v>146</v>
      </c>
    </row>
    <row r="2700" spans="1:12" ht="15">
      <c r="A2700" s="67">
        <f t="shared" si="42"/>
        <v>2698</v>
      </c>
      <c r="B2700" s="164">
        <v>2698</v>
      </c>
      <c r="C2700" s="193" t="s">
        <v>3993</v>
      </c>
      <c r="D2700" s="195" t="s">
        <v>7261</v>
      </c>
      <c r="E2700" s="193" t="s">
        <v>9602</v>
      </c>
      <c r="F2700" s="193" t="s">
        <v>59</v>
      </c>
      <c r="G2700" s="195" t="s">
        <v>11710</v>
      </c>
      <c r="H2700" s="166" t="s">
        <v>13436</v>
      </c>
      <c r="I2700" s="193" t="s">
        <v>12821</v>
      </c>
      <c r="J2700" s="193" t="s">
        <v>164</v>
      </c>
      <c r="K2700" s="168"/>
      <c r="L2700" s="193"/>
    </row>
    <row r="2701" spans="1:12" ht="30">
      <c r="A2701" s="67">
        <f t="shared" si="42"/>
        <v>2699</v>
      </c>
      <c r="B2701" s="164">
        <v>2699</v>
      </c>
      <c r="C2701" s="193" t="s">
        <v>3994</v>
      </c>
      <c r="D2701" s="195" t="s">
        <v>7262</v>
      </c>
      <c r="E2701" s="193" t="s">
        <v>179</v>
      </c>
      <c r="F2701" s="193" t="s">
        <v>114</v>
      </c>
      <c r="G2701" s="195" t="s">
        <v>11711</v>
      </c>
      <c r="H2701" s="166" t="s">
        <v>13436</v>
      </c>
      <c r="I2701" s="193" t="s">
        <v>12814</v>
      </c>
      <c r="J2701" s="193" t="s">
        <v>146</v>
      </c>
      <c r="K2701" s="168"/>
      <c r="L2701" s="193" t="s">
        <v>13392</v>
      </c>
    </row>
    <row r="2702" spans="1:12" ht="60">
      <c r="A2702" s="67">
        <f t="shared" si="42"/>
        <v>2700</v>
      </c>
      <c r="B2702" s="164">
        <v>2700</v>
      </c>
      <c r="C2702" s="193" t="s">
        <v>3995</v>
      </c>
      <c r="D2702" s="195" t="s">
        <v>7263</v>
      </c>
      <c r="E2702" s="193" t="s">
        <v>648</v>
      </c>
      <c r="F2702" s="193" t="s">
        <v>114</v>
      </c>
      <c r="G2702" s="195" t="s">
        <v>969</v>
      </c>
      <c r="H2702" s="166" t="s">
        <v>13436</v>
      </c>
      <c r="I2702" s="193" t="s">
        <v>12814</v>
      </c>
      <c r="J2702" s="193" t="s">
        <v>12722</v>
      </c>
      <c r="K2702" s="168"/>
      <c r="L2702" s="193" t="s">
        <v>146</v>
      </c>
    </row>
    <row r="2703" spans="1:12" ht="30">
      <c r="A2703" s="67">
        <f t="shared" si="42"/>
        <v>2701</v>
      </c>
      <c r="B2703" s="164">
        <v>2701</v>
      </c>
      <c r="C2703" s="193" t="s">
        <v>3996</v>
      </c>
      <c r="D2703" s="195" t="s">
        <v>7264</v>
      </c>
      <c r="E2703" s="193" t="s">
        <v>9603</v>
      </c>
      <c r="F2703" s="193" t="s">
        <v>114</v>
      </c>
      <c r="G2703" s="195" t="s">
        <v>11712</v>
      </c>
      <c r="H2703" s="166" t="s">
        <v>13436</v>
      </c>
      <c r="I2703" s="193" t="s">
        <v>12814</v>
      </c>
      <c r="J2703" s="193" t="s">
        <v>12723</v>
      </c>
      <c r="K2703" s="168"/>
      <c r="L2703" s="193" t="s">
        <v>146</v>
      </c>
    </row>
    <row r="2704" spans="1:12" ht="15">
      <c r="A2704" s="67">
        <f t="shared" si="42"/>
        <v>2702</v>
      </c>
      <c r="B2704" s="164">
        <v>2702</v>
      </c>
      <c r="C2704" s="193" t="s">
        <v>3997</v>
      </c>
      <c r="D2704" s="195" t="s">
        <v>7265</v>
      </c>
      <c r="E2704" s="193" t="s">
        <v>9604</v>
      </c>
      <c r="F2704" s="193" t="s">
        <v>59</v>
      </c>
      <c r="G2704" s="195" t="s">
        <v>1006</v>
      </c>
      <c r="H2704" s="166" t="s">
        <v>13436</v>
      </c>
      <c r="I2704" s="193" t="s">
        <v>12838</v>
      </c>
      <c r="J2704" s="193" t="s">
        <v>146</v>
      </c>
      <c r="K2704" s="168"/>
      <c r="L2704" s="193"/>
    </row>
    <row r="2705" spans="1:12" ht="15">
      <c r="A2705" s="67">
        <f t="shared" si="42"/>
        <v>2703</v>
      </c>
      <c r="B2705" s="164">
        <v>2703</v>
      </c>
      <c r="C2705" s="193" t="s">
        <v>3998</v>
      </c>
      <c r="D2705" s="195" t="s">
        <v>7266</v>
      </c>
      <c r="E2705" s="193" t="s">
        <v>165</v>
      </c>
      <c r="F2705" s="193" t="s">
        <v>114</v>
      </c>
      <c r="G2705" s="195" t="s">
        <v>11713</v>
      </c>
      <c r="H2705" s="166" t="s">
        <v>13436</v>
      </c>
      <c r="I2705" s="193" t="s">
        <v>12814</v>
      </c>
      <c r="J2705" s="219" t="s">
        <v>146</v>
      </c>
      <c r="K2705" s="168"/>
      <c r="L2705" s="219" t="s">
        <v>146</v>
      </c>
    </row>
    <row r="2706" spans="1:12" ht="15">
      <c r="A2706" s="67">
        <f t="shared" si="42"/>
        <v>2704</v>
      </c>
      <c r="B2706" s="164">
        <v>2704</v>
      </c>
      <c r="C2706" s="193" t="s">
        <v>3999</v>
      </c>
      <c r="D2706" s="195" t="s">
        <v>7267</v>
      </c>
      <c r="E2706" s="193" t="s">
        <v>155</v>
      </c>
      <c r="F2706" s="193" t="s">
        <v>114</v>
      </c>
      <c r="G2706" s="195" t="s">
        <v>10547</v>
      </c>
      <c r="H2706" s="166" t="s">
        <v>13436</v>
      </c>
      <c r="I2706" s="193" t="s">
        <v>12814</v>
      </c>
      <c r="J2706" s="193" t="s">
        <v>146</v>
      </c>
      <c r="K2706" s="168"/>
      <c r="L2706" s="193" t="s">
        <v>146</v>
      </c>
    </row>
    <row r="2707" spans="1:12" ht="15">
      <c r="A2707" s="67">
        <f t="shared" si="42"/>
        <v>2705</v>
      </c>
      <c r="B2707" s="164">
        <v>2705</v>
      </c>
      <c r="C2707" s="193" t="s">
        <v>4000</v>
      </c>
      <c r="D2707" s="195" t="s">
        <v>7268</v>
      </c>
      <c r="E2707" s="193" t="s">
        <v>9605</v>
      </c>
      <c r="F2707" s="193" t="s">
        <v>114</v>
      </c>
      <c r="G2707" s="195" t="s">
        <v>1010</v>
      </c>
      <c r="H2707" s="166" t="s">
        <v>13436</v>
      </c>
      <c r="I2707" s="193" t="s">
        <v>12814</v>
      </c>
      <c r="J2707" s="193" t="s">
        <v>12724</v>
      </c>
      <c r="K2707" s="168"/>
      <c r="L2707" s="193" t="s">
        <v>146</v>
      </c>
    </row>
    <row r="2708" spans="1:12" ht="15">
      <c r="A2708" s="67">
        <f t="shared" si="42"/>
        <v>2706</v>
      </c>
      <c r="B2708" s="164">
        <v>2706</v>
      </c>
      <c r="C2708" s="193" t="s">
        <v>4001</v>
      </c>
      <c r="D2708" s="195" t="s">
        <v>7269</v>
      </c>
      <c r="E2708" s="193" t="s">
        <v>9606</v>
      </c>
      <c r="F2708" s="193" t="s">
        <v>114</v>
      </c>
      <c r="G2708" s="195" t="s">
        <v>11714</v>
      </c>
      <c r="H2708" s="166" t="s">
        <v>13436</v>
      </c>
      <c r="I2708" s="193" t="s">
        <v>12814</v>
      </c>
      <c r="J2708" s="193" t="s">
        <v>146</v>
      </c>
      <c r="K2708" s="168"/>
      <c r="L2708" s="193" t="s">
        <v>146</v>
      </c>
    </row>
    <row r="2709" spans="1:12" ht="30">
      <c r="A2709" s="67">
        <f t="shared" si="42"/>
        <v>2707</v>
      </c>
      <c r="B2709" s="164">
        <v>2707</v>
      </c>
      <c r="C2709" s="193" t="s">
        <v>4002</v>
      </c>
      <c r="D2709" s="195" t="s">
        <v>7270</v>
      </c>
      <c r="E2709" s="193" t="s">
        <v>9607</v>
      </c>
      <c r="F2709" s="193" t="s">
        <v>114</v>
      </c>
      <c r="G2709" s="195" t="s">
        <v>1003</v>
      </c>
      <c r="H2709" s="166" t="s">
        <v>13436</v>
      </c>
      <c r="I2709" s="193" t="s">
        <v>12814</v>
      </c>
      <c r="J2709" s="193" t="s">
        <v>12725</v>
      </c>
      <c r="K2709" s="168"/>
      <c r="L2709" s="193" t="s">
        <v>146</v>
      </c>
    </row>
    <row r="2710" spans="1:12" ht="15">
      <c r="A2710" s="67">
        <f t="shared" si="42"/>
        <v>2708</v>
      </c>
      <c r="B2710" s="164">
        <v>2708</v>
      </c>
      <c r="C2710" s="193" t="s">
        <v>4003</v>
      </c>
      <c r="D2710" s="195" t="s">
        <v>7271</v>
      </c>
      <c r="E2710" s="193" t="s">
        <v>8259</v>
      </c>
      <c r="F2710" s="193" t="s">
        <v>114</v>
      </c>
      <c r="G2710" s="195" t="s">
        <v>753</v>
      </c>
      <c r="H2710" s="166" t="s">
        <v>13436</v>
      </c>
      <c r="I2710" s="193" t="s">
        <v>12814</v>
      </c>
      <c r="J2710" s="193" t="s">
        <v>1270</v>
      </c>
      <c r="K2710" s="168"/>
      <c r="L2710" s="193" t="s">
        <v>146</v>
      </c>
    </row>
    <row r="2711" spans="1:12" ht="30">
      <c r="A2711" s="67">
        <f t="shared" si="42"/>
        <v>2709</v>
      </c>
      <c r="B2711" s="164">
        <v>2709</v>
      </c>
      <c r="C2711" s="193" t="s">
        <v>4004</v>
      </c>
      <c r="D2711" s="195" t="s">
        <v>7272</v>
      </c>
      <c r="E2711" s="193" t="s">
        <v>9608</v>
      </c>
      <c r="F2711" s="193" t="s">
        <v>114</v>
      </c>
      <c r="G2711" s="195" t="s">
        <v>11715</v>
      </c>
      <c r="H2711" s="166" t="s">
        <v>13436</v>
      </c>
      <c r="I2711" s="193" t="s">
        <v>12814</v>
      </c>
      <c r="J2711" s="193" t="s">
        <v>146</v>
      </c>
      <c r="K2711" s="168"/>
      <c r="L2711" s="193" t="s">
        <v>13393</v>
      </c>
    </row>
    <row r="2712" spans="1:12" ht="15">
      <c r="A2712" s="67">
        <f t="shared" si="42"/>
        <v>2710</v>
      </c>
      <c r="B2712" s="164">
        <v>2710</v>
      </c>
      <c r="C2712" s="193" t="s">
        <v>4005</v>
      </c>
      <c r="D2712" s="195" t="s">
        <v>7273</v>
      </c>
      <c r="E2712" s="193" t="s">
        <v>8418</v>
      </c>
      <c r="F2712" s="193" t="s">
        <v>114</v>
      </c>
      <c r="G2712" s="195" t="s">
        <v>260</v>
      </c>
      <c r="H2712" s="166" t="s">
        <v>13436</v>
      </c>
      <c r="I2712" s="193" t="s">
        <v>12814</v>
      </c>
      <c r="J2712" s="193" t="s">
        <v>146</v>
      </c>
      <c r="K2712" s="168"/>
      <c r="L2712" s="193" t="s">
        <v>146</v>
      </c>
    </row>
    <row r="2713" spans="1:12" ht="30">
      <c r="A2713" s="67">
        <f t="shared" si="42"/>
        <v>2711</v>
      </c>
      <c r="B2713" s="164">
        <v>2711</v>
      </c>
      <c r="C2713" s="193" t="s">
        <v>4006</v>
      </c>
      <c r="D2713" s="195" t="s">
        <v>7274</v>
      </c>
      <c r="E2713" s="193" t="s">
        <v>9609</v>
      </c>
      <c r="F2713" s="193" t="s">
        <v>114</v>
      </c>
      <c r="G2713" s="195" t="s">
        <v>1151</v>
      </c>
      <c r="H2713" s="166" t="s">
        <v>13436</v>
      </c>
      <c r="I2713" s="193" t="s">
        <v>12821</v>
      </c>
      <c r="J2713" s="193" t="s">
        <v>147</v>
      </c>
      <c r="K2713" s="168"/>
      <c r="L2713" s="193" t="s">
        <v>13394</v>
      </c>
    </row>
    <row r="2714" spans="1:12" ht="15">
      <c r="A2714" s="67">
        <f t="shared" si="42"/>
        <v>2712</v>
      </c>
      <c r="B2714" s="164">
        <v>2712</v>
      </c>
      <c r="C2714" s="193" t="s">
        <v>4007</v>
      </c>
      <c r="D2714" s="195" t="s">
        <v>7275</v>
      </c>
      <c r="E2714" s="193" t="s">
        <v>9610</v>
      </c>
      <c r="F2714" s="193" t="s">
        <v>114</v>
      </c>
      <c r="G2714" s="195" t="s">
        <v>11716</v>
      </c>
      <c r="H2714" s="166" t="s">
        <v>13436</v>
      </c>
      <c r="I2714" s="193" t="s">
        <v>12814</v>
      </c>
      <c r="J2714" s="193" t="s">
        <v>146</v>
      </c>
      <c r="K2714" s="168"/>
      <c r="L2714" s="193" t="s">
        <v>146</v>
      </c>
    </row>
    <row r="2715" spans="1:12" ht="30">
      <c r="A2715" s="67">
        <f t="shared" si="42"/>
        <v>2713</v>
      </c>
      <c r="B2715" s="164">
        <v>2713</v>
      </c>
      <c r="C2715" s="193" t="s">
        <v>4008</v>
      </c>
      <c r="D2715" s="195" t="s">
        <v>7276</v>
      </c>
      <c r="E2715" s="193" t="s">
        <v>512</v>
      </c>
      <c r="F2715" s="193" t="s">
        <v>114</v>
      </c>
      <c r="G2715" s="195" t="s">
        <v>11717</v>
      </c>
      <c r="H2715" s="166" t="s">
        <v>13436</v>
      </c>
      <c r="I2715" s="193" t="s">
        <v>12814</v>
      </c>
      <c r="J2715" s="193" t="s">
        <v>146</v>
      </c>
      <c r="K2715" s="168"/>
      <c r="L2715" s="193" t="s">
        <v>13395</v>
      </c>
    </row>
    <row r="2716" spans="1:12" ht="15">
      <c r="A2716" s="67">
        <f t="shared" si="42"/>
        <v>2714</v>
      </c>
      <c r="B2716" s="164">
        <v>2714</v>
      </c>
      <c r="C2716" s="193" t="s">
        <v>4009</v>
      </c>
      <c r="D2716" s="195" t="s">
        <v>7277</v>
      </c>
      <c r="E2716" s="193" t="s">
        <v>535</v>
      </c>
      <c r="F2716" s="193" t="s">
        <v>114</v>
      </c>
      <c r="G2716" s="195" t="s">
        <v>11718</v>
      </c>
      <c r="H2716" s="166" t="s">
        <v>13436</v>
      </c>
      <c r="I2716" s="193" t="s">
        <v>12814</v>
      </c>
      <c r="J2716" s="193" t="s">
        <v>146</v>
      </c>
      <c r="K2716" s="168"/>
      <c r="L2716" s="193" t="s">
        <v>146</v>
      </c>
    </row>
    <row r="2717" spans="1:12" ht="15">
      <c r="A2717" s="67">
        <f t="shared" si="42"/>
        <v>2715</v>
      </c>
      <c r="B2717" s="164">
        <v>2715</v>
      </c>
      <c r="C2717" s="193" t="s">
        <v>4010</v>
      </c>
      <c r="D2717" s="195" t="s">
        <v>7278</v>
      </c>
      <c r="E2717" s="193" t="s">
        <v>477</v>
      </c>
      <c r="F2717" s="193" t="s">
        <v>114</v>
      </c>
      <c r="G2717" s="195" t="s">
        <v>11719</v>
      </c>
      <c r="H2717" s="166" t="s">
        <v>13436</v>
      </c>
      <c r="I2717" s="193" t="s">
        <v>12814</v>
      </c>
      <c r="J2717" s="193" t="s">
        <v>146</v>
      </c>
      <c r="K2717" s="168"/>
      <c r="L2717" s="193" t="s">
        <v>146</v>
      </c>
    </row>
    <row r="2718" spans="1:12" ht="15">
      <c r="A2718" s="67">
        <f t="shared" si="42"/>
        <v>2716</v>
      </c>
      <c r="B2718" s="164">
        <v>2716</v>
      </c>
      <c r="C2718" s="193" t="s">
        <v>4011</v>
      </c>
      <c r="D2718" s="215" t="s">
        <v>7279</v>
      </c>
      <c r="E2718" s="193" t="s">
        <v>311</v>
      </c>
      <c r="F2718" s="193" t="s">
        <v>114</v>
      </c>
      <c r="G2718" s="195" t="s">
        <v>1161</v>
      </c>
      <c r="H2718" s="166" t="s">
        <v>13436</v>
      </c>
      <c r="I2718" s="193" t="s">
        <v>12819</v>
      </c>
      <c r="J2718" s="219" t="s">
        <v>146</v>
      </c>
      <c r="K2718" s="168"/>
      <c r="L2718" s="219" t="s">
        <v>146</v>
      </c>
    </row>
    <row r="2719" spans="1:12" ht="15">
      <c r="A2719" s="67">
        <f t="shared" si="42"/>
        <v>2717</v>
      </c>
      <c r="B2719" s="164">
        <v>2717</v>
      </c>
      <c r="C2719" s="193" t="s">
        <v>4012</v>
      </c>
      <c r="D2719" s="195" t="s">
        <v>7280</v>
      </c>
      <c r="E2719" s="193" t="s">
        <v>9611</v>
      </c>
      <c r="F2719" s="193" t="s">
        <v>114</v>
      </c>
      <c r="G2719" s="195" t="s">
        <v>951</v>
      </c>
      <c r="H2719" s="166" t="s">
        <v>13436</v>
      </c>
      <c r="I2719" s="193" t="s">
        <v>12821</v>
      </c>
      <c r="J2719" s="219" t="s">
        <v>146</v>
      </c>
      <c r="K2719" s="168"/>
      <c r="L2719" s="193" t="s">
        <v>146</v>
      </c>
    </row>
    <row r="2720" spans="1:12" ht="15">
      <c r="A2720" s="67">
        <f t="shared" si="42"/>
        <v>2718</v>
      </c>
      <c r="B2720" s="164">
        <v>2718</v>
      </c>
      <c r="C2720" s="193" t="s">
        <v>4013</v>
      </c>
      <c r="D2720" s="195" t="s">
        <v>7281</v>
      </c>
      <c r="E2720" s="193" t="s">
        <v>8721</v>
      </c>
      <c r="F2720" s="193" t="s">
        <v>114</v>
      </c>
      <c r="G2720" s="195" t="s">
        <v>11720</v>
      </c>
      <c r="H2720" s="166" t="s">
        <v>13436</v>
      </c>
      <c r="I2720" s="193" t="s">
        <v>12812</v>
      </c>
      <c r="J2720" s="193" t="s">
        <v>146</v>
      </c>
      <c r="K2720" s="168"/>
      <c r="L2720" s="193" t="s">
        <v>146</v>
      </c>
    </row>
    <row r="2721" spans="1:12" ht="15">
      <c r="A2721" s="67">
        <f t="shared" si="42"/>
        <v>2719</v>
      </c>
      <c r="B2721" s="164">
        <v>2719</v>
      </c>
      <c r="C2721" s="193" t="s">
        <v>4014</v>
      </c>
      <c r="D2721" s="195" t="s">
        <v>7282</v>
      </c>
      <c r="E2721" s="193" t="s">
        <v>9612</v>
      </c>
      <c r="F2721" s="193" t="s">
        <v>114</v>
      </c>
      <c r="G2721" s="195" t="s">
        <v>1117</v>
      </c>
      <c r="H2721" s="166" t="s">
        <v>13436</v>
      </c>
      <c r="I2721" s="193" t="s">
        <v>12835</v>
      </c>
      <c r="J2721" s="193" t="s">
        <v>12726</v>
      </c>
      <c r="K2721" s="168"/>
      <c r="L2721" s="193" t="s">
        <v>146</v>
      </c>
    </row>
    <row r="2722" spans="1:12" ht="15">
      <c r="A2722" s="67">
        <f t="shared" si="42"/>
        <v>2720</v>
      </c>
      <c r="B2722" s="164">
        <v>2720</v>
      </c>
      <c r="C2722" s="193" t="s">
        <v>4015</v>
      </c>
      <c r="D2722" s="195" t="s">
        <v>7283</v>
      </c>
      <c r="E2722" s="193" t="s">
        <v>9613</v>
      </c>
      <c r="F2722" s="193" t="s">
        <v>114</v>
      </c>
      <c r="G2722" s="195" t="s">
        <v>11721</v>
      </c>
      <c r="H2722" s="166" t="s">
        <v>13436</v>
      </c>
      <c r="I2722" s="193" t="s">
        <v>12835</v>
      </c>
      <c r="J2722" s="193" t="s">
        <v>146</v>
      </c>
      <c r="K2722" s="168"/>
      <c r="L2722" s="193" t="s">
        <v>146</v>
      </c>
    </row>
    <row r="2723" spans="1:12" ht="15">
      <c r="A2723" s="67">
        <f t="shared" si="42"/>
        <v>2721</v>
      </c>
      <c r="B2723" s="164">
        <v>2721</v>
      </c>
      <c r="C2723" s="193" t="s">
        <v>4016</v>
      </c>
      <c r="D2723" s="195" t="s">
        <v>7284</v>
      </c>
      <c r="E2723" s="193" t="s">
        <v>9614</v>
      </c>
      <c r="F2723" s="193" t="s">
        <v>114</v>
      </c>
      <c r="G2723" s="195" t="s">
        <v>11722</v>
      </c>
      <c r="H2723" s="166" t="s">
        <v>13436</v>
      </c>
      <c r="I2723" s="193" t="s">
        <v>12835</v>
      </c>
      <c r="J2723" s="193" t="s">
        <v>146</v>
      </c>
      <c r="K2723" s="168"/>
      <c r="L2723" s="193" t="s">
        <v>146</v>
      </c>
    </row>
    <row r="2724" spans="1:12" ht="15">
      <c r="A2724" s="67">
        <f t="shared" si="42"/>
        <v>2722</v>
      </c>
      <c r="B2724" s="164">
        <v>2722</v>
      </c>
      <c r="C2724" s="193" t="s">
        <v>4017</v>
      </c>
      <c r="D2724" s="195" t="s">
        <v>7285</v>
      </c>
      <c r="E2724" s="193" t="s">
        <v>9615</v>
      </c>
      <c r="F2724" s="193" t="s">
        <v>114</v>
      </c>
      <c r="G2724" s="195" t="s">
        <v>846</v>
      </c>
      <c r="H2724" s="166" t="s">
        <v>13436</v>
      </c>
      <c r="I2724" s="193" t="s">
        <v>12812</v>
      </c>
      <c r="J2724" s="219" t="s">
        <v>146</v>
      </c>
      <c r="K2724" s="168"/>
      <c r="L2724" s="219" t="s">
        <v>146</v>
      </c>
    </row>
    <row r="2725" spans="1:12" ht="30">
      <c r="A2725" s="67">
        <f t="shared" si="42"/>
        <v>2723</v>
      </c>
      <c r="B2725" s="164">
        <v>2723</v>
      </c>
      <c r="C2725" s="193" t="s">
        <v>4018</v>
      </c>
      <c r="D2725" s="199" t="s">
        <v>7286</v>
      </c>
      <c r="E2725" s="193" t="s">
        <v>652</v>
      </c>
      <c r="F2725" s="193" t="s">
        <v>114</v>
      </c>
      <c r="G2725" s="195" t="s">
        <v>800</v>
      </c>
      <c r="H2725" s="166" t="s">
        <v>13436</v>
      </c>
      <c r="I2725" s="193" t="s">
        <v>12831</v>
      </c>
      <c r="J2725" s="193" t="s">
        <v>12727</v>
      </c>
      <c r="K2725" s="168"/>
      <c r="L2725" s="193" t="s">
        <v>146</v>
      </c>
    </row>
    <row r="2726" spans="1:12" ht="30">
      <c r="A2726" s="67">
        <f t="shared" si="42"/>
        <v>2724</v>
      </c>
      <c r="B2726" s="164">
        <v>2724</v>
      </c>
      <c r="C2726" s="193" t="s">
        <v>4019</v>
      </c>
      <c r="D2726" s="195" t="s">
        <v>7287</v>
      </c>
      <c r="E2726" s="193" t="s">
        <v>9616</v>
      </c>
      <c r="F2726" s="193" t="s">
        <v>114</v>
      </c>
      <c r="G2726" s="195" t="s">
        <v>11723</v>
      </c>
      <c r="H2726" s="166" t="s">
        <v>13436</v>
      </c>
      <c r="I2726" s="193" t="s">
        <v>12838</v>
      </c>
      <c r="J2726" s="193" t="s">
        <v>12728</v>
      </c>
      <c r="K2726" s="168"/>
      <c r="L2726" s="193" t="s">
        <v>146</v>
      </c>
    </row>
    <row r="2727" spans="1:12" ht="15">
      <c r="A2727" s="67">
        <f t="shared" si="42"/>
        <v>2725</v>
      </c>
      <c r="B2727" s="164">
        <v>2725</v>
      </c>
      <c r="C2727" s="193" t="s">
        <v>4020</v>
      </c>
      <c r="D2727" s="195" t="s">
        <v>7288</v>
      </c>
      <c r="E2727" s="193" t="s">
        <v>9617</v>
      </c>
      <c r="F2727" s="193" t="s">
        <v>59</v>
      </c>
      <c r="G2727" s="195" t="s">
        <v>11724</v>
      </c>
      <c r="H2727" s="166" t="s">
        <v>13436</v>
      </c>
      <c r="I2727" s="193" t="s">
        <v>12812</v>
      </c>
      <c r="J2727" s="219" t="s">
        <v>146</v>
      </c>
      <c r="K2727" s="168"/>
      <c r="L2727" s="193"/>
    </row>
    <row r="2728" spans="1:12" ht="30">
      <c r="A2728" s="67">
        <f t="shared" si="42"/>
        <v>2726</v>
      </c>
      <c r="B2728" s="164">
        <v>2726</v>
      </c>
      <c r="C2728" s="193" t="s">
        <v>4021</v>
      </c>
      <c r="D2728" s="195" t="s">
        <v>7289</v>
      </c>
      <c r="E2728" s="193" t="s">
        <v>9618</v>
      </c>
      <c r="F2728" s="193" t="s">
        <v>114</v>
      </c>
      <c r="G2728" s="195" t="s">
        <v>11494</v>
      </c>
      <c r="H2728" s="166" t="s">
        <v>13436</v>
      </c>
      <c r="I2728" s="193" t="s">
        <v>12812</v>
      </c>
      <c r="J2728" s="193" t="s">
        <v>12729</v>
      </c>
      <c r="K2728" s="168"/>
      <c r="L2728" s="193" t="s">
        <v>146</v>
      </c>
    </row>
    <row r="2729" spans="1:12" ht="30">
      <c r="A2729" s="67">
        <f t="shared" si="42"/>
        <v>2727</v>
      </c>
      <c r="B2729" s="164">
        <v>2727</v>
      </c>
      <c r="C2729" s="193" t="s">
        <v>4022</v>
      </c>
      <c r="D2729" s="195" t="s">
        <v>7290</v>
      </c>
      <c r="E2729" s="193" t="s">
        <v>528</v>
      </c>
      <c r="F2729" s="193" t="s">
        <v>114</v>
      </c>
      <c r="G2729" s="195" t="s">
        <v>10833</v>
      </c>
      <c r="H2729" s="166" t="s">
        <v>13436</v>
      </c>
      <c r="I2729" s="193" t="s">
        <v>12821</v>
      </c>
      <c r="J2729" s="193" t="s">
        <v>146</v>
      </c>
      <c r="K2729" s="168"/>
      <c r="L2729" s="193" t="s">
        <v>13396</v>
      </c>
    </row>
    <row r="2730" spans="1:12" ht="45">
      <c r="A2730" s="67">
        <f t="shared" si="42"/>
        <v>2728</v>
      </c>
      <c r="B2730" s="164">
        <v>2728</v>
      </c>
      <c r="C2730" s="193" t="s">
        <v>4023</v>
      </c>
      <c r="D2730" s="195" t="s">
        <v>7291</v>
      </c>
      <c r="E2730" s="193" t="s">
        <v>531</v>
      </c>
      <c r="F2730" s="193" t="s">
        <v>114</v>
      </c>
      <c r="G2730" s="195" t="s">
        <v>11071</v>
      </c>
      <c r="H2730" s="166" t="s">
        <v>13436</v>
      </c>
      <c r="I2730" s="193" t="s">
        <v>12819</v>
      </c>
      <c r="J2730" s="193" t="s">
        <v>146</v>
      </c>
      <c r="K2730" s="168"/>
      <c r="L2730" s="193" t="s">
        <v>13397</v>
      </c>
    </row>
    <row r="2731" spans="1:12" ht="15">
      <c r="A2731" s="67">
        <f t="shared" si="42"/>
        <v>2729</v>
      </c>
      <c r="B2731" s="164">
        <v>2729</v>
      </c>
      <c r="C2731" s="193" t="s">
        <v>4024</v>
      </c>
      <c r="D2731" s="195" t="s">
        <v>7292</v>
      </c>
      <c r="E2731" s="193" t="s">
        <v>8603</v>
      </c>
      <c r="F2731" s="193" t="s">
        <v>114</v>
      </c>
      <c r="G2731" s="195" t="s">
        <v>11725</v>
      </c>
      <c r="H2731" s="166" t="s">
        <v>13436</v>
      </c>
      <c r="I2731" s="193" t="s">
        <v>12819</v>
      </c>
      <c r="J2731" s="193" t="s">
        <v>146</v>
      </c>
      <c r="K2731" s="168"/>
      <c r="L2731" s="193" t="s">
        <v>146</v>
      </c>
    </row>
    <row r="2732" spans="1:12" ht="15">
      <c r="A2732" s="67">
        <f t="shared" si="42"/>
        <v>2730</v>
      </c>
      <c r="B2732" s="164">
        <v>2730</v>
      </c>
      <c r="C2732" s="193" t="s">
        <v>4025</v>
      </c>
      <c r="D2732" s="195" t="s">
        <v>7293</v>
      </c>
      <c r="E2732" s="193" t="s">
        <v>9619</v>
      </c>
      <c r="F2732" s="193" t="s">
        <v>114</v>
      </c>
      <c r="G2732" s="195" t="s">
        <v>10842</v>
      </c>
      <c r="H2732" s="166" t="s">
        <v>13436</v>
      </c>
      <c r="I2732" s="193" t="s">
        <v>12838</v>
      </c>
      <c r="J2732" s="193" t="s">
        <v>1285</v>
      </c>
      <c r="K2732" s="168"/>
      <c r="L2732" s="193" t="s">
        <v>146</v>
      </c>
    </row>
    <row r="2733" spans="1:12" ht="15">
      <c r="A2733" s="67">
        <f t="shared" si="42"/>
        <v>2731</v>
      </c>
      <c r="B2733" s="164">
        <v>2731</v>
      </c>
      <c r="C2733" s="193" t="s">
        <v>4026</v>
      </c>
      <c r="D2733" s="195" t="s">
        <v>7294</v>
      </c>
      <c r="E2733" s="193" t="s">
        <v>313</v>
      </c>
      <c r="F2733" s="193" t="s">
        <v>114</v>
      </c>
      <c r="G2733" s="195" t="s">
        <v>11273</v>
      </c>
      <c r="H2733" s="166" t="s">
        <v>13436</v>
      </c>
      <c r="I2733" s="193" t="s">
        <v>12819</v>
      </c>
      <c r="J2733" s="193" t="s">
        <v>146</v>
      </c>
      <c r="K2733" s="168"/>
      <c r="L2733" s="193" t="s">
        <v>146</v>
      </c>
    </row>
    <row r="2734" spans="1:12" ht="15">
      <c r="A2734" s="67">
        <f t="shared" si="42"/>
        <v>2732</v>
      </c>
      <c r="B2734" s="164">
        <v>2732</v>
      </c>
      <c r="C2734" s="193" t="s">
        <v>4027</v>
      </c>
      <c r="D2734" s="195" t="s">
        <v>7295</v>
      </c>
      <c r="E2734" s="193" t="s">
        <v>9620</v>
      </c>
      <c r="F2734" s="193" t="s">
        <v>114</v>
      </c>
      <c r="G2734" s="195" t="s">
        <v>11726</v>
      </c>
      <c r="H2734" s="166" t="s">
        <v>13436</v>
      </c>
      <c r="I2734" s="193" t="s">
        <v>12835</v>
      </c>
      <c r="J2734" s="193" t="s">
        <v>146</v>
      </c>
      <c r="K2734" s="168"/>
      <c r="L2734" s="193" t="s">
        <v>146</v>
      </c>
    </row>
    <row r="2735" spans="1:12" ht="15">
      <c r="A2735" s="67">
        <f t="shared" si="42"/>
        <v>2733</v>
      </c>
      <c r="B2735" s="164">
        <v>2733</v>
      </c>
      <c r="C2735" s="193" t="s">
        <v>4028</v>
      </c>
      <c r="D2735" s="195" t="s">
        <v>7296</v>
      </c>
      <c r="E2735" s="193" t="s">
        <v>9621</v>
      </c>
      <c r="F2735" s="193" t="s">
        <v>114</v>
      </c>
      <c r="G2735" s="195" t="s">
        <v>11496</v>
      </c>
      <c r="H2735" s="166" t="s">
        <v>13436</v>
      </c>
      <c r="I2735" s="193" t="s">
        <v>12819</v>
      </c>
      <c r="J2735" s="193" t="s">
        <v>146</v>
      </c>
      <c r="K2735" s="168"/>
      <c r="L2735" s="193" t="s">
        <v>146</v>
      </c>
    </row>
    <row r="2736" spans="1:12" ht="15">
      <c r="A2736" s="67">
        <f t="shared" si="42"/>
        <v>2734</v>
      </c>
      <c r="B2736" s="164">
        <v>2734</v>
      </c>
      <c r="C2736" s="193" t="s">
        <v>4029</v>
      </c>
      <c r="D2736" s="195" t="s">
        <v>7297</v>
      </c>
      <c r="E2736" s="193" t="s">
        <v>9622</v>
      </c>
      <c r="F2736" s="193" t="s">
        <v>114</v>
      </c>
      <c r="G2736" s="195" t="s">
        <v>11727</v>
      </c>
      <c r="H2736" s="166" t="s">
        <v>13436</v>
      </c>
      <c r="I2736" s="193" t="s">
        <v>12838</v>
      </c>
      <c r="J2736" s="193" t="s">
        <v>146</v>
      </c>
      <c r="K2736" s="168"/>
      <c r="L2736" s="193" t="s">
        <v>146</v>
      </c>
    </row>
    <row r="2737" spans="1:12" ht="15">
      <c r="A2737" s="67">
        <f t="shared" si="42"/>
        <v>2735</v>
      </c>
      <c r="B2737" s="164">
        <v>2735</v>
      </c>
      <c r="C2737" s="193" t="s">
        <v>4030</v>
      </c>
      <c r="D2737" s="195" t="s">
        <v>7298</v>
      </c>
      <c r="E2737" s="193" t="s">
        <v>9623</v>
      </c>
      <c r="F2737" s="193" t="s">
        <v>114</v>
      </c>
      <c r="G2737" s="195" t="s">
        <v>11728</v>
      </c>
      <c r="H2737" s="166" t="s">
        <v>13436</v>
      </c>
      <c r="I2737" s="193" t="s">
        <v>12838</v>
      </c>
      <c r="J2737" s="193" t="s">
        <v>146</v>
      </c>
      <c r="K2737" s="168"/>
      <c r="L2737" s="193" t="s">
        <v>146</v>
      </c>
    </row>
    <row r="2738" spans="1:12" ht="30">
      <c r="A2738" s="67">
        <f t="shared" si="42"/>
        <v>2736</v>
      </c>
      <c r="B2738" s="164">
        <v>2736</v>
      </c>
      <c r="C2738" s="193" t="s">
        <v>4031</v>
      </c>
      <c r="D2738" s="197" t="s">
        <v>7299</v>
      </c>
      <c r="E2738" s="193" t="s">
        <v>517</v>
      </c>
      <c r="F2738" s="193" t="s">
        <v>114</v>
      </c>
      <c r="G2738" s="195" t="s">
        <v>11729</v>
      </c>
      <c r="H2738" s="166" t="s">
        <v>13436</v>
      </c>
      <c r="I2738" s="193" t="s">
        <v>12816</v>
      </c>
      <c r="J2738" s="193" t="s">
        <v>12730</v>
      </c>
      <c r="K2738" s="168"/>
      <c r="L2738" s="193" t="s">
        <v>146</v>
      </c>
    </row>
    <row r="2739" spans="1:12" ht="15">
      <c r="A2739" s="67">
        <f t="shared" si="42"/>
        <v>2737</v>
      </c>
      <c r="B2739" s="164">
        <v>2737</v>
      </c>
      <c r="C2739" s="193" t="s">
        <v>4032</v>
      </c>
      <c r="D2739" s="195" t="s">
        <v>7300</v>
      </c>
      <c r="E2739" s="193" t="s">
        <v>9624</v>
      </c>
      <c r="F2739" s="193" t="s">
        <v>114</v>
      </c>
      <c r="G2739" s="195" t="s">
        <v>1133</v>
      </c>
      <c r="H2739" s="166" t="s">
        <v>13436</v>
      </c>
      <c r="I2739" s="193" t="s">
        <v>12838</v>
      </c>
      <c r="J2739" s="193" t="s">
        <v>146</v>
      </c>
      <c r="K2739" s="168"/>
      <c r="L2739" s="193" t="s">
        <v>146</v>
      </c>
    </row>
    <row r="2740" spans="1:12" ht="30">
      <c r="A2740" s="67">
        <f t="shared" si="42"/>
        <v>2738</v>
      </c>
      <c r="B2740" s="164">
        <v>2738</v>
      </c>
      <c r="C2740" s="193" t="s">
        <v>4033</v>
      </c>
      <c r="D2740" s="195" t="s">
        <v>7301</v>
      </c>
      <c r="E2740" s="193" t="s">
        <v>9625</v>
      </c>
      <c r="F2740" s="193" t="s">
        <v>114</v>
      </c>
      <c r="G2740" s="195" t="s">
        <v>11730</v>
      </c>
      <c r="H2740" s="166" t="s">
        <v>13436</v>
      </c>
      <c r="I2740" s="193" t="s">
        <v>12835</v>
      </c>
      <c r="J2740" s="193" t="s">
        <v>12731</v>
      </c>
      <c r="K2740" s="168"/>
      <c r="L2740" s="193" t="s">
        <v>146</v>
      </c>
    </row>
    <row r="2741" spans="1:12" ht="15">
      <c r="A2741" s="67">
        <f t="shared" si="42"/>
        <v>2739</v>
      </c>
      <c r="B2741" s="164">
        <v>2739</v>
      </c>
      <c r="C2741" s="193" t="s">
        <v>4034</v>
      </c>
      <c r="D2741" s="195" t="s">
        <v>7302</v>
      </c>
      <c r="E2741" s="193" t="s">
        <v>9626</v>
      </c>
      <c r="F2741" s="193" t="s">
        <v>114</v>
      </c>
      <c r="G2741" s="195" t="s">
        <v>11731</v>
      </c>
      <c r="H2741" s="166" t="s">
        <v>13436</v>
      </c>
      <c r="I2741" s="193" t="s">
        <v>12814</v>
      </c>
      <c r="J2741" s="193" t="s">
        <v>146</v>
      </c>
      <c r="K2741" s="168"/>
      <c r="L2741" s="193" t="s">
        <v>146</v>
      </c>
    </row>
    <row r="2742" spans="1:12" ht="15">
      <c r="A2742" s="67">
        <f t="shared" si="42"/>
        <v>2740</v>
      </c>
      <c r="B2742" s="164">
        <v>2740</v>
      </c>
      <c r="C2742" s="193" t="s">
        <v>4035</v>
      </c>
      <c r="D2742" s="195" t="s">
        <v>7303</v>
      </c>
      <c r="E2742" s="193" t="s">
        <v>166</v>
      </c>
      <c r="F2742" s="193" t="s">
        <v>114</v>
      </c>
      <c r="G2742" s="195" t="s">
        <v>1198</v>
      </c>
      <c r="H2742" s="166" t="s">
        <v>13436</v>
      </c>
      <c r="I2742" s="193" t="s">
        <v>12835</v>
      </c>
      <c r="J2742" s="193" t="s">
        <v>146</v>
      </c>
      <c r="K2742" s="168"/>
      <c r="L2742" s="193" t="s">
        <v>146</v>
      </c>
    </row>
    <row r="2743" spans="1:12" ht="15">
      <c r="A2743" s="67">
        <f t="shared" si="42"/>
        <v>2741</v>
      </c>
      <c r="B2743" s="164">
        <v>2741</v>
      </c>
      <c r="C2743" s="193" t="s">
        <v>4036</v>
      </c>
      <c r="D2743" s="208" t="s">
        <v>7304</v>
      </c>
      <c r="E2743" s="193" t="s">
        <v>9627</v>
      </c>
      <c r="F2743" s="193" t="s">
        <v>114</v>
      </c>
      <c r="G2743" s="195" t="s">
        <v>11732</v>
      </c>
      <c r="H2743" s="166" t="s">
        <v>13436</v>
      </c>
      <c r="I2743" s="193" t="s">
        <v>12816</v>
      </c>
      <c r="J2743" s="193" t="s">
        <v>146</v>
      </c>
      <c r="K2743" s="168"/>
      <c r="L2743" s="193" t="s">
        <v>146</v>
      </c>
    </row>
    <row r="2744" spans="1:12" ht="30">
      <c r="A2744" s="67">
        <f t="shared" si="42"/>
        <v>2742</v>
      </c>
      <c r="B2744" s="164">
        <v>2742</v>
      </c>
      <c r="C2744" s="193" t="s">
        <v>4037</v>
      </c>
      <c r="D2744" s="195" t="s">
        <v>7305</v>
      </c>
      <c r="E2744" s="193" t="s">
        <v>9628</v>
      </c>
      <c r="F2744" s="193" t="s">
        <v>114</v>
      </c>
      <c r="G2744" s="195" t="s">
        <v>1240</v>
      </c>
      <c r="H2744" s="166" t="s">
        <v>13436</v>
      </c>
      <c r="I2744" s="193" t="s">
        <v>12827</v>
      </c>
      <c r="J2744" s="193" t="s">
        <v>12732</v>
      </c>
      <c r="K2744" s="168"/>
      <c r="L2744" s="193" t="s">
        <v>146</v>
      </c>
    </row>
    <row r="2745" spans="1:12" ht="15">
      <c r="A2745" s="67">
        <f t="shared" si="42"/>
        <v>2743</v>
      </c>
      <c r="B2745" s="164">
        <v>2743</v>
      </c>
      <c r="C2745" s="193" t="s">
        <v>4038</v>
      </c>
      <c r="D2745" s="203" t="s">
        <v>7306</v>
      </c>
      <c r="E2745" s="193" t="s">
        <v>9351</v>
      </c>
      <c r="F2745" s="193" t="s">
        <v>114</v>
      </c>
      <c r="G2745" s="195" t="s">
        <v>280</v>
      </c>
      <c r="H2745" s="166" t="s">
        <v>13436</v>
      </c>
      <c r="I2745" s="193" t="s">
        <v>12827</v>
      </c>
      <c r="J2745" s="193" t="s">
        <v>146</v>
      </c>
      <c r="K2745" s="168"/>
      <c r="L2745" s="193" t="s">
        <v>146</v>
      </c>
    </row>
    <row r="2746" spans="1:12" ht="15">
      <c r="A2746" s="67">
        <f t="shared" si="42"/>
        <v>2744</v>
      </c>
      <c r="B2746" s="164">
        <v>2744</v>
      </c>
      <c r="C2746" s="193" t="s">
        <v>4039</v>
      </c>
      <c r="D2746" s="195" t="s">
        <v>7307</v>
      </c>
      <c r="E2746" s="193" t="s">
        <v>9629</v>
      </c>
      <c r="F2746" s="193" t="s">
        <v>59</v>
      </c>
      <c r="G2746" s="195" t="s">
        <v>11733</v>
      </c>
      <c r="H2746" s="166" t="s">
        <v>13436</v>
      </c>
      <c r="I2746" s="193" t="s">
        <v>12812</v>
      </c>
      <c r="J2746" s="193" t="s">
        <v>12733</v>
      </c>
      <c r="K2746" s="168"/>
      <c r="L2746" s="193"/>
    </row>
    <row r="2747" spans="1:12" ht="30">
      <c r="A2747" s="67">
        <f t="shared" si="42"/>
        <v>2745</v>
      </c>
      <c r="B2747" s="164">
        <v>2745</v>
      </c>
      <c r="C2747" s="193" t="s">
        <v>4040</v>
      </c>
      <c r="D2747" s="195" t="s">
        <v>7308</v>
      </c>
      <c r="E2747" s="193" t="s">
        <v>180</v>
      </c>
      <c r="F2747" s="193" t="s">
        <v>114</v>
      </c>
      <c r="G2747" s="195" t="s">
        <v>1011</v>
      </c>
      <c r="H2747" s="166" t="s">
        <v>13436</v>
      </c>
      <c r="I2747" s="193" t="s">
        <v>12835</v>
      </c>
      <c r="J2747" s="193" t="s">
        <v>146</v>
      </c>
      <c r="K2747" s="168"/>
      <c r="L2747" s="193" t="s">
        <v>13398</v>
      </c>
    </row>
    <row r="2748" spans="1:12" ht="15">
      <c r="A2748" s="67">
        <f t="shared" si="42"/>
        <v>2746</v>
      </c>
      <c r="B2748" s="164">
        <v>2746</v>
      </c>
      <c r="C2748" s="193" t="s">
        <v>4041</v>
      </c>
      <c r="D2748" s="195" t="s">
        <v>7309</v>
      </c>
      <c r="E2748" s="193" t="s">
        <v>216</v>
      </c>
      <c r="F2748" s="193" t="s">
        <v>114</v>
      </c>
      <c r="G2748" s="195" t="s">
        <v>1152</v>
      </c>
      <c r="H2748" s="166" t="s">
        <v>13436</v>
      </c>
      <c r="I2748" s="193" t="s">
        <v>12835</v>
      </c>
      <c r="J2748" s="193" t="s">
        <v>146</v>
      </c>
      <c r="K2748" s="168"/>
      <c r="L2748" s="193" t="s">
        <v>146</v>
      </c>
    </row>
    <row r="2749" spans="1:12" ht="15">
      <c r="A2749" s="67">
        <f t="shared" si="42"/>
        <v>2747</v>
      </c>
      <c r="B2749" s="164">
        <v>2747</v>
      </c>
      <c r="C2749" s="193" t="s">
        <v>4042</v>
      </c>
      <c r="D2749" s="195" t="s">
        <v>7310</v>
      </c>
      <c r="E2749" s="193" t="s">
        <v>446</v>
      </c>
      <c r="F2749" s="193" t="s">
        <v>114</v>
      </c>
      <c r="G2749" s="195" t="s">
        <v>227</v>
      </c>
      <c r="H2749" s="166" t="s">
        <v>13436</v>
      </c>
      <c r="I2749" s="193" t="s">
        <v>12814</v>
      </c>
      <c r="J2749" s="193" t="s">
        <v>146</v>
      </c>
      <c r="K2749" s="168"/>
      <c r="L2749" s="193" t="s">
        <v>146</v>
      </c>
    </row>
    <row r="2750" spans="1:12" ht="15">
      <c r="A2750" s="67">
        <f t="shared" si="42"/>
        <v>2748</v>
      </c>
      <c r="B2750" s="164">
        <v>2748</v>
      </c>
      <c r="C2750" s="193" t="s">
        <v>4043</v>
      </c>
      <c r="D2750" s="195" t="s">
        <v>7311</v>
      </c>
      <c r="E2750" s="193" t="s">
        <v>9630</v>
      </c>
      <c r="F2750" s="193" t="s">
        <v>114</v>
      </c>
      <c r="G2750" s="195" t="s">
        <v>11734</v>
      </c>
      <c r="H2750" s="166" t="s">
        <v>13436</v>
      </c>
      <c r="I2750" s="193" t="s">
        <v>12819</v>
      </c>
      <c r="J2750" s="193" t="s">
        <v>146</v>
      </c>
      <c r="K2750" s="168"/>
      <c r="L2750" s="193" t="s">
        <v>146</v>
      </c>
    </row>
    <row r="2751" spans="1:12" ht="15">
      <c r="A2751" s="67">
        <f t="shared" si="42"/>
        <v>2749</v>
      </c>
      <c r="B2751" s="164">
        <v>2749</v>
      </c>
      <c r="C2751" s="193" t="s">
        <v>4044</v>
      </c>
      <c r="D2751" s="195" t="s">
        <v>7312</v>
      </c>
      <c r="E2751" s="193" t="s">
        <v>9631</v>
      </c>
      <c r="F2751" s="193" t="s">
        <v>114</v>
      </c>
      <c r="G2751" s="195" t="s">
        <v>822</v>
      </c>
      <c r="H2751" s="166" t="s">
        <v>13436</v>
      </c>
      <c r="I2751" s="193" t="s">
        <v>12827</v>
      </c>
      <c r="J2751" s="193" t="s">
        <v>146</v>
      </c>
      <c r="K2751" s="168"/>
      <c r="L2751" s="193" t="s">
        <v>146</v>
      </c>
    </row>
    <row r="2752" spans="1:12" ht="15">
      <c r="A2752" s="67">
        <f t="shared" si="42"/>
        <v>2750</v>
      </c>
      <c r="B2752" s="164">
        <v>2750</v>
      </c>
      <c r="C2752" s="193" t="s">
        <v>4045</v>
      </c>
      <c r="D2752" s="195" t="s">
        <v>7313</v>
      </c>
      <c r="E2752" s="193" t="s">
        <v>9632</v>
      </c>
      <c r="F2752" s="193" t="s">
        <v>59</v>
      </c>
      <c r="G2752" s="195" t="s">
        <v>1099</v>
      </c>
      <c r="H2752" s="166" t="s">
        <v>13436</v>
      </c>
      <c r="I2752" s="193" t="s">
        <v>12812</v>
      </c>
      <c r="J2752" s="193" t="s">
        <v>12734</v>
      </c>
      <c r="K2752" s="168"/>
      <c r="L2752" s="193"/>
    </row>
    <row r="2753" spans="1:12" ht="30">
      <c r="A2753" s="67">
        <f t="shared" si="42"/>
        <v>2751</v>
      </c>
      <c r="B2753" s="164">
        <v>2751</v>
      </c>
      <c r="C2753" s="193" t="s">
        <v>4046</v>
      </c>
      <c r="D2753" s="195" t="s">
        <v>7314</v>
      </c>
      <c r="E2753" s="193" t="s">
        <v>9633</v>
      </c>
      <c r="F2753" s="193" t="s">
        <v>114</v>
      </c>
      <c r="G2753" s="195" t="s">
        <v>11153</v>
      </c>
      <c r="H2753" s="166" t="s">
        <v>13436</v>
      </c>
      <c r="I2753" s="193" t="s">
        <v>12814</v>
      </c>
      <c r="J2753" s="193" t="s">
        <v>146</v>
      </c>
      <c r="K2753" s="168"/>
      <c r="L2753" s="193" t="s">
        <v>13399</v>
      </c>
    </row>
    <row r="2754" spans="1:12" ht="15">
      <c r="A2754" s="67">
        <f t="shared" si="42"/>
        <v>2752</v>
      </c>
      <c r="B2754" s="164">
        <v>2752</v>
      </c>
      <c r="C2754" s="193" t="s">
        <v>4047</v>
      </c>
      <c r="D2754" s="195" t="s">
        <v>7315</v>
      </c>
      <c r="E2754" s="193" t="s">
        <v>536</v>
      </c>
      <c r="F2754" s="193" t="s">
        <v>114</v>
      </c>
      <c r="G2754" s="195" t="s">
        <v>11735</v>
      </c>
      <c r="H2754" s="166" t="s">
        <v>13436</v>
      </c>
      <c r="I2754" s="193" t="s">
        <v>12827</v>
      </c>
      <c r="J2754" s="193" t="s">
        <v>146</v>
      </c>
      <c r="K2754" s="168"/>
      <c r="L2754" s="193" t="s">
        <v>146</v>
      </c>
    </row>
    <row r="2755" spans="1:12" ht="15">
      <c r="A2755" s="67">
        <f t="shared" ref="A2755:A2818" si="43">IFERROR(VALUE(RIGHT(C2755,4)),"")</f>
        <v>2753</v>
      </c>
      <c r="B2755" s="164">
        <v>2753</v>
      </c>
      <c r="C2755" s="193" t="s">
        <v>4048</v>
      </c>
      <c r="D2755" s="195" t="s">
        <v>7316</v>
      </c>
      <c r="E2755" s="193" t="s">
        <v>9634</v>
      </c>
      <c r="F2755" s="193" t="s">
        <v>114</v>
      </c>
      <c r="G2755" s="195" t="s">
        <v>11736</v>
      </c>
      <c r="H2755" s="166" t="s">
        <v>13436</v>
      </c>
      <c r="I2755" s="193" t="s">
        <v>12814</v>
      </c>
      <c r="J2755" s="219" t="s">
        <v>146</v>
      </c>
      <c r="K2755" s="168"/>
      <c r="L2755" s="219" t="s">
        <v>146</v>
      </c>
    </row>
    <row r="2756" spans="1:12" ht="30">
      <c r="A2756" s="67">
        <f t="shared" si="43"/>
        <v>2754</v>
      </c>
      <c r="B2756" s="164">
        <v>2754</v>
      </c>
      <c r="C2756" s="193" t="s">
        <v>4049</v>
      </c>
      <c r="D2756" s="195" t="s">
        <v>7317</v>
      </c>
      <c r="E2756" s="193" t="s">
        <v>629</v>
      </c>
      <c r="F2756" s="193" t="s">
        <v>114</v>
      </c>
      <c r="G2756" s="195" t="s">
        <v>11737</v>
      </c>
      <c r="H2756" s="166" t="s">
        <v>13436</v>
      </c>
      <c r="I2756" s="193" t="s">
        <v>12819</v>
      </c>
      <c r="J2756" s="193" t="s">
        <v>12735</v>
      </c>
      <c r="K2756" s="168"/>
      <c r="L2756" s="193" t="s">
        <v>146</v>
      </c>
    </row>
    <row r="2757" spans="1:12" ht="30">
      <c r="A2757" s="67">
        <f t="shared" si="43"/>
        <v>2755</v>
      </c>
      <c r="B2757" s="164">
        <v>2755</v>
      </c>
      <c r="C2757" s="193" t="s">
        <v>4050</v>
      </c>
      <c r="D2757" s="195" t="s">
        <v>7318</v>
      </c>
      <c r="E2757" s="193" t="s">
        <v>9635</v>
      </c>
      <c r="F2757" s="193" t="s">
        <v>114</v>
      </c>
      <c r="G2757" s="195" t="s">
        <v>11738</v>
      </c>
      <c r="H2757" s="166" t="s">
        <v>13436</v>
      </c>
      <c r="I2757" s="193" t="s">
        <v>12819</v>
      </c>
      <c r="J2757" s="219" t="s">
        <v>12736</v>
      </c>
      <c r="K2757" s="168"/>
      <c r="L2757" s="219" t="s">
        <v>146</v>
      </c>
    </row>
    <row r="2758" spans="1:12" ht="15">
      <c r="A2758" s="67">
        <f t="shared" si="43"/>
        <v>2756</v>
      </c>
      <c r="B2758" s="164">
        <v>2756</v>
      </c>
      <c r="C2758" s="193" t="s">
        <v>4051</v>
      </c>
      <c r="D2758" s="195" t="s">
        <v>7319</v>
      </c>
      <c r="E2758" s="193" t="s">
        <v>9636</v>
      </c>
      <c r="F2758" s="193" t="s">
        <v>114</v>
      </c>
      <c r="G2758" s="195" t="s">
        <v>1200</v>
      </c>
      <c r="H2758" s="166" t="s">
        <v>13436</v>
      </c>
      <c r="I2758" s="193" t="s">
        <v>12819</v>
      </c>
      <c r="J2758" s="193" t="s">
        <v>146</v>
      </c>
      <c r="K2758" s="168"/>
      <c r="L2758" s="193" t="s">
        <v>146</v>
      </c>
    </row>
    <row r="2759" spans="1:12" ht="15">
      <c r="A2759" s="67">
        <f t="shared" si="43"/>
        <v>2757</v>
      </c>
      <c r="B2759" s="164">
        <v>2757</v>
      </c>
      <c r="C2759" s="193" t="s">
        <v>4052</v>
      </c>
      <c r="D2759" s="195" t="s">
        <v>7320</v>
      </c>
      <c r="E2759" s="193" t="s">
        <v>9637</v>
      </c>
      <c r="F2759" s="193" t="s">
        <v>114</v>
      </c>
      <c r="G2759" s="195" t="s">
        <v>869</v>
      </c>
      <c r="H2759" s="166" t="s">
        <v>13436</v>
      </c>
      <c r="I2759" s="193" t="s">
        <v>12812</v>
      </c>
      <c r="J2759" s="193" t="s">
        <v>146</v>
      </c>
      <c r="K2759" s="168"/>
      <c r="L2759" s="193" t="s">
        <v>146</v>
      </c>
    </row>
    <row r="2760" spans="1:12" ht="15">
      <c r="A2760" s="67">
        <f t="shared" si="43"/>
        <v>2758</v>
      </c>
      <c r="B2760" s="164">
        <v>2758</v>
      </c>
      <c r="C2760" s="193" t="s">
        <v>4053</v>
      </c>
      <c r="D2760" s="195" t="s">
        <v>7321</v>
      </c>
      <c r="E2760" s="193" t="s">
        <v>215</v>
      </c>
      <c r="F2760" s="193" t="s">
        <v>114</v>
      </c>
      <c r="G2760" s="195" t="s">
        <v>11288</v>
      </c>
      <c r="H2760" s="166" t="s">
        <v>13436</v>
      </c>
      <c r="I2760" s="193" t="s">
        <v>12819</v>
      </c>
      <c r="J2760" s="193" t="s">
        <v>146</v>
      </c>
      <c r="K2760" s="168"/>
      <c r="L2760" s="193" t="s">
        <v>146</v>
      </c>
    </row>
    <row r="2761" spans="1:12" ht="15">
      <c r="A2761" s="67">
        <f t="shared" si="43"/>
        <v>2759</v>
      </c>
      <c r="B2761" s="164">
        <v>2759</v>
      </c>
      <c r="C2761" s="193" t="s">
        <v>4054</v>
      </c>
      <c r="D2761" s="195" t="s">
        <v>7322</v>
      </c>
      <c r="E2761" s="193" t="s">
        <v>9638</v>
      </c>
      <c r="F2761" s="193" t="s">
        <v>114</v>
      </c>
      <c r="G2761" s="195" t="s">
        <v>1078</v>
      </c>
      <c r="H2761" s="166" t="s">
        <v>13436</v>
      </c>
      <c r="I2761" s="193" t="s">
        <v>12812</v>
      </c>
      <c r="J2761" s="193" t="s">
        <v>146</v>
      </c>
      <c r="K2761" s="168"/>
      <c r="L2761" s="193" t="s">
        <v>146</v>
      </c>
    </row>
    <row r="2762" spans="1:12" ht="15">
      <c r="A2762" s="67">
        <f t="shared" si="43"/>
        <v>2760</v>
      </c>
      <c r="B2762" s="164">
        <v>2760</v>
      </c>
      <c r="C2762" s="193" t="s">
        <v>4055</v>
      </c>
      <c r="D2762" s="195" t="s">
        <v>7323</v>
      </c>
      <c r="E2762" s="193" t="s">
        <v>9639</v>
      </c>
      <c r="F2762" s="193" t="s">
        <v>114</v>
      </c>
      <c r="G2762" s="195" t="s">
        <v>261</v>
      </c>
      <c r="H2762" s="166" t="s">
        <v>13436</v>
      </c>
      <c r="I2762" s="193" t="s">
        <v>12812</v>
      </c>
      <c r="J2762" s="193" t="s">
        <v>146</v>
      </c>
      <c r="K2762" s="168"/>
      <c r="L2762" s="193" t="s">
        <v>146</v>
      </c>
    </row>
    <row r="2763" spans="1:12" ht="15">
      <c r="A2763" s="67">
        <f t="shared" si="43"/>
        <v>2761</v>
      </c>
      <c r="B2763" s="164">
        <v>2761</v>
      </c>
      <c r="C2763" s="193" t="s">
        <v>4056</v>
      </c>
      <c r="D2763" s="195" t="s">
        <v>7324</v>
      </c>
      <c r="E2763" s="193" t="s">
        <v>9475</v>
      </c>
      <c r="F2763" s="193" t="s">
        <v>114</v>
      </c>
      <c r="G2763" s="195" t="s">
        <v>11739</v>
      </c>
      <c r="H2763" s="166" t="s">
        <v>13436</v>
      </c>
      <c r="I2763" s="193" t="s">
        <v>12827</v>
      </c>
      <c r="J2763" s="193" t="s">
        <v>146</v>
      </c>
      <c r="K2763" s="168"/>
      <c r="L2763" s="193" t="s">
        <v>146</v>
      </c>
    </row>
    <row r="2764" spans="1:12" ht="15">
      <c r="A2764" s="67">
        <f t="shared" si="43"/>
        <v>2762</v>
      </c>
      <c r="B2764" s="164">
        <v>2762</v>
      </c>
      <c r="C2764" s="193" t="s">
        <v>4057</v>
      </c>
      <c r="D2764" s="195" t="s">
        <v>7325</v>
      </c>
      <c r="E2764" s="193" t="s">
        <v>8336</v>
      </c>
      <c r="F2764" s="193" t="s">
        <v>114</v>
      </c>
      <c r="G2764" s="195" t="s">
        <v>11740</v>
      </c>
      <c r="H2764" s="166" t="s">
        <v>13436</v>
      </c>
      <c r="I2764" s="193" t="s">
        <v>12812</v>
      </c>
      <c r="J2764" s="193" t="s">
        <v>146</v>
      </c>
      <c r="K2764" s="168"/>
      <c r="L2764" s="193" t="s">
        <v>146</v>
      </c>
    </row>
    <row r="2765" spans="1:12" ht="15">
      <c r="A2765" s="67">
        <f t="shared" si="43"/>
        <v>2763</v>
      </c>
      <c r="B2765" s="164">
        <v>2763</v>
      </c>
      <c r="C2765" s="193" t="s">
        <v>4058</v>
      </c>
      <c r="D2765" s="197" t="s">
        <v>7326</v>
      </c>
      <c r="E2765" s="193" t="s">
        <v>9640</v>
      </c>
      <c r="F2765" s="193" t="s">
        <v>114</v>
      </c>
      <c r="G2765" s="195" t="s">
        <v>11741</v>
      </c>
      <c r="H2765" s="166" t="s">
        <v>13436</v>
      </c>
      <c r="I2765" s="193" t="s">
        <v>12816</v>
      </c>
      <c r="J2765" s="219" t="s">
        <v>1252</v>
      </c>
      <c r="K2765" s="168"/>
      <c r="L2765" s="219" t="s">
        <v>146</v>
      </c>
    </row>
    <row r="2766" spans="1:12" ht="15">
      <c r="A2766" s="67">
        <f t="shared" si="43"/>
        <v>2764</v>
      </c>
      <c r="B2766" s="164">
        <v>2764</v>
      </c>
      <c r="C2766" s="193" t="s">
        <v>4059</v>
      </c>
      <c r="D2766" s="208" t="s">
        <v>7327</v>
      </c>
      <c r="E2766" s="193" t="s">
        <v>9641</v>
      </c>
      <c r="F2766" s="193" t="s">
        <v>114</v>
      </c>
      <c r="G2766" s="195" t="s">
        <v>1115</v>
      </c>
      <c r="H2766" s="166" t="s">
        <v>13436</v>
      </c>
      <c r="I2766" s="193" t="s">
        <v>12816</v>
      </c>
      <c r="J2766" s="193" t="s">
        <v>146</v>
      </c>
      <c r="K2766" s="168"/>
      <c r="L2766" s="193" t="s">
        <v>146</v>
      </c>
    </row>
    <row r="2767" spans="1:12" ht="15">
      <c r="A2767" s="67">
        <f t="shared" si="43"/>
        <v>2765</v>
      </c>
      <c r="B2767" s="164">
        <v>2765</v>
      </c>
      <c r="C2767" s="193" t="s">
        <v>4060</v>
      </c>
      <c r="D2767" s="195" t="s">
        <v>7328</v>
      </c>
      <c r="E2767" s="193" t="s">
        <v>9642</v>
      </c>
      <c r="F2767" s="193" t="s">
        <v>114</v>
      </c>
      <c r="G2767" s="195" t="s">
        <v>11741</v>
      </c>
      <c r="H2767" s="166" t="s">
        <v>13436</v>
      </c>
      <c r="I2767" s="193" t="s">
        <v>12838</v>
      </c>
      <c r="J2767" s="219" t="s">
        <v>146</v>
      </c>
      <c r="K2767" s="168"/>
      <c r="L2767" s="219" t="s">
        <v>146</v>
      </c>
    </row>
    <row r="2768" spans="1:12" ht="15">
      <c r="A2768" s="67">
        <f t="shared" si="43"/>
        <v>2766</v>
      </c>
      <c r="B2768" s="164">
        <v>2766</v>
      </c>
      <c r="C2768" s="193" t="s">
        <v>4061</v>
      </c>
      <c r="D2768" s="195" t="s">
        <v>7329</v>
      </c>
      <c r="E2768" s="193" t="s">
        <v>9643</v>
      </c>
      <c r="F2768" s="193" t="s">
        <v>114</v>
      </c>
      <c r="G2768" s="195" t="s">
        <v>11264</v>
      </c>
      <c r="H2768" s="166" t="s">
        <v>13436</v>
      </c>
      <c r="I2768" s="193" t="s">
        <v>12812</v>
      </c>
      <c r="J2768" s="193" t="s">
        <v>146</v>
      </c>
      <c r="K2768" s="168"/>
      <c r="L2768" s="193" t="s">
        <v>146</v>
      </c>
    </row>
    <row r="2769" spans="1:12" ht="15">
      <c r="A2769" s="67">
        <f t="shared" si="43"/>
        <v>2767</v>
      </c>
      <c r="B2769" s="164">
        <v>2767</v>
      </c>
      <c r="C2769" s="193" t="s">
        <v>4062</v>
      </c>
      <c r="D2769" s="195" t="s">
        <v>7330</v>
      </c>
      <c r="E2769" s="193" t="s">
        <v>9644</v>
      </c>
      <c r="F2769" s="193" t="s">
        <v>59</v>
      </c>
      <c r="G2769" s="195" t="s">
        <v>11632</v>
      </c>
      <c r="H2769" s="166" t="s">
        <v>13436</v>
      </c>
      <c r="I2769" s="193" t="s">
        <v>12819</v>
      </c>
      <c r="J2769" s="193" t="s">
        <v>12737</v>
      </c>
      <c r="K2769" s="168"/>
      <c r="L2769" s="193"/>
    </row>
    <row r="2770" spans="1:12" ht="15">
      <c r="A2770" s="67">
        <f t="shared" si="43"/>
        <v>2768</v>
      </c>
      <c r="B2770" s="164">
        <v>2768</v>
      </c>
      <c r="C2770" s="193" t="s">
        <v>4063</v>
      </c>
      <c r="D2770" s="195" t="s">
        <v>7331</v>
      </c>
      <c r="E2770" s="193" t="s">
        <v>161</v>
      </c>
      <c r="F2770" s="193" t="s">
        <v>114</v>
      </c>
      <c r="G2770" s="195" t="s">
        <v>915</v>
      </c>
      <c r="H2770" s="166" t="s">
        <v>13436</v>
      </c>
      <c r="I2770" s="193" t="s">
        <v>12818</v>
      </c>
      <c r="J2770" s="193" t="s">
        <v>146</v>
      </c>
      <c r="K2770" s="168"/>
      <c r="L2770" s="193" t="s">
        <v>146</v>
      </c>
    </row>
    <row r="2771" spans="1:12" ht="15">
      <c r="A2771" s="67">
        <f t="shared" si="43"/>
        <v>2769</v>
      </c>
      <c r="B2771" s="164">
        <v>2769</v>
      </c>
      <c r="C2771" s="193" t="s">
        <v>4064</v>
      </c>
      <c r="D2771" s="195" t="s">
        <v>7332</v>
      </c>
      <c r="E2771" s="193" t="s">
        <v>519</v>
      </c>
      <c r="F2771" s="193" t="s">
        <v>114</v>
      </c>
      <c r="G2771" s="195" t="s">
        <v>1107</v>
      </c>
      <c r="H2771" s="166" t="s">
        <v>13436</v>
      </c>
      <c r="I2771" s="193" t="s">
        <v>12818</v>
      </c>
      <c r="J2771" s="193" t="s">
        <v>146</v>
      </c>
      <c r="K2771" s="168"/>
      <c r="L2771" s="193" t="s">
        <v>146</v>
      </c>
    </row>
    <row r="2772" spans="1:12" ht="15">
      <c r="A2772" s="67">
        <f t="shared" si="43"/>
        <v>2770</v>
      </c>
      <c r="B2772" s="164">
        <v>2770</v>
      </c>
      <c r="C2772" s="193" t="s">
        <v>4065</v>
      </c>
      <c r="D2772" s="195" t="s">
        <v>7333</v>
      </c>
      <c r="E2772" s="193" t="s">
        <v>9645</v>
      </c>
      <c r="F2772" s="193" t="s">
        <v>114</v>
      </c>
      <c r="G2772" s="195" t="s">
        <v>1102</v>
      </c>
      <c r="H2772" s="166" t="s">
        <v>13436</v>
      </c>
      <c r="I2772" s="193" t="s">
        <v>12818</v>
      </c>
      <c r="J2772" s="193" t="s">
        <v>146</v>
      </c>
      <c r="K2772" s="168"/>
      <c r="L2772" s="193" t="s">
        <v>146</v>
      </c>
    </row>
    <row r="2773" spans="1:12" ht="15">
      <c r="A2773" s="67">
        <f t="shared" si="43"/>
        <v>2771</v>
      </c>
      <c r="B2773" s="164">
        <v>2771</v>
      </c>
      <c r="C2773" s="193" t="s">
        <v>4066</v>
      </c>
      <c r="D2773" s="195" t="s">
        <v>7334</v>
      </c>
      <c r="E2773" s="193" t="s">
        <v>9646</v>
      </c>
      <c r="F2773" s="193" t="s">
        <v>114</v>
      </c>
      <c r="G2773" s="195" t="s">
        <v>11742</v>
      </c>
      <c r="H2773" s="166" t="s">
        <v>13436</v>
      </c>
      <c r="I2773" s="193" t="s">
        <v>12818</v>
      </c>
      <c r="J2773" s="193" t="s">
        <v>146</v>
      </c>
      <c r="K2773" s="168"/>
      <c r="L2773" s="193" t="s">
        <v>146</v>
      </c>
    </row>
    <row r="2774" spans="1:12" ht="15">
      <c r="A2774" s="67">
        <f t="shared" si="43"/>
        <v>2772</v>
      </c>
      <c r="B2774" s="164">
        <v>2772</v>
      </c>
      <c r="C2774" s="193" t="s">
        <v>4067</v>
      </c>
      <c r="D2774" s="195" t="s">
        <v>7335</v>
      </c>
      <c r="E2774" s="193" t="s">
        <v>550</v>
      </c>
      <c r="F2774" s="193" t="s">
        <v>114</v>
      </c>
      <c r="G2774" s="195" t="s">
        <v>1055</v>
      </c>
      <c r="H2774" s="166" t="s">
        <v>13436</v>
      </c>
      <c r="I2774" s="193" t="s">
        <v>12835</v>
      </c>
      <c r="J2774" s="219" t="s">
        <v>146</v>
      </c>
      <c r="K2774" s="168"/>
      <c r="L2774" s="219" t="s">
        <v>146</v>
      </c>
    </row>
    <row r="2775" spans="1:12" ht="30">
      <c r="A2775" s="67">
        <f t="shared" si="43"/>
        <v>2773</v>
      </c>
      <c r="B2775" s="164">
        <v>2773</v>
      </c>
      <c r="C2775" s="193" t="s">
        <v>4068</v>
      </c>
      <c r="D2775" s="195" t="s">
        <v>7336</v>
      </c>
      <c r="E2775" s="193" t="s">
        <v>653</v>
      </c>
      <c r="F2775" s="193" t="s">
        <v>114</v>
      </c>
      <c r="G2775" s="195" t="s">
        <v>11743</v>
      </c>
      <c r="H2775" s="166" t="s">
        <v>13436</v>
      </c>
      <c r="I2775" s="193" t="s">
        <v>12835</v>
      </c>
      <c r="J2775" s="193" t="s">
        <v>12738</v>
      </c>
      <c r="K2775" s="168"/>
      <c r="L2775" s="193" t="s">
        <v>146</v>
      </c>
    </row>
    <row r="2776" spans="1:12" ht="15">
      <c r="A2776" s="67">
        <f t="shared" si="43"/>
        <v>2774</v>
      </c>
      <c r="B2776" s="164">
        <v>2774</v>
      </c>
      <c r="C2776" s="193" t="s">
        <v>4069</v>
      </c>
      <c r="D2776" s="195" t="s">
        <v>7337</v>
      </c>
      <c r="E2776" s="193" t="s">
        <v>590</v>
      </c>
      <c r="F2776" s="193" t="s">
        <v>114</v>
      </c>
      <c r="G2776" s="195" t="s">
        <v>11744</v>
      </c>
      <c r="H2776" s="166" t="s">
        <v>13436</v>
      </c>
      <c r="I2776" s="193" t="s">
        <v>12812</v>
      </c>
      <c r="J2776" s="219" t="s">
        <v>146</v>
      </c>
      <c r="K2776" s="168"/>
      <c r="L2776" s="219" t="s">
        <v>146</v>
      </c>
    </row>
    <row r="2777" spans="1:12" ht="15">
      <c r="A2777" s="67">
        <f t="shared" si="43"/>
        <v>2775</v>
      </c>
      <c r="B2777" s="164">
        <v>2775</v>
      </c>
      <c r="C2777" s="193" t="s">
        <v>4070</v>
      </c>
      <c r="D2777" s="208" t="s">
        <v>7338</v>
      </c>
      <c r="E2777" s="193" t="s">
        <v>9647</v>
      </c>
      <c r="F2777" s="193" t="s">
        <v>114</v>
      </c>
      <c r="G2777" s="195" t="s">
        <v>861</v>
      </c>
      <c r="H2777" s="166" t="s">
        <v>13436</v>
      </c>
      <c r="I2777" s="193" t="s">
        <v>12816</v>
      </c>
      <c r="J2777" s="193" t="s">
        <v>1270</v>
      </c>
      <c r="K2777" s="168"/>
      <c r="L2777" s="193" t="s">
        <v>146</v>
      </c>
    </row>
    <row r="2778" spans="1:12" ht="15">
      <c r="A2778" s="67">
        <f t="shared" si="43"/>
        <v>2776</v>
      </c>
      <c r="B2778" s="164">
        <v>2776</v>
      </c>
      <c r="C2778" s="193" t="s">
        <v>4071</v>
      </c>
      <c r="D2778" s="205" t="s">
        <v>7339</v>
      </c>
      <c r="E2778" s="193" t="s">
        <v>9648</v>
      </c>
      <c r="F2778" s="193" t="s">
        <v>114</v>
      </c>
      <c r="G2778" s="195" t="s">
        <v>1242</v>
      </c>
      <c r="H2778" s="166" t="s">
        <v>13436</v>
      </c>
      <c r="I2778" s="193" t="s">
        <v>12816</v>
      </c>
      <c r="J2778" s="193" t="s">
        <v>146</v>
      </c>
      <c r="K2778" s="168"/>
      <c r="L2778" s="193" t="s">
        <v>146</v>
      </c>
    </row>
    <row r="2779" spans="1:12" ht="15">
      <c r="A2779" s="67">
        <f t="shared" si="43"/>
        <v>2777</v>
      </c>
      <c r="B2779" s="164">
        <v>2777</v>
      </c>
      <c r="C2779" s="193" t="s">
        <v>4072</v>
      </c>
      <c r="D2779" s="208" t="s">
        <v>7340</v>
      </c>
      <c r="E2779" s="193" t="s">
        <v>9649</v>
      </c>
      <c r="F2779" s="193" t="s">
        <v>114</v>
      </c>
      <c r="G2779" s="195" t="s">
        <v>11745</v>
      </c>
      <c r="H2779" s="166" t="s">
        <v>13436</v>
      </c>
      <c r="I2779" s="193" t="s">
        <v>12816</v>
      </c>
      <c r="J2779" s="193" t="s">
        <v>146</v>
      </c>
      <c r="K2779" s="168"/>
      <c r="L2779" s="193" t="s">
        <v>146</v>
      </c>
    </row>
    <row r="2780" spans="1:12" ht="15">
      <c r="A2780" s="67">
        <f t="shared" si="43"/>
        <v>2778</v>
      </c>
      <c r="B2780" s="164">
        <v>2778</v>
      </c>
      <c r="C2780" s="193" t="s">
        <v>4073</v>
      </c>
      <c r="D2780" s="208" t="s">
        <v>7341</v>
      </c>
      <c r="E2780" s="193" t="s">
        <v>9650</v>
      </c>
      <c r="F2780" s="193" t="s">
        <v>114</v>
      </c>
      <c r="G2780" s="195" t="s">
        <v>11484</v>
      </c>
      <c r="H2780" s="166" t="s">
        <v>13436</v>
      </c>
      <c r="I2780" s="193" t="s">
        <v>12816</v>
      </c>
      <c r="J2780" s="193" t="s">
        <v>146</v>
      </c>
      <c r="K2780" s="168"/>
      <c r="L2780" s="193" t="s">
        <v>146</v>
      </c>
    </row>
    <row r="2781" spans="1:12" ht="30">
      <c r="A2781" s="67">
        <f t="shared" si="43"/>
        <v>2779</v>
      </c>
      <c r="B2781" s="164">
        <v>2779</v>
      </c>
      <c r="C2781" s="193" t="s">
        <v>4074</v>
      </c>
      <c r="D2781" s="195" t="s">
        <v>7342</v>
      </c>
      <c r="E2781" s="193" t="s">
        <v>9651</v>
      </c>
      <c r="F2781" s="193" t="s">
        <v>114</v>
      </c>
      <c r="G2781" s="195" t="s">
        <v>11746</v>
      </c>
      <c r="H2781" s="166" t="s">
        <v>13436</v>
      </c>
      <c r="I2781" s="193" t="s">
        <v>12819</v>
      </c>
      <c r="J2781" s="193" t="s">
        <v>12739</v>
      </c>
      <c r="K2781" s="168"/>
      <c r="L2781" s="193" t="s">
        <v>146</v>
      </c>
    </row>
    <row r="2782" spans="1:12" ht="15">
      <c r="A2782" s="67">
        <f t="shared" si="43"/>
        <v>2780</v>
      </c>
      <c r="B2782" s="164">
        <v>2780</v>
      </c>
      <c r="C2782" s="193" t="s">
        <v>4075</v>
      </c>
      <c r="D2782" s="195" t="s">
        <v>7343</v>
      </c>
      <c r="E2782" s="193" t="s">
        <v>8841</v>
      </c>
      <c r="F2782" s="193" t="s">
        <v>114</v>
      </c>
      <c r="G2782" s="195" t="s">
        <v>1181</v>
      </c>
      <c r="H2782" s="166" t="s">
        <v>13436</v>
      </c>
      <c r="I2782" s="193" t="s">
        <v>12814</v>
      </c>
      <c r="J2782" s="193" t="s">
        <v>146</v>
      </c>
      <c r="K2782" s="168"/>
      <c r="L2782" s="193" t="s">
        <v>146</v>
      </c>
    </row>
    <row r="2783" spans="1:12" ht="30">
      <c r="A2783" s="67">
        <f t="shared" si="43"/>
        <v>2781</v>
      </c>
      <c r="B2783" s="164">
        <v>2781</v>
      </c>
      <c r="C2783" s="193" t="s">
        <v>4076</v>
      </c>
      <c r="D2783" s="195" t="s">
        <v>7344</v>
      </c>
      <c r="E2783" s="193" t="s">
        <v>9652</v>
      </c>
      <c r="F2783" s="193" t="s">
        <v>114</v>
      </c>
      <c r="G2783" s="195" t="s">
        <v>1231</v>
      </c>
      <c r="H2783" s="166" t="s">
        <v>13436</v>
      </c>
      <c r="I2783" s="193" t="s">
        <v>12835</v>
      </c>
      <c r="J2783" s="193" t="s">
        <v>12740</v>
      </c>
      <c r="K2783" s="168"/>
      <c r="L2783" s="193" t="s">
        <v>146</v>
      </c>
    </row>
    <row r="2784" spans="1:12" ht="15">
      <c r="A2784" s="67">
        <f t="shared" si="43"/>
        <v>2782</v>
      </c>
      <c r="B2784" s="164">
        <v>2782</v>
      </c>
      <c r="C2784" s="193" t="s">
        <v>4077</v>
      </c>
      <c r="D2784" s="195" t="s">
        <v>7345</v>
      </c>
      <c r="E2784" s="193" t="s">
        <v>9653</v>
      </c>
      <c r="F2784" s="193" t="s">
        <v>59</v>
      </c>
      <c r="G2784" s="195" t="s">
        <v>11747</v>
      </c>
      <c r="H2784" s="166" t="s">
        <v>13436</v>
      </c>
      <c r="I2784" s="193" t="s">
        <v>12819</v>
      </c>
      <c r="J2784" s="219" t="s">
        <v>146</v>
      </c>
      <c r="K2784" s="168"/>
      <c r="L2784" s="193"/>
    </row>
    <row r="2785" spans="1:12" ht="30">
      <c r="A2785" s="67">
        <f t="shared" si="43"/>
        <v>2783</v>
      </c>
      <c r="B2785" s="164">
        <v>2783</v>
      </c>
      <c r="C2785" s="193" t="s">
        <v>4078</v>
      </c>
      <c r="D2785" s="213" t="s">
        <v>7346</v>
      </c>
      <c r="E2785" s="193" t="s">
        <v>9654</v>
      </c>
      <c r="F2785" s="193" t="s">
        <v>114</v>
      </c>
      <c r="G2785" s="195" t="s">
        <v>11748</v>
      </c>
      <c r="H2785" s="166" t="s">
        <v>13436</v>
      </c>
      <c r="I2785" s="193" t="s">
        <v>12819</v>
      </c>
      <c r="J2785" s="193" t="s">
        <v>12741</v>
      </c>
      <c r="K2785" s="168"/>
      <c r="L2785" s="193" t="s">
        <v>146</v>
      </c>
    </row>
    <row r="2786" spans="1:12" ht="15">
      <c r="A2786" s="67">
        <f t="shared" si="43"/>
        <v>2784</v>
      </c>
      <c r="B2786" s="164">
        <v>2784</v>
      </c>
      <c r="C2786" s="193" t="s">
        <v>4079</v>
      </c>
      <c r="D2786" s="208" t="s">
        <v>7347</v>
      </c>
      <c r="E2786" s="193" t="s">
        <v>9655</v>
      </c>
      <c r="F2786" s="193" t="s">
        <v>114</v>
      </c>
      <c r="G2786" s="195" t="s">
        <v>1169</v>
      </c>
      <c r="H2786" s="166" t="s">
        <v>13436</v>
      </c>
      <c r="I2786" s="193" t="s">
        <v>12816</v>
      </c>
      <c r="J2786" s="193" t="s">
        <v>146</v>
      </c>
      <c r="K2786" s="168"/>
      <c r="L2786" s="193" t="s">
        <v>146</v>
      </c>
    </row>
    <row r="2787" spans="1:12" ht="15">
      <c r="A2787" s="67">
        <f t="shared" si="43"/>
        <v>2785</v>
      </c>
      <c r="B2787" s="164">
        <v>2785</v>
      </c>
      <c r="C2787" s="193" t="s">
        <v>4080</v>
      </c>
      <c r="D2787" s="195" t="s">
        <v>7348</v>
      </c>
      <c r="E2787" s="193" t="s">
        <v>536</v>
      </c>
      <c r="F2787" s="193" t="s">
        <v>114</v>
      </c>
      <c r="G2787" s="195" t="s">
        <v>11749</v>
      </c>
      <c r="H2787" s="166" t="s">
        <v>13436</v>
      </c>
      <c r="I2787" s="193" t="s">
        <v>12819</v>
      </c>
      <c r="J2787" s="193" t="s">
        <v>146</v>
      </c>
      <c r="K2787" s="168"/>
      <c r="L2787" s="193" t="s">
        <v>146</v>
      </c>
    </row>
    <row r="2788" spans="1:12" ht="15">
      <c r="A2788" s="67">
        <f t="shared" si="43"/>
        <v>2786</v>
      </c>
      <c r="B2788" s="164">
        <v>2786</v>
      </c>
      <c r="C2788" s="193" t="s">
        <v>4081</v>
      </c>
      <c r="D2788" s="195" t="s">
        <v>7349</v>
      </c>
      <c r="E2788" s="193" t="s">
        <v>9656</v>
      </c>
      <c r="F2788" s="193" t="s">
        <v>114</v>
      </c>
      <c r="G2788" s="195" t="s">
        <v>1079</v>
      </c>
      <c r="H2788" s="166" t="s">
        <v>13436</v>
      </c>
      <c r="I2788" s="193" t="s">
        <v>12814</v>
      </c>
      <c r="J2788" s="193" t="s">
        <v>146</v>
      </c>
      <c r="K2788" s="168"/>
      <c r="L2788" s="193" t="s">
        <v>146</v>
      </c>
    </row>
    <row r="2789" spans="1:12" ht="15">
      <c r="A2789" s="67">
        <f t="shared" si="43"/>
        <v>2787</v>
      </c>
      <c r="B2789" s="164">
        <v>2787</v>
      </c>
      <c r="C2789" s="193" t="s">
        <v>4082</v>
      </c>
      <c r="D2789" s="199" t="s">
        <v>7350</v>
      </c>
      <c r="E2789" s="193" t="s">
        <v>9657</v>
      </c>
      <c r="F2789" s="193" t="s">
        <v>114</v>
      </c>
      <c r="G2789" s="195" t="s">
        <v>11750</v>
      </c>
      <c r="H2789" s="166" t="s">
        <v>13436</v>
      </c>
      <c r="I2789" s="193" t="s">
        <v>12831</v>
      </c>
      <c r="J2789" s="193" t="s">
        <v>146</v>
      </c>
      <c r="K2789" s="168"/>
      <c r="L2789" s="193" t="s">
        <v>146</v>
      </c>
    </row>
    <row r="2790" spans="1:12" ht="30">
      <c r="A2790" s="67">
        <f t="shared" si="43"/>
        <v>2788</v>
      </c>
      <c r="B2790" s="164">
        <v>2788</v>
      </c>
      <c r="C2790" s="193" t="s">
        <v>4083</v>
      </c>
      <c r="D2790" s="199" t="s">
        <v>7351</v>
      </c>
      <c r="E2790" s="193" t="s">
        <v>9658</v>
      </c>
      <c r="F2790" s="193" t="s">
        <v>114</v>
      </c>
      <c r="G2790" s="195" t="s">
        <v>11751</v>
      </c>
      <c r="H2790" s="166" t="s">
        <v>13436</v>
      </c>
      <c r="I2790" s="193" t="s">
        <v>12831</v>
      </c>
      <c r="J2790" s="193" t="s">
        <v>12742</v>
      </c>
      <c r="K2790" s="168"/>
      <c r="L2790" s="193" t="s">
        <v>146</v>
      </c>
    </row>
    <row r="2791" spans="1:12" ht="15">
      <c r="A2791" s="67">
        <f t="shared" si="43"/>
        <v>2789</v>
      </c>
      <c r="B2791" s="164">
        <v>2789</v>
      </c>
      <c r="C2791" s="193" t="s">
        <v>4084</v>
      </c>
      <c r="D2791" s="208" t="s">
        <v>7352</v>
      </c>
      <c r="E2791" s="193" t="s">
        <v>9659</v>
      </c>
      <c r="F2791" s="193" t="s">
        <v>59</v>
      </c>
      <c r="G2791" s="195" t="s">
        <v>1236</v>
      </c>
      <c r="H2791" s="166" t="s">
        <v>13436</v>
      </c>
      <c r="I2791" s="193" t="s">
        <v>12816</v>
      </c>
      <c r="J2791" s="193" t="s">
        <v>147</v>
      </c>
      <c r="K2791" s="168"/>
      <c r="L2791" s="193"/>
    </row>
    <row r="2792" spans="1:12" ht="15">
      <c r="A2792" s="67">
        <f t="shared" si="43"/>
        <v>2790</v>
      </c>
      <c r="B2792" s="164">
        <v>2790</v>
      </c>
      <c r="C2792" s="193" t="s">
        <v>4085</v>
      </c>
      <c r="D2792" s="208" t="s">
        <v>7353</v>
      </c>
      <c r="E2792" s="193" t="s">
        <v>9660</v>
      </c>
      <c r="F2792" s="193" t="s">
        <v>59</v>
      </c>
      <c r="G2792" s="195" t="s">
        <v>11752</v>
      </c>
      <c r="H2792" s="166" t="s">
        <v>13436</v>
      </c>
      <c r="I2792" s="193" t="s">
        <v>12816</v>
      </c>
      <c r="J2792" s="193" t="s">
        <v>146</v>
      </c>
      <c r="K2792" s="168"/>
      <c r="L2792" s="193"/>
    </row>
    <row r="2793" spans="1:12" ht="15">
      <c r="A2793" s="67">
        <f t="shared" si="43"/>
        <v>2791</v>
      </c>
      <c r="B2793" s="164">
        <v>2791</v>
      </c>
      <c r="C2793" s="193" t="s">
        <v>4086</v>
      </c>
      <c r="D2793" s="195" t="s">
        <v>7354</v>
      </c>
      <c r="E2793" s="193" t="s">
        <v>9661</v>
      </c>
      <c r="F2793" s="193" t="s">
        <v>114</v>
      </c>
      <c r="G2793" s="195" t="s">
        <v>11753</v>
      </c>
      <c r="H2793" s="166" t="s">
        <v>13436</v>
      </c>
      <c r="I2793" s="193" t="s">
        <v>12838</v>
      </c>
      <c r="J2793" s="193" t="s">
        <v>146</v>
      </c>
      <c r="K2793" s="168"/>
      <c r="L2793" s="193" t="s">
        <v>146</v>
      </c>
    </row>
    <row r="2794" spans="1:12" ht="15">
      <c r="A2794" s="67">
        <f t="shared" si="43"/>
        <v>2792</v>
      </c>
      <c r="B2794" s="164">
        <v>2792</v>
      </c>
      <c r="C2794" s="193" t="s">
        <v>4087</v>
      </c>
      <c r="D2794" s="195" t="s">
        <v>7355</v>
      </c>
      <c r="E2794" s="193" t="s">
        <v>9662</v>
      </c>
      <c r="F2794" s="193" t="s">
        <v>59</v>
      </c>
      <c r="G2794" s="195" t="s">
        <v>821</v>
      </c>
      <c r="H2794" s="166" t="s">
        <v>13436</v>
      </c>
      <c r="I2794" s="193" t="s">
        <v>12812</v>
      </c>
      <c r="J2794" s="193" t="s">
        <v>146</v>
      </c>
      <c r="K2794" s="168"/>
      <c r="L2794" s="193"/>
    </row>
    <row r="2795" spans="1:12" ht="15">
      <c r="A2795" s="67">
        <f t="shared" si="43"/>
        <v>2793</v>
      </c>
      <c r="B2795" s="164">
        <v>2793</v>
      </c>
      <c r="C2795" s="193" t="s">
        <v>4088</v>
      </c>
      <c r="D2795" s="195" t="s">
        <v>7356</v>
      </c>
      <c r="E2795" s="193" t="s">
        <v>9663</v>
      </c>
      <c r="F2795" s="193" t="s">
        <v>114</v>
      </c>
      <c r="G2795" s="195" t="s">
        <v>1214</v>
      </c>
      <c r="H2795" s="166" t="s">
        <v>13436</v>
      </c>
      <c r="I2795" s="193" t="s">
        <v>1250</v>
      </c>
      <c r="J2795" s="193" t="s">
        <v>146</v>
      </c>
      <c r="K2795" s="168"/>
      <c r="L2795" s="193" t="s">
        <v>146</v>
      </c>
    </row>
    <row r="2796" spans="1:12" ht="30">
      <c r="A2796" s="67">
        <f t="shared" si="43"/>
        <v>2794</v>
      </c>
      <c r="B2796" s="164">
        <v>2794</v>
      </c>
      <c r="C2796" s="193" t="s">
        <v>4089</v>
      </c>
      <c r="D2796" s="195" t="s">
        <v>7357</v>
      </c>
      <c r="E2796" s="193" t="s">
        <v>520</v>
      </c>
      <c r="F2796" s="193" t="s">
        <v>114</v>
      </c>
      <c r="G2796" s="195" t="s">
        <v>11754</v>
      </c>
      <c r="H2796" s="166" t="s">
        <v>13436</v>
      </c>
      <c r="I2796" s="193" t="s">
        <v>1249</v>
      </c>
      <c r="J2796" s="193" t="s">
        <v>12743</v>
      </c>
      <c r="K2796" s="168"/>
      <c r="L2796" s="193" t="s">
        <v>146</v>
      </c>
    </row>
    <row r="2797" spans="1:12" ht="15">
      <c r="A2797" s="67">
        <f t="shared" si="43"/>
        <v>2795</v>
      </c>
      <c r="B2797" s="164">
        <v>2795</v>
      </c>
      <c r="C2797" s="193" t="s">
        <v>4090</v>
      </c>
      <c r="D2797" s="195" t="s">
        <v>7358</v>
      </c>
      <c r="E2797" s="193" t="s">
        <v>172</v>
      </c>
      <c r="F2797" s="193" t="s">
        <v>114</v>
      </c>
      <c r="G2797" s="195" t="s">
        <v>1057</v>
      </c>
      <c r="H2797" s="166" t="s">
        <v>13436</v>
      </c>
      <c r="I2797" s="193" t="s">
        <v>1250</v>
      </c>
      <c r="J2797" s="219" t="s">
        <v>146</v>
      </c>
      <c r="K2797" s="168"/>
      <c r="L2797" s="219" t="s">
        <v>146</v>
      </c>
    </row>
    <row r="2798" spans="1:12" ht="15">
      <c r="A2798" s="67">
        <f t="shared" si="43"/>
        <v>2796</v>
      </c>
      <c r="B2798" s="164">
        <v>2796</v>
      </c>
      <c r="C2798" s="193" t="s">
        <v>4091</v>
      </c>
      <c r="D2798" s="195" t="s">
        <v>7359</v>
      </c>
      <c r="E2798" s="193" t="s">
        <v>9664</v>
      </c>
      <c r="F2798" s="193" t="s">
        <v>114</v>
      </c>
      <c r="G2798" s="195" t="s">
        <v>11755</v>
      </c>
      <c r="H2798" s="166" t="s">
        <v>13436</v>
      </c>
      <c r="I2798" s="193" t="s">
        <v>12837</v>
      </c>
      <c r="J2798" s="193" t="s">
        <v>146</v>
      </c>
      <c r="K2798" s="168"/>
      <c r="L2798" s="193" t="s">
        <v>146</v>
      </c>
    </row>
    <row r="2799" spans="1:12" ht="15">
      <c r="A2799" s="67">
        <f t="shared" si="43"/>
        <v>2797</v>
      </c>
      <c r="B2799" s="164">
        <v>2797</v>
      </c>
      <c r="C2799" s="193" t="s">
        <v>4092</v>
      </c>
      <c r="D2799" s="195" t="s">
        <v>7360</v>
      </c>
      <c r="E2799" s="193" t="s">
        <v>9665</v>
      </c>
      <c r="F2799" s="193" t="s">
        <v>114</v>
      </c>
      <c r="G2799" s="195" t="s">
        <v>986</v>
      </c>
      <c r="H2799" s="166" t="s">
        <v>13436</v>
      </c>
      <c r="I2799" s="193" t="s">
        <v>12825</v>
      </c>
      <c r="J2799" s="193" t="s">
        <v>146</v>
      </c>
      <c r="K2799" s="168"/>
      <c r="L2799" s="193" t="s">
        <v>146</v>
      </c>
    </row>
    <row r="2800" spans="1:12" ht="15">
      <c r="A2800" s="67">
        <f t="shared" si="43"/>
        <v>2798</v>
      </c>
      <c r="B2800" s="164">
        <v>2798</v>
      </c>
      <c r="C2800" s="193" t="s">
        <v>4093</v>
      </c>
      <c r="D2800" s="195" t="s">
        <v>7361</v>
      </c>
      <c r="E2800" s="193" t="s">
        <v>9666</v>
      </c>
      <c r="F2800" s="193" t="s">
        <v>114</v>
      </c>
      <c r="G2800" s="195" t="s">
        <v>738</v>
      </c>
      <c r="H2800" s="166" t="s">
        <v>13436</v>
      </c>
      <c r="I2800" s="193" t="s">
        <v>1249</v>
      </c>
      <c r="J2800" s="193" t="s">
        <v>12059</v>
      </c>
      <c r="K2800" s="168"/>
      <c r="L2800" s="193" t="s">
        <v>146</v>
      </c>
    </row>
    <row r="2801" spans="1:12" ht="30">
      <c r="A2801" s="67">
        <f t="shared" si="43"/>
        <v>2799</v>
      </c>
      <c r="B2801" s="164">
        <v>2799</v>
      </c>
      <c r="C2801" s="193" t="s">
        <v>4094</v>
      </c>
      <c r="D2801" s="208" t="s">
        <v>7362</v>
      </c>
      <c r="E2801" s="193" t="s">
        <v>9667</v>
      </c>
      <c r="F2801" s="193" t="s">
        <v>114</v>
      </c>
      <c r="G2801" s="195" t="s">
        <v>11756</v>
      </c>
      <c r="H2801" s="166" t="s">
        <v>13436</v>
      </c>
      <c r="I2801" s="193" t="s">
        <v>12816</v>
      </c>
      <c r="J2801" s="193" t="s">
        <v>12566</v>
      </c>
      <c r="K2801" s="168"/>
      <c r="L2801" s="193" t="s">
        <v>13400</v>
      </c>
    </row>
    <row r="2802" spans="1:12" ht="45">
      <c r="A2802" s="67">
        <f t="shared" si="43"/>
        <v>2800</v>
      </c>
      <c r="B2802" s="164">
        <v>2800</v>
      </c>
      <c r="C2802" s="193" t="s">
        <v>4095</v>
      </c>
      <c r="D2802" s="208" t="s">
        <v>7363</v>
      </c>
      <c r="E2802" s="193" t="s">
        <v>364</v>
      </c>
      <c r="F2802" s="193" t="s">
        <v>114</v>
      </c>
      <c r="G2802" s="195" t="s">
        <v>10190</v>
      </c>
      <c r="H2802" s="166" t="s">
        <v>13436</v>
      </c>
      <c r="I2802" s="193" t="s">
        <v>12816</v>
      </c>
      <c r="J2802" s="193" t="s">
        <v>146</v>
      </c>
      <c r="K2802" s="168"/>
      <c r="L2802" s="193" t="s">
        <v>13401</v>
      </c>
    </row>
    <row r="2803" spans="1:12" ht="15">
      <c r="A2803" s="67">
        <f t="shared" si="43"/>
        <v>2801</v>
      </c>
      <c r="B2803" s="164">
        <v>2801</v>
      </c>
      <c r="C2803" s="193" t="s">
        <v>4096</v>
      </c>
      <c r="D2803" s="195" t="s">
        <v>7364</v>
      </c>
      <c r="E2803" s="193" t="s">
        <v>9668</v>
      </c>
      <c r="F2803" s="193" t="s">
        <v>59</v>
      </c>
      <c r="G2803" s="195" t="s">
        <v>871</v>
      </c>
      <c r="H2803" s="166" t="s">
        <v>13436</v>
      </c>
      <c r="I2803" s="193" t="s">
        <v>12838</v>
      </c>
      <c r="J2803" s="193" t="s">
        <v>146</v>
      </c>
      <c r="K2803" s="168"/>
      <c r="L2803" s="193"/>
    </row>
    <row r="2804" spans="1:12" ht="15">
      <c r="A2804" s="67">
        <f t="shared" si="43"/>
        <v>2802</v>
      </c>
      <c r="B2804" s="164">
        <v>2802</v>
      </c>
      <c r="C2804" s="193" t="s">
        <v>4097</v>
      </c>
      <c r="D2804" s="195" t="s">
        <v>7365</v>
      </c>
      <c r="E2804" s="193" t="s">
        <v>619</v>
      </c>
      <c r="F2804" s="193" t="s">
        <v>114</v>
      </c>
      <c r="G2804" s="195" t="s">
        <v>1148</v>
      </c>
      <c r="H2804" s="166" t="s">
        <v>13436</v>
      </c>
      <c r="I2804" s="193" t="s">
        <v>12838</v>
      </c>
      <c r="J2804" s="193" t="s">
        <v>146</v>
      </c>
      <c r="K2804" s="168"/>
      <c r="L2804" s="193" t="s">
        <v>146</v>
      </c>
    </row>
    <row r="2805" spans="1:12" ht="30">
      <c r="A2805" s="67">
        <f t="shared" si="43"/>
        <v>2803</v>
      </c>
      <c r="B2805" s="164">
        <v>2803</v>
      </c>
      <c r="C2805" s="193" t="s">
        <v>4098</v>
      </c>
      <c r="D2805" s="195" t="s">
        <v>7366</v>
      </c>
      <c r="E2805" s="193" t="s">
        <v>163</v>
      </c>
      <c r="F2805" s="193" t="s">
        <v>114</v>
      </c>
      <c r="G2805" s="195" t="s">
        <v>1246</v>
      </c>
      <c r="H2805" s="166" t="s">
        <v>13436</v>
      </c>
      <c r="I2805" s="193" t="s">
        <v>12819</v>
      </c>
      <c r="J2805" s="193" t="s">
        <v>146</v>
      </c>
      <c r="K2805" s="168"/>
      <c r="L2805" s="193" t="s">
        <v>13402</v>
      </c>
    </row>
    <row r="2806" spans="1:12" ht="15">
      <c r="A2806" s="67">
        <f t="shared" si="43"/>
        <v>2804</v>
      </c>
      <c r="B2806" s="164">
        <v>2804</v>
      </c>
      <c r="C2806" s="193" t="s">
        <v>4099</v>
      </c>
      <c r="D2806" s="195" t="s">
        <v>7367</v>
      </c>
      <c r="E2806" s="193" t="s">
        <v>9669</v>
      </c>
      <c r="F2806" s="193" t="s">
        <v>114</v>
      </c>
      <c r="G2806" s="195" t="s">
        <v>1198</v>
      </c>
      <c r="H2806" s="166" t="s">
        <v>13436</v>
      </c>
      <c r="I2806" s="193" t="s">
        <v>12827</v>
      </c>
      <c r="J2806" s="193" t="s">
        <v>12744</v>
      </c>
      <c r="K2806" s="168"/>
      <c r="L2806" s="193" t="s">
        <v>146</v>
      </c>
    </row>
    <row r="2807" spans="1:12" ht="15">
      <c r="A2807" s="67">
        <f t="shared" si="43"/>
        <v>2805</v>
      </c>
      <c r="B2807" s="164">
        <v>2805</v>
      </c>
      <c r="C2807" s="193" t="s">
        <v>4100</v>
      </c>
      <c r="D2807" s="195" t="s">
        <v>7368</v>
      </c>
      <c r="E2807" s="193" t="s">
        <v>192</v>
      </c>
      <c r="F2807" s="193" t="s">
        <v>59</v>
      </c>
      <c r="G2807" s="195" t="s">
        <v>11757</v>
      </c>
      <c r="H2807" s="166" t="s">
        <v>13436</v>
      </c>
      <c r="I2807" s="193" t="s">
        <v>12812</v>
      </c>
      <c r="J2807" s="193" t="s">
        <v>147</v>
      </c>
      <c r="K2807" s="168"/>
      <c r="L2807" s="193"/>
    </row>
    <row r="2808" spans="1:12" ht="15">
      <c r="A2808" s="67">
        <f t="shared" si="43"/>
        <v>2806</v>
      </c>
      <c r="B2808" s="164">
        <v>2806</v>
      </c>
      <c r="C2808" s="193" t="s">
        <v>4101</v>
      </c>
      <c r="D2808" s="195" t="s">
        <v>7369</v>
      </c>
      <c r="E2808" s="193" t="s">
        <v>9670</v>
      </c>
      <c r="F2808" s="193" t="s">
        <v>114</v>
      </c>
      <c r="G2808" s="195" t="s">
        <v>11758</v>
      </c>
      <c r="H2808" s="166" t="s">
        <v>13436</v>
      </c>
      <c r="I2808" s="193" t="s">
        <v>12827</v>
      </c>
      <c r="J2808" s="193"/>
      <c r="K2808" s="168"/>
      <c r="L2808" s="193"/>
    </row>
    <row r="2809" spans="1:12" ht="30">
      <c r="A2809" s="67">
        <f t="shared" si="43"/>
        <v>2807</v>
      </c>
      <c r="B2809" s="164">
        <v>2807</v>
      </c>
      <c r="C2809" s="193" t="s">
        <v>4102</v>
      </c>
      <c r="D2809" s="195" t="s">
        <v>7370</v>
      </c>
      <c r="E2809" s="193" t="s">
        <v>9671</v>
      </c>
      <c r="F2809" s="193" t="s">
        <v>59</v>
      </c>
      <c r="G2809" s="195" t="s">
        <v>1176</v>
      </c>
      <c r="H2809" s="166" t="s">
        <v>13436</v>
      </c>
      <c r="I2809" s="193" t="s">
        <v>12812</v>
      </c>
      <c r="J2809" s="219" t="s">
        <v>12745</v>
      </c>
      <c r="K2809" s="168"/>
      <c r="L2809" s="193"/>
    </row>
    <row r="2810" spans="1:12" ht="15">
      <c r="A2810" s="67">
        <f t="shared" si="43"/>
        <v>2808</v>
      </c>
      <c r="B2810" s="164">
        <v>2808</v>
      </c>
      <c r="C2810" s="193" t="s">
        <v>4103</v>
      </c>
      <c r="D2810" s="208" t="s">
        <v>7371</v>
      </c>
      <c r="E2810" s="193" t="s">
        <v>361</v>
      </c>
      <c r="F2810" s="193" t="s">
        <v>114</v>
      </c>
      <c r="G2810" s="195" t="s">
        <v>11759</v>
      </c>
      <c r="H2810" s="166" t="s">
        <v>13436</v>
      </c>
      <c r="I2810" s="193" t="s">
        <v>12816</v>
      </c>
      <c r="J2810" s="193" t="s">
        <v>146</v>
      </c>
      <c r="K2810" s="168"/>
      <c r="L2810" s="193" t="s">
        <v>146</v>
      </c>
    </row>
    <row r="2811" spans="1:12" ht="15">
      <c r="A2811" s="67">
        <f t="shared" si="43"/>
        <v>2809</v>
      </c>
      <c r="B2811" s="164">
        <v>2809</v>
      </c>
      <c r="C2811" s="193" t="s">
        <v>4104</v>
      </c>
      <c r="D2811" s="195" t="s">
        <v>7372</v>
      </c>
      <c r="E2811" s="193" t="s">
        <v>377</v>
      </c>
      <c r="F2811" s="193" t="s">
        <v>59</v>
      </c>
      <c r="G2811" s="195" t="s">
        <v>11760</v>
      </c>
      <c r="H2811" s="166" t="s">
        <v>13436</v>
      </c>
      <c r="I2811" s="193" t="s">
        <v>12819</v>
      </c>
      <c r="J2811" s="193" t="s">
        <v>146</v>
      </c>
      <c r="K2811" s="168"/>
      <c r="L2811" s="193"/>
    </row>
    <row r="2812" spans="1:12" ht="15">
      <c r="A2812" s="67">
        <f t="shared" si="43"/>
        <v>2810</v>
      </c>
      <c r="B2812" s="164">
        <v>2810</v>
      </c>
      <c r="C2812" s="193" t="s">
        <v>4105</v>
      </c>
      <c r="D2812" s="195" t="s">
        <v>7373</v>
      </c>
      <c r="E2812" s="193" t="s">
        <v>9672</v>
      </c>
      <c r="F2812" s="193" t="s">
        <v>114</v>
      </c>
      <c r="G2812" s="195" t="s">
        <v>11761</v>
      </c>
      <c r="H2812" s="166" t="s">
        <v>13436</v>
      </c>
      <c r="I2812" s="193" t="s">
        <v>12819</v>
      </c>
      <c r="J2812" s="193" t="s">
        <v>146</v>
      </c>
      <c r="K2812" s="168"/>
      <c r="L2812" s="193" t="s">
        <v>146</v>
      </c>
    </row>
    <row r="2813" spans="1:12" ht="15">
      <c r="A2813" s="67">
        <f t="shared" si="43"/>
        <v>2811</v>
      </c>
      <c r="B2813" s="164">
        <v>2811</v>
      </c>
      <c r="C2813" s="193" t="s">
        <v>4106</v>
      </c>
      <c r="D2813" s="195" t="s">
        <v>7374</v>
      </c>
      <c r="E2813" s="193" t="s">
        <v>9673</v>
      </c>
      <c r="F2813" s="193" t="s">
        <v>59</v>
      </c>
      <c r="G2813" s="195" t="s">
        <v>11762</v>
      </c>
      <c r="H2813" s="166" t="s">
        <v>13436</v>
      </c>
      <c r="I2813" s="193" t="s">
        <v>12812</v>
      </c>
      <c r="J2813" s="219" t="s">
        <v>146</v>
      </c>
      <c r="K2813" s="168"/>
      <c r="L2813" s="193"/>
    </row>
    <row r="2814" spans="1:12" ht="30">
      <c r="A2814" s="67">
        <f t="shared" si="43"/>
        <v>2812</v>
      </c>
      <c r="B2814" s="164">
        <v>2812</v>
      </c>
      <c r="C2814" s="193" t="s">
        <v>4107</v>
      </c>
      <c r="D2814" s="197" t="s">
        <v>7375</v>
      </c>
      <c r="E2814" s="193" t="s">
        <v>474</v>
      </c>
      <c r="F2814" s="193" t="s">
        <v>114</v>
      </c>
      <c r="G2814" s="195" t="s">
        <v>11763</v>
      </c>
      <c r="H2814" s="166" t="s">
        <v>13436</v>
      </c>
      <c r="I2814" s="193" t="s">
        <v>12816</v>
      </c>
      <c r="J2814" s="219" t="s">
        <v>12746</v>
      </c>
      <c r="K2814" s="168"/>
      <c r="L2814" s="219" t="s">
        <v>146</v>
      </c>
    </row>
    <row r="2815" spans="1:12" ht="15">
      <c r="A2815" s="67">
        <f t="shared" si="43"/>
        <v>2813</v>
      </c>
      <c r="B2815" s="164">
        <v>2813</v>
      </c>
      <c r="C2815" s="193" t="s">
        <v>4108</v>
      </c>
      <c r="D2815" s="197" t="s">
        <v>7376</v>
      </c>
      <c r="E2815" s="193" t="s">
        <v>9674</v>
      </c>
      <c r="F2815" s="193" t="s">
        <v>114</v>
      </c>
      <c r="G2815" s="195" t="s">
        <v>11764</v>
      </c>
      <c r="H2815" s="166" t="s">
        <v>13436</v>
      </c>
      <c r="I2815" s="193" t="s">
        <v>12816</v>
      </c>
      <c r="J2815" s="193" t="s">
        <v>146</v>
      </c>
      <c r="K2815" s="168"/>
      <c r="L2815" s="193" t="s">
        <v>146</v>
      </c>
    </row>
    <row r="2816" spans="1:12" ht="15">
      <c r="A2816" s="67">
        <f t="shared" si="43"/>
        <v>2814</v>
      </c>
      <c r="B2816" s="164">
        <v>2814</v>
      </c>
      <c r="C2816" s="193" t="s">
        <v>4109</v>
      </c>
      <c r="D2816" s="205" t="s">
        <v>7377</v>
      </c>
      <c r="E2816" s="193" t="s">
        <v>632</v>
      </c>
      <c r="F2816" s="193" t="s">
        <v>114</v>
      </c>
      <c r="G2816" s="195" t="s">
        <v>11765</v>
      </c>
      <c r="H2816" s="166" t="s">
        <v>13436</v>
      </c>
      <c r="I2816" s="193" t="s">
        <v>12816</v>
      </c>
      <c r="J2816" s="193" t="s">
        <v>146</v>
      </c>
      <c r="K2816" s="168"/>
      <c r="L2816" s="193" t="s">
        <v>146</v>
      </c>
    </row>
    <row r="2817" spans="1:12" ht="30">
      <c r="A2817" s="67">
        <f t="shared" si="43"/>
        <v>2815</v>
      </c>
      <c r="B2817" s="164">
        <v>2815</v>
      </c>
      <c r="C2817" s="193" t="s">
        <v>4110</v>
      </c>
      <c r="D2817" s="208" t="s">
        <v>7378</v>
      </c>
      <c r="E2817" s="193" t="s">
        <v>9675</v>
      </c>
      <c r="F2817" s="193" t="s">
        <v>114</v>
      </c>
      <c r="G2817" s="195" t="s">
        <v>1162</v>
      </c>
      <c r="H2817" s="166" t="s">
        <v>13436</v>
      </c>
      <c r="I2817" s="193" t="s">
        <v>12816</v>
      </c>
      <c r="J2817" s="193" t="s">
        <v>146</v>
      </c>
      <c r="K2817" s="168"/>
      <c r="L2817" s="193" t="s">
        <v>13403</v>
      </c>
    </row>
    <row r="2818" spans="1:12" ht="15">
      <c r="A2818" s="67">
        <f t="shared" si="43"/>
        <v>2816</v>
      </c>
      <c r="B2818" s="164">
        <v>2816</v>
      </c>
      <c r="C2818" s="193" t="s">
        <v>4111</v>
      </c>
      <c r="D2818" s="195" t="s">
        <v>7379</v>
      </c>
      <c r="E2818" s="193" t="s">
        <v>9676</v>
      </c>
      <c r="F2818" s="193" t="s">
        <v>114</v>
      </c>
      <c r="G2818" s="195" t="s">
        <v>11766</v>
      </c>
      <c r="H2818" s="166" t="s">
        <v>13436</v>
      </c>
      <c r="I2818" s="193" t="s">
        <v>12827</v>
      </c>
      <c r="J2818" s="193" t="s">
        <v>146</v>
      </c>
      <c r="K2818" s="168"/>
      <c r="L2818" s="193" t="s">
        <v>146</v>
      </c>
    </row>
    <row r="2819" spans="1:12" ht="15">
      <c r="A2819" s="67">
        <f t="shared" ref="A2819:A2882" si="44">IFERROR(VALUE(RIGHT(C2819,4)),"")</f>
        <v>2817</v>
      </c>
      <c r="B2819" s="164">
        <v>2817</v>
      </c>
      <c r="C2819" s="193" t="s">
        <v>4112</v>
      </c>
      <c r="D2819" s="195" t="s">
        <v>7380</v>
      </c>
      <c r="E2819" s="193" t="s">
        <v>152</v>
      </c>
      <c r="F2819" s="193" t="s">
        <v>114</v>
      </c>
      <c r="G2819" s="195" t="s">
        <v>11767</v>
      </c>
      <c r="H2819" s="166" t="s">
        <v>13436</v>
      </c>
      <c r="I2819" s="193" t="s">
        <v>12818</v>
      </c>
      <c r="J2819" s="193" t="s">
        <v>146</v>
      </c>
      <c r="K2819" s="168"/>
      <c r="L2819" s="193" t="s">
        <v>146</v>
      </c>
    </row>
    <row r="2820" spans="1:12" ht="15">
      <c r="A2820" s="67">
        <f t="shared" si="44"/>
        <v>2818</v>
      </c>
      <c r="B2820" s="164">
        <v>2818</v>
      </c>
      <c r="C2820" s="193" t="s">
        <v>4113</v>
      </c>
      <c r="D2820" s="195" t="s">
        <v>7381</v>
      </c>
      <c r="E2820" s="193" t="s">
        <v>9677</v>
      </c>
      <c r="F2820" s="193" t="s">
        <v>114</v>
      </c>
      <c r="G2820" s="195"/>
      <c r="H2820" s="166" t="s">
        <v>13436</v>
      </c>
      <c r="I2820" s="193"/>
      <c r="J2820" s="193" t="s">
        <v>1270</v>
      </c>
      <c r="K2820" s="168"/>
      <c r="L2820" s="193" t="s">
        <v>146</v>
      </c>
    </row>
    <row r="2821" spans="1:12" ht="15">
      <c r="A2821" s="67">
        <f t="shared" si="44"/>
        <v>2819</v>
      </c>
      <c r="B2821" s="164">
        <v>2819</v>
      </c>
      <c r="C2821" s="193" t="s">
        <v>4114</v>
      </c>
      <c r="D2821" s="195" t="s">
        <v>7382</v>
      </c>
      <c r="E2821" s="193" t="s">
        <v>9678</v>
      </c>
      <c r="F2821" s="193" t="s">
        <v>114</v>
      </c>
      <c r="G2821" s="195" t="s">
        <v>1065</v>
      </c>
      <c r="H2821" s="166" t="s">
        <v>13436</v>
      </c>
      <c r="I2821" s="193" t="s">
        <v>12819</v>
      </c>
      <c r="J2821" s="219" t="s">
        <v>146</v>
      </c>
      <c r="K2821" s="168"/>
      <c r="L2821" s="219" t="s">
        <v>146</v>
      </c>
    </row>
    <row r="2822" spans="1:12" ht="15">
      <c r="A2822" s="67">
        <f t="shared" si="44"/>
        <v>2820</v>
      </c>
      <c r="B2822" s="164">
        <v>2820</v>
      </c>
      <c r="C2822" s="193" t="s">
        <v>4115</v>
      </c>
      <c r="D2822" s="195" t="s">
        <v>7383</v>
      </c>
      <c r="E2822" s="193" t="s">
        <v>9679</v>
      </c>
      <c r="F2822" s="193" t="s">
        <v>59</v>
      </c>
      <c r="G2822" s="195" t="s">
        <v>1120</v>
      </c>
      <c r="H2822" s="166" t="s">
        <v>13436</v>
      </c>
      <c r="I2822" s="193" t="s">
        <v>12821</v>
      </c>
      <c r="J2822" s="219" t="s">
        <v>146</v>
      </c>
      <c r="K2822" s="168"/>
      <c r="L2822" s="193"/>
    </row>
    <row r="2823" spans="1:12" ht="45">
      <c r="A2823" s="67">
        <f t="shared" si="44"/>
        <v>2821</v>
      </c>
      <c r="B2823" s="164">
        <v>2821</v>
      </c>
      <c r="C2823" s="193" t="s">
        <v>4116</v>
      </c>
      <c r="D2823" s="195" t="s">
        <v>7384</v>
      </c>
      <c r="E2823" s="193" t="s">
        <v>8865</v>
      </c>
      <c r="F2823" s="193" t="s">
        <v>114</v>
      </c>
      <c r="G2823" s="195" t="s">
        <v>11768</v>
      </c>
      <c r="H2823" s="166" t="s">
        <v>13436</v>
      </c>
      <c r="I2823" s="193" t="s">
        <v>12819</v>
      </c>
      <c r="J2823" s="193" t="s">
        <v>12747</v>
      </c>
      <c r="K2823" s="168"/>
      <c r="L2823" s="193" t="s">
        <v>146</v>
      </c>
    </row>
    <row r="2824" spans="1:12" ht="15">
      <c r="A2824" s="67">
        <f t="shared" si="44"/>
        <v>2822</v>
      </c>
      <c r="B2824" s="164">
        <v>2822</v>
      </c>
      <c r="C2824" s="193" t="s">
        <v>4117</v>
      </c>
      <c r="D2824" s="195" t="s">
        <v>7385</v>
      </c>
      <c r="E2824" s="193" t="s">
        <v>604</v>
      </c>
      <c r="F2824" s="193" t="s">
        <v>114</v>
      </c>
      <c r="G2824" s="195" t="s">
        <v>288</v>
      </c>
      <c r="H2824" s="166" t="s">
        <v>13436</v>
      </c>
      <c r="I2824" s="193" t="s">
        <v>12819</v>
      </c>
      <c r="J2824" s="193" t="s">
        <v>146</v>
      </c>
      <c r="K2824" s="168"/>
      <c r="L2824" s="193" t="s">
        <v>146</v>
      </c>
    </row>
    <row r="2825" spans="1:12" ht="15">
      <c r="A2825" s="67">
        <f t="shared" si="44"/>
        <v>2823</v>
      </c>
      <c r="B2825" s="164">
        <v>2823</v>
      </c>
      <c r="C2825" s="193" t="s">
        <v>4118</v>
      </c>
      <c r="D2825" s="195" t="s">
        <v>7386</v>
      </c>
      <c r="E2825" s="193" t="s">
        <v>156</v>
      </c>
      <c r="F2825" s="193" t="s">
        <v>114</v>
      </c>
      <c r="G2825" s="195" t="s">
        <v>11769</v>
      </c>
      <c r="H2825" s="166" t="s">
        <v>13436</v>
      </c>
      <c r="I2825" s="193" t="s">
        <v>12819</v>
      </c>
      <c r="J2825" s="219" t="s">
        <v>146</v>
      </c>
      <c r="K2825" s="168"/>
      <c r="L2825" s="219" t="s">
        <v>146</v>
      </c>
    </row>
    <row r="2826" spans="1:12" ht="15">
      <c r="A2826" s="67">
        <f t="shared" si="44"/>
        <v>2824</v>
      </c>
      <c r="B2826" s="164">
        <v>2824</v>
      </c>
      <c r="C2826" s="193" t="s">
        <v>4119</v>
      </c>
      <c r="D2826" s="195" t="s">
        <v>7387</v>
      </c>
      <c r="E2826" s="193" t="s">
        <v>549</v>
      </c>
      <c r="F2826" s="193" t="s">
        <v>59</v>
      </c>
      <c r="G2826" s="195" t="s">
        <v>11770</v>
      </c>
      <c r="H2826" s="166" t="s">
        <v>13436</v>
      </c>
      <c r="I2826" s="193" t="s">
        <v>12812</v>
      </c>
      <c r="J2826" s="193" t="s">
        <v>146</v>
      </c>
      <c r="K2826" s="168"/>
      <c r="L2826" s="193"/>
    </row>
    <row r="2827" spans="1:12" ht="60">
      <c r="A2827" s="67">
        <f t="shared" si="44"/>
        <v>2825</v>
      </c>
      <c r="B2827" s="164">
        <v>2825</v>
      </c>
      <c r="C2827" s="193" t="s">
        <v>4120</v>
      </c>
      <c r="D2827" s="195" t="s">
        <v>7388</v>
      </c>
      <c r="E2827" s="193" t="s">
        <v>9680</v>
      </c>
      <c r="F2827" s="193" t="s">
        <v>114</v>
      </c>
      <c r="G2827" s="195" t="s">
        <v>11771</v>
      </c>
      <c r="H2827" s="166" t="s">
        <v>13436</v>
      </c>
      <c r="I2827" s="193" t="s">
        <v>12819</v>
      </c>
      <c r="J2827" s="193" t="s">
        <v>12748</v>
      </c>
      <c r="K2827" s="168"/>
      <c r="L2827" s="193" t="s">
        <v>13404</v>
      </c>
    </row>
    <row r="2828" spans="1:12" ht="15">
      <c r="A2828" s="67">
        <f t="shared" si="44"/>
        <v>2826</v>
      </c>
      <c r="B2828" s="164">
        <v>2826</v>
      </c>
      <c r="C2828" s="193" t="s">
        <v>4121</v>
      </c>
      <c r="D2828" s="195" t="s">
        <v>7389</v>
      </c>
      <c r="E2828" s="193" t="s">
        <v>9681</v>
      </c>
      <c r="F2828" s="193" t="s">
        <v>59</v>
      </c>
      <c r="G2828" s="195" t="s">
        <v>11772</v>
      </c>
      <c r="H2828" s="166" t="s">
        <v>13436</v>
      </c>
      <c r="I2828" s="193" t="s">
        <v>12812</v>
      </c>
      <c r="J2828" s="193" t="s">
        <v>146</v>
      </c>
      <c r="K2828" s="168"/>
      <c r="L2828" s="193"/>
    </row>
    <row r="2829" spans="1:12" ht="15">
      <c r="A2829" s="67">
        <f t="shared" si="44"/>
        <v>2827</v>
      </c>
      <c r="B2829" s="164">
        <v>2827</v>
      </c>
      <c r="C2829" s="193" t="s">
        <v>4122</v>
      </c>
      <c r="D2829" s="195" t="s">
        <v>7390</v>
      </c>
      <c r="E2829" s="193" t="s">
        <v>9682</v>
      </c>
      <c r="F2829" s="193" t="s">
        <v>59</v>
      </c>
      <c r="G2829" s="195" t="s">
        <v>1058</v>
      </c>
      <c r="H2829" s="166" t="s">
        <v>13436</v>
      </c>
      <c r="I2829" s="193" t="s">
        <v>12816</v>
      </c>
      <c r="J2829" s="193" t="s">
        <v>146</v>
      </c>
      <c r="K2829" s="168"/>
      <c r="L2829" s="193"/>
    </row>
    <row r="2830" spans="1:12" ht="30">
      <c r="A2830" s="67">
        <f t="shared" si="44"/>
        <v>2828</v>
      </c>
      <c r="B2830" s="164">
        <v>2828</v>
      </c>
      <c r="C2830" s="193" t="s">
        <v>4123</v>
      </c>
      <c r="D2830" s="195" t="s">
        <v>7391</v>
      </c>
      <c r="E2830" s="193" t="s">
        <v>9683</v>
      </c>
      <c r="F2830" s="193" t="s">
        <v>114</v>
      </c>
      <c r="G2830" s="195" t="s">
        <v>1077</v>
      </c>
      <c r="H2830" s="166" t="s">
        <v>13436</v>
      </c>
      <c r="I2830" s="193" t="s">
        <v>12819</v>
      </c>
      <c r="J2830" s="193" t="s">
        <v>146</v>
      </c>
      <c r="K2830" s="168"/>
      <c r="L2830" s="193" t="s">
        <v>13405</v>
      </c>
    </row>
    <row r="2831" spans="1:12" ht="15">
      <c r="A2831" s="67">
        <f t="shared" si="44"/>
        <v>2829</v>
      </c>
      <c r="B2831" s="164">
        <v>2829</v>
      </c>
      <c r="C2831" s="193" t="s">
        <v>4124</v>
      </c>
      <c r="D2831" s="195" t="s">
        <v>7392</v>
      </c>
      <c r="E2831" s="193" t="s">
        <v>155</v>
      </c>
      <c r="F2831" s="193" t="s">
        <v>114</v>
      </c>
      <c r="G2831" s="195" t="s">
        <v>11668</v>
      </c>
      <c r="H2831" s="166" t="s">
        <v>13436</v>
      </c>
      <c r="I2831" s="193" t="s">
        <v>12819</v>
      </c>
      <c r="J2831" s="193" t="s">
        <v>146</v>
      </c>
      <c r="K2831" s="168"/>
      <c r="L2831" s="193" t="s">
        <v>146</v>
      </c>
    </row>
    <row r="2832" spans="1:12" ht="15">
      <c r="A2832" s="67">
        <f t="shared" si="44"/>
        <v>2830</v>
      </c>
      <c r="B2832" s="164">
        <v>2830</v>
      </c>
      <c r="C2832" s="193" t="s">
        <v>4125</v>
      </c>
      <c r="D2832" s="195" t="s">
        <v>7393</v>
      </c>
      <c r="E2832" s="193" t="s">
        <v>556</v>
      </c>
      <c r="F2832" s="193" t="s">
        <v>114</v>
      </c>
      <c r="G2832" s="195" t="s">
        <v>11773</v>
      </c>
      <c r="H2832" s="166" t="s">
        <v>13436</v>
      </c>
      <c r="I2832" s="193" t="s">
        <v>12819</v>
      </c>
      <c r="J2832" s="193" t="s">
        <v>146</v>
      </c>
      <c r="K2832" s="168"/>
      <c r="L2832" s="193" t="s">
        <v>146</v>
      </c>
    </row>
    <row r="2833" spans="1:12" ht="15">
      <c r="A2833" s="67">
        <f t="shared" si="44"/>
        <v>2831</v>
      </c>
      <c r="B2833" s="164">
        <v>2831</v>
      </c>
      <c r="C2833" s="193" t="s">
        <v>4126</v>
      </c>
      <c r="D2833" s="195" t="s">
        <v>7394</v>
      </c>
      <c r="E2833" s="193" t="s">
        <v>9684</v>
      </c>
      <c r="F2833" s="193" t="s">
        <v>59</v>
      </c>
      <c r="G2833" s="195" t="s">
        <v>945</v>
      </c>
      <c r="H2833" s="166" t="s">
        <v>13436</v>
      </c>
      <c r="I2833" s="193" t="s">
        <v>12812</v>
      </c>
      <c r="J2833" s="193" t="s">
        <v>146</v>
      </c>
      <c r="K2833" s="168"/>
      <c r="L2833" s="193"/>
    </row>
    <row r="2834" spans="1:12" ht="15">
      <c r="A2834" s="67">
        <f t="shared" si="44"/>
        <v>2832</v>
      </c>
      <c r="B2834" s="164">
        <v>2832</v>
      </c>
      <c r="C2834" s="193" t="s">
        <v>4127</v>
      </c>
      <c r="D2834" s="195" t="s">
        <v>7395</v>
      </c>
      <c r="E2834" s="193" t="s">
        <v>173</v>
      </c>
      <c r="F2834" s="193" t="s">
        <v>114</v>
      </c>
      <c r="G2834" s="195" t="s">
        <v>11774</v>
      </c>
      <c r="H2834" s="166" t="s">
        <v>13436</v>
      </c>
      <c r="I2834" s="193" t="s">
        <v>12819</v>
      </c>
      <c r="J2834" s="193" t="s">
        <v>146</v>
      </c>
      <c r="K2834" s="168"/>
      <c r="L2834" s="193" t="s">
        <v>146</v>
      </c>
    </row>
    <row r="2835" spans="1:12" ht="30">
      <c r="A2835" s="67">
        <f t="shared" si="44"/>
        <v>2833</v>
      </c>
      <c r="B2835" s="164">
        <v>2833</v>
      </c>
      <c r="C2835" s="193" t="s">
        <v>4128</v>
      </c>
      <c r="D2835" s="195" t="s">
        <v>7396</v>
      </c>
      <c r="E2835" s="193" t="s">
        <v>9685</v>
      </c>
      <c r="F2835" s="193" t="s">
        <v>114</v>
      </c>
      <c r="G2835" s="195" t="s">
        <v>11775</v>
      </c>
      <c r="H2835" s="166" t="s">
        <v>13436</v>
      </c>
      <c r="I2835" s="193" t="s">
        <v>12812</v>
      </c>
      <c r="J2835" s="193" t="s">
        <v>12749</v>
      </c>
      <c r="K2835" s="168"/>
      <c r="L2835" s="193" t="s">
        <v>13406</v>
      </c>
    </row>
    <row r="2836" spans="1:12" ht="15">
      <c r="A2836" s="67">
        <f t="shared" si="44"/>
        <v>2834</v>
      </c>
      <c r="B2836" s="164">
        <v>2834</v>
      </c>
      <c r="C2836" s="193" t="s">
        <v>4129</v>
      </c>
      <c r="D2836" s="195" t="s">
        <v>7397</v>
      </c>
      <c r="E2836" s="193" t="s">
        <v>8579</v>
      </c>
      <c r="F2836" s="193" t="s">
        <v>114</v>
      </c>
      <c r="G2836" s="195" t="s">
        <v>11776</v>
      </c>
      <c r="H2836" s="166" t="s">
        <v>13436</v>
      </c>
      <c r="I2836" s="193" t="s">
        <v>12812</v>
      </c>
      <c r="J2836" s="193" t="s">
        <v>147</v>
      </c>
      <c r="K2836" s="168"/>
      <c r="L2836" s="193" t="s">
        <v>146</v>
      </c>
    </row>
    <row r="2837" spans="1:12" ht="15">
      <c r="A2837" s="67">
        <f t="shared" si="44"/>
        <v>2835</v>
      </c>
      <c r="B2837" s="164">
        <v>2835</v>
      </c>
      <c r="C2837" s="193" t="s">
        <v>4130</v>
      </c>
      <c r="D2837" s="195" t="s">
        <v>7398</v>
      </c>
      <c r="E2837" s="193" t="s">
        <v>9686</v>
      </c>
      <c r="F2837" s="193" t="s">
        <v>59</v>
      </c>
      <c r="G2837" s="195" t="s">
        <v>11777</v>
      </c>
      <c r="H2837" s="166" t="s">
        <v>13436</v>
      </c>
      <c r="I2837" s="193" t="s">
        <v>12812</v>
      </c>
      <c r="J2837" s="219" t="s">
        <v>148</v>
      </c>
      <c r="K2837" s="168"/>
      <c r="L2837" s="193"/>
    </row>
    <row r="2838" spans="1:12" ht="15">
      <c r="A2838" s="67">
        <f t="shared" si="44"/>
        <v>2836</v>
      </c>
      <c r="B2838" s="164">
        <v>2836</v>
      </c>
      <c r="C2838" s="193" t="s">
        <v>4131</v>
      </c>
      <c r="D2838" s="195" t="s">
        <v>7399</v>
      </c>
      <c r="E2838" s="193" t="s">
        <v>9687</v>
      </c>
      <c r="F2838" s="193" t="s">
        <v>114</v>
      </c>
      <c r="G2838" s="195" t="s">
        <v>11778</v>
      </c>
      <c r="H2838" s="166" t="s">
        <v>13436</v>
      </c>
      <c r="I2838" s="193" t="s">
        <v>12812</v>
      </c>
      <c r="J2838" s="193" t="s">
        <v>146</v>
      </c>
      <c r="K2838" s="168"/>
      <c r="L2838" s="193" t="s">
        <v>13407</v>
      </c>
    </row>
    <row r="2839" spans="1:12" ht="15">
      <c r="A2839" s="67">
        <f t="shared" si="44"/>
        <v>2837</v>
      </c>
      <c r="B2839" s="164">
        <v>2837</v>
      </c>
      <c r="C2839" s="193" t="s">
        <v>4132</v>
      </c>
      <c r="D2839" s="195" t="s">
        <v>7400</v>
      </c>
      <c r="E2839" s="193" t="s">
        <v>9688</v>
      </c>
      <c r="F2839" s="193" t="s">
        <v>114</v>
      </c>
      <c r="G2839" s="195" t="s">
        <v>11779</v>
      </c>
      <c r="H2839" s="166" t="s">
        <v>13436</v>
      </c>
      <c r="I2839" s="193" t="s">
        <v>12812</v>
      </c>
      <c r="J2839" s="193" t="s">
        <v>146</v>
      </c>
      <c r="K2839" s="168"/>
      <c r="L2839" s="193" t="s">
        <v>146</v>
      </c>
    </row>
    <row r="2840" spans="1:12" ht="15">
      <c r="A2840" s="67">
        <f t="shared" si="44"/>
        <v>2838</v>
      </c>
      <c r="B2840" s="164">
        <v>2838</v>
      </c>
      <c r="C2840" s="193" t="s">
        <v>4133</v>
      </c>
      <c r="D2840" s="195" t="s">
        <v>7401</v>
      </c>
      <c r="E2840" s="193" t="s">
        <v>9689</v>
      </c>
      <c r="F2840" s="193" t="s">
        <v>114</v>
      </c>
      <c r="G2840" s="195" t="s">
        <v>809</v>
      </c>
      <c r="H2840" s="166" t="s">
        <v>13436</v>
      </c>
      <c r="I2840" s="193" t="s">
        <v>12827</v>
      </c>
      <c r="J2840" s="193" t="s">
        <v>12750</v>
      </c>
      <c r="K2840" s="168"/>
      <c r="L2840" s="193" t="s">
        <v>146</v>
      </c>
    </row>
    <row r="2841" spans="1:12" ht="15">
      <c r="A2841" s="67">
        <f t="shared" si="44"/>
        <v>2839</v>
      </c>
      <c r="B2841" s="164">
        <v>2839</v>
      </c>
      <c r="C2841" s="193" t="s">
        <v>4134</v>
      </c>
      <c r="D2841" s="195" t="s">
        <v>7402</v>
      </c>
      <c r="E2841" s="193" t="s">
        <v>319</v>
      </c>
      <c r="F2841" s="193" t="s">
        <v>114</v>
      </c>
      <c r="G2841" s="195" t="s">
        <v>11780</v>
      </c>
      <c r="H2841" s="166" t="s">
        <v>13436</v>
      </c>
      <c r="I2841" s="193" t="s">
        <v>12814</v>
      </c>
      <c r="J2841" s="193" t="s">
        <v>146</v>
      </c>
      <c r="K2841" s="168"/>
      <c r="L2841" s="193" t="s">
        <v>146</v>
      </c>
    </row>
    <row r="2842" spans="1:12" ht="15">
      <c r="A2842" s="67">
        <f t="shared" si="44"/>
        <v>2840</v>
      </c>
      <c r="B2842" s="164">
        <v>2840</v>
      </c>
      <c r="C2842" s="193" t="s">
        <v>4135</v>
      </c>
      <c r="D2842" s="195" t="s">
        <v>7403</v>
      </c>
      <c r="E2842" s="193" t="s">
        <v>191</v>
      </c>
      <c r="F2842" s="193" t="s">
        <v>59</v>
      </c>
      <c r="G2842" s="195" t="s">
        <v>11229</v>
      </c>
      <c r="H2842" s="166" t="s">
        <v>13436</v>
      </c>
      <c r="I2842" s="193" t="s">
        <v>12819</v>
      </c>
      <c r="J2842" s="193" t="s">
        <v>146</v>
      </c>
      <c r="K2842" s="168"/>
      <c r="L2842" s="193"/>
    </row>
    <row r="2843" spans="1:12" ht="30">
      <c r="A2843" s="67">
        <f t="shared" si="44"/>
        <v>2841</v>
      </c>
      <c r="B2843" s="164">
        <v>2841</v>
      </c>
      <c r="C2843" s="193" t="s">
        <v>4136</v>
      </c>
      <c r="D2843" s="195" t="s">
        <v>7404</v>
      </c>
      <c r="E2843" s="193" t="s">
        <v>9690</v>
      </c>
      <c r="F2843" s="193" t="s">
        <v>114</v>
      </c>
      <c r="G2843" s="195" t="s">
        <v>11781</v>
      </c>
      <c r="H2843" s="166" t="s">
        <v>13436</v>
      </c>
      <c r="I2843" s="193" t="s">
        <v>12835</v>
      </c>
      <c r="J2843" s="193" t="s">
        <v>1287</v>
      </c>
      <c r="K2843" s="168"/>
      <c r="L2843" s="193" t="s">
        <v>146</v>
      </c>
    </row>
    <row r="2844" spans="1:12" ht="15">
      <c r="A2844" s="67">
        <f t="shared" si="44"/>
        <v>2842</v>
      </c>
      <c r="B2844" s="164">
        <v>2842</v>
      </c>
      <c r="C2844" s="193" t="s">
        <v>4137</v>
      </c>
      <c r="D2844" s="195" t="s">
        <v>7405</v>
      </c>
      <c r="E2844" s="193" t="s">
        <v>9691</v>
      </c>
      <c r="F2844" s="193" t="s">
        <v>114</v>
      </c>
      <c r="G2844" s="195" t="s">
        <v>11782</v>
      </c>
      <c r="H2844" s="166" t="s">
        <v>13436</v>
      </c>
      <c r="I2844" s="193" t="s">
        <v>12814</v>
      </c>
      <c r="J2844" s="193" t="s">
        <v>146</v>
      </c>
      <c r="K2844" s="168"/>
      <c r="L2844" s="193" t="s">
        <v>146</v>
      </c>
    </row>
    <row r="2845" spans="1:12" ht="15">
      <c r="A2845" s="67">
        <f t="shared" si="44"/>
        <v>2843</v>
      </c>
      <c r="B2845" s="164">
        <v>2843</v>
      </c>
      <c r="C2845" s="193" t="s">
        <v>4138</v>
      </c>
      <c r="D2845" s="195" t="s">
        <v>7406</v>
      </c>
      <c r="E2845" s="193" t="s">
        <v>9692</v>
      </c>
      <c r="F2845" s="193" t="s">
        <v>114</v>
      </c>
      <c r="G2845" s="195" t="s">
        <v>11783</v>
      </c>
      <c r="H2845" s="166" t="s">
        <v>13436</v>
      </c>
      <c r="I2845" s="193" t="s">
        <v>12835</v>
      </c>
      <c r="J2845" s="193" t="s">
        <v>146</v>
      </c>
      <c r="K2845" s="168"/>
      <c r="L2845" s="193" t="s">
        <v>146</v>
      </c>
    </row>
    <row r="2846" spans="1:12" ht="15">
      <c r="A2846" s="67">
        <f t="shared" si="44"/>
        <v>2844</v>
      </c>
      <c r="B2846" s="164">
        <v>2844</v>
      </c>
      <c r="C2846" s="193" t="s">
        <v>4139</v>
      </c>
      <c r="D2846" s="195" t="s">
        <v>7407</v>
      </c>
      <c r="E2846" s="193" t="s">
        <v>9693</v>
      </c>
      <c r="F2846" s="193" t="s">
        <v>114</v>
      </c>
      <c r="G2846" s="195" t="s">
        <v>1188</v>
      </c>
      <c r="H2846" s="166" t="s">
        <v>13436</v>
      </c>
      <c r="I2846" s="193" t="s">
        <v>12835</v>
      </c>
      <c r="J2846" s="193" t="s">
        <v>146</v>
      </c>
      <c r="K2846" s="168"/>
      <c r="L2846" s="193" t="s">
        <v>146</v>
      </c>
    </row>
    <row r="2847" spans="1:12" ht="15">
      <c r="A2847" s="67">
        <f t="shared" si="44"/>
        <v>2845</v>
      </c>
      <c r="B2847" s="164">
        <v>2845</v>
      </c>
      <c r="C2847" s="193" t="s">
        <v>4140</v>
      </c>
      <c r="D2847" s="195" t="s">
        <v>7408</v>
      </c>
      <c r="E2847" s="193" t="s">
        <v>9694</v>
      </c>
      <c r="F2847" s="193" t="s">
        <v>114</v>
      </c>
      <c r="G2847" s="195" t="s">
        <v>11784</v>
      </c>
      <c r="H2847" s="166" t="s">
        <v>13436</v>
      </c>
      <c r="I2847" s="193" t="s">
        <v>12835</v>
      </c>
      <c r="J2847" s="193" t="s">
        <v>146</v>
      </c>
      <c r="K2847" s="168"/>
      <c r="L2847" s="193" t="s">
        <v>146</v>
      </c>
    </row>
    <row r="2848" spans="1:12" ht="15">
      <c r="A2848" s="67">
        <f t="shared" si="44"/>
        <v>2846</v>
      </c>
      <c r="B2848" s="164">
        <v>2846</v>
      </c>
      <c r="C2848" s="193" t="s">
        <v>4141</v>
      </c>
      <c r="D2848" s="195" t="s">
        <v>7409</v>
      </c>
      <c r="E2848" s="193" t="s">
        <v>9695</v>
      </c>
      <c r="F2848" s="193" t="s">
        <v>114</v>
      </c>
      <c r="G2848" s="195" t="s">
        <v>836</v>
      </c>
      <c r="H2848" s="166" t="s">
        <v>13436</v>
      </c>
      <c r="I2848" s="193" t="s">
        <v>12835</v>
      </c>
      <c r="J2848" s="193" t="s">
        <v>12751</v>
      </c>
      <c r="K2848" s="168"/>
      <c r="L2848" s="193" t="s">
        <v>1293</v>
      </c>
    </row>
    <row r="2849" spans="1:12" ht="15">
      <c r="A2849" s="67">
        <f t="shared" si="44"/>
        <v>2847</v>
      </c>
      <c r="B2849" s="164">
        <v>2847</v>
      </c>
      <c r="C2849" s="193" t="s">
        <v>4142</v>
      </c>
      <c r="D2849" s="195" t="s">
        <v>7410</v>
      </c>
      <c r="E2849" s="193" t="s">
        <v>208</v>
      </c>
      <c r="F2849" s="193" t="s">
        <v>114</v>
      </c>
      <c r="G2849" s="195" t="s">
        <v>11785</v>
      </c>
      <c r="H2849" s="166" t="s">
        <v>13436</v>
      </c>
      <c r="I2849" s="193" t="s">
        <v>12835</v>
      </c>
      <c r="J2849" s="193" t="s">
        <v>146</v>
      </c>
      <c r="K2849" s="168"/>
      <c r="L2849" s="193" t="s">
        <v>146</v>
      </c>
    </row>
    <row r="2850" spans="1:12" ht="15">
      <c r="A2850" s="67">
        <f t="shared" si="44"/>
        <v>2848</v>
      </c>
      <c r="B2850" s="164">
        <v>2848</v>
      </c>
      <c r="C2850" s="193" t="s">
        <v>4143</v>
      </c>
      <c r="D2850" s="195" t="s">
        <v>7411</v>
      </c>
      <c r="E2850" s="193" t="s">
        <v>9696</v>
      </c>
      <c r="F2850" s="193" t="s">
        <v>114</v>
      </c>
      <c r="G2850" s="195" t="s">
        <v>11786</v>
      </c>
      <c r="H2850" s="166" t="s">
        <v>13436</v>
      </c>
      <c r="I2850" s="193" t="s">
        <v>12814</v>
      </c>
      <c r="J2850" s="219" t="s">
        <v>146</v>
      </c>
      <c r="K2850" s="168"/>
      <c r="L2850" s="219" t="s">
        <v>146</v>
      </c>
    </row>
    <row r="2851" spans="1:12" ht="30">
      <c r="A2851" s="67">
        <f t="shared" si="44"/>
        <v>2849</v>
      </c>
      <c r="B2851" s="164">
        <v>2849</v>
      </c>
      <c r="C2851" s="193" t="s">
        <v>4144</v>
      </c>
      <c r="D2851" s="195" t="s">
        <v>7412</v>
      </c>
      <c r="E2851" s="193" t="s">
        <v>9697</v>
      </c>
      <c r="F2851" s="193" t="s">
        <v>114</v>
      </c>
      <c r="G2851" s="195" t="s">
        <v>11787</v>
      </c>
      <c r="H2851" s="166" t="s">
        <v>13436</v>
      </c>
      <c r="I2851" s="193" t="s">
        <v>12812</v>
      </c>
      <c r="J2851" s="193" t="s">
        <v>12752</v>
      </c>
      <c r="K2851" s="168"/>
      <c r="L2851" s="193" t="s">
        <v>146</v>
      </c>
    </row>
    <row r="2852" spans="1:12" ht="15">
      <c r="A2852" s="67">
        <f t="shared" si="44"/>
        <v>2850</v>
      </c>
      <c r="B2852" s="164">
        <v>2850</v>
      </c>
      <c r="C2852" s="193" t="s">
        <v>4145</v>
      </c>
      <c r="D2852" s="195" t="s">
        <v>7413</v>
      </c>
      <c r="E2852" s="193" t="s">
        <v>9698</v>
      </c>
      <c r="F2852" s="193" t="s">
        <v>114</v>
      </c>
      <c r="G2852" s="195" t="s">
        <v>1227</v>
      </c>
      <c r="H2852" s="166" t="s">
        <v>13436</v>
      </c>
      <c r="I2852" s="193" t="s">
        <v>12812</v>
      </c>
      <c r="J2852" s="219" t="s">
        <v>146</v>
      </c>
      <c r="K2852" s="168"/>
      <c r="L2852" s="193" t="s">
        <v>146</v>
      </c>
    </row>
    <row r="2853" spans="1:12" ht="15">
      <c r="A2853" s="67">
        <f t="shared" si="44"/>
        <v>2851</v>
      </c>
      <c r="B2853" s="164">
        <v>2851</v>
      </c>
      <c r="C2853" s="193" t="s">
        <v>4146</v>
      </c>
      <c r="D2853" s="195" t="s">
        <v>7414</v>
      </c>
      <c r="E2853" s="193" t="s">
        <v>480</v>
      </c>
      <c r="F2853" s="193" t="s">
        <v>114</v>
      </c>
      <c r="G2853" s="195" t="s">
        <v>11788</v>
      </c>
      <c r="H2853" s="166" t="s">
        <v>13436</v>
      </c>
      <c r="I2853" s="193" t="s">
        <v>12812</v>
      </c>
      <c r="J2853" s="193" t="s">
        <v>146</v>
      </c>
      <c r="K2853" s="168"/>
      <c r="L2853" s="193" t="s">
        <v>146</v>
      </c>
    </row>
    <row r="2854" spans="1:12" ht="15">
      <c r="A2854" s="67">
        <f t="shared" si="44"/>
        <v>2852</v>
      </c>
      <c r="B2854" s="164">
        <v>2852</v>
      </c>
      <c r="C2854" s="193" t="s">
        <v>4147</v>
      </c>
      <c r="D2854" s="195" t="s">
        <v>7415</v>
      </c>
      <c r="E2854" s="193" t="s">
        <v>512</v>
      </c>
      <c r="F2854" s="193" t="s">
        <v>114</v>
      </c>
      <c r="G2854" s="195" t="s">
        <v>1228</v>
      </c>
      <c r="H2854" s="166" t="s">
        <v>13436</v>
      </c>
      <c r="I2854" s="193" t="s">
        <v>12812</v>
      </c>
      <c r="J2854" s="193" t="s">
        <v>1291</v>
      </c>
      <c r="K2854" s="168"/>
      <c r="L2854" s="193" t="s">
        <v>146</v>
      </c>
    </row>
    <row r="2855" spans="1:12" ht="15">
      <c r="A2855" s="67">
        <f t="shared" si="44"/>
        <v>2853</v>
      </c>
      <c r="B2855" s="164">
        <v>2853</v>
      </c>
      <c r="C2855" s="193" t="s">
        <v>4148</v>
      </c>
      <c r="D2855" s="195" t="s">
        <v>7416</v>
      </c>
      <c r="E2855" s="193" t="s">
        <v>9699</v>
      </c>
      <c r="F2855" s="193" t="s">
        <v>114</v>
      </c>
      <c r="G2855" s="195" t="s">
        <v>1000</v>
      </c>
      <c r="H2855" s="166" t="s">
        <v>13436</v>
      </c>
      <c r="I2855" s="193" t="s">
        <v>12812</v>
      </c>
      <c r="J2855" s="193"/>
      <c r="K2855" s="168"/>
      <c r="L2855" s="193"/>
    </row>
    <row r="2856" spans="1:12" ht="30">
      <c r="A2856" s="67">
        <f t="shared" si="44"/>
        <v>2854</v>
      </c>
      <c r="B2856" s="164">
        <v>2854</v>
      </c>
      <c r="C2856" s="193" t="s">
        <v>4149</v>
      </c>
      <c r="D2856" s="195" t="s">
        <v>7417</v>
      </c>
      <c r="E2856" s="193" t="s">
        <v>9700</v>
      </c>
      <c r="F2856" s="193" t="s">
        <v>114</v>
      </c>
      <c r="G2856" s="195" t="s">
        <v>11789</v>
      </c>
      <c r="H2856" s="166" t="s">
        <v>13436</v>
      </c>
      <c r="I2856" s="193" t="s">
        <v>12812</v>
      </c>
      <c r="J2856" s="193" t="s">
        <v>12753</v>
      </c>
      <c r="K2856" s="168"/>
      <c r="L2856" s="193" t="s">
        <v>146</v>
      </c>
    </row>
    <row r="2857" spans="1:12" ht="15">
      <c r="A2857" s="67">
        <f t="shared" si="44"/>
        <v>2855</v>
      </c>
      <c r="B2857" s="164">
        <v>2855</v>
      </c>
      <c r="C2857" s="193" t="s">
        <v>4150</v>
      </c>
      <c r="D2857" s="195" t="s">
        <v>7418</v>
      </c>
      <c r="E2857" s="193" t="s">
        <v>9701</v>
      </c>
      <c r="F2857" s="193" t="s">
        <v>114</v>
      </c>
      <c r="G2857" s="195" t="s">
        <v>11701</v>
      </c>
      <c r="H2857" s="166" t="s">
        <v>13436</v>
      </c>
      <c r="I2857" s="193" t="s">
        <v>12814</v>
      </c>
      <c r="J2857" s="193" t="s">
        <v>146</v>
      </c>
      <c r="K2857" s="168"/>
      <c r="L2857" s="193" t="s">
        <v>146</v>
      </c>
    </row>
    <row r="2858" spans="1:12" ht="15">
      <c r="A2858" s="67">
        <f t="shared" si="44"/>
        <v>2856</v>
      </c>
      <c r="B2858" s="164">
        <v>2856</v>
      </c>
      <c r="C2858" s="193" t="s">
        <v>4151</v>
      </c>
      <c r="D2858" s="195" t="s">
        <v>7419</v>
      </c>
      <c r="E2858" s="193" t="s">
        <v>173</v>
      </c>
      <c r="F2858" s="193" t="s">
        <v>114</v>
      </c>
      <c r="G2858" s="195" t="s">
        <v>783</v>
      </c>
      <c r="H2858" s="166" t="s">
        <v>13436</v>
      </c>
      <c r="I2858" s="193" t="s">
        <v>12814</v>
      </c>
      <c r="J2858" s="219" t="s">
        <v>146</v>
      </c>
      <c r="K2858" s="168"/>
      <c r="L2858" s="193" t="s">
        <v>146</v>
      </c>
    </row>
    <row r="2859" spans="1:12" ht="15">
      <c r="A2859" s="67">
        <f t="shared" si="44"/>
        <v>2857</v>
      </c>
      <c r="B2859" s="164">
        <v>2857</v>
      </c>
      <c r="C2859" s="193" t="s">
        <v>4152</v>
      </c>
      <c r="D2859" s="195" t="s">
        <v>7420</v>
      </c>
      <c r="E2859" s="193" t="s">
        <v>9702</v>
      </c>
      <c r="F2859" s="193" t="s">
        <v>114</v>
      </c>
      <c r="G2859" s="195" t="s">
        <v>840</v>
      </c>
      <c r="H2859" s="166" t="s">
        <v>13436</v>
      </c>
      <c r="I2859" s="193" t="s">
        <v>12827</v>
      </c>
      <c r="J2859" s="193" t="s">
        <v>146</v>
      </c>
      <c r="K2859" s="168"/>
      <c r="L2859" s="193" t="s">
        <v>146</v>
      </c>
    </row>
    <row r="2860" spans="1:12" ht="15">
      <c r="A2860" s="67">
        <f t="shared" si="44"/>
        <v>2858</v>
      </c>
      <c r="B2860" s="164">
        <v>2858</v>
      </c>
      <c r="C2860" s="193" t="s">
        <v>4153</v>
      </c>
      <c r="D2860" s="195" t="s">
        <v>7421</v>
      </c>
      <c r="E2860" s="193" t="s">
        <v>9703</v>
      </c>
      <c r="F2860" s="193" t="s">
        <v>114</v>
      </c>
      <c r="G2860" s="195" t="s">
        <v>11790</v>
      </c>
      <c r="H2860" s="166" t="s">
        <v>13436</v>
      </c>
      <c r="I2860" s="193" t="s">
        <v>12827</v>
      </c>
      <c r="J2860" s="193" t="s">
        <v>146</v>
      </c>
      <c r="K2860" s="168"/>
      <c r="L2860" s="193" t="s">
        <v>146</v>
      </c>
    </row>
    <row r="2861" spans="1:12" ht="45">
      <c r="A2861" s="67">
        <f t="shared" si="44"/>
        <v>2859</v>
      </c>
      <c r="B2861" s="164">
        <v>2859</v>
      </c>
      <c r="C2861" s="193" t="s">
        <v>4154</v>
      </c>
      <c r="D2861" s="195" t="s">
        <v>7422</v>
      </c>
      <c r="E2861" s="193" t="s">
        <v>8676</v>
      </c>
      <c r="F2861" s="193" t="s">
        <v>114</v>
      </c>
      <c r="G2861" s="195" t="s">
        <v>11791</v>
      </c>
      <c r="H2861" s="166" t="s">
        <v>13436</v>
      </c>
      <c r="I2861" s="193" t="s">
        <v>12827</v>
      </c>
      <c r="J2861" s="193" t="s">
        <v>12754</v>
      </c>
      <c r="K2861" s="168"/>
      <c r="L2861" s="193" t="s">
        <v>146</v>
      </c>
    </row>
    <row r="2862" spans="1:12" ht="15">
      <c r="A2862" s="67">
        <f t="shared" si="44"/>
        <v>2860</v>
      </c>
      <c r="B2862" s="164">
        <v>2860</v>
      </c>
      <c r="C2862" s="193" t="s">
        <v>4155</v>
      </c>
      <c r="D2862" s="195" t="s">
        <v>7423</v>
      </c>
      <c r="E2862" s="193" t="s">
        <v>9704</v>
      </c>
      <c r="F2862" s="193" t="s">
        <v>114</v>
      </c>
      <c r="G2862" s="195" t="s">
        <v>11792</v>
      </c>
      <c r="H2862" s="166" t="s">
        <v>13436</v>
      </c>
      <c r="I2862" s="193" t="s">
        <v>12821</v>
      </c>
      <c r="J2862" s="193" t="s">
        <v>146</v>
      </c>
      <c r="K2862" s="168"/>
      <c r="L2862" s="193" t="s">
        <v>146</v>
      </c>
    </row>
    <row r="2863" spans="1:12" ht="15">
      <c r="A2863" s="67">
        <f t="shared" si="44"/>
        <v>2861</v>
      </c>
      <c r="B2863" s="164">
        <v>2861</v>
      </c>
      <c r="C2863" s="193" t="s">
        <v>4156</v>
      </c>
      <c r="D2863" s="195" t="s">
        <v>7424</v>
      </c>
      <c r="E2863" s="193" t="s">
        <v>339</v>
      </c>
      <c r="F2863" s="193" t="s">
        <v>59</v>
      </c>
      <c r="G2863" s="195" t="s">
        <v>1006</v>
      </c>
      <c r="H2863" s="166" t="s">
        <v>13436</v>
      </c>
      <c r="I2863" s="193" t="s">
        <v>12819</v>
      </c>
      <c r="J2863" s="193" t="s">
        <v>147</v>
      </c>
      <c r="K2863" s="168"/>
      <c r="L2863" s="193"/>
    </row>
    <row r="2864" spans="1:12" ht="15">
      <c r="A2864" s="67">
        <f t="shared" si="44"/>
        <v>2862</v>
      </c>
      <c r="B2864" s="164">
        <v>2862</v>
      </c>
      <c r="C2864" s="193" t="s">
        <v>4157</v>
      </c>
      <c r="D2864" s="195" t="s">
        <v>7425</v>
      </c>
      <c r="E2864" s="193" t="s">
        <v>8597</v>
      </c>
      <c r="F2864" s="193" t="s">
        <v>114</v>
      </c>
      <c r="G2864" s="195" t="s">
        <v>11793</v>
      </c>
      <c r="H2864" s="166" t="s">
        <v>13436</v>
      </c>
      <c r="I2864" s="193" t="s">
        <v>12821</v>
      </c>
      <c r="J2864" s="193" t="s">
        <v>146</v>
      </c>
      <c r="K2864" s="168"/>
      <c r="L2864" s="193" t="s">
        <v>146</v>
      </c>
    </row>
    <row r="2865" spans="1:12" ht="15">
      <c r="A2865" s="67">
        <f t="shared" si="44"/>
        <v>2863</v>
      </c>
      <c r="B2865" s="164">
        <v>2863</v>
      </c>
      <c r="C2865" s="193" t="s">
        <v>4158</v>
      </c>
      <c r="D2865" s="195" t="s">
        <v>7426</v>
      </c>
      <c r="E2865" s="193" t="s">
        <v>9705</v>
      </c>
      <c r="F2865" s="193" t="s">
        <v>114</v>
      </c>
      <c r="G2865" s="195" t="s">
        <v>771</v>
      </c>
      <c r="H2865" s="166" t="s">
        <v>13436</v>
      </c>
      <c r="I2865" s="193" t="s">
        <v>12821</v>
      </c>
      <c r="J2865" s="193" t="s">
        <v>146</v>
      </c>
      <c r="K2865" s="168"/>
      <c r="L2865" s="193" t="s">
        <v>146</v>
      </c>
    </row>
    <row r="2866" spans="1:12" ht="15">
      <c r="A2866" s="67">
        <f t="shared" si="44"/>
        <v>2864</v>
      </c>
      <c r="B2866" s="164">
        <v>2864</v>
      </c>
      <c r="C2866" s="193" t="s">
        <v>4159</v>
      </c>
      <c r="D2866" s="195" t="s">
        <v>7427</v>
      </c>
      <c r="E2866" s="193" t="s">
        <v>548</v>
      </c>
      <c r="F2866" s="193" t="s">
        <v>59</v>
      </c>
      <c r="G2866" s="195" t="s">
        <v>1029</v>
      </c>
      <c r="H2866" s="166" t="s">
        <v>13436</v>
      </c>
      <c r="I2866" s="193" t="s">
        <v>12821</v>
      </c>
      <c r="J2866" s="193" t="s">
        <v>146</v>
      </c>
      <c r="K2866" s="168"/>
      <c r="L2866" s="193"/>
    </row>
    <row r="2867" spans="1:12" ht="30">
      <c r="A2867" s="67">
        <f t="shared" si="44"/>
        <v>2865</v>
      </c>
      <c r="B2867" s="164">
        <v>2865</v>
      </c>
      <c r="C2867" s="193" t="s">
        <v>4160</v>
      </c>
      <c r="D2867" s="195" t="s">
        <v>7428</v>
      </c>
      <c r="E2867" s="193" t="s">
        <v>9706</v>
      </c>
      <c r="F2867" s="193" t="s">
        <v>114</v>
      </c>
      <c r="G2867" s="195" t="s">
        <v>801</v>
      </c>
      <c r="H2867" s="166" t="s">
        <v>13436</v>
      </c>
      <c r="I2867" s="193" t="s">
        <v>12821</v>
      </c>
      <c r="J2867" s="193" t="s">
        <v>12755</v>
      </c>
      <c r="K2867" s="168"/>
      <c r="L2867" s="193" t="s">
        <v>146</v>
      </c>
    </row>
    <row r="2868" spans="1:12" ht="30">
      <c r="A2868" s="67">
        <f t="shared" si="44"/>
        <v>2866</v>
      </c>
      <c r="B2868" s="164">
        <v>2866</v>
      </c>
      <c r="C2868" s="193" t="s">
        <v>4161</v>
      </c>
      <c r="D2868" s="195" t="s">
        <v>7429</v>
      </c>
      <c r="E2868" s="193" t="s">
        <v>9707</v>
      </c>
      <c r="F2868" s="193" t="s">
        <v>114</v>
      </c>
      <c r="G2868" s="195" t="s">
        <v>11794</v>
      </c>
      <c r="H2868" s="166" t="s">
        <v>13436</v>
      </c>
      <c r="I2868" s="193" t="s">
        <v>12821</v>
      </c>
      <c r="J2868" s="193" t="s">
        <v>12756</v>
      </c>
      <c r="K2868" s="168"/>
      <c r="L2868" s="193" t="s">
        <v>13408</v>
      </c>
    </row>
    <row r="2869" spans="1:12" ht="15">
      <c r="A2869" s="67">
        <f t="shared" si="44"/>
        <v>2867</v>
      </c>
      <c r="B2869" s="164">
        <v>2867</v>
      </c>
      <c r="C2869" s="193" t="s">
        <v>4162</v>
      </c>
      <c r="D2869" s="195" t="s">
        <v>7430</v>
      </c>
      <c r="E2869" s="193" t="s">
        <v>664</v>
      </c>
      <c r="F2869" s="193" t="s">
        <v>59</v>
      </c>
      <c r="G2869" s="195" t="s">
        <v>975</v>
      </c>
      <c r="H2869" s="166" t="s">
        <v>13436</v>
      </c>
      <c r="I2869" s="193" t="s">
        <v>12821</v>
      </c>
      <c r="J2869" s="193" t="s">
        <v>164</v>
      </c>
      <c r="K2869" s="168"/>
      <c r="L2869" s="193"/>
    </row>
    <row r="2870" spans="1:12" ht="75">
      <c r="A2870" s="67">
        <f t="shared" si="44"/>
        <v>2868</v>
      </c>
      <c r="B2870" s="164">
        <v>2868</v>
      </c>
      <c r="C2870" s="193" t="s">
        <v>4163</v>
      </c>
      <c r="D2870" s="195" t="s">
        <v>7431</v>
      </c>
      <c r="E2870" s="193" t="s">
        <v>312</v>
      </c>
      <c r="F2870" s="193" t="s">
        <v>114</v>
      </c>
      <c r="G2870" s="195" t="s">
        <v>11795</v>
      </c>
      <c r="H2870" s="166" t="s">
        <v>13436</v>
      </c>
      <c r="I2870" s="193" t="s">
        <v>12814</v>
      </c>
      <c r="J2870" s="193" t="s">
        <v>146</v>
      </c>
      <c r="K2870" s="168"/>
      <c r="L2870" s="193" t="s">
        <v>13409</v>
      </c>
    </row>
    <row r="2871" spans="1:12" ht="15">
      <c r="A2871" s="67">
        <f t="shared" si="44"/>
        <v>2869</v>
      </c>
      <c r="B2871" s="164">
        <v>2869</v>
      </c>
      <c r="C2871" s="193" t="s">
        <v>4164</v>
      </c>
      <c r="D2871" s="195" t="s">
        <v>7432</v>
      </c>
      <c r="E2871" s="193" t="s">
        <v>287</v>
      </c>
      <c r="F2871" s="193" t="s">
        <v>59</v>
      </c>
      <c r="G2871" s="195" t="s">
        <v>11796</v>
      </c>
      <c r="H2871" s="166" t="s">
        <v>13436</v>
      </c>
      <c r="I2871" s="193" t="s">
        <v>12821</v>
      </c>
      <c r="J2871" s="193" t="s">
        <v>146</v>
      </c>
      <c r="K2871" s="168"/>
      <c r="L2871" s="193"/>
    </row>
    <row r="2872" spans="1:12" ht="15">
      <c r="A2872" s="67">
        <f t="shared" si="44"/>
        <v>2870</v>
      </c>
      <c r="B2872" s="164">
        <v>2870</v>
      </c>
      <c r="C2872" s="193" t="s">
        <v>4165</v>
      </c>
      <c r="D2872" s="195" t="s">
        <v>7433</v>
      </c>
      <c r="E2872" s="193" t="s">
        <v>538</v>
      </c>
      <c r="F2872" s="193" t="s">
        <v>59</v>
      </c>
      <c r="G2872" s="195" t="s">
        <v>11797</v>
      </c>
      <c r="H2872" s="166" t="s">
        <v>13436</v>
      </c>
      <c r="I2872" s="193" t="s">
        <v>12821</v>
      </c>
      <c r="J2872" s="193" t="s">
        <v>146</v>
      </c>
      <c r="K2872" s="168"/>
      <c r="L2872" s="193"/>
    </row>
    <row r="2873" spans="1:12" ht="15">
      <c r="A2873" s="67">
        <f t="shared" si="44"/>
        <v>2871</v>
      </c>
      <c r="B2873" s="164">
        <v>2871</v>
      </c>
      <c r="C2873" s="193" t="s">
        <v>4166</v>
      </c>
      <c r="D2873" s="195" t="s">
        <v>7434</v>
      </c>
      <c r="E2873" s="193" t="s">
        <v>9708</v>
      </c>
      <c r="F2873" s="193" t="s">
        <v>59</v>
      </c>
      <c r="G2873" s="195" t="s">
        <v>1180</v>
      </c>
      <c r="H2873" s="166" t="s">
        <v>13436</v>
      </c>
      <c r="I2873" s="193" t="s">
        <v>12821</v>
      </c>
      <c r="J2873" s="193" t="s">
        <v>146</v>
      </c>
      <c r="K2873" s="168"/>
      <c r="L2873" s="193"/>
    </row>
    <row r="2874" spans="1:12" ht="15">
      <c r="A2874" s="67">
        <f t="shared" si="44"/>
        <v>2872</v>
      </c>
      <c r="B2874" s="164">
        <v>2872</v>
      </c>
      <c r="C2874" s="193" t="s">
        <v>4167</v>
      </c>
      <c r="D2874" s="195" t="s">
        <v>7435</v>
      </c>
      <c r="E2874" s="193" t="s">
        <v>9709</v>
      </c>
      <c r="F2874" s="193" t="s">
        <v>114</v>
      </c>
      <c r="G2874" s="195" t="s">
        <v>1017</v>
      </c>
      <c r="H2874" s="166" t="s">
        <v>13436</v>
      </c>
      <c r="I2874" s="193" t="s">
        <v>12821</v>
      </c>
      <c r="J2874" s="193" t="s">
        <v>146</v>
      </c>
      <c r="K2874" s="168"/>
      <c r="L2874" s="193" t="s">
        <v>146</v>
      </c>
    </row>
    <row r="2875" spans="1:12" ht="30">
      <c r="A2875" s="67">
        <f t="shared" si="44"/>
        <v>2873</v>
      </c>
      <c r="B2875" s="164">
        <v>2873</v>
      </c>
      <c r="C2875" s="193" t="s">
        <v>4168</v>
      </c>
      <c r="D2875" s="195" t="s">
        <v>7436</v>
      </c>
      <c r="E2875" s="193" t="s">
        <v>9710</v>
      </c>
      <c r="F2875" s="193" t="s">
        <v>114</v>
      </c>
      <c r="G2875" s="195" t="s">
        <v>11798</v>
      </c>
      <c r="H2875" s="166" t="s">
        <v>13436</v>
      </c>
      <c r="I2875" s="193" t="s">
        <v>12814</v>
      </c>
      <c r="J2875" s="193" t="s">
        <v>12757</v>
      </c>
      <c r="K2875" s="168"/>
      <c r="L2875" s="193" t="s">
        <v>146</v>
      </c>
    </row>
    <row r="2876" spans="1:12" ht="15">
      <c r="A2876" s="67">
        <f t="shared" si="44"/>
        <v>2874</v>
      </c>
      <c r="B2876" s="164">
        <v>2874</v>
      </c>
      <c r="C2876" s="193" t="s">
        <v>4169</v>
      </c>
      <c r="D2876" s="206" t="s">
        <v>7437</v>
      </c>
      <c r="E2876" s="193" t="s">
        <v>155</v>
      </c>
      <c r="F2876" s="193" t="s">
        <v>114</v>
      </c>
      <c r="G2876" s="195" t="s">
        <v>11799</v>
      </c>
      <c r="H2876" s="166" t="s">
        <v>13436</v>
      </c>
      <c r="I2876" s="193" t="s">
        <v>12836</v>
      </c>
      <c r="J2876" s="193" t="s">
        <v>146</v>
      </c>
      <c r="K2876" s="168"/>
      <c r="L2876" s="193" t="s">
        <v>146</v>
      </c>
    </row>
    <row r="2877" spans="1:12" ht="45">
      <c r="A2877" s="67">
        <f t="shared" si="44"/>
        <v>2875</v>
      </c>
      <c r="B2877" s="164">
        <v>2875</v>
      </c>
      <c r="C2877" s="193" t="s">
        <v>4170</v>
      </c>
      <c r="D2877" s="195" t="s">
        <v>7438</v>
      </c>
      <c r="E2877" s="193" t="s">
        <v>364</v>
      </c>
      <c r="F2877" s="193" t="s">
        <v>114</v>
      </c>
      <c r="G2877" s="195" t="s">
        <v>11800</v>
      </c>
      <c r="H2877" s="166" t="s">
        <v>13436</v>
      </c>
      <c r="I2877" s="193" t="s">
        <v>12821</v>
      </c>
      <c r="J2877" s="193" t="s">
        <v>146</v>
      </c>
      <c r="K2877" s="168"/>
      <c r="L2877" s="193" t="s">
        <v>13410</v>
      </c>
    </row>
    <row r="2878" spans="1:12" ht="15">
      <c r="A2878" s="67">
        <f t="shared" si="44"/>
        <v>2876</v>
      </c>
      <c r="B2878" s="164">
        <v>2876</v>
      </c>
      <c r="C2878" s="193" t="s">
        <v>4171</v>
      </c>
      <c r="D2878" s="195" t="s">
        <v>7439</v>
      </c>
      <c r="E2878" s="193" t="s">
        <v>9711</v>
      </c>
      <c r="F2878" s="193" t="s">
        <v>114</v>
      </c>
      <c r="G2878" s="195" t="s">
        <v>11546</v>
      </c>
      <c r="H2878" s="166" t="s">
        <v>13436</v>
      </c>
      <c r="I2878" s="193" t="s">
        <v>12814</v>
      </c>
      <c r="J2878" s="193" t="s">
        <v>146</v>
      </c>
      <c r="K2878" s="168"/>
      <c r="L2878" s="193" t="s">
        <v>146</v>
      </c>
    </row>
    <row r="2879" spans="1:12" ht="15">
      <c r="A2879" s="67">
        <f t="shared" si="44"/>
        <v>2877</v>
      </c>
      <c r="B2879" s="164">
        <v>2877</v>
      </c>
      <c r="C2879" s="193" t="s">
        <v>4172</v>
      </c>
      <c r="D2879" s="195" t="s">
        <v>7440</v>
      </c>
      <c r="E2879" s="193" t="s">
        <v>9712</v>
      </c>
      <c r="F2879" s="193" t="s">
        <v>114</v>
      </c>
      <c r="G2879" s="195" t="s">
        <v>1067</v>
      </c>
      <c r="H2879" s="166" t="s">
        <v>13436</v>
      </c>
      <c r="I2879" s="193" t="s">
        <v>12835</v>
      </c>
      <c r="J2879" s="193" t="s">
        <v>146</v>
      </c>
      <c r="K2879" s="168"/>
      <c r="L2879" s="193" t="s">
        <v>146</v>
      </c>
    </row>
    <row r="2880" spans="1:12" ht="15">
      <c r="A2880" s="67">
        <f t="shared" si="44"/>
        <v>2878</v>
      </c>
      <c r="B2880" s="164">
        <v>2878</v>
      </c>
      <c r="C2880" s="193" t="s">
        <v>4173</v>
      </c>
      <c r="D2880" s="195" t="s">
        <v>7441</v>
      </c>
      <c r="E2880" s="193" t="s">
        <v>152</v>
      </c>
      <c r="F2880" s="193" t="s">
        <v>114</v>
      </c>
      <c r="G2880" s="195" t="s">
        <v>11801</v>
      </c>
      <c r="H2880" s="166" t="s">
        <v>13436</v>
      </c>
      <c r="I2880" s="193" t="s">
        <v>12827</v>
      </c>
      <c r="J2880" s="193" t="s">
        <v>146</v>
      </c>
      <c r="K2880" s="168"/>
      <c r="L2880" s="193" t="s">
        <v>146</v>
      </c>
    </row>
    <row r="2881" spans="1:12" ht="15">
      <c r="A2881" s="67">
        <f t="shared" si="44"/>
        <v>2879</v>
      </c>
      <c r="B2881" s="164">
        <v>2879</v>
      </c>
      <c r="C2881" s="193" t="s">
        <v>4174</v>
      </c>
      <c r="D2881" s="195" t="s">
        <v>7442</v>
      </c>
      <c r="E2881" s="193" t="s">
        <v>562</v>
      </c>
      <c r="F2881" s="193" t="s">
        <v>114</v>
      </c>
      <c r="G2881" s="195" t="s">
        <v>11802</v>
      </c>
      <c r="H2881" s="166" t="s">
        <v>13436</v>
      </c>
      <c r="I2881" s="193" t="s">
        <v>12827</v>
      </c>
      <c r="J2881" s="193" t="s">
        <v>146</v>
      </c>
      <c r="K2881" s="168"/>
      <c r="L2881" s="193" t="s">
        <v>146</v>
      </c>
    </row>
    <row r="2882" spans="1:12" ht="15">
      <c r="A2882" s="67">
        <f t="shared" si="44"/>
        <v>2880</v>
      </c>
      <c r="B2882" s="164">
        <v>2880</v>
      </c>
      <c r="C2882" s="193" t="s">
        <v>4175</v>
      </c>
      <c r="D2882" s="195" t="s">
        <v>7443</v>
      </c>
      <c r="E2882" s="193" t="s">
        <v>201</v>
      </c>
      <c r="F2882" s="193" t="s">
        <v>114</v>
      </c>
      <c r="G2882" s="195" t="s">
        <v>11803</v>
      </c>
      <c r="H2882" s="166" t="s">
        <v>13436</v>
      </c>
      <c r="I2882" s="193" t="s">
        <v>12827</v>
      </c>
      <c r="J2882" s="193" t="s">
        <v>146</v>
      </c>
      <c r="K2882" s="168"/>
      <c r="L2882" s="193" t="s">
        <v>146</v>
      </c>
    </row>
    <row r="2883" spans="1:12" ht="15">
      <c r="A2883" s="67">
        <f t="shared" ref="A2883:A2946" si="45">IFERROR(VALUE(RIGHT(C2883,4)),"")</f>
        <v>2881</v>
      </c>
      <c r="B2883" s="164">
        <v>2881</v>
      </c>
      <c r="C2883" s="193" t="s">
        <v>4176</v>
      </c>
      <c r="D2883" s="195" t="s">
        <v>7444</v>
      </c>
      <c r="E2883" s="193" t="s">
        <v>351</v>
      </c>
      <c r="F2883" s="193" t="s">
        <v>114</v>
      </c>
      <c r="G2883" s="195" t="s">
        <v>11804</v>
      </c>
      <c r="H2883" s="166" t="s">
        <v>13436</v>
      </c>
      <c r="I2883" s="193" t="s">
        <v>12814</v>
      </c>
      <c r="J2883" s="193" t="s">
        <v>146</v>
      </c>
      <c r="K2883" s="168"/>
      <c r="L2883" s="193" t="s">
        <v>146</v>
      </c>
    </row>
    <row r="2884" spans="1:12" ht="15">
      <c r="A2884" s="67">
        <f t="shared" si="45"/>
        <v>2882</v>
      </c>
      <c r="B2884" s="164">
        <v>2882</v>
      </c>
      <c r="C2884" s="193" t="s">
        <v>4177</v>
      </c>
      <c r="D2884" s="195" t="s">
        <v>7445</v>
      </c>
      <c r="E2884" s="193" t="s">
        <v>9713</v>
      </c>
      <c r="F2884" s="193" t="s">
        <v>114</v>
      </c>
      <c r="G2884" s="195" t="s">
        <v>11805</v>
      </c>
      <c r="H2884" s="166" t="s">
        <v>13436</v>
      </c>
      <c r="I2884" s="193" t="s">
        <v>12812</v>
      </c>
      <c r="J2884" s="193" t="s">
        <v>146</v>
      </c>
      <c r="K2884" s="168"/>
      <c r="L2884" s="193" t="s">
        <v>146</v>
      </c>
    </row>
    <row r="2885" spans="1:12" ht="15">
      <c r="A2885" s="67">
        <f t="shared" si="45"/>
        <v>2883</v>
      </c>
      <c r="B2885" s="164">
        <v>2883</v>
      </c>
      <c r="C2885" s="193" t="s">
        <v>4178</v>
      </c>
      <c r="D2885" s="195" t="s">
        <v>7446</v>
      </c>
      <c r="E2885" s="193" t="s">
        <v>9714</v>
      </c>
      <c r="F2885" s="193" t="s">
        <v>114</v>
      </c>
      <c r="G2885" s="195" t="s">
        <v>11806</v>
      </c>
      <c r="H2885" s="166" t="s">
        <v>13436</v>
      </c>
      <c r="I2885" s="193" t="s">
        <v>12835</v>
      </c>
      <c r="J2885" s="193" t="s">
        <v>146</v>
      </c>
      <c r="K2885" s="168"/>
      <c r="L2885" s="193" t="s">
        <v>146</v>
      </c>
    </row>
    <row r="2886" spans="1:12" ht="45">
      <c r="A2886" s="67">
        <f t="shared" si="45"/>
        <v>2884</v>
      </c>
      <c r="B2886" s="164">
        <v>2884</v>
      </c>
      <c r="C2886" s="193" t="s">
        <v>4179</v>
      </c>
      <c r="D2886" s="195" t="s">
        <v>7447</v>
      </c>
      <c r="E2886" s="193" t="s">
        <v>9715</v>
      </c>
      <c r="F2886" s="193" t="s">
        <v>114</v>
      </c>
      <c r="G2886" s="195" t="s">
        <v>11807</v>
      </c>
      <c r="H2886" s="166" t="s">
        <v>13436</v>
      </c>
      <c r="I2886" s="193" t="s">
        <v>12835</v>
      </c>
      <c r="J2886" s="193" t="s">
        <v>12758</v>
      </c>
      <c r="K2886" s="168"/>
      <c r="L2886" s="193" t="s">
        <v>146</v>
      </c>
    </row>
    <row r="2887" spans="1:12" ht="30">
      <c r="A2887" s="67">
        <f t="shared" si="45"/>
        <v>2885</v>
      </c>
      <c r="B2887" s="164">
        <v>2885</v>
      </c>
      <c r="C2887" s="193" t="s">
        <v>4180</v>
      </c>
      <c r="D2887" s="195" t="s">
        <v>7448</v>
      </c>
      <c r="E2887" s="193" t="s">
        <v>9716</v>
      </c>
      <c r="F2887" s="193" t="s">
        <v>114</v>
      </c>
      <c r="G2887" s="195" t="s">
        <v>10977</v>
      </c>
      <c r="H2887" s="166" t="s">
        <v>13436</v>
      </c>
      <c r="I2887" s="193" t="s">
        <v>12835</v>
      </c>
      <c r="J2887" s="219" t="s">
        <v>148</v>
      </c>
      <c r="K2887" s="168"/>
      <c r="L2887" s="193" t="s">
        <v>13411</v>
      </c>
    </row>
    <row r="2888" spans="1:12" ht="15">
      <c r="A2888" s="67">
        <f t="shared" si="45"/>
        <v>2886</v>
      </c>
      <c r="B2888" s="164">
        <v>2886</v>
      </c>
      <c r="C2888" s="193" t="s">
        <v>4181</v>
      </c>
      <c r="D2888" s="195" t="s">
        <v>7449</v>
      </c>
      <c r="E2888" s="193" t="s">
        <v>9717</v>
      </c>
      <c r="F2888" s="193" t="s">
        <v>114</v>
      </c>
      <c r="G2888" s="195" t="s">
        <v>11075</v>
      </c>
      <c r="H2888" s="166" t="s">
        <v>13436</v>
      </c>
      <c r="I2888" s="193" t="s">
        <v>12835</v>
      </c>
      <c r="J2888" s="193" t="s">
        <v>146</v>
      </c>
      <c r="K2888" s="168"/>
      <c r="L2888" s="193" t="s">
        <v>146</v>
      </c>
    </row>
    <row r="2889" spans="1:12" ht="15">
      <c r="A2889" s="67">
        <f t="shared" si="45"/>
        <v>2887</v>
      </c>
      <c r="B2889" s="164">
        <v>2887</v>
      </c>
      <c r="C2889" s="193" t="s">
        <v>4182</v>
      </c>
      <c r="D2889" s="195" t="s">
        <v>7450</v>
      </c>
      <c r="E2889" s="193" t="s">
        <v>8259</v>
      </c>
      <c r="F2889" s="193" t="s">
        <v>114</v>
      </c>
      <c r="G2889" s="195" t="s">
        <v>753</v>
      </c>
      <c r="H2889" s="166" t="s">
        <v>13436</v>
      </c>
      <c r="I2889" s="193" t="s">
        <v>12835</v>
      </c>
      <c r="J2889" s="193" t="s">
        <v>146</v>
      </c>
      <c r="K2889" s="168"/>
      <c r="L2889" s="193" t="s">
        <v>146</v>
      </c>
    </row>
    <row r="2890" spans="1:12" ht="45">
      <c r="A2890" s="67">
        <f t="shared" si="45"/>
        <v>2888</v>
      </c>
      <c r="B2890" s="164">
        <v>2888</v>
      </c>
      <c r="C2890" s="193" t="s">
        <v>4183</v>
      </c>
      <c r="D2890" s="206" t="s">
        <v>7451</v>
      </c>
      <c r="E2890" s="193" t="s">
        <v>9718</v>
      </c>
      <c r="F2890" s="193" t="s">
        <v>114</v>
      </c>
      <c r="G2890" s="195" t="s">
        <v>1186</v>
      </c>
      <c r="H2890" s="166" t="s">
        <v>13436</v>
      </c>
      <c r="I2890" s="193" t="s">
        <v>12814</v>
      </c>
      <c r="J2890" s="193" t="s">
        <v>146</v>
      </c>
      <c r="K2890" s="168"/>
      <c r="L2890" s="193" t="s">
        <v>13412</v>
      </c>
    </row>
    <row r="2891" spans="1:12" ht="15">
      <c r="A2891" s="67">
        <f t="shared" si="45"/>
        <v>2889</v>
      </c>
      <c r="B2891" s="164">
        <v>2889</v>
      </c>
      <c r="C2891" s="193" t="s">
        <v>4184</v>
      </c>
      <c r="D2891" s="206" t="s">
        <v>7452</v>
      </c>
      <c r="E2891" s="193" t="s">
        <v>9719</v>
      </c>
      <c r="F2891" s="193" t="s">
        <v>114</v>
      </c>
      <c r="G2891" s="195" t="s">
        <v>11254</v>
      </c>
      <c r="H2891" s="166" t="s">
        <v>13436</v>
      </c>
      <c r="I2891" s="193" t="s">
        <v>12814</v>
      </c>
      <c r="J2891" s="219" t="s">
        <v>146</v>
      </c>
      <c r="K2891" s="168"/>
      <c r="L2891" s="193" t="s">
        <v>146</v>
      </c>
    </row>
    <row r="2892" spans="1:12" ht="75">
      <c r="A2892" s="67">
        <f t="shared" si="45"/>
        <v>2890</v>
      </c>
      <c r="B2892" s="164">
        <v>2890</v>
      </c>
      <c r="C2892" s="193" t="s">
        <v>4185</v>
      </c>
      <c r="D2892" s="195" t="s">
        <v>7453</v>
      </c>
      <c r="E2892" s="193" t="s">
        <v>9720</v>
      </c>
      <c r="F2892" s="193" t="s">
        <v>114</v>
      </c>
      <c r="G2892" s="195" t="s">
        <v>10872</v>
      </c>
      <c r="H2892" s="166" t="s">
        <v>13436</v>
      </c>
      <c r="I2892" s="193" t="s">
        <v>12814</v>
      </c>
      <c r="J2892" s="193" t="s">
        <v>146</v>
      </c>
      <c r="K2892" s="168"/>
      <c r="L2892" s="193" t="s">
        <v>13413</v>
      </c>
    </row>
    <row r="2893" spans="1:12" ht="30">
      <c r="A2893" s="67">
        <f t="shared" si="45"/>
        <v>2891</v>
      </c>
      <c r="B2893" s="164">
        <v>2891</v>
      </c>
      <c r="C2893" s="193" t="s">
        <v>4186</v>
      </c>
      <c r="D2893" s="195" t="s">
        <v>7454</v>
      </c>
      <c r="E2893" s="193" t="s">
        <v>391</v>
      </c>
      <c r="F2893" s="193" t="s">
        <v>114</v>
      </c>
      <c r="G2893" s="195" t="s">
        <v>824</v>
      </c>
      <c r="H2893" s="166" t="s">
        <v>13436</v>
      </c>
      <c r="I2893" s="193" t="s">
        <v>12814</v>
      </c>
      <c r="J2893" s="193" t="s">
        <v>146</v>
      </c>
      <c r="K2893" s="168"/>
      <c r="L2893" s="193" t="s">
        <v>13414</v>
      </c>
    </row>
    <row r="2894" spans="1:12" ht="30">
      <c r="A2894" s="67">
        <f t="shared" si="45"/>
        <v>2892</v>
      </c>
      <c r="B2894" s="164">
        <v>2892</v>
      </c>
      <c r="C2894" s="193" t="s">
        <v>4187</v>
      </c>
      <c r="D2894" s="195" t="s">
        <v>7455</v>
      </c>
      <c r="E2894" s="193" t="s">
        <v>9721</v>
      </c>
      <c r="F2894" s="193" t="s">
        <v>114</v>
      </c>
      <c r="G2894" s="195" t="s">
        <v>11808</v>
      </c>
      <c r="H2894" s="166" t="s">
        <v>13436</v>
      </c>
      <c r="I2894" s="193" t="s">
        <v>12814</v>
      </c>
      <c r="J2894" s="193" t="s">
        <v>12759</v>
      </c>
      <c r="K2894" s="168"/>
      <c r="L2894" s="193" t="s">
        <v>146</v>
      </c>
    </row>
    <row r="2895" spans="1:12" ht="15">
      <c r="A2895" s="67">
        <f t="shared" si="45"/>
        <v>2893</v>
      </c>
      <c r="B2895" s="164">
        <v>2893</v>
      </c>
      <c r="C2895" s="193" t="s">
        <v>4188</v>
      </c>
      <c r="D2895" s="195" t="s">
        <v>7456</v>
      </c>
      <c r="E2895" s="193" t="s">
        <v>9722</v>
      </c>
      <c r="F2895" s="193" t="s">
        <v>114</v>
      </c>
      <c r="G2895" s="195" t="s">
        <v>11809</v>
      </c>
      <c r="H2895" s="166" t="s">
        <v>13436</v>
      </c>
      <c r="I2895" s="193" t="s">
        <v>12814</v>
      </c>
      <c r="J2895" s="193" t="s">
        <v>147</v>
      </c>
      <c r="K2895" s="168"/>
      <c r="L2895" s="193" t="s">
        <v>146</v>
      </c>
    </row>
    <row r="2896" spans="1:12" ht="30">
      <c r="A2896" s="67">
        <f t="shared" si="45"/>
        <v>2894</v>
      </c>
      <c r="B2896" s="164">
        <v>2894</v>
      </c>
      <c r="C2896" s="193" t="s">
        <v>4189</v>
      </c>
      <c r="D2896" s="195" t="s">
        <v>7457</v>
      </c>
      <c r="E2896" s="193" t="s">
        <v>510</v>
      </c>
      <c r="F2896" s="193" t="s">
        <v>114</v>
      </c>
      <c r="G2896" s="195" t="s">
        <v>10761</v>
      </c>
      <c r="H2896" s="166" t="s">
        <v>13436</v>
      </c>
      <c r="I2896" s="193" t="s">
        <v>12814</v>
      </c>
      <c r="J2896" s="193" t="s">
        <v>146</v>
      </c>
      <c r="K2896" s="168"/>
      <c r="L2896" s="193" t="s">
        <v>13415</v>
      </c>
    </row>
    <row r="2897" spans="1:12" ht="15">
      <c r="A2897" s="67">
        <f t="shared" si="45"/>
        <v>2895</v>
      </c>
      <c r="B2897" s="164">
        <v>2895</v>
      </c>
      <c r="C2897" s="193" t="s">
        <v>4190</v>
      </c>
      <c r="D2897" s="195" t="s">
        <v>7458</v>
      </c>
      <c r="E2897" s="193" t="s">
        <v>9723</v>
      </c>
      <c r="F2897" s="193" t="s">
        <v>114</v>
      </c>
      <c r="G2897" s="195" t="s">
        <v>11361</v>
      </c>
      <c r="H2897" s="166" t="s">
        <v>13436</v>
      </c>
      <c r="I2897" s="193" t="s">
        <v>12814</v>
      </c>
      <c r="J2897" s="193" t="s">
        <v>147</v>
      </c>
      <c r="K2897" s="168"/>
      <c r="L2897" s="193" t="s">
        <v>146</v>
      </c>
    </row>
    <row r="2898" spans="1:12" ht="30">
      <c r="A2898" s="67">
        <f t="shared" si="45"/>
        <v>2896</v>
      </c>
      <c r="B2898" s="164">
        <v>2896</v>
      </c>
      <c r="C2898" s="193" t="s">
        <v>4191</v>
      </c>
      <c r="D2898" s="195" t="s">
        <v>7459</v>
      </c>
      <c r="E2898" s="193" t="s">
        <v>9724</v>
      </c>
      <c r="F2898" s="193" t="s">
        <v>114</v>
      </c>
      <c r="G2898" s="195" t="s">
        <v>740</v>
      </c>
      <c r="H2898" s="166" t="s">
        <v>13436</v>
      </c>
      <c r="I2898" s="193" t="s">
        <v>12814</v>
      </c>
      <c r="J2898" s="193" t="s">
        <v>12760</v>
      </c>
      <c r="K2898" s="168"/>
      <c r="L2898" s="193" t="s">
        <v>13416</v>
      </c>
    </row>
    <row r="2899" spans="1:12" ht="15">
      <c r="A2899" s="67">
        <f t="shared" si="45"/>
        <v>2897</v>
      </c>
      <c r="B2899" s="164">
        <v>2897</v>
      </c>
      <c r="C2899" s="193" t="s">
        <v>4192</v>
      </c>
      <c r="D2899" s="195" t="s">
        <v>7460</v>
      </c>
      <c r="E2899" s="193" t="s">
        <v>9725</v>
      </c>
      <c r="F2899" s="193" t="s">
        <v>114</v>
      </c>
      <c r="G2899" s="195" t="s">
        <v>10828</v>
      </c>
      <c r="H2899" s="166" t="s">
        <v>13436</v>
      </c>
      <c r="I2899" s="193" t="s">
        <v>12814</v>
      </c>
      <c r="J2899" s="193" t="s">
        <v>146</v>
      </c>
      <c r="K2899" s="168"/>
      <c r="L2899" s="193" t="s">
        <v>146</v>
      </c>
    </row>
    <row r="2900" spans="1:12" ht="30">
      <c r="A2900" s="67">
        <f t="shared" si="45"/>
        <v>2898</v>
      </c>
      <c r="B2900" s="164">
        <v>2898</v>
      </c>
      <c r="C2900" s="193" t="s">
        <v>4193</v>
      </c>
      <c r="D2900" s="195" t="s">
        <v>7461</v>
      </c>
      <c r="E2900" s="193" t="s">
        <v>520</v>
      </c>
      <c r="F2900" s="193" t="s">
        <v>114</v>
      </c>
      <c r="G2900" s="195" t="s">
        <v>11810</v>
      </c>
      <c r="H2900" s="166" t="s">
        <v>13436</v>
      </c>
      <c r="I2900" s="193" t="s">
        <v>12814</v>
      </c>
      <c r="J2900" s="193" t="s">
        <v>146</v>
      </c>
      <c r="K2900" s="168"/>
      <c r="L2900" s="193" t="s">
        <v>13417</v>
      </c>
    </row>
    <row r="2901" spans="1:12" ht="15">
      <c r="A2901" s="67">
        <f t="shared" si="45"/>
        <v>2899</v>
      </c>
      <c r="B2901" s="164">
        <v>2899</v>
      </c>
      <c r="C2901" s="193" t="s">
        <v>4194</v>
      </c>
      <c r="D2901" s="195" t="s">
        <v>7462</v>
      </c>
      <c r="E2901" s="193" t="s">
        <v>9726</v>
      </c>
      <c r="F2901" s="193" t="s">
        <v>59</v>
      </c>
      <c r="G2901" s="195" t="s">
        <v>10875</v>
      </c>
      <c r="H2901" s="166" t="s">
        <v>13436</v>
      </c>
      <c r="I2901" s="193" t="s">
        <v>12818</v>
      </c>
      <c r="J2901" s="193" t="s">
        <v>146</v>
      </c>
      <c r="K2901" s="168"/>
      <c r="L2901" s="193"/>
    </row>
    <row r="2902" spans="1:12" ht="105">
      <c r="A2902" s="67">
        <f t="shared" si="45"/>
        <v>2900</v>
      </c>
      <c r="B2902" s="164">
        <v>2900</v>
      </c>
      <c r="C2902" s="193" t="s">
        <v>4195</v>
      </c>
      <c r="D2902" s="195" t="s">
        <v>7463</v>
      </c>
      <c r="E2902" s="193" t="s">
        <v>9727</v>
      </c>
      <c r="F2902" s="193" t="s">
        <v>114</v>
      </c>
      <c r="G2902" s="195" t="s">
        <v>11811</v>
      </c>
      <c r="H2902" s="166" t="s">
        <v>13436</v>
      </c>
      <c r="I2902" s="193" t="s">
        <v>12814</v>
      </c>
      <c r="J2902" s="193" t="s">
        <v>146</v>
      </c>
      <c r="K2902" s="168"/>
      <c r="L2902" s="193" t="s">
        <v>13418</v>
      </c>
    </row>
    <row r="2903" spans="1:12" ht="15">
      <c r="A2903" s="67">
        <f t="shared" si="45"/>
        <v>2901</v>
      </c>
      <c r="B2903" s="164">
        <v>2901</v>
      </c>
      <c r="C2903" s="193" t="s">
        <v>4196</v>
      </c>
      <c r="D2903" s="195" t="s">
        <v>7464</v>
      </c>
      <c r="E2903" s="193" t="s">
        <v>182</v>
      </c>
      <c r="F2903" s="193" t="s">
        <v>114</v>
      </c>
      <c r="G2903" s="195" t="s">
        <v>11812</v>
      </c>
      <c r="H2903" s="166" t="s">
        <v>13436</v>
      </c>
      <c r="I2903" s="193" t="s">
        <v>12814</v>
      </c>
      <c r="J2903" s="193" t="s">
        <v>146</v>
      </c>
      <c r="K2903" s="168"/>
      <c r="L2903" s="193" t="s">
        <v>146</v>
      </c>
    </row>
    <row r="2904" spans="1:12" ht="15">
      <c r="A2904" s="67">
        <f t="shared" si="45"/>
        <v>2902</v>
      </c>
      <c r="B2904" s="164">
        <v>2902</v>
      </c>
      <c r="C2904" s="193" t="s">
        <v>4197</v>
      </c>
      <c r="D2904" s="195" t="s">
        <v>7465</v>
      </c>
      <c r="E2904" s="193" t="s">
        <v>9728</v>
      </c>
      <c r="F2904" s="193" t="s">
        <v>59</v>
      </c>
      <c r="G2904" s="195" t="s">
        <v>11209</v>
      </c>
      <c r="H2904" s="166" t="s">
        <v>13436</v>
      </c>
      <c r="I2904" s="193" t="s">
        <v>12817</v>
      </c>
      <c r="J2904" s="193" t="s">
        <v>146</v>
      </c>
      <c r="K2904" s="168"/>
      <c r="L2904" s="193"/>
    </row>
    <row r="2905" spans="1:12" ht="15">
      <c r="A2905" s="67">
        <f t="shared" si="45"/>
        <v>2903</v>
      </c>
      <c r="B2905" s="164">
        <v>2903</v>
      </c>
      <c r="C2905" s="193" t="s">
        <v>4198</v>
      </c>
      <c r="D2905" s="195" t="s">
        <v>7466</v>
      </c>
      <c r="E2905" s="193" t="s">
        <v>451</v>
      </c>
      <c r="F2905" s="193" t="s">
        <v>114</v>
      </c>
      <c r="G2905" s="195" t="s">
        <v>933</v>
      </c>
      <c r="H2905" s="166" t="s">
        <v>13436</v>
      </c>
      <c r="I2905" s="193" t="s">
        <v>12838</v>
      </c>
      <c r="J2905" s="193" t="s">
        <v>146</v>
      </c>
      <c r="K2905" s="168"/>
      <c r="L2905" s="193" t="s">
        <v>146</v>
      </c>
    </row>
    <row r="2906" spans="1:12" ht="30">
      <c r="A2906" s="67">
        <f t="shared" si="45"/>
        <v>2904</v>
      </c>
      <c r="B2906" s="164">
        <v>2904</v>
      </c>
      <c r="C2906" s="193" t="s">
        <v>4199</v>
      </c>
      <c r="D2906" s="195" t="s">
        <v>7467</v>
      </c>
      <c r="E2906" s="193" t="s">
        <v>9729</v>
      </c>
      <c r="F2906" s="193" t="s">
        <v>114</v>
      </c>
      <c r="G2906" s="195" t="s">
        <v>11037</v>
      </c>
      <c r="H2906" s="166" t="s">
        <v>13436</v>
      </c>
      <c r="I2906" s="193" t="s">
        <v>12838</v>
      </c>
      <c r="J2906" s="193" t="s">
        <v>12761</v>
      </c>
      <c r="K2906" s="168"/>
      <c r="L2906" s="193" t="s">
        <v>146</v>
      </c>
    </row>
    <row r="2907" spans="1:12" ht="30">
      <c r="A2907" s="67">
        <f t="shared" si="45"/>
        <v>2905</v>
      </c>
      <c r="B2907" s="164">
        <v>2905</v>
      </c>
      <c r="C2907" s="193" t="s">
        <v>4200</v>
      </c>
      <c r="D2907" s="195" t="s">
        <v>7468</v>
      </c>
      <c r="E2907" s="193" t="s">
        <v>166</v>
      </c>
      <c r="F2907" s="193" t="s">
        <v>114</v>
      </c>
      <c r="G2907" s="195" t="s">
        <v>11813</v>
      </c>
      <c r="H2907" s="166" t="s">
        <v>13436</v>
      </c>
      <c r="I2907" s="193" t="s">
        <v>12838</v>
      </c>
      <c r="J2907" s="193" t="s">
        <v>12762</v>
      </c>
      <c r="K2907" s="168"/>
      <c r="L2907" s="193" t="s">
        <v>146</v>
      </c>
    </row>
    <row r="2908" spans="1:12" ht="60">
      <c r="A2908" s="67">
        <f t="shared" si="45"/>
        <v>2906</v>
      </c>
      <c r="B2908" s="164">
        <v>2906</v>
      </c>
      <c r="C2908" s="193" t="s">
        <v>4201</v>
      </c>
      <c r="D2908" s="195" t="s">
        <v>7469</v>
      </c>
      <c r="E2908" s="193" t="s">
        <v>9730</v>
      </c>
      <c r="F2908" s="193" t="s">
        <v>59</v>
      </c>
      <c r="G2908" s="195" t="s">
        <v>11814</v>
      </c>
      <c r="H2908" s="166" t="s">
        <v>13436</v>
      </c>
      <c r="I2908" s="193" t="s">
        <v>12821</v>
      </c>
      <c r="J2908" s="193" t="s">
        <v>12763</v>
      </c>
      <c r="K2908" s="168"/>
      <c r="L2908" s="193"/>
    </row>
    <row r="2909" spans="1:12" ht="15">
      <c r="A2909" s="67">
        <f t="shared" si="45"/>
        <v>2907</v>
      </c>
      <c r="B2909" s="164">
        <v>2907</v>
      </c>
      <c r="C2909" s="193" t="s">
        <v>4202</v>
      </c>
      <c r="D2909" s="195" t="s">
        <v>7470</v>
      </c>
      <c r="E2909" s="193" t="s">
        <v>350</v>
      </c>
      <c r="F2909" s="193" t="s">
        <v>114</v>
      </c>
      <c r="G2909" s="195" t="s">
        <v>976</v>
      </c>
      <c r="H2909" s="166" t="s">
        <v>13436</v>
      </c>
      <c r="I2909" s="193" t="s">
        <v>1250</v>
      </c>
      <c r="J2909" s="193" t="s">
        <v>146</v>
      </c>
      <c r="K2909" s="168"/>
      <c r="L2909" s="193" t="s">
        <v>146</v>
      </c>
    </row>
    <row r="2910" spans="1:12" ht="15">
      <c r="A2910" s="67">
        <f t="shared" si="45"/>
        <v>2908</v>
      </c>
      <c r="B2910" s="164">
        <v>2908</v>
      </c>
      <c r="C2910" s="193" t="s">
        <v>4203</v>
      </c>
      <c r="D2910" s="195" t="s">
        <v>7471</v>
      </c>
      <c r="E2910" s="193" t="s">
        <v>9731</v>
      </c>
      <c r="F2910" s="193" t="s">
        <v>114</v>
      </c>
      <c r="G2910" s="195" t="s">
        <v>9972</v>
      </c>
      <c r="H2910" s="166" t="s">
        <v>13436</v>
      </c>
      <c r="I2910" s="193" t="s">
        <v>12812</v>
      </c>
      <c r="J2910" s="193" t="s">
        <v>12764</v>
      </c>
      <c r="K2910" s="168"/>
      <c r="L2910" s="193" t="s">
        <v>146</v>
      </c>
    </row>
    <row r="2911" spans="1:12" ht="15">
      <c r="A2911" s="67">
        <f t="shared" si="45"/>
        <v>2909</v>
      </c>
      <c r="B2911" s="164">
        <v>2909</v>
      </c>
      <c r="C2911" s="193" t="s">
        <v>4204</v>
      </c>
      <c r="D2911" s="195" t="s">
        <v>7472</v>
      </c>
      <c r="E2911" s="193" t="s">
        <v>376</v>
      </c>
      <c r="F2911" s="193" t="s">
        <v>114</v>
      </c>
      <c r="G2911" s="195" t="s">
        <v>10568</v>
      </c>
      <c r="H2911" s="166" t="s">
        <v>13436</v>
      </c>
      <c r="I2911" s="193" t="s">
        <v>12814</v>
      </c>
      <c r="J2911" s="219" t="s">
        <v>146</v>
      </c>
      <c r="K2911" s="168"/>
      <c r="L2911" s="193" t="s">
        <v>146</v>
      </c>
    </row>
    <row r="2912" spans="1:12" ht="30">
      <c r="A2912" s="67">
        <f t="shared" si="45"/>
        <v>2910</v>
      </c>
      <c r="B2912" s="164">
        <v>2910</v>
      </c>
      <c r="C2912" s="193" t="s">
        <v>4205</v>
      </c>
      <c r="D2912" s="195" t="s">
        <v>7473</v>
      </c>
      <c r="E2912" s="193" t="s">
        <v>9732</v>
      </c>
      <c r="F2912" s="193" t="s">
        <v>59</v>
      </c>
      <c r="G2912" s="195" t="s">
        <v>11815</v>
      </c>
      <c r="H2912" s="166" t="s">
        <v>13436</v>
      </c>
      <c r="I2912" s="193" t="s">
        <v>12821</v>
      </c>
      <c r="J2912" s="219" t="s">
        <v>12646</v>
      </c>
      <c r="K2912" s="168"/>
      <c r="L2912" s="193"/>
    </row>
    <row r="2913" spans="1:12" ht="30">
      <c r="A2913" s="67">
        <f t="shared" si="45"/>
        <v>2911</v>
      </c>
      <c r="B2913" s="164">
        <v>2911</v>
      </c>
      <c r="C2913" s="193" t="s">
        <v>4206</v>
      </c>
      <c r="D2913" s="195" t="s">
        <v>7474</v>
      </c>
      <c r="E2913" s="193" t="s">
        <v>9733</v>
      </c>
      <c r="F2913" s="193" t="s">
        <v>114</v>
      </c>
      <c r="G2913" s="195" t="s">
        <v>11816</v>
      </c>
      <c r="H2913" s="166" t="s">
        <v>13436</v>
      </c>
      <c r="I2913" s="193" t="s">
        <v>12821</v>
      </c>
      <c r="J2913" s="193" t="s">
        <v>12765</v>
      </c>
      <c r="K2913" s="168"/>
      <c r="L2913" s="193" t="s">
        <v>146</v>
      </c>
    </row>
    <row r="2914" spans="1:12" ht="15">
      <c r="A2914" s="67">
        <f t="shared" si="45"/>
        <v>2912</v>
      </c>
      <c r="B2914" s="164">
        <v>2912</v>
      </c>
      <c r="C2914" s="193" t="s">
        <v>4207</v>
      </c>
      <c r="D2914" s="195" t="s">
        <v>7475</v>
      </c>
      <c r="E2914" s="193" t="s">
        <v>9734</v>
      </c>
      <c r="F2914" s="193" t="s">
        <v>114</v>
      </c>
      <c r="G2914" s="195" t="s">
        <v>11817</v>
      </c>
      <c r="H2914" s="166" t="s">
        <v>13436</v>
      </c>
      <c r="I2914" s="193" t="s">
        <v>12821</v>
      </c>
      <c r="J2914" s="193" t="s">
        <v>146</v>
      </c>
      <c r="K2914" s="168"/>
      <c r="L2914" s="193" t="s">
        <v>146</v>
      </c>
    </row>
    <row r="2915" spans="1:12" ht="15">
      <c r="A2915" s="67">
        <f t="shared" si="45"/>
        <v>2913</v>
      </c>
      <c r="B2915" s="164">
        <v>2913</v>
      </c>
      <c r="C2915" s="193" t="s">
        <v>4208</v>
      </c>
      <c r="D2915" s="195" t="s">
        <v>7476</v>
      </c>
      <c r="E2915" s="193" t="s">
        <v>9735</v>
      </c>
      <c r="F2915" s="193" t="s">
        <v>114</v>
      </c>
      <c r="G2915" s="195" t="s">
        <v>11818</v>
      </c>
      <c r="H2915" s="166" t="s">
        <v>13436</v>
      </c>
      <c r="I2915" s="193" t="s">
        <v>12821</v>
      </c>
      <c r="J2915" s="193" t="s">
        <v>146</v>
      </c>
      <c r="K2915" s="168"/>
      <c r="L2915" s="193" t="s">
        <v>146</v>
      </c>
    </row>
    <row r="2916" spans="1:12" ht="15">
      <c r="A2916" s="67">
        <f t="shared" si="45"/>
        <v>2914</v>
      </c>
      <c r="B2916" s="164">
        <v>2914</v>
      </c>
      <c r="C2916" s="193" t="s">
        <v>4209</v>
      </c>
      <c r="D2916" s="195" t="s">
        <v>7477</v>
      </c>
      <c r="E2916" s="193" t="s">
        <v>9736</v>
      </c>
      <c r="F2916" s="193" t="s">
        <v>114</v>
      </c>
      <c r="G2916" s="195" t="s">
        <v>11819</v>
      </c>
      <c r="H2916" s="166" t="s">
        <v>13436</v>
      </c>
      <c r="I2916" s="193" t="s">
        <v>12832</v>
      </c>
      <c r="J2916" s="193" t="s">
        <v>146</v>
      </c>
      <c r="K2916" s="168"/>
      <c r="L2916" s="193" t="s">
        <v>146</v>
      </c>
    </row>
    <row r="2917" spans="1:12" ht="15">
      <c r="A2917" s="67">
        <f t="shared" si="45"/>
        <v>2915</v>
      </c>
      <c r="B2917" s="164">
        <v>2915</v>
      </c>
      <c r="C2917" s="193" t="s">
        <v>4210</v>
      </c>
      <c r="D2917" s="195" t="s">
        <v>7478</v>
      </c>
      <c r="E2917" s="193" t="s">
        <v>9737</v>
      </c>
      <c r="F2917" s="193" t="s">
        <v>114</v>
      </c>
      <c r="G2917" s="195" t="s">
        <v>991</v>
      </c>
      <c r="H2917" s="166" t="s">
        <v>13436</v>
      </c>
      <c r="I2917" s="193" t="s">
        <v>12821</v>
      </c>
      <c r="J2917" s="193" t="s">
        <v>146</v>
      </c>
      <c r="K2917" s="168"/>
      <c r="L2917" s="193" t="s">
        <v>146</v>
      </c>
    </row>
    <row r="2918" spans="1:12" ht="15">
      <c r="A2918" s="67">
        <f t="shared" si="45"/>
        <v>2916</v>
      </c>
      <c r="B2918" s="164">
        <v>2916</v>
      </c>
      <c r="C2918" s="193" t="s">
        <v>4211</v>
      </c>
      <c r="D2918" s="195" t="s">
        <v>7479</v>
      </c>
      <c r="E2918" s="193" t="s">
        <v>9738</v>
      </c>
      <c r="F2918" s="193" t="s">
        <v>59</v>
      </c>
      <c r="G2918" s="195" t="s">
        <v>1072</v>
      </c>
      <c r="H2918" s="166" t="s">
        <v>13436</v>
      </c>
      <c r="I2918" s="193" t="s">
        <v>12821</v>
      </c>
      <c r="J2918" s="193" t="s">
        <v>146</v>
      </c>
      <c r="K2918" s="168"/>
      <c r="L2918" s="193"/>
    </row>
    <row r="2919" spans="1:12" ht="15">
      <c r="A2919" s="67">
        <f t="shared" si="45"/>
        <v>2917</v>
      </c>
      <c r="B2919" s="164">
        <v>2917</v>
      </c>
      <c r="C2919" s="193" t="s">
        <v>4212</v>
      </c>
      <c r="D2919" s="195" t="s">
        <v>7480</v>
      </c>
      <c r="E2919" s="193" t="s">
        <v>9739</v>
      </c>
      <c r="F2919" s="193" t="s">
        <v>114</v>
      </c>
      <c r="G2919" s="195" t="s">
        <v>1110</v>
      </c>
      <c r="H2919" s="166" t="s">
        <v>13436</v>
      </c>
      <c r="I2919" s="193" t="s">
        <v>12827</v>
      </c>
      <c r="J2919" s="193" t="s">
        <v>146</v>
      </c>
      <c r="K2919" s="168"/>
      <c r="L2919" s="193" t="s">
        <v>146</v>
      </c>
    </row>
    <row r="2920" spans="1:12" ht="15">
      <c r="A2920" s="67">
        <f t="shared" si="45"/>
        <v>2918</v>
      </c>
      <c r="B2920" s="164">
        <v>2918</v>
      </c>
      <c r="C2920" s="193" t="s">
        <v>4213</v>
      </c>
      <c r="D2920" s="195" t="s">
        <v>7481</v>
      </c>
      <c r="E2920" s="193" t="s">
        <v>9740</v>
      </c>
      <c r="F2920" s="193" t="s">
        <v>114</v>
      </c>
      <c r="G2920" s="195" t="s">
        <v>11820</v>
      </c>
      <c r="H2920" s="166" t="s">
        <v>13436</v>
      </c>
      <c r="I2920" s="193" t="s">
        <v>12827</v>
      </c>
      <c r="J2920" s="193" t="s">
        <v>146</v>
      </c>
      <c r="K2920" s="168"/>
      <c r="L2920" s="193" t="s">
        <v>146</v>
      </c>
    </row>
    <row r="2921" spans="1:12" ht="15">
      <c r="A2921" s="67">
        <f t="shared" si="45"/>
        <v>2919</v>
      </c>
      <c r="B2921" s="164">
        <v>2919</v>
      </c>
      <c r="C2921" s="193" t="s">
        <v>4214</v>
      </c>
      <c r="D2921" s="195" t="s">
        <v>7482</v>
      </c>
      <c r="E2921" s="193" t="s">
        <v>9741</v>
      </c>
      <c r="F2921" s="193" t="s">
        <v>114</v>
      </c>
      <c r="G2921" s="195" t="s">
        <v>11821</v>
      </c>
      <c r="H2921" s="166" t="s">
        <v>13436</v>
      </c>
      <c r="I2921" s="193" t="s">
        <v>12827</v>
      </c>
      <c r="J2921" s="193" t="s">
        <v>146</v>
      </c>
      <c r="K2921" s="168"/>
      <c r="L2921" s="193" t="s">
        <v>146</v>
      </c>
    </row>
    <row r="2922" spans="1:12" ht="15">
      <c r="A2922" s="67">
        <f t="shared" si="45"/>
        <v>2920</v>
      </c>
      <c r="B2922" s="164">
        <v>2920</v>
      </c>
      <c r="C2922" s="193" t="s">
        <v>4215</v>
      </c>
      <c r="D2922" s="195" t="s">
        <v>7483</v>
      </c>
      <c r="E2922" s="193" t="s">
        <v>9742</v>
      </c>
      <c r="F2922" s="193" t="s">
        <v>114</v>
      </c>
      <c r="G2922" s="195" t="s">
        <v>1225</v>
      </c>
      <c r="H2922" s="166" t="s">
        <v>13436</v>
      </c>
      <c r="I2922" s="193" t="s">
        <v>12827</v>
      </c>
      <c r="J2922" s="219" t="s">
        <v>146</v>
      </c>
      <c r="K2922" s="168"/>
      <c r="L2922" s="193" t="s">
        <v>146</v>
      </c>
    </row>
    <row r="2923" spans="1:12" ht="15">
      <c r="A2923" s="67">
        <f t="shared" si="45"/>
        <v>2921</v>
      </c>
      <c r="B2923" s="164">
        <v>2921</v>
      </c>
      <c r="C2923" s="193" t="s">
        <v>4216</v>
      </c>
      <c r="D2923" s="195" t="s">
        <v>7484</v>
      </c>
      <c r="E2923" s="193" t="s">
        <v>9743</v>
      </c>
      <c r="F2923" s="193" t="s">
        <v>114</v>
      </c>
      <c r="G2923" s="195" t="s">
        <v>11822</v>
      </c>
      <c r="H2923" s="166" t="s">
        <v>13436</v>
      </c>
      <c r="I2923" s="193" t="s">
        <v>12812</v>
      </c>
      <c r="J2923" s="193" t="s">
        <v>12766</v>
      </c>
      <c r="K2923" s="168"/>
      <c r="L2923" s="193" t="s">
        <v>146</v>
      </c>
    </row>
    <row r="2924" spans="1:12" ht="15">
      <c r="A2924" s="67">
        <f t="shared" si="45"/>
        <v>2922</v>
      </c>
      <c r="B2924" s="164">
        <v>2922</v>
      </c>
      <c r="C2924" s="193" t="s">
        <v>4217</v>
      </c>
      <c r="D2924" s="195" t="s">
        <v>7485</v>
      </c>
      <c r="E2924" s="193" t="s">
        <v>546</v>
      </c>
      <c r="F2924" s="193" t="s">
        <v>114</v>
      </c>
      <c r="G2924" s="195" t="s">
        <v>11823</v>
      </c>
      <c r="H2924" s="166" t="s">
        <v>13436</v>
      </c>
      <c r="I2924" s="193" t="s">
        <v>12817</v>
      </c>
      <c r="J2924" s="193" t="s">
        <v>146</v>
      </c>
      <c r="K2924" s="168"/>
      <c r="L2924" s="193" t="s">
        <v>146</v>
      </c>
    </row>
    <row r="2925" spans="1:12" ht="15">
      <c r="A2925" s="67">
        <f t="shared" si="45"/>
        <v>2923</v>
      </c>
      <c r="B2925" s="164">
        <v>2923</v>
      </c>
      <c r="C2925" s="193" t="s">
        <v>4218</v>
      </c>
      <c r="D2925" s="195" t="s">
        <v>7486</v>
      </c>
      <c r="E2925" s="193" t="s">
        <v>9744</v>
      </c>
      <c r="F2925" s="193" t="s">
        <v>59</v>
      </c>
      <c r="G2925" s="195" t="s">
        <v>913</v>
      </c>
      <c r="H2925" s="166" t="s">
        <v>13436</v>
      </c>
      <c r="I2925" s="193" t="s">
        <v>12821</v>
      </c>
      <c r="J2925" s="193" t="s">
        <v>147</v>
      </c>
      <c r="K2925" s="168"/>
      <c r="L2925" s="193"/>
    </row>
    <row r="2926" spans="1:12" ht="15">
      <c r="A2926" s="67">
        <f t="shared" si="45"/>
        <v>2924</v>
      </c>
      <c r="B2926" s="164">
        <v>2924</v>
      </c>
      <c r="C2926" s="193" t="s">
        <v>4219</v>
      </c>
      <c r="D2926" s="195" t="s">
        <v>7487</v>
      </c>
      <c r="E2926" s="193" t="s">
        <v>398</v>
      </c>
      <c r="F2926" s="193" t="s">
        <v>114</v>
      </c>
      <c r="G2926" s="195" t="s">
        <v>11824</v>
      </c>
      <c r="H2926" s="166" t="s">
        <v>13436</v>
      </c>
      <c r="I2926" s="193" t="s">
        <v>12812</v>
      </c>
      <c r="J2926" s="193" t="s">
        <v>146</v>
      </c>
      <c r="K2926" s="168"/>
      <c r="L2926" s="193" t="s">
        <v>146</v>
      </c>
    </row>
    <row r="2927" spans="1:12" ht="15">
      <c r="A2927" s="67">
        <f t="shared" si="45"/>
        <v>2925</v>
      </c>
      <c r="B2927" s="164">
        <v>2925</v>
      </c>
      <c r="C2927" s="193" t="s">
        <v>4220</v>
      </c>
      <c r="D2927" s="195" t="s">
        <v>7488</v>
      </c>
      <c r="E2927" s="193" t="s">
        <v>433</v>
      </c>
      <c r="F2927" s="193" t="s">
        <v>114</v>
      </c>
      <c r="G2927" s="195" t="s">
        <v>968</v>
      </c>
      <c r="H2927" s="166" t="s">
        <v>13436</v>
      </c>
      <c r="I2927" s="193" t="s">
        <v>12835</v>
      </c>
      <c r="J2927" s="193" t="s">
        <v>146</v>
      </c>
      <c r="K2927" s="168"/>
      <c r="L2927" s="193" t="s">
        <v>146</v>
      </c>
    </row>
    <row r="2928" spans="1:12" ht="15">
      <c r="A2928" s="67">
        <f t="shared" si="45"/>
        <v>2926</v>
      </c>
      <c r="B2928" s="164">
        <v>2926</v>
      </c>
      <c r="C2928" s="193" t="s">
        <v>4221</v>
      </c>
      <c r="D2928" s="195" t="s">
        <v>7489</v>
      </c>
      <c r="E2928" s="193" t="s">
        <v>7864</v>
      </c>
      <c r="F2928" s="193" t="s">
        <v>114</v>
      </c>
      <c r="G2928" s="195" t="s">
        <v>11825</v>
      </c>
      <c r="H2928" s="166" t="s">
        <v>13436</v>
      </c>
      <c r="I2928" s="193" t="s">
        <v>12817</v>
      </c>
      <c r="J2928" s="193" t="s">
        <v>146</v>
      </c>
      <c r="K2928" s="168"/>
      <c r="L2928" s="193" t="s">
        <v>146</v>
      </c>
    </row>
    <row r="2929" spans="1:12" ht="15">
      <c r="A2929" s="67">
        <f t="shared" si="45"/>
        <v>2927</v>
      </c>
      <c r="B2929" s="164">
        <v>2927</v>
      </c>
      <c r="C2929" s="193" t="s">
        <v>4222</v>
      </c>
      <c r="D2929" s="195" t="s">
        <v>7490</v>
      </c>
      <c r="E2929" s="193" t="s">
        <v>191</v>
      </c>
      <c r="F2929" s="193" t="s">
        <v>59</v>
      </c>
      <c r="G2929" s="195" t="s">
        <v>11826</v>
      </c>
      <c r="H2929" s="166" t="s">
        <v>13436</v>
      </c>
      <c r="I2929" s="193" t="s">
        <v>12817</v>
      </c>
      <c r="J2929" s="193" t="s">
        <v>146</v>
      </c>
      <c r="K2929" s="168"/>
      <c r="L2929" s="193"/>
    </row>
    <row r="2930" spans="1:12" ht="15">
      <c r="A2930" s="67">
        <f t="shared" si="45"/>
        <v>2928</v>
      </c>
      <c r="B2930" s="164">
        <v>2928</v>
      </c>
      <c r="C2930" s="193" t="s">
        <v>4223</v>
      </c>
      <c r="D2930" s="195" t="s">
        <v>7491</v>
      </c>
      <c r="E2930" s="193" t="s">
        <v>398</v>
      </c>
      <c r="F2930" s="193" t="s">
        <v>114</v>
      </c>
      <c r="G2930" s="195" t="s">
        <v>11827</v>
      </c>
      <c r="H2930" s="166" t="s">
        <v>13436</v>
      </c>
      <c r="I2930" s="193" t="s">
        <v>12835</v>
      </c>
      <c r="J2930" s="193" t="s">
        <v>146</v>
      </c>
      <c r="K2930" s="168"/>
      <c r="L2930" s="193" t="s">
        <v>146</v>
      </c>
    </row>
    <row r="2931" spans="1:12" ht="15">
      <c r="A2931" s="67">
        <f t="shared" si="45"/>
        <v>2929</v>
      </c>
      <c r="B2931" s="164">
        <v>2929</v>
      </c>
      <c r="C2931" s="193" t="s">
        <v>4224</v>
      </c>
      <c r="D2931" s="195" t="s">
        <v>7492</v>
      </c>
      <c r="E2931" s="193" t="s">
        <v>622</v>
      </c>
      <c r="F2931" s="193" t="s">
        <v>114</v>
      </c>
      <c r="G2931" s="195" t="s">
        <v>11828</v>
      </c>
      <c r="H2931" s="166" t="s">
        <v>13436</v>
      </c>
      <c r="I2931" s="193" t="s">
        <v>12835</v>
      </c>
      <c r="J2931" s="193" t="s">
        <v>146</v>
      </c>
      <c r="K2931" s="168"/>
      <c r="L2931" s="193" t="s">
        <v>146</v>
      </c>
    </row>
    <row r="2932" spans="1:12" ht="15">
      <c r="A2932" s="67">
        <f t="shared" si="45"/>
        <v>2930</v>
      </c>
      <c r="B2932" s="164">
        <v>2930</v>
      </c>
      <c r="C2932" s="193" t="s">
        <v>4225</v>
      </c>
      <c r="D2932" s="195" t="s">
        <v>7493</v>
      </c>
      <c r="E2932" s="193" t="s">
        <v>9745</v>
      </c>
      <c r="F2932" s="193" t="s">
        <v>114</v>
      </c>
      <c r="G2932" s="195" t="s">
        <v>11315</v>
      </c>
      <c r="H2932" s="166" t="s">
        <v>13436</v>
      </c>
      <c r="I2932" s="193" t="s">
        <v>12838</v>
      </c>
      <c r="J2932" s="219" t="s">
        <v>146</v>
      </c>
      <c r="K2932" s="168"/>
      <c r="L2932" s="219" t="s">
        <v>146</v>
      </c>
    </row>
    <row r="2933" spans="1:12" ht="15">
      <c r="A2933" s="67">
        <f t="shared" si="45"/>
        <v>2931</v>
      </c>
      <c r="B2933" s="164">
        <v>2931</v>
      </c>
      <c r="C2933" s="193" t="s">
        <v>4226</v>
      </c>
      <c r="D2933" s="195" t="s">
        <v>7494</v>
      </c>
      <c r="E2933" s="193" t="s">
        <v>9746</v>
      </c>
      <c r="F2933" s="193" t="s">
        <v>114</v>
      </c>
      <c r="G2933" s="195" t="s">
        <v>11829</v>
      </c>
      <c r="H2933" s="166" t="s">
        <v>13436</v>
      </c>
      <c r="I2933" s="193" t="s">
        <v>12838</v>
      </c>
      <c r="J2933" s="193" t="s">
        <v>1251</v>
      </c>
      <c r="K2933" s="168"/>
      <c r="L2933" s="193" t="s">
        <v>146</v>
      </c>
    </row>
    <row r="2934" spans="1:12" ht="15">
      <c r="A2934" s="67">
        <f t="shared" si="45"/>
        <v>2932</v>
      </c>
      <c r="B2934" s="164">
        <v>2932</v>
      </c>
      <c r="C2934" s="193" t="s">
        <v>4227</v>
      </c>
      <c r="D2934" s="195" t="s">
        <v>7495</v>
      </c>
      <c r="E2934" s="193" t="s">
        <v>8782</v>
      </c>
      <c r="F2934" s="193" t="s">
        <v>114</v>
      </c>
      <c r="G2934" s="195" t="s">
        <v>11830</v>
      </c>
      <c r="H2934" s="166" t="s">
        <v>13436</v>
      </c>
      <c r="I2934" s="193" t="s">
        <v>12838</v>
      </c>
      <c r="J2934" s="193" t="s">
        <v>146</v>
      </c>
      <c r="K2934" s="168"/>
      <c r="L2934" s="193" t="s">
        <v>146</v>
      </c>
    </row>
    <row r="2935" spans="1:12" ht="30">
      <c r="A2935" s="67">
        <f t="shared" si="45"/>
        <v>2933</v>
      </c>
      <c r="B2935" s="164">
        <v>2933</v>
      </c>
      <c r="C2935" s="193" t="s">
        <v>4228</v>
      </c>
      <c r="D2935" s="195" t="s">
        <v>7496</v>
      </c>
      <c r="E2935" s="193" t="s">
        <v>9747</v>
      </c>
      <c r="F2935" s="193" t="s">
        <v>59</v>
      </c>
      <c r="G2935" s="195" t="s">
        <v>11831</v>
      </c>
      <c r="H2935" s="166" t="s">
        <v>13436</v>
      </c>
      <c r="I2935" s="193" t="s">
        <v>12817</v>
      </c>
      <c r="J2935" s="193" t="s">
        <v>12767</v>
      </c>
      <c r="K2935" s="168"/>
      <c r="L2935" s="193"/>
    </row>
    <row r="2936" spans="1:12" ht="15">
      <c r="A2936" s="67">
        <f t="shared" si="45"/>
        <v>2934</v>
      </c>
      <c r="B2936" s="164">
        <v>2934</v>
      </c>
      <c r="C2936" s="193" t="s">
        <v>4229</v>
      </c>
      <c r="D2936" s="195" t="s">
        <v>7497</v>
      </c>
      <c r="E2936" s="193" t="s">
        <v>9748</v>
      </c>
      <c r="F2936" s="193" t="s">
        <v>59</v>
      </c>
      <c r="G2936" s="195" t="s">
        <v>1033</v>
      </c>
      <c r="H2936" s="166" t="s">
        <v>13436</v>
      </c>
      <c r="I2936" s="193" t="s">
        <v>12812</v>
      </c>
      <c r="J2936" s="193" t="s">
        <v>146</v>
      </c>
      <c r="K2936" s="168"/>
      <c r="L2936" s="193"/>
    </row>
    <row r="2937" spans="1:12" ht="15">
      <c r="A2937" s="67">
        <f t="shared" si="45"/>
        <v>2935</v>
      </c>
      <c r="B2937" s="164">
        <v>2935</v>
      </c>
      <c r="C2937" s="193" t="s">
        <v>4230</v>
      </c>
      <c r="D2937" s="195" t="s">
        <v>7498</v>
      </c>
      <c r="E2937" s="193" t="s">
        <v>9749</v>
      </c>
      <c r="F2937" s="193" t="s">
        <v>59</v>
      </c>
      <c r="G2937" s="195" t="s">
        <v>1118</v>
      </c>
      <c r="H2937" s="166" t="s">
        <v>13436</v>
      </c>
      <c r="I2937" s="193" t="s">
        <v>12812</v>
      </c>
      <c r="J2937" s="193" t="s">
        <v>147</v>
      </c>
      <c r="K2937" s="168"/>
      <c r="L2937" s="193"/>
    </row>
    <row r="2938" spans="1:12" ht="15">
      <c r="A2938" s="67">
        <f t="shared" si="45"/>
        <v>2936</v>
      </c>
      <c r="B2938" s="164">
        <v>2936</v>
      </c>
      <c r="C2938" s="193" t="s">
        <v>4231</v>
      </c>
      <c r="D2938" s="195" t="s">
        <v>7499</v>
      </c>
      <c r="E2938" s="193" t="s">
        <v>9750</v>
      </c>
      <c r="F2938" s="193" t="s">
        <v>114</v>
      </c>
      <c r="G2938" s="195" t="s">
        <v>1137</v>
      </c>
      <c r="H2938" s="166" t="s">
        <v>13436</v>
      </c>
      <c r="I2938" s="193" t="s">
        <v>12817</v>
      </c>
      <c r="J2938" s="219" t="s">
        <v>146</v>
      </c>
      <c r="K2938" s="168"/>
      <c r="L2938" s="193" t="s">
        <v>146</v>
      </c>
    </row>
    <row r="2939" spans="1:12" ht="15">
      <c r="A2939" s="67">
        <f t="shared" si="45"/>
        <v>2937</v>
      </c>
      <c r="B2939" s="164">
        <v>2937</v>
      </c>
      <c r="C2939" s="193" t="s">
        <v>4232</v>
      </c>
      <c r="D2939" s="195" t="s">
        <v>7500</v>
      </c>
      <c r="E2939" s="193" t="s">
        <v>9751</v>
      </c>
      <c r="F2939" s="193" t="s">
        <v>59</v>
      </c>
      <c r="G2939" s="195" t="s">
        <v>11832</v>
      </c>
      <c r="H2939" s="166" t="s">
        <v>13436</v>
      </c>
      <c r="I2939" s="193" t="s">
        <v>12825</v>
      </c>
      <c r="J2939" s="193" t="s">
        <v>146</v>
      </c>
      <c r="K2939" s="168"/>
      <c r="L2939" s="193"/>
    </row>
    <row r="2940" spans="1:12" ht="15">
      <c r="A2940" s="67">
        <f t="shared" si="45"/>
        <v>2938</v>
      </c>
      <c r="B2940" s="164">
        <v>2938</v>
      </c>
      <c r="C2940" s="193" t="s">
        <v>4233</v>
      </c>
      <c r="D2940" s="195" t="s">
        <v>7501</v>
      </c>
      <c r="E2940" s="193" t="s">
        <v>9752</v>
      </c>
      <c r="F2940" s="193" t="s">
        <v>59</v>
      </c>
      <c r="G2940" s="195" t="s">
        <v>271</v>
      </c>
      <c r="H2940" s="166" t="s">
        <v>13436</v>
      </c>
      <c r="I2940" s="193" t="s">
        <v>12825</v>
      </c>
      <c r="J2940" s="219" t="s">
        <v>146</v>
      </c>
      <c r="K2940" s="168"/>
      <c r="L2940" s="193"/>
    </row>
    <row r="2941" spans="1:12" ht="15">
      <c r="A2941" s="67">
        <f t="shared" si="45"/>
        <v>2939</v>
      </c>
      <c r="B2941" s="164">
        <v>2939</v>
      </c>
      <c r="C2941" s="193" t="s">
        <v>4234</v>
      </c>
      <c r="D2941" s="195" t="s">
        <v>7502</v>
      </c>
      <c r="E2941" s="193" t="s">
        <v>9753</v>
      </c>
      <c r="F2941" s="193" t="s">
        <v>114</v>
      </c>
      <c r="G2941" s="195" t="s">
        <v>11833</v>
      </c>
      <c r="H2941" s="166" t="s">
        <v>13436</v>
      </c>
      <c r="I2941" s="193" t="s">
        <v>12818</v>
      </c>
      <c r="J2941" s="193" t="s">
        <v>146</v>
      </c>
      <c r="K2941" s="168"/>
      <c r="L2941" s="193" t="s">
        <v>146</v>
      </c>
    </row>
    <row r="2942" spans="1:12" ht="15">
      <c r="A2942" s="67">
        <f t="shared" si="45"/>
        <v>2940</v>
      </c>
      <c r="B2942" s="164">
        <v>2940</v>
      </c>
      <c r="C2942" s="193" t="s">
        <v>4235</v>
      </c>
      <c r="D2942" s="195" t="s">
        <v>7503</v>
      </c>
      <c r="E2942" s="193" t="s">
        <v>9754</v>
      </c>
      <c r="F2942" s="193" t="s">
        <v>59</v>
      </c>
      <c r="G2942" s="195" t="s">
        <v>11834</v>
      </c>
      <c r="H2942" s="166" t="s">
        <v>13436</v>
      </c>
      <c r="I2942" s="193" t="s">
        <v>12838</v>
      </c>
      <c r="J2942" s="193" t="s">
        <v>147</v>
      </c>
      <c r="K2942" s="168"/>
      <c r="L2942" s="193"/>
    </row>
    <row r="2943" spans="1:12" ht="30">
      <c r="A2943" s="67">
        <f t="shared" si="45"/>
        <v>2941</v>
      </c>
      <c r="B2943" s="164">
        <v>2941</v>
      </c>
      <c r="C2943" s="193" t="s">
        <v>4236</v>
      </c>
      <c r="D2943" s="195" t="s">
        <v>7504</v>
      </c>
      <c r="E2943" s="193" t="s">
        <v>614</v>
      </c>
      <c r="F2943" s="193" t="s">
        <v>114</v>
      </c>
      <c r="G2943" s="195" t="s">
        <v>11835</v>
      </c>
      <c r="H2943" s="166" t="s">
        <v>13436</v>
      </c>
      <c r="I2943" s="193" t="s">
        <v>12825</v>
      </c>
      <c r="J2943" s="193" t="s">
        <v>12476</v>
      </c>
      <c r="K2943" s="168"/>
      <c r="L2943" s="193" t="s">
        <v>146</v>
      </c>
    </row>
    <row r="2944" spans="1:12" ht="15">
      <c r="A2944" s="67">
        <f t="shared" si="45"/>
        <v>2942</v>
      </c>
      <c r="B2944" s="164">
        <v>2942</v>
      </c>
      <c r="C2944" s="193" t="s">
        <v>4237</v>
      </c>
      <c r="D2944" s="195" t="s">
        <v>7505</v>
      </c>
      <c r="E2944" s="193" t="s">
        <v>9755</v>
      </c>
      <c r="F2944" s="193" t="s">
        <v>114</v>
      </c>
      <c r="G2944" s="195" t="s">
        <v>11836</v>
      </c>
      <c r="H2944" s="166" t="s">
        <v>13436</v>
      </c>
      <c r="I2944" s="193" t="s">
        <v>12819</v>
      </c>
      <c r="J2944" s="193" t="s">
        <v>146</v>
      </c>
      <c r="K2944" s="168"/>
      <c r="L2944" s="193" t="s">
        <v>146</v>
      </c>
    </row>
    <row r="2945" spans="1:12" ht="15">
      <c r="A2945" s="67">
        <f t="shared" si="45"/>
        <v>2943</v>
      </c>
      <c r="B2945" s="164">
        <v>2943</v>
      </c>
      <c r="C2945" s="193" t="s">
        <v>4238</v>
      </c>
      <c r="D2945" s="195" t="s">
        <v>7506</v>
      </c>
      <c r="E2945" s="193" t="s">
        <v>9756</v>
      </c>
      <c r="F2945" s="193" t="s">
        <v>59</v>
      </c>
      <c r="G2945" s="195" t="s">
        <v>11837</v>
      </c>
      <c r="H2945" s="166" t="s">
        <v>13436</v>
      </c>
      <c r="I2945" s="193" t="s">
        <v>12819</v>
      </c>
      <c r="J2945" s="193" t="s">
        <v>146</v>
      </c>
      <c r="K2945" s="168"/>
      <c r="L2945" s="193"/>
    </row>
    <row r="2946" spans="1:12" ht="15">
      <c r="A2946" s="67">
        <f t="shared" si="45"/>
        <v>2944</v>
      </c>
      <c r="B2946" s="164">
        <v>2944</v>
      </c>
      <c r="C2946" s="193" t="s">
        <v>4239</v>
      </c>
      <c r="D2946" s="195" t="s">
        <v>7507</v>
      </c>
      <c r="E2946" s="193" t="s">
        <v>9757</v>
      </c>
      <c r="F2946" s="193" t="s">
        <v>114</v>
      </c>
      <c r="G2946" s="195" t="s">
        <v>11838</v>
      </c>
      <c r="H2946" s="166" t="s">
        <v>13436</v>
      </c>
      <c r="I2946" s="193" t="s">
        <v>12819</v>
      </c>
      <c r="J2946" s="193" t="s">
        <v>146</v>
      </c>
      <c r="K2946" s="168"/>
      <c r="L2946" s="193" t="s">
        <v>146</v>
      </c>
    </row>
    <row r="2947" spans="1:12" ht="30">
      <c r="A2947" s="67">
        <f t="shared" ref="A2947:A3010" si="46">IFERROR(VALUE(RIGHT(C2947,4)),"")</f>
        <v>2945</v>
      </c>
      <c r="B2947" s="164">
        <v>2945</v>
      </c>
      <c r="C2947" s="193" t="s">
        <v>4240</v>
      </c>
      <c r="D2947" s="208" t="s">
        <v>7508</v>
      </c>
      <c r="E2947" s="193" t="s">
        <v>9758</v>
      </c>
      <c r="F2947" s="193" t="s">
        <v>114</v>
      </c>
      <c r="G2947" s="195" t="s">
        <v>1020</v>
      </c>
      <c r="H2947" s="166" t="s">
        <v>13436</v>
      </c>
      <c r="I2947" s="193" t="s">
        <v>12816</v>
      </c>
      <c r="J2947" s="193" t="s">
        <v>1288</v>
      </c>
      <c r="K2947" s="168"/>
      <c r="L2947" s="193" t="s">
        <v>146</v>
      </c>
    </row>
    <row r="2948" spans="1:12" ht="15">
      <c r="A2948" s="67">
        <f t="shared" si="46"/>
        <v>2946</v>
      </c>
      <c r="B2948" s="164">
        <v>2946</v>
      </c>
      <c r="C2948" s="193" t="s">
        <v>4241</v>
      </c>
      <c r="D2948" s="205" t="s">
        <v>7509</v>
      </c>
      <c r="E2948" s="193" t="s">
        <v>9759</v>
      </c>
      <c r="F2948" s="193" t="s">
        <v>114</v>
      </c>
      <c r="G2948" s="195" t="s">
        <v>11839</v>
      </c>
      <c r="H2948" s="166" t="s">
        <v>13436</v>
      </c>
      <c r="I2948" s="193" t="s">
        <v>12816</v>
      </c>
      <c r="J2948" s="219" t="s">
        <v>146</v>
      </c>
      <c r="K2948" s="168"/>
      <c r="L2948" s="219" t="s">
        <v>146</v>
      </c>
    </row>
    <row r="2949" spans="1:12" ht="30">
      <c r="A2949" s="67">
        <f t="shared" si="46"/>
        <v>2947</v>
      </c>
      <c r="B2949" s="164">
        <v>2947</v>
      </c>
      <c r="C2949" s="193" t="s">
        <v>4242</v>
      </c>
      <c r="D2949" s="195" t="s">
        <v>7510</v>
      </c>
      <c r="E2949" s="193" t="s">
        <v>9760</v>
      </c>
      <c r="F2949" s="193" t="s">
        <v>114</v>
      </c>
      <c r="G2949" s="195" t="s">
        <v>11507</v>
      </c>
      <c r="H2949" s="166" t="s">
        <v>13436</v>
      </c>
      <c r="I2949" s="193" t="s">
        <v>12814</v>
      </c>
      <c r="J2949" s="193" t="s">
        <v>12768</v>
      </c>
      <c r="K2949" s="168"/>
      <c r="L2949" s="193" t="s">
        <v>13419</v>
      </c>
    </row>
    <row r="2950" spans="1:12" ht="30">
      <c r="A2950" s="67">
        <f t="shared" si="46"/>
        <v>2948</v>
      </c>
      <c r="B2950" s="164">
        <v>2948</v>
      </c>
      <c r="C2950" s="193" t="s">
        <v>4243</v>
      </c>
      <c r="D2950" s="195" t="s">
        <v>7511</v>
      </c>
      <c r="E2950" s="193" t="s">
        <v>9761</v>
      </c>
      <c r="F2950" s="193" t="s">
        <v>59</v>
      </c>
      <c r="G2950" s="195" t="s">
        <v>11840</v>
      </c>
      <c r="H2950" s="166" t="s">
        <v>13436</v>
      </c>
      <c r="I2950" s="193" t="s">
        <v>12819</v>
      </c>
      <c r="J2950" s="193" t="s">
        <v>12769</v>
      </c>
      <c r="K2950" s="168"/>
      <c r="L2950" s="193"/>
    </row>
    <row r="2951" spans="1:12" ht="15">
      <c r="A2951" s="67">
        <f t="shared" si="46"/>
        <v>2949</v>
      </c>
      <c r="B2951" s="164">
        <v>2949</v>
      </c>
      <c r="C2951" s="193" t="s">
        <v>4244</v>
      </c>
      <c r="D2951" s="195" t="s">
        <v>7512</v>
      </c>
      <c r="E2951" s="193" t="s">
        <v>9762</v>
      </c>
      <c r="F2951" s="193" t="s">
        <v>114</v>
      </c>
      <c r="G2951" s="195" t="s">
        <v>11724</v>
      </c>
      <c r="H2951" s="166" t="s">
        <v>13436</v>
      </c>
      <c r="I2951" s="193" t="s">
        <v>12814</v>
      </c>
      <c r="J2951" s="193" t="s">
        <v>146</v>
      </c>
      <c r="K2951" s="168"/>
      <c r="L2951" s="193" t="s">
        <v>146</v>
      </c>
    </row>
    <row r="2952" spans="1:12" ht="15">
      <c r="A2952" s="67">
        <f t="shared" si="46"/>
        <v>2950</v>
      </c>
      <c r="B2952" s="164">
        <v>2950</v>
      </c>
      <c r="C2952" s="193" t="s">
        <v>4245</v>
      </c>
      <c r="D2952" s="208" t="s">
        <v>7513</v>
      </c>
      <c r="E2952" s="193" t="s">
        <v>9763</v>
      </c>
      <c r="F2952" s="193" t="s">
        <v>59</v>
      </c>
      <c r="G2952" s="195" t="s">
        <v>11841</v>
      </c>
      <c r="H2952" s="166" t="s">
        <v>13436</v>
      </c>
      <c r="I2952" s="193" t="s">
        <v>12816</v>
      </c>
      <c r="J2952" s="219" t="s">
        <v>146</v>
      </c>
      <c r="K2952" s="168"/>
      <c r="L2952" s="193"/>
    </row>
    <row r="2953" spans="1:12" ht="15">
      <c r="A2953" s="67">
        <f t="shared" si="46"/>
        <v>2951</v>
      </c>
      <c r="B2953" s="164">
        <v>2951</v>
      </c>
      <c r="C2953" s="193" t="s">
        <v>4246</v>
      </c>
      <c r="D2953" s="208" t="s">
        <v>7514</v>
      </c>
      <c r="E2953" s="193" t="s">
        <v>9764</v>
      </c>
      <c r="F2953" s="193" t="s">
        <v>59</v>
      </c>
      <c r="G2953" s="195" t="s">
        <v>11842</v>
      </c>
      <c r="H2953" s="166" t="s">
        <v>13436</v>
      </c>
      <c r="I2953" s="193" t="s">
        <v>12816</v>
      </c>
      <c r="J2953" s="219" t="s">
        <v>146</v>
      </c>
      <c r="K2953" s="168"/>
      <c r="L2953" s="193"/>
    </row>
    <row r="2954" spans="1:12" ht="15">
      <c r="A2954" s="67">
        <f t="shared" si="46"/>
        <v>2952</v>
      </c>
      <c r="B2954" s="164">
        <v>2952</v>
      </c>
      <c r="C2954" s="193" t="s">
        <v>4247</v>
      </c>
      <c r="D2954" s="195" t="s">
        <v>7515</v>
      </c>
      <c r="E2954" s="193" t="s">
        <v>9765</v>
      </c>
      <c r="F2954" s="193" t="s">
        <v>114</v>
      </c>
      <c r="G2954" s="195" t="s">
        <v>11843</v>
      </c>
      <c r="H2954" s="166" t="s">
        <v>13436</v>
      </c>
      <c r="I2954" s="193" t="s">
        <v>12814</v>
      </c>
      <c r="J2954" s="193" t="s">
        <v>146</v>
      </c>
      <c r="K2954" s="168"/>
      <c r="L2954" s="193" t="s">
        <v>146</v>
      </c>
    </row>
    <row r="2955" spans="1:12" ht="15">
      <c r="A2955" s="67">
        <f t="shared" si="46"/>
        <v>2953</v>
      </c>
      <c r="B2955" s="164">
        <v>2953</v>
      </c>
      <c r="C2955" s="193" t="s">
        <v>4248</v>
      </c>
      <c r="D2955" s="195" t="s">
        <v>7516</v>
      </c>
      <c r="E2955" s="193" t="s">
        <v>9766</v>
      </c>
      <c r="F2955" s="193" t="s">
        <v>114</v>
      </c>
      <c r="G2955" s="195" t="s">
        <v>11844</v>
      </c>
      <c r="H2955" s="166" t="s">
        <v>13436</v>
      </c>
      <c r="I2955" s="193" t="s">
        <v>12814</v>
      </c>
      <c r="J2955" s="193" t="s">
        <v>146</v>
      </c>
      <c r="K2955" s="168"/>
      <c r="L2955" s="193" t="s">
        <v>146</v>
      </c>
    </row>
    <row r="2956" spans="1:12" ht="15">
      <c r="A2956" s="67">
        <f t="shared" si="46"/>
        <v>2954</v>
      </c>
      <c r="B2956" s="164">
        <v>2954</v>
      </c>
      <c r="C2956" s="193" t="s">
        <v>4249</v>
      </c>
      <c r="D2956" s="195" t="s">
        <v>7517</v>
      </c>
      <c r="E2956" s="193" t="s">
        <v>9767</v>
      </c>
      <c r="F2956" s="193" t="s">
        <v>114</v>
      </c>
      <c r="G2956" s="195" t="s">
        <v>11845</v>
      </c>
      <c r="H2956" s="166" t="s">
        <v>13436</v>
      </c>
      <c r="I2956" s="193" t="s">
        <v>12814</v>
      </c>
      <c r="J2956" s="219" t="s">
        <v>146</v>
      </c>
      <c r="K2956" s="168"/>
      <c r="L2956" s="219" t="s">
        <v>146</v>
      </c>
    </row>
    <row r="2957" spans="1:12" ht="30">
      <c r="A2957" s="67">
        <f t="shared" si="46"/>
        <v>2955</v>
      </c>
      <c r="B2957" s="164">
        <v>2955</v>
      </c>
      <c r="C2957" s="193" t="s">
        <v>4250</v>
      </c>
      <c r="D2957" s="195" t="s">
        <v>7518</v>
      </c>
      <c r="E2957" s="193" t="s">
        <v>9768</v>
      </c>
      <c r="F2957" s="193" t="s">
        <v>114</v>
      </c>
      <c r="G2957" s="195" t="s">
        <v>11846</v>
      </c>
      <c r="H2957" s="166" t="s">
        <v>13436</v>
      </c>
      <c r="I2957" s="193" t="s">
        <v>12814</v>
      </c>
      <c r="J2957" s="193" t="s">
        <v>12770</v>
      </c>
      <c r="K2957" s="168"/>
      <c r="L2957" s="193" t="s">
        <v>146</v>
      </c>
    </row>
    <row r="2958" spans="1:12" ht="15">
      <c r="A2958" s="67">
        <f t="shared" si="46"/>
        <v>2956</v>
      </c>
      <c r="B2958" s="164">
        <v>2956</v>
      </c>
      <c r="C2958" s="193" t="s">
        <v>4251</v>
      </c>
      <c r="D2958" s="195" t="s">
        <v>7519</v>
      </c>
      <c r="E2958" s="193" t="s">
        <v>9769</v>
      </c>
      <c r="F2958" s="193" t="s">
        <v>114</v>
      </c>
      <c r="G2958" s="195" t="s">
        <v>988</v>
      </c>
      <c r="H2958" s="166" t="s">
        <v>13436</v>
      </c>
      <c r="I2958" s="193" t="s">
        <v>12814</v>
      </c>
      <c r="J2958" s="193" t="s">
        <v>146</v>
      </c>
      <c r="K2958" s="168"/>
      <c r="L2958" s="193" t="s">
        <v>146</v>
      </c>
    </row>
    <row r="2959" spans="1:12" ht="15">
      <c r="A2959" s="67">
        <f t="shared" si="46"/>
        <v>2957</v>
      </c>
      <c r="B2959" s="164">
        <v>2957</v>
      </c>
      <c r="C2959" s="193" t="s">
        <v>4252</v>
      </c>
      <c r="D2959" s="195" t="s">
        <v>7520</v>
      </c>
      <c r="E2959" s="193" t="s">
        <v>408</v>
      </c>
      <c r="F2959" s="193" t="s">
        <v>114</v>
      </c>
      <c r="G2959" s="195" t="s">
        <v>11847</v>
      </c>
      <c r="H2959" s="166" t="s">
        <v>13436</v>
      </c>
      <c r="I2959" s="193" t="s">
        <v>12814</v>
      </c>
      <c r="J2959" s="193" t="s">
        <v>146</v>
      </c>
      <c r="K2959" s="168"/>
      <c r="L2959" s="193" t="s">
        <v>146</v>
      </c>
    </row>
    <row r="2960" spans="1:12" ht="15">
      <c r="A2960" s="67">
        <f t="shared" si="46"/>
        <v>2958</v>
      </c>
      <c r="B2960" s="164">
        <v>2958</v>
      </c>
      <c r="C2960" s="193" t="s">
        <v>4253</v>
      </c>
      <c r="D2960" s="195" t="s">
        <v>7521</v>
      </c>
      <c r="E2960" s="193" t="s">
        <v>9770</v>
      </c>
      <c r="F2960" s="193" t="s">
        <v>114</v>
      </c>
      <c r="G2960" s="195" t="s">
        <v>11848</v>
      </c>
      <c r="H2960" s="166" t="s">
        <v>13436</v>
      </c>
      <c r="I2960" s="193" t="s">
        <v>12814</v>
      </c>
      <c r="J2960" s="193" t="s">
        <v>146</v>
      </c>
      <c r="K2960" s="168"/>
      <c r="L2960" s="193" t="s">
        <v>146</v>
      </c>
    </row>
    <row r="2961" spans="1:12" ht="15">
      <c r="A2961" s="67">
        <f t="shared" si="46"/>
        <v>2959</v>
      </c>
      <c r="B2961" s="164">
        <v>2959</v>
      </c>
      <c r="C2961" s="193" t="s">
        <v>4254</v>
      </c>
      <c r="D2961" s="195" t="s">
        <v>7522</v>
      </c>
      <c r="E2961" s="193" t="s">
        <v>9771</v>
      </c>
      <c r="F2961" s="193" t="s">
        <v>114</v>
      </c>
      <c r="G2961" s="195" t="s">
        <v>840</v>
      </c>
      <c r="H2961" s="166" t="s">
        <v>13436</v>
      </c>
      <c r="I2961" s="193" t="s">
        <v>12814</v>
      </c>
      <c r="J2961" s="219" t="s">
        <v>146</v>
      </c>
      <c r="K2961" s="168"/>
      <c r="L2961" s="219" t="s">
        <v>146</v>
      </c>
    </row>
    <row r="2962" spans="1:12" ht="15">
      <c r="A2962" s="67">
        <f t="shared" si="46"/>
        <v>2960</v>
      </c>
      <c r="B2962" s="164">
        <v>2960</v>
      </c>
      <c r="C2962" s="193" t="s">
        <v>4255</v>
      </c>
      <c r="D2962" s="208" t="s">
        <v>7523</v>
      </c>
      <c r="E2962" s="193" t="s">
        <v>9772</v>
      </c>
      <c r="F2962" s="193" t="s">
        <v>59</v>
      </c>
      <c r="G2962" s="195" t="s">
        <v>11849</v>
      </c>
      <c r="H2962" s="166" t="s">
        <v>13436</v>
      </c>
      <c r="I2962" s="193" t="s">
        <v>12816</v>
      </c>
      <c r="J2962" s="193" t="s">
        <v>146</v>
      </c>
      <c r="K2962" s="168"/>
      <c r="L2962" s="193"/>
    </row>
    <row r="2963" spans="1:12" ht="30">
      <c r="A2963" s="67">
        <f t="shared" si="46"/>
        <v>2961</v>
      </c>
      <c r="B2963" s="164">
        <v>2961</v>
      </c>
      <c r="C2963" s="193" t="s">
        <v>4256</v>
      </c>
      <c r="D2963" s="195" t="s">
        <v>7524</v>
      </c>
      <c r="E2963" s="193" t="s">
        <v>9773</v>
      </c>
      <c r="F2963" s="193" t="s">
        <v>114</v>
      </c>
      <c r="G2963" s="195" t="s">
        <v>11850</v>
      </c>
      <c r="H2963" s="166" t="s">
        <v>13436</v>
      </c>
      <c r="I2963" s="193" t="s">
        <v>12814</v>
      </c>
      <c r="J2963" s="193" t="s">
        <v>12771</v>
      </c>
      <c r="K2963" s="168"/>
      <c r="L2963" s="193" t="s">
        <v>146</v>
      </c>
    </row>
    <row r="2964" spans="1:12" ht="15">
      <c r="A2964" s="67">
        <f t="shared" si="46"/>
        <v>2962</v>
      </c>
      <c r="B2964" s="164">
        <v>2962</v>
      </c>
      <c r="C2964" s="193" t="s">
        <v>4257</v>
      </c>
      <c r="D2964" s="195" t="s">
        <v>7525</v>
      </c>
      <c r="E2964" s="193" t="s">
        <v>653</v>
      </c>
      <c r="F2964" s="193" t="s">
        <v>114</v>
      </c>
      <c r="G2964" s="195" t="s">
        <v>11851</v>
      </c>
      <c r="H2964" s="166" t="s">
        <v>13436</v>
      </c>
      <c r="I2964" s="193" t="s">
        <v>12814</v>
      </c>
      <c r="J2964" s="193" t="s">
        <v>146</v>
      </c>
      <c r="K2964" s="168"/>
      <c r="L2964" s="193" t="s">
        <v>146</v>
      </c>
    </row>
    <row r="2965" spans="1:12" ht="15">
      <c r="A2965" s="67">
        <f t="shared" si="46"/>
        <v>2963</v>
      </c>
      <c r="B2965" s="164">
        <v>2963</v>
      </c>
      <c r="C2965" s="193" t="s">
        <v>4258</v>
      </c>
      <c r="D2965" s="199" t="s">
        <v>7526</v>
      </c>
      <c r="E2965" s="193" t="s">
        <v>9774</v>
      </c>
      <c r="F2965" s="193" t="s">
        <v>114</v>
      </c>
      <c r="G2965" s="195" t="s">
        <v>930</v>
      </c>
      <c r="H2965" s="166" t="s">
        <v>13436</v>
      </c>
      <c r="I2965" s="193" t="s">
        <v>12831</v>
      </c>
      <c r="J2965" s="193" t="s">
        <v>146</v>
      </c>
      <c r="K2965" s="168"/>
      <c r="L2965" s="193" t="s">
        <v>146</v>
      </c>
    </row>
    <row r="2966" spans="1:12" ht="15">
      <c r="A2966" s="67">
        <f t="shared" si="46"/>
        <v>2964</v>
      </c>
      <c r="B2966" s="164">
        <v>2964</v>
      </c>
      <c r="C2966" s="193" t="s">
        <v>4259</v>
      </c>
      <c r="D2966" s="195" t="s">
        <v>7527</v>
      </c>
      <c r="E2966" s="193" t="s">
        <v>155</v>
      </c>
      <c r="F2966" s="193" t="s">
        <v>114</v>
      </c>
      <c r="G2966" s="195" t="s">
        <v>1234</v>
      </c>
      <c r="H2966" s="166" t="s">
        <v>13436</v>
      </c>
      <c r="I2966" s="193" t="s">
        <v>12825</v>
      </c>
      <c r="J2966" s="193" t="s">
        <v>147</v>
      </c>
      <c r="K2966" s="168"/>
      <c r="L2966" s="193" t="s">
        <v>146</v>
      </c>
    </row>
    <row r="2967" spans="1:12" ht="15">
      <c r="A2967" s="67">
        <f t="shared" si="46"/>
        <v>2965</v>
      </c>
      <c r="B2967" s="164">
        <v>2965</v>
      </c>
      <c r="C2967" s="193" t="s">
        <v>4260</v>
      </c>
      <c r="D2967" s="208" t="s">
        <v>7528</v>
      </c>
      <c r="E2967" s="193" t="s">
        <v>9775</v>
      </c>
      <c r="F2967" s="193" t="s">
        <v>59</v>
      </c>
      <c r="G2967" s="195" t="s">
        <v>11852</v>
      </c>
      <c r="H2967" s="166" t="s">
        <v>13436</v>
      </c>
      <c r="I2967" s="193" t="s">
        <v>12816</v>
      </c>
      <c r="J2967" s="193" t="s">
        <v>146</v>
      </c>
      <c r="K2967" s="168"/>
      <c r="L2967" s="193"/>
    </row>
    <row r="2968" spans="1:12" ht="15">
      <c r="A2968" s="67">
        <f t="shared" si="46"/>
        <v>2966</v>
      </c>
      <c r="B2968" s="164">
        <v>2966</v>
      </c>
      <c r="C2968" s="193" t="s">
        <v>4261</v>
      </c>
      <c r="D2968" s="195" t="s">
        <v>7529</v>
      </c>
      <c r="E2968" s="193" t="s">
        <v>9776</v>
      </c>
      <c r="F2968" s="193" t="s">
        <v>114</v>
      </c>
      <c r="G2968" s="195" t="s">
        <v>1165</v>
      </c>
      <c r="H2968" s="166" t="s">
        <v>13436</v>
      </c>
      <c r="I2968" s="193" t="s">
        <v>12836</v>
      </c>
      <c r="J2968" s="193" t="s">
        <v>1252</v>
      </c>
      <c r="K2968" s="168"/>
      <c r="L2968" s="193" t="s">
        <v>146</v>
      </c>
    </row>
    <row r="2969" spans="1:12" ht="15">
      <c r="A2969" s="67">
        <f t="shared" si="46"/>
        <v>2967</v>
      </c>
      <c r="B2969" s="164">
        <v>2967</v>
      </c>
      <c r="C2969" s="193" t="s">
        <v>4262</v>
      </c>
      <c r="D2969" s="195" t="s">
        <v>7530</v>
      </c>
      <c r="E2969" s="193" t="s">
        <v>9777</v>
      </c>
      <c r="F2969" s="193" t="s">
        <v>114</v>
      </c>
      <c r="G2969" s="195" t="s">
        <v>11853</v>
      </c>
      <c r="H2969" s="166" t="s">
        <v>13436</v>
      </c>
      <c r="I2969" s="193" t="s">
        <v>12829</v>
      </c>
      <c r="J2969" s="193" t="s">
        <v>146</v>
      </c>
      <c r="K2969" s="168"/>
      <c r="L2969" s="193" t="s">
        <v>146</v>
      </c>
    </row>
    <row r="2970" spans="1:12" ht="15">
      <c r="A2970" s="67">
        <f t="shared" si="46"/>
        <v>2968</v>
      </c>
      <c r="B2970" s="164">
        <v>2968</v>
      </c>
      <c r="C2970" s="193" t="s">
        <v>4263</v>
      </c>
      <c r="D2970" s="196" t="s">
        <v>7531</v>
      </c>
      <c r="E2970" s="193" t="s">
        <v>9778</v>
      </c>
      <c r="F2970" s="193" t="s">
        <v>114</v>
      </c>
      <c r="G2970" s="195" t="s">
        <v>11256</v>
      </c>
      <c r="H2970" s="166" t="s">
        <v>13436</v>
      </c>
      <c r="I2970" s="193" t="s">
        <v>1248</v>
      </c>
      <c r="J2970" s="193" t="s">
        <v>146</v>
      </c>
      <c r="K2970" s="168"/>
      <c r="L2970" s="193" t="s">
        <v>146</v>
      </c>
    </row>
    <row r="2971" spans="1:12" ht="30">
      <c r="A2971" s="67">
        <f t="shared" si="46"/>
        <v>2969</v>
      </c>
      <c r="B2971" s="164">
        <v>2969</v>
      </c>
      <c r="C2971" s="193" t="s">
        <v>4264</v>
      </c>
      <c r="D2971" s="195" t="s">
        <v>7532</v>
      </c>
      <c r="E2971" s="193" t="s">
        <v>160</v>
      </c>
      <c r="F2971" s="193" t="s">
        <v>114</v>
      </c>
      <c r="G2971" s="195" t="s">
        <v>11854</v>
      </c>
      <c r="H2971" s="166" t="s">
        <v>13436</v>
      </c>
      <c r="I2971" s="193" t="s">
        <v>12838</v>
      </c>
      <c r="J2971" s="193" t="s">
        <v>12772</v>
      </c>
      <c r="K2971" s="168"/>
      <c r="L2971" s="193" t="s">
        <v>146</v>
      </c>
    </row>
    <row r="2972" spans="1:12" ht="15">
      <c r="A2972" s="67">
        <f t="shared" si="46"/>
        <v>2970</v>
      </c>
      <c r="B2972" s="164">
        <v>2970</v>
      </c>
      <c r="C2972" s="193" t="s">
        <v>4265</v>
      </c>
      <c r="D2972" s="195" t="s">
        <v>7533</v>
      </c>
      <c r="E2972" s="193" t="s">
        <v>9779</v>
      </c>
      <c r="F2972" s="193" t="s">
        <v>114</v>
      </c>
      <c r="G2972" s="195" t="s">
        <v>11855</v>
      </c>
      <c r="H2972" s="166" t="s">
        <v>13436</v>
      </c>
      <c r="I2972" s="193" t="s">
        <v>12818</v>
      </c>
      <c r="J2972" s="219" t="s">
        <v>146</v>
      </c>
      <c r="K2972" s="168"/>
      <c r="L2972" s="219" t="s">
        <v>146</v>
      </c>
    </row>
    <row r="2973" spans="1:12" ht="15">
      <c r="A2973" s="67">
        <f t="shared" si="46"/>
        <v>2971</v>
      </c>
      <c r="B2973" s="164">
        <v>2971</v>
      </c>
      <c r="C2973" s="193" t="s">
        <v>4266</v>
      </c>
      <c r="D2973" s="195" t="s">
        <v>7534</v>
      </c>
      <c r="E2973" s="193" t="s">
        <v>9780</v>
      </c>
      <c r="F2973" s="193" t="s">
        <v>59</v>
      </c>
      <c r="G2973" s="195" t="s">
        <v>11856</v>
      </c>
      <c r="H2973" s="166" t="s">
        <v>13436</v>
      </c>
      <c r="I2973" s="193" t="s">
        <v>12838</v>
      </c>
      <c r="J2973" s="193" t="s">
        <v>147</v>
      </c>
      <c r="K2973" s="168"/>
      <c r="L2973" s="193"/>
    </row>
    <row r="2974" spans="1:12" ht="15">
      <c r="A2974" s="67">
        <f t="shared" si="46"/>
        <v>2972</v>
      </c>
      <c r="B2974" s="164">
        <v>2972</v>
      </c>
      <c r="C2974" s="193" t="s">
        <v>4267</v>
      </c>
      <c r="D2974" s="195" t="s">
        <v>7535</v>
      </c>
      <c r="E2974" s="193" t="s">
        <v>9781</v>
      </c>
      <c r="F2974" s="193" t="s">
        <v>59</v>
      </c>
      <c r="G2974" s="195" t="s">
        <v>1189</v>
      </c>
      <c r="H2974" s="166" t="s">
        <v>13436</v>
      </c>
      <c r="I2974" s="193" t="s">
        <v>12836</v>
      </c>
      <c r="J2974" s="193" t="s">
        <v>12773</v>
      </c>
      <c r="K2974" s="168"/>
      <c r="L2974" s="193"/>
    </row>
    <row r="2975" spans="1:12" ht="15">
      <c r="A2975" s="67">
        <f t="shared" si="46"/>
        <v>2973</v>
      </c>
      <c r="B2975" s="164">
        <v>2973</v>
      </c>
      <c r="C2975" s="193" t="s">
        <v>4268</v>
      </c>
      <c r="D2975" s="195" t="s">
        <v>7536</v>
      </c>
      <c r="E2975" s="193" t="s">
        <v>8315</v>
      </c>
      <c r="F2975" s="193" t="s">
        <v>114</v>
      </c>
      <c r="G2975" s="195" t="s">
        <v>1235</v>
      </c>
      <c r="H2975" s="166" t="s">
        <v>13436</v>
      </c>
      <c r="I2975" s="193" t="s">
        <v>12819</v>
      </c>
      <c r="J2975" s="193" t="s">
        <v>146</v>
      </c>
      <c r="K2975" s="168"/>
      <c r="L2975" s="193" t="s">
        <v>146</v>
      </c>
    </row>
    <row r="2976" spans="1:12" ht="15">
      <c r="A2976" s="67">
        <f t="shared" si="46"/>
        <v>2974</v>
      </c>
      <c r="B2976" s="164">
        <v>2974</v>
      </c>
      <c r="C2976" s="193" t="s">
        <v>4269</v>
      </c>
      <c r="D2976" s="195" t="s">
        <v>7537</v>
      </c>
      <c r="E2976" s="193" t="s">
        <v>9626</v>
      </c>
      <c r="F2976" s="193" t="s">
        <v>114</v>
      </c>
      <c r="G2976" s="195" t="s">
        <v>11857</v>
      </c>
      <c r="H2976" s="166" t="s">
        <v>13436</v>
      </c>
      <c r="I2976" s="193" t="s">
        <v>12819</v>
      </c>
      <c r="J2976" s="193" t="s">
        <v>146</v>
      </c>
      <c r="K2976" s="168"/>
      <c r="L2976" s="193" t="s">
        <v>146</v>
      </c>
    </row>
    <row r="2977" spans="1:12" ht="30">
      <c r="A2977" s="67">
        <f t="shared" si="46"/>
        <v>2975</v>
      </c>
      <c r="B2977" s="164">
        <v>2975</v>
      </c>
      <c r="C2977" s="193" t="s">
        <v>4270</v>
      </c>
      <c r="D2977" s="205" t="s">
        <v>7538</v>
      </c>
      <c r="E2977" s="193" t="s">
        <v>223</v>
      </c>
      <c r="F2977" s="193" t="s">
        <v>114</v>
      </c>
      <c r="G2977" s="195" t="s">
        <v>11858</v>
      </c>
      <c r="H2977" s="166" t="s">
        <v>13436</v>
      </c>
      <c r="I2977" s="193" t="s">
        <v>12816</v>
      </c>
      <c r="J2977" s="193" t="s">
        <v>12774</v>
      </c>
      <c r="K2977" s="168"/>
      <c r="L2977" s="193" t="s">
        <v>146</v>
      </c>
    </row>
    <row r="2978" spans="1:12" ht="15">
      <c r="A2978" s="67">
        <f t="shared" si="46"/>
        <v>2976</v>
      </c>
      <c r="B2978" s="164">
        <v>2976</v>
      </c>
      <c r="C2978" s="193" t="s">
        <v>4271</v>
      </c>
      <c r="D2978" s="208" t="s">
        <v>7539</v>
      </c>
      <c r="E2978" s="193" t="s">
        <v>9782</v>
      </c>
      <c r="F2978" s="193" t="s">
        <v>114</v>
      </c>
      <c r="G2978" s="195" t="s">
        <v>11859</v>
      </c>
      <c r="H2978" s="166" t="s">
        <v>13436</v>
      </c>
      <c r="I2978" s="193" t="s">
        <v>12816</v>
      </c>
      <c r="J2978" s="193" t="s">
        <v>146</v>
      </c>
      <c r="K2978" s="168"/>
      <c r="L2978" s="193" t="s">
        <v>146</v>
      </c>
    </row>
    <row r="2979" spans="1:12" ht="30">
      <c r="A2979" s="67">
        <f t="shared" si="46"/>
        <v>2977</v>
      </c>
      <c r="B2979" s="164">
        <v>2977</v>
      </c>
      <c r="C2979" s="193" t="s">
        <v>4272</v>
      </c>
      <c r="D2979" s="208" t="s">
        <v>7540</v>
      </c>
      <c r="E2979" s="193" t="s">
        <v>9194</v>
      </c>
      <c r="F2979" s="193" t="s">
        <v>114</v>
      </c>
      <c r="G2979" s="195" t="s">
        <v>11860</v>
      </c>
      <c r="H2979" s="166" t="s">
        <v>13436</v>
      </c>
      <c r="I2979" s="193" t="s">
        <v>12816</v>
      </c>
      <c r="J2979" s="193" t="s">
        <v>1263</v>
      </c>
      <c r="K2979" s="168"/>
      <c r="L2979" s="193" t="s">
        <v>146</v>
      </c>
    </row>
    <row r="2980" spans="1:12" ht="60">
      <c r="A2980" s="67">
        <f t="shared" si="46"/>
        <v>2978</v>
      </c>
      <c r="B2980" s="164">
        <v>2978</v>
      </c>
      <c r="C2980" s="193" t="s">
        <v>4273</v>
      </c>
      <c r="D2980" s="208" t="s">
        <v>7541</v>
      </c>
      <c r="E2980" s="193" t="s">
        <v>9771</v>
      </c>
      <c r="F2980" s="193" t="s">
        <v>114</v>
      </c>
      <c r="G2980" s="195" t="s">
        <v>923</v>
      </c>
      <c r="H2980" s="166" t="s">
        <v>13436</v>
      </c>
      <c r="I2980" s="193" t="s">
        <v>12816</v>
      </c>
      <c r="J2980" s="193" t="s">
        <v>146</v>
      </c>
      <c r="K2980" s="168"/>
      <c r="L2980" s="193" t="s">
        <v>13420</v>
      </c>
    </row>
    <row r="2981" spans="1:12" ht="15">
      <c r="A2981" s="67">
        <f t="shared" si="46"/>
        <v>2979</v>
      </c>
      <c r="B2981" s="164">
        <v>2979</v>
      </c>
      <c r="C2981" s="193" t="s">
        <v>4274</v>
      </c>
      <c r="D2981" s="195" t="s">
        <v>7542</v>
      </c>
      <c r="E2981" s="193" t="s">
        <v>9783</v>
      </c>
      <c r="F2981" s="193" t="s">
        <v>59</v>
      </c>
      <c r="G2981" s="195" t="s">
        <v>11861</v>
      </c>
      <c r="H2981" s="166" t="s">
        <v>13436</v>
      </c>
      <c r="I2981" s="193" t="s">
        <v>12819</v>
      </c>
      <c r="J2981" s="193" t="s">
        <v>146</v>
      </c>
      <c r="K2981" s="168"/>
      <c r="L2981" s="193"/>
    </row>
    <row r="2982" spans="1:12" ht="15">
      <c r="A2982" s="67">
        <f t="shared" si="46"/>
        <v>2980</v>
      </c>
      <c r="B2982" s="164">
        <v>2980</v>
      </c>
      <c r="C2982" s="193" t="s">
        <v>4275</v>
      </c>
      <c r="D2982" s="195" t="s">
        <v>7543</v>
      </c>
      <c r="E2982" s="193" t="s">
        <v>153</v>
      </c>
      <c r="F2982" s="193" t="s">
        <v>114</v>
      </c>
      <c r="G2982" s="195" t="s">
        <v>835</v>
      </c>
      <c r="H2982" s="166" t="s">
        <v>13436</v>
      </c>
      <c r="I2982" s="193" t="s">
        <v>12836</v>
      </c>
      <c r="J2982" s="193" t="s">
        <v>146</v>
      </c>
      <c r="K2982" s="168"/>
      <c r="L2982" s="193" t="s">
        <v>146</v>
      </c>
    </row>
    <row r="2983" spans="1:12" ht="15">
      <c r="A2983" s="67">
        <f t="shared" si="46"/>
        <v>2981</v>
      </c>
      <c r="B2983" s="164">
        <v>2981</v>
      </c>
      <c r="C2983" s="193" t="s">
        <v>4276</v>
      </c>
      <c r="D2983" s="195" t="s">
        <v>7544</v>
      </c>
      <c r="E2983" s="193" t="s">
        <v>579</v>
      </c>
      <c r="F2983" s="193" t="s">
        <v>59</v>
      </c>
      <c r="G2983" s="195" t="s">
        <v>1149</v>
      </c>
      <c r="H2983" s="166" t="s">
        <v>13436</v>
      </c>
      <c r="I2983" s="193" t="s">
        <v>12819</v>
      </c>
      <c r="J2983" s="193" t="s">
        <v>146</v>
      </c>
      <c r="K2983" s="168"/>
      <c r="L2983" s="193"/>
    </row>
    <row r="2984" spans="1:12" ht="15">
      <c r="A2984" s="67">
        <f t="shared" si="46"/>
        <v>2982</v>
      </c>
      <c r="B2984" s="164">
        <v>2982</v>
      </c>
      <c r="C2984" s="193" t="s">
        <v>4277</v>
      </c>
      <c r="D2984" s="208" t="s">
        <v>7545</v>
      </c>
      <c r="E2984" s="193" t="s">
        <v>9784</v>
      </c>
      <c r="F2984" s="193" t="s">
        <v>114</v>
      </c>
      <c r="G2984" s="195" t="s">
        <v>11862</v>
      </c>
      <c r="H2984" s="166" t="s">
        <v>13436</v>
      </c>
      <c r="I2984" s="193" t="s">
        <v>12816</v>
      </c>
      <c r="J2984" s="193" t="s">
        <v>146</v>
      </c>
      <c r="K2984" s="168"/>
      <c r="L2984" s="193" t="s">
        <v>146</v>
      </c>
    </row>
    <row r="2985" spans="1:12" ht="15">
      <c r="A2985" s="67">
        <f t="shared" si="46"/>
        <v>2983</v>
      </c>
      <c r="B2985" s="164">
        <v>2983</v>
      </c>
      <c r="C2985" s="193" t="s">
        <v>4278</v>
      </c>
      <c r="D2985" s="195" t="s">
        <v>7546</v>
      </c>
      <c r="E2985" s="193" t="s">
        <v>9785</v>
      </c>
      <c r="F2985" s="193" t="s">
        <v>114</v>
      </c>
      <c r="G2985" s="195" t="s">
        <v>11863</v>
      </c>
      <c r="H2985" s="166" t="s">
        <v>13436</v>
      </c>
      <c r="I2985" s="193" t="s">
        <v>12827</v>
      </c>
      <c r="J2985" s="193" t="s">
        <v>146</v>
      </c>
      <c r="K2985" s="168"/>
      <c r="L2985" s="193" t="s">
        <v>146</v>
      </c>
    </row>
    <row r="2986" spans="1:12" ht="15">
      <c r="A2986" s="67">
        <f t="shared" si="46"/>
        <v>2984</v>
      </c>
      <c r="B2986" s="164">
        <v>2984</v>
      </c>
      <c r="C2986" s="193" t="s">
        <v>4279</v>
      </c>
      <c r="D2986" s="195" t="s">
        <v>7547</v>
      </c>
      <c r="E2986" s="193" t="s">
        <v>624</v>
      </c>
      <c r="F2986" s="193" t="s">
        <v>114</v>
      </c>
      <c r="G2986" s="195" t="s">
        <v>263</v>
      </c>
      <c r="H2986" s="166" t="s">
        <v>13436</v>
      </c>
      <c r="I2986" s="193" t="s">
        <v>12827</v>
      </c>
      <c r="J2986" s="193" t="s">
        <v>146</v>
      </c>
      <c r="K2986" s="168"/>
      <c r="L2986" s="193" t="s">
        <v>146</v>
      </c>
    </row>
    <row r="2987" spans="1:12" ht="15">
      <c r="A2987" s="67">
        <f t="shared" si="46"/>
        <v>2985</v>
      </c>
      <c r="B2987" s="164">
        <v>2985</v>
      </c>
      <c r="C2987" s="193" t="s">
        <v>4280</v>
      </c>
      <c r="D2987" s="195" t="s">
        <v>7548</v>
      </c>
      <c r="E2987" s="193" t="s">
        <v>8066</v>
      </c>
      <c r="F2987" s="193" t="s">
        <v>114</v>
      </c>
      <c r="G2987" s="195" t="s">
        <v>927</v>
      </c>
      <c r="H2987" s="166" t="s">
        <v>13436</v>
      </c>
      <c r="I2987" s="193" t="s">
        <v>12821</v>
      </c>
      <c r="J2987" s="193" t="s">
        <v>146</v>
      </c>
      <c r="K2987" s="168"/>
      <c r="L2987" s="193" t="s">
        <v>146</v>
      </c>
    </row>
    <row r="2988" spans="1:12" ht="15">
      <c r="A2988" s="67">
        <f t="shared" si="46"/>
        <v>2986</v>
      </c>
      <c r="B2988" s="164">
        <v>2986</v>
      </c>
      <c r="C2988" s="193" t="s">
        <v>4281</v>
      </c>
      <c r="D2988" s="195" t="s">
        <v>7549</v>
      </c>
      <c r="E2988" s="193" t="s">
        <v>9786</v>
      </c>
      <c r="F2988" s="193" t="s">
        <v>114</v>
      </c>
      <c r="G2988" s="195" t="s">
        <v>1025</v>
      </c>
      <c r="H2988" s="166" t="s">
        <v>13436</v>
      </c>
      <c r="I2988" s="193" t="s">
        <v>12814</v>
      </c>
      <c r="J2988" s="193" t="s">
        <v>146</v>
      </c>
      <c r="K2988" s="168"/>
      <c r="L2988" s="193" t="s">
        <v>146</v>
      </c>
    </row>
    <row r="2989" spans="1:12" ht="30">
      <c r="A2989" s="67">
        <f t="shared" si="46"/>
        <v>2987</v>
      </c>
      <c r="B2989" s="164">
        <v>2987</v>
      </c>
      <c r="C2989" s="193" t="s">
        <v>4282</v>
      </c>
      <c r="D2989" s="208" t="s">
        <v>7550</v>
      </c>
      <c r="E2989" s="193" t="s">
        <v>9787</v>
      </c>
      <c r="F2989" s="193" t="s">
        <v>59</v>
      </c>
      <c r="G2989" s="195" t="s">
        <v>841</v>
      </c>
      <c r="H2989" s="166" t="s">
        <v>13436</v>
      </c>
      <c r="I2989" s="193" t="s">
        <v>12816</v>
      </c>
      <c r="J2989" s="219" t="s">
        <v>12775</v>
      </c>
      <c r="K2989" s="168"/>
      <c r="L2989" s="193"/>
    </row>
    <row r="2990" spans="1:12" ht="15">
      <c r="A2990" s="67">
        <f t="shared" si="46"/>
        <v>2988</v>
      </c>
      <c r="B2990" s="164">
        <v>2988</v>
      </c>
      <c r="C2990" s="193" t="s">
        <v>4283</v>
      </c>
      <c r="D2990" s="195" t="s">
        <v>7551</v>
      </c>
      <c r="E2990" s="193" t="s">
        <v>544</v>
      </c>
      <c r="F2990" s="193" t="s">
        <v>114</v>
      </c>
      <c r="G2990" s="195" t="s">
        <v>901</v>
      </c>
      <c r="H2990" s="166" t="s">
        <v>13436</v>
      </c>
      <c r="I2990" s="193" t="s">
        <v>12814</v>
      </c>
      <c r="J2990" s="193" t="s">
        <v>146</v>
      </c>
      <c r="K2990" s="168"/>
      <c r="L2990" s="193" t="s">
        <v>146</v>
      </c>
    </row>
    <row r="2991" spans="1:12" ht="15">
      <c r="A2991" s="67">
        <f t="shared" si="46"/>
        <v>2989</v>
      </c>
      <c r="B2991" s="164">
        <v>2989</v>
      </c>
      <c r="C2991" s="193" t="s">
        <v>4284</v>
      </c>
      <c r="D2991" s="208" t="s">
        <v>7552</v>
      </c>
      <c r="E2991" s="193" t="s">
        <v>9310</v>
      </c>
      <c r="F2991" s="193" t="s">
        <v>59</v>
      </c>
      <c r="G2991" s="195" t="s">
        <v>11864</v>
      </c>
      <c r="H2991" s="166" t="s">
        <v>13436</v>
      </c>
      <c r="I2991" s="193" t="s">
        <v>12816</v>
      </c>
      <c r="J2991" s="193" t="s">
        <v>146</v>
      </c>
      <c r="K2991" s="168"/>
      <c r="L2991" s="193"/>
    </row>
    <row r="2992" spans="1:12" ht="15">
      <c r="A2992" s="67">
        <f t="shared" si="46"/>
        <v>2990</v>
      </c>
      <c r="B2992" s="164">
        <v>2990</v>
      </c>
      <c r="C2992" s="193" t="s">
        <v>4285</v>
      </c>
      <c r="D2992" s="195" t="s">
        <v>7553</v>
      </c>
      <c r="E2992" s="193" t="s">
        <v>9788</v>
      </c>
      <c r="F2992" s="193" t="s">
        <v>114</v>
      </c>
      <c r="G2992" s="195" t="s">
        <v>11865</v>
      </c>
      <c r="H2992" s="166" t="s">
        <v>13436</v>
      </c>
      <c r="I2992" s="193" t="s">
        <v>12814</v>
      </c>
      <c r="J2992" s="193" t="s">
        <v>1252</v>
      </c>
      <c r="K2992" s="168"/>
      <c r="L2992" s="193" t="s">
        <v>146</v>
      </c>
    </row>
    <row r="2993" spans="1:12" ht="15">
      <c r="A2993" s="67">
        <f t="shared" si="46"/>
        <v>2991</v>
      </c>
      <c r="B2993" s="164">
        <v>2991</v>
      </c>
      <c r="C2993" s="193" t="s">
        <v>4286</v>
      </c>
      <c r="D2993" s="195" t="s">
        <v>7554</v>
      </c>
      <c r="E2993" s="193" t="s">
        <v>9789</v>
      </c>
      <c r="F2993" s="193" t="s">
        <v>59</v>
      </c>
      <c r="G2993" s="195" t="s">
        <v>1166</v>
      </c>
      <c r="H2993" s="166" t="s">
        <v>13436</v>
      </c>
      <c r="I2993" s="193" t="s">
        <v>12817</v>
      </c>
      <c r="J2993" s="193" t="s">
        <v>12059</v>
      </c>
      <c r="K2993" s="168"/>
      <c r="L2993" s="193"/>
    </row>
    <row r="2994" spans="1:12" ht="15">
      <c r="A2994" s="67">
        <f t="shared" si="46"/>
        <v>2992</v>
      </c>
      <c r="B2994" s="164">
        <v>2992</v>
      </c>
      <c r="C2994" s="193" t="s">
        <v>4287</v>
      </c>
      <c r="D2994" s="195" t="s">
        <v>7555</v>
      </c>
      <c r="E2994" s="193" t="s">
        <v>9790</v>
      </c>
      <c r="F2994" s="193" t="s">
        <v>114</v>
      </c>
      <c r="G2994" s="195" t="s">
        <v>290</v>
      </c>
      <c r="H2994" s="166" t="s">
        <v>13436</v>
      </c>
      <c r="I2994" s="193" t="s">
        <v>12821</v>
      </c>
      <c r="J2994" s="193" t="s">
        <v>146</v>
      </c>
      <c r="K2994" s="168"/>
      <c r="L2994" s="193" t="s">
        <v>146</v>
      </c>
    </row>
    <row r="2995" spans="1:12" ht="30">
      <c r="A2995" s="67">
        <f t="shared" si="46"/>
        <v>2993</v>
      </c>
      <c r="B2995" s="164">
        <v>2993</v>
      </c>
      <c r="C2995" s="193" t="s">
        <v>4288</v>
      </c>
      <c r="D2995" s="195" t="s">
        <v>7556</v>
      </c>
      <c r="E2995" s="193" t="s">
        <v>9791</v>
      </c>
      <c r="F2995" s="193" t="s">
        <v>114</v>
      </c>
      <c r="G2995" s="195" t="s">
        <v>11329</v>
      </c>
      <c r="H2995" s="166" t="s">
        <v>13436</v>
      </c>
      <c r="I2995" s="193" t="s">
        <v>12814</v>
      </c>
      <c r="J2995" s="193" t="s">
        <v>12776</v>
      </c>
      <c r="K2995" s="168"/>
      <c r="L2995" s="193" t="s">
        <v>146</v>
      </c>
    </row>
    <row r="2996" spans="1:12" ht="15">
      <c r="A2996" s="67">
        <f t="shared" si="46"/>
        <v>2994</v>
      </c>
      <c r="B2996" s="164">
        <v>2994</v>
      </c>
      <c r="C2996" s="193" t="s">
        <v>4289</v>
      </c>
      <c r="D2996" s="195" t="s">
        <v>7557</v>
      </c>
      <c r="E2996" s="193" t="s">
        <v>9792</v>
      </c>
      <c r="F2996" s="193" t="s">
        <v>114</v>
      </c>
      <c r="G2996" s="195" t="s">
        <v>11775</v>
      </c>
      <c r="H2996" s="166" t="s">
        <v>13436</v>
      </c>
      <c r="I2996" s="193" t="s">
        <v>12814</v>
      </c>
      <c r="J2996" s="193" t="s">
        <v>146</v>
      </c>
      <c r="K2996" s="168"/>
      <c r="L2996" s="193" t="s">
        <v>146</v>
      </c>
    </row>
    <row r="2997" spans="1:12" ht="15">
      <c r="A2997" s="67">
        <f t="shared" si="46"/>
        <v>2995</v>
      </c>
      <c r="B2997" s="164">
        <v>2995</v>
      </c>
      <c r="C2997" s="193" t="s">
        <v>4290</v>
      </c>
      <c r="D2997" s="195" t="s">
        <v>7558</v>
      </c>
      <c r="E2997" s="193" t="s">
        <v>9793</v>
      </c>
      <c r="F2997" s="193" t="s">
        <v>59</v>
      </c>
      <c r="G2997" s="195" t="s">
        <v>11866</v>
      </c>
      <c r="H2997" s="166" t="s">
        <v>13436</v>
      </c>
      <c r="I2997" s="193" t="s">
        <v>12825</v>
      </c>
      <c r="J2997" s="193" t="s">
        <v>164</v>
      </c>
      <c r="K2997" s="168"/>
      <c r="L2997" s="193"/>
    </row>
    <row r="2998" spans="1:12" ht="15">
      <c r="A2998" s="67">
        <f t="shared" si="46"/>
        <v>2996</v>
      </c>
      <c r="B2998" s="164">
        <v>2996</v>
      </c>
      <c r="C2998" s="193" t="s">
        <v>4291</v>
      </c>
      <c r="D2998" s="195" t="s">
        <v>7559</v>
      </c>
      <c r="E2998" s="193" t="s">
        <v>187</v>
      </c>
      <c r="F2998" s="193" t="s">
        <v>114</v>
      </c>
      <c r="G2998" s="195" t="s">
        <v>11867</v>
      </c>
      <c r="H2998" s="166" t="s">
        <v>13436</v>
      </c>
      <c r="I2998" s="193" t="s">
        <v>12825</v>
      </c>
      <c r="J2998" s="193" t="s">
        <v>146</v>
      </c>
      <c r="K2998" s="168"/>
      <c r="L2998" s="193" t="s">
        <v>146</v>
      </c>
    </row>
    <row r="2999" spans="1:12" ht="30">
      <c r="A2999" s="67">
        <f t="shared" si="46"/>
        <v>2997</v>
      </c>
      <c r="B2999" s="164">
        <v>2997</v>
      </c>
      <c r="C2999" s="193" t="s">
        <v>4292</v>
      </c>
      <c r="D2999" s="195" t="s">
        <v>7560</v>
      </c>
      <c r="E2999" s="193" t="s">
        <v>9794</v>
      </c>
      <c r="F2999" s="193" t="s">
        <v>114</v>
      </c>
      <c r="G2999" s="195" t="s">
        <v>1081</v>
      </c>
      <c r="H2999" s="166" t="s">
        <v>13436</v>
      </c>
      <c r="I2999" s="193" t="s">
        <v>12814</v>
      </c>
      <c r="J2999" s="219" t="s">
        <v>12777</v>
      </c>
      <c r="K2999" s="168"/>
      <c r="L2999" s="219" t="s">
        <v>13421</v>
      </c>
    </row>
    <row r="3000" spans="1:12" ht="15">
      <c r="A3000" s="67">
        <f t="shared" si="46"/>
        <v>2998</v>
      </c>
      <c r="B3000" s="164">
        <v>2998</v>
      </c>
      <c r="C3000" s="193" t="s">
        <v>4293</v>
      </c>
      <c r="D3000" s="195" t="s">
        <v>7561</v>
      </c>
      <c r="E3000" s="193" t="s">
        <v>198</v>
      </c>
      <c r="F3000" s="193" t="s">
        <v>114</v>
      </c>
      <c r="G3000" s="195" t="s">
        <v>11531</v>
      </c>
      <c r="H3000" s="166" t="s">
        <v>13436</v>
      </c>
      <c r="I3000" s="193" t="s">
        <v>12814</v>
      </c>
      <c r="J3000" s="193"/>
      <c r="K3000" s="168"/>
      <c r="L3000" s="193"/>
    </row>
    <row r="3001" spans="1:12" ht="15">
      <c r="A3001" s="67">
        <f t="shared" si="46"/>
        <v>2999</v>
      </c>
      <c r="B3001" s="164">
        <v>2999</v>
      </c>
      <c r="C3001" s="193" t="s">
        <v>4294</v>
      </c>
      <c r="D3001" s="195" t="s">
        <v>7562</v>
      </c>
      <c r="E3001" s="193" t="s">
        <v>9795</v>
      </c>
      <c r="F3001" s="193" t="s">
        <v>114</v>
      </c>
      <c r="G3001" s="195" t="s">
        <v>11868</v>
      </c>
      <c r="H3001" s="166" t="s">
        <v>13436</v>
      </c>
      <c r="I3001" s="193" t="s">
        <v>12814</v>
      </c>
      <c r="J3001" s="193" t="s">
        <v>146</v>
      </c>
      <c r="K3001" s="168"/>
      <c r="L3001" s="193" t="s">
        <v>146</v>
      </c>
    </row>
    <row r="3002" spans="1:12" ht="15">
      <c r="A3002" s="67">
        <f t="shared" si="46"/>
        <v>3000</v>
      </c>
      <c r="B3002" s="164">
        <v>3000</v>
      </c>
      <c r="C3002" s="193" t="s">
        <v>4295</v>
      </c>
      <c r="D3002" s="195" t="s">
        <v>7563</v>
      </c>
      <c r="E3002" s="193" t="s">
        <v>9285</v>
      </c>
      <c r="F3002" s="193" t="s">
        <v>114</v>
      </c>
      <c r="G3002" s="195" t="s">
        <v>936</v>
      </c>
      <c r="H3002" s="166" t="s">
        <v>13436</v>
      </c>
      <c r="I3002" s="193" t="s">
        <v>12825</v>
      </c>
      <c r="J3002" s="193" t="s">
        <v>146</v>
      </c>
      <c r="K3002" s="168"/>
      <c r="L3002" s="193" t="s">
        <v>146</v>
      </c>
    </row>
    <row r="3003" spans="1:12" ht="15">
      <c r="A3003" s="67">
        <f t="shared" si="46"/>
        <v>3001</v>
      </c>
      <c r="B3003" s="164">
        <v>3001</v>
      </c>
      <c r="C3003" s="193" t="s">
        <v>4296</v>
      </c>
      <c r="D3003" s="195" t="s">
        <v>7564</v>
      </c>
      <c r="E3003" s="193" t="s">
        <v>9796</v>
      </c>
      <c r="F3003" s="193" t="s">
        <v>114</v>
      </c>
      <c r="G3003" s="195" t="s">
        <v>11869</v>
      </c>
      <c r="H3003" s="166" t="s">
        <v>13436</v>
      </c>
      <c r="I3003" s="193" t="s">
        <v>12814</v>
      </c>
      <c r="J3003" s="193" t="s">
        <v>146</v>
      </c>
      <c r="K3003" s="168"/>
      <c r="L3003" s="193" t="s">
        <v>146</v>
      </c>
    </row>
    <row r="3004" spans="1:12" ht="15">
      <c r="A3004" s="67">
        <f t="shared" si="46"/>
        <v>3002</v>
      </c>
      <c r="B3004" s="164">
        <v>3002</v>
      </c>
      <c r="C3004" s="193" t="s">
        <v>4297</v>
      </c>
      <c r="D3004" s="195" t="s">
        <v>7565</v>
      </c>
      <c r="E3004" s="193" t="s">
        <v>9797</v>
      </c>
      <c r="F3004" s="193" t="s">
        <v>59</v>
      </c>
      <c r="G3004" s="195" t="s">
        <v>11870</v>
      </c>
      <c r="H3004" s="166" t="s">
        <v>13436</v>
      </c>
      <c r="I3004" s="193" t="s">
        <v>12838</v>
      </c>
      <c r="J3004" s="193" t="s">
        <v>146</v>
      </c>
      <c r="K3004" s="168"/>
      <c r="L3004" s="193"/>
    </row>
    <row r="3005" spans="1:12" ht="15">
      <c r="A3005" s="67">
        <f t="shared" si="46"/>
        <v>3003</v>
      </c>
      <c r="B3005" s="164">
        <v>3003</v>
      </c>
      <c r="C3005" s="193" t="s">
        <v>4298</v>
      </c>
      <c r="D3005" s="195" t="s">
        <v>7566</v>
      </c>
      <c r="E3005" s="193" t="s">
        <v>9798</v>
      </c>
      <c r="F3005" s="193" t="s">
        <v>59</v>
      </c>
      <c r="G3005" s="195" t="s">
        <v>11398</v>
      </c>
      <c r="H3005" s="166" t="s">
        <v>13436</v>
      </c>
      <c r="I3005" s="193" t="s">
        <v>12817</v>
      </c>
      <c r="J3005" s="219" t="s">
        <v>146</v>
      </c>
      <c r="K3005" s="168"/>
      <c r="L3005" s="193"/>
    </row>
    <row r="3006" spans="1:12" ht="15">
      <c r="A3006" s="67">
        <f t="shared" si="46"/>
        <v>3004</v>
      </c>
      <c r="B3006" s="164">
        <v>3004</v>
      </c>
      <c r="C3006" s="193" t="s">
        <v>4299</v>
      </c>
      <c r="D3006" s="195" t="s">
        <v>7567</v>
      </c>
      <c r="E3006" s="193" t="s">
        <v>9799</v>
      </c>
      <c r="F3006" s="193" t="s">
        <v>114</v>
      </c>
      <c r="G3006" s="195" t="s">
        <v>1051</v>
      </c>
      <c r="H3006" s="166" t="s">
        <v>13436</v>
      </c>
      <c r="I3006" s="193" t="s">
        <v>12838</v>
      </c>
      <c r="J3006" s="193" t="s">
        <v>1252</v>
      </c>
      <c r="K3006" s="168"/>
      <c r="L3006" s="193" t="s">
        <v>146</v>
      </c>
    </row>
    <row r="3007" spans="1:12" ht="30">
      <c r="A3007" s="67">
        <f t="shared" si="46"/>
        <v>3005</v>
      </c>
      <c r="B3007" s="164">
        <v>3005</v>
      </c>
      <c r="C3007" s="193" t="s">
        <v>4300</v>
      </c>
      <c r="D3007" s="211" t="s">
        <v>7568</v>
      </c>
      <c r="E3007" s="193" t="s">
        <v>572</v>
      </c>
      <c r="F3007" s="193" t="s">
        <v>114</v>
      </c>
      <c r="G3007" s="195" t="s">
        <v>11871</v>
      </c>
      <c r="H3007" s="166" t="s">
        <v>13436</v>
      </c>
      <c r="I3007" s="193" t="s">
        <v>12838</v>
      </c>
      <c r="J3007" s="193" t="s">
        <v>12778</v>
      </c>
      <c r="K3007" s="168"/>
      <c r="L3007" s="193" t="s">
        <v>146</v>
      </c>
    </row>
    <row r="3008" spans="1:12" ht="15">
      <c r="A3008" s="67">
        <f t="shared" si="46"/>
        <v>3006</v>
      </c>
      <c r="B3008" s="164">
        <v>3006</v>
      </c>
      <c r="C3008" s="193" t="s">
        <v>4301</v>
      </c>
      <c r="D3008" s="195" t="s">
        <v>7569</v>
      </c>
      <c r="E3008" s="193" t="s">
        <v>9800</v>
      </c>
      <c r="F3008" s="193" t="s">
        <v>59</v>
      </c>
      <c r="G3008" s="195" t="s">
        <v>11872</v>
      </c>
      <c r="H3008" s="166" t="s">
        <v>13436</v>
      </c>
      <c r="I3008" s="193" t="s">
        <v>12813</v>
      </c>
      <c r="J3008" s="219" t="s">
        <v>146</v>
      </c>
      <c r="K3008" s="168"/>
      <c r="L3008" s="193"/>
    </row>
    <row r="3009" spans="1:12" ht="15">
      <c r="A3009" s="67">
        <f t="shared" si="46"/>
        <v>3007</v>
      </c>
      <c r="B3009" s="164">
        <v>3007</v>
      </c>
      <c r="C3009" s="193" t="s">
        <v>4302</v>
      </c>
      <c r="D3009" s="195" t="s">
        <v>7570</v>
      </c>
      <c r="E3009" s="193" t="s">
        <v>9801</v>
      </c>
      <c r="F3009" s="193" t="s">
        <v>114</v>
      </c>
      <c r="G3009" s="195" t="s">
        <v>11873</v>
      </c>
      <c r="H3009" s="166" t="s">
        <v>13436</v>
      </c>
      <c r="I3009" s="193" t="s">
        <v>12813</v>
      </c>
      <c r="J3009" s="193" t="s">
        <v>146</v>
      </c>
      <c r="K3009" s="168"/>
      <c r="L3009" s="193" t="s">
        <v>146</v>
      </c>
    </row>
    <row r="3010" spans="1:12" ht="15">
      <c r="A3010" s="67">
        <f t="shared" si="46"/>
        <v>3008</v>
      </c>
      <c r="B3010" s="164">
        <v>3008</v>
      </c>
      <c r="C3010" s="193" t="s">
        <v>4303</v>
      </c>
      <c r="D3010" s="195" t="s">
        <v>7571</v>
      </c>
      <c r="E3010" s="193" t="s">
        <v>9802</v>
      </c>
      <c r="F3010" s="193" t="s">
        <v>59</v>
      </c>
      <c r="G3010" s="195" t="s">
        <v>919</v>
      </c>
      <c r="H3010" s="166" t="s">
        <v>13436</v>
      </c>
      <c r="I3010" s="193" t="s">
        <v>12818</v>
      </c>
      <c r="J3010" s="193" t="s">
        <v>146</v>
      </c>
      <c r="K3010" s="168"/>
      <c r="L3010" s="193"/>
    </row>
    <row r="3011" spans="1:12" ht="15">
      <c r="A3011" s="67">
        <f t="shared" ref="A3011:A3074" si="47">IFERROR(VALUE(RIGHT(C3011,4)),"")</f>
        <v>3009</v>
      </c>
      <c r="B3011" s="164">
        <v>3009</v>
      </c>
      <c r="C3011" s="193" t="s">
        <v>4304</v>
      </c>
      <c r="D3011" s="211" t="s">
        <v>7572</v>
      </c>
      <c r="E3011" s="193" t="s">
        <v>161</v>
      </c>
      <c r="F3011" s="193" t="s">
        <v>114</v>
      </c>
      <c r="G3011" s="195" t="s">
        <v>11874</v>
      </c>
      <c r="H3011" s="166" t="s">
        <v>13436</v>
      </c>
      <c r="I3011" s="193" t="s">
        <v>12838</v>
      </c>
      <c r="J3011" s="193" t="s">
        <v>146</v>
      </c>
      <c r="K3011" s="168"/>
      <c r="L3011" s="193" t="s">
        <v>146</v>
      </c>
    </row>
    <row r="3012" spans="1:12" ht="15">
      <c r="A3012" s="67">
        <f t="shared" si="47"/>
        <v>3010</v>
      </c>
      <c r="B3012" s="164">
        <v>3010</v>
      </c>
      <c r="C3012" s="193" t="s">
        <v>4305</v>
      </c>
      <c r="D3012" s="195" t="s">
        <v>7573</v>
      </c>
      <c r="E3012" s="193" t="s">
        <v>567</v>
      </c>
      <c r="F3012" s="193" t="s">
        <v>114</v>
      </c>
      <c r="G3012" s="195" t="s">
        <v>11875</v>
      </c>
      <c r="H3012" s="166" t="s">
        <v>13436</v>
      </c>
      <c r="I3012" s="193" t="s">
        <v>12813</v>
      </c>
      <c r="J3012" s="193" t="s">
        <v>146</v>
      </c>
      <c r="K3012" s="168"/>
      <c r="L3012" s="193" t="s">
        <v>146</v>
      </c>
    </row>
    <row r="3013" spans="1:12" ht="60">
      <c r="A3013" s="67">
        <f t="shared" si="47"/>
        <v>3011</v>
      </c>
      <c r="B3013" s="164">
        <v>3011</v>
      </c>
      <c r="C3013" s="193" t="s">
        <v>4306</v>
      </c>
      <c r="D3013" s="195" t="s">
        <v>7574</v>
      </c>
      <c r="E3013" s="193" t="s">
        <v>9803</v>
      </c>
      <c r="F3013" s="193" t="s">
        <v>114</v>
      </c>
      <c r="G3013" s="195" t="s">
        <v>1048</v>
      </c>
      <c r="H3013" s="166" t="s">
        <v>13436</v>
      </c>
      <c r="I3013" s="193" t="s">
        <v>12818</v>
      </c>
      <c r="J3013" s="193" t="s">
        <v>146</v>
      </c>
      <c r="K3013" s="168"/>
      <c r="L3013" s="193" t="s">
        <v>13422</v>
      </c>
    </row>
    <row r="3014" spans="1:12" ht="30">
      <c r="A3014" s="67">
        <f t="shared" si="47"/>
        <v>3012</v>
      </c>
      <c r="B3014" s="164">
        <v>3012</v>
      </c>
      <c r="C3014" s="193" t="s">
        <v>4307</v>
      </c>
      <c r="D3014" s="195" t="s">
        <v>7575</v>
      </c>
      <c r="E3014" s="193" t="s">
        <v>9068</v>
      </c>
      <c r="F3014" s="193" t="s">
        <v>114</v>
      </c>
      <c r="G3014" s="195" t="s">
        <v>11876</v>
      </c>
      <c r="H3014" s="166" t="s">
        <v>13436</v>
      </c>
      <c r="I3014" s="193" t="s">
        <v>12825</v>
      </c>
      <c r="J3014" s="193" t="s">
        <v>146</v>
      </c>
      <c r="K3014" s="168"/>
      <c r="L3014" s="193" t="s">
        <v>13423</v>
      </c>
    </row>
    <row r="3015" spans="1:12" ht="15">
      <c r="A3015" s="67">
        <f t="shared" si="47"/>
        <v>3013</v>
      </c>
      <c r="B3015" s="164">
        <v>3013</v>
      </c>
      <c r="C3015" s="193" t="s">
        <v>4308</v>
      </c>
      <c r="D3015" s="195" t="s">
        <v>7576</v>
      </c>
      <c r="E3015" s="193" t="s">
        <v>9804</v>
      </c>
      <c r="F3015" s="193" t="s">
        <v>59</v>
      </c>
      <c r="G3015" s="195" t="s">
        <v>1239</v>
      </c>
      <c r="H3015" s="166" t="s">
        <v>13436</v>
      </c>
      <c r="I3015" s="193" t="s">
        <v>12808</v>
      </c>
      <c r="J3015" s="219" t="s">
        <v>146</v>
      </c>
      <c r="K3015" s="168"/>
      <c r="L3015" s="193"/>
    </row>
    <row r="3016" spans="1:12" ht="15">
      <c r="A3016" s="67">
        <f t="shared" si="47"/>
        <v>3014</v>
      </c>
      <c r="B3016" s="164">
        <v>3014</v>
      </c>
      <c r="C3016" s="193" t="s">
        <v>4309</v>
      </c>
      <c r="D3016" s="195" t="s">
        <v>7577</v>
      </c>
      <c r="E3016" s="193" t="s">
        <v>503</v>
      </c>
      <c r="F3016" s="193" t="s">
        <v>59</v>
      </c>
      <c r="G3016" s="195" t="s">
        <v>1146</v>
      </c>
      <c r="H3016" s="166" t="s">
        <v>13436</v>
      </c>
      <c r="I3016" s="193" t="s">
        <v>12825</v>
      </c>
      <c r="J3016" s="193" t="s">
        <v>146</v>
      </c>
      <c r="K3016" s="168"/>
      <c r="L3016" s="193"/>
    </row>
    <row r="3017" spans="1:12" ht="15">
      <c r="A3017" s="67">
        <f t="shared" si="47"/>
        <v>3015</v>
      </c>
      <c r="B3017" s="164">
        <v>3015</v>
      </c>
      <c r="C3017" s="193" t="s">
        <v>4310</v>
      </c>
      <c r="D3017" s="195" t="s">
        <v>7578</v>
      </c>
      <c r="E3017" s="193" t="s">
        <v>9805</v>
      </c>
      <c r="F3017" s="193" t="s">
        <v>114</v>
      </c>
      <c r="G3017" s="195" t="s">
        <v>11719</v>
      </c>
      <c r="H3017" s="166" t="s">
        <v>13436</v>
      </c>
      <c r="I3017" s="193" t="s">
        <v>12818</v>
      </c>
      <c r="J3017" s="193" t="s">
        <v>146</v>
      </c>
      <c r="K3017" s="168"/>
      <c r="L3017" s="193" t="s">
        <v>146</v>
      </c>
    </row>
    <row r="3018" spans="1:12" ht="15">
      <c r="A3018" s="67">
        <f t="shared" si="47"/>
        <v>3016</v>
      </c>
      <c r="B3018" s="164">
        <v>3016</v>
      </c>
      <c r="C3018" s="193" t="s">
        <v>4311</v>
      </c>
      <c r="D3018" s="195" t="s">
        <v>7579</v>
      </c>
      <c r="E3018" s="193" t="s">
        <v>9806</v>
      </c>
      <c r="F3018" s="193" t="s">
        <v>114</v>
      </c>
      <c r="G3018" s="195" t="s">
        <v>11877</v>
      </c>
      <c r="H3018" s="166" t="s">
        <v>13436</v>
      </c>
      <c r="I3018" s="193" t="s">
        <v>12827</v>
      </c>
      <c r="J3018" s="219" t="s">
        <v>146</v>
      </c>
      <c r="K3018" s="168"/>
      <c r="L3018" s="193" t="s">
        <v>146</v>
      </c>
    </row>
    <row r="3019" spans="1:12" ht="15">
      <c r="A3019" s="67">
        <f t="shared" si="47"/>
        <v>3017</v>
      </c>
      <c r="B3019" s="164">
        <v>3017</v>
      </c>
      <c r="C3019" s="193" t="s">
        <v>4312</v>
      </c>
      <c r="D3019" s="195" t="s">
        <v>7580</v>
      </c>
      <c r="E3019" s="193" t="s">
        <v>9807</v>
      </c>
      <c r="F3019" s="193" t="s">
        <v>59</v>
      </c>
      <c r="G3019" s="195" t="s">
        <v>867</v>
      </c>
      <c r="H3019" s="166" t="s">
        <v>13436</v>
      </c>
      <c r="I3019" s="193" t="s">
        <v>12818</v>
      </c>
      <c r="J3019" s="219" t="s">
        <v>146</v>
      </c>
      <c r="K3019" s="168"/>
      <c r="L3019" s="193"/>
    </row>
    <row r="3020" spans="1:12" ht="15">
      <c r="A3020" s="67">
        <f t="shared" si="47"/>
        <v>3018</v>
      </c>
      <c r="B3020" s="164">
        <v>3018</v>
      </c>
      <c r="C3020" s="193" t="s">
        <v>4313</v>
      </c>
      <c r="D3020" s="195" t="s">
        <v>7581</v>
      </c>
      <c r="E3020" s="193" t="s">
        <v>9808</v>
      </c>
      <c r="F3020" s="193" t="s">
        <v>114</v>
      </c>
      <c r="G3020" s="195" t="s">
        <v>796</v>
      </c>
      <c r="H3020" s="166" t="s">
        <v>13436</v>
      </c>
      <c r="I3020" s="193" t="s">
        <v>12827</v>
      </c>
      <c r="J3020" s="193" t="s">
        <v>146</v>
      </c>
      <c r="K3020" s="168"/>
      <c r="L3020" s="193" t="s">
        <v>146</v>
      </c>
    </row>
    <row r="3021" spans="1:12" ht="15">
      <c r="A3021" s="67">
        <f t="shared" si="47"/>
        <v>3019</v>
      </c>
      <c r="B3021" s="164">
        <v>3019</v>
      </c>
      <c r="C3021" s="193" t="s">
        <v>4314</v>
      </c>
      <c r="D3021" s="195" t="s">
        <v>7582</v>
      </c>
      <c r="E3021" s="193" t="s">
        <v>9809</v>
      </c>
      <c r="F3021" s="193" t="s">
        <v>59</v>
      </c>
      <c r="G3021" s="195" t="s">
        <v>11784</v>
      </c>
      <c r="H3021" s="166" t="s">
        <v>13436</v>
      </c>
      <c r="I3021" s="193" t="s">
        <v>12819</v>
      </c>
      <c r="J3021" s="219" t="s">
        <v>146</v>
      </c>
      <c r="K3021" s="168"/>
      <c r="L3021" s="193"/>
    </row>
    <row r="3022" spans="1:12" ht="30">
      <c r="A3022" s="67">
        <f t="shared" si="47"/>
        <v>3020</v>
      </c>
      <c r="B3022" s="164">
        <v>3020</v>
      </c>
      <c r="C3022" s="193" t="s">
        <v>4315</v>
      </c>
      <c r="D3022" s="195" t="s">
        <v>7583</v>
      </c>
      <c r="E3022" s="193" t="s">
        <v>9810</v>
      </c>
      <c r="F3022" s="193" t="s">
        <v>114</v>
      </c>
      <c r="G3022" s="195" t="s">
        <v>1100</v>
      </c>
      <c r="H3022" s="166" t="s">
        <v>13436</v>
      </c>
      <c r="I3022" s="193" t="s">
        <v>12819</v>
      </c>
      <c r="J3022" s="193" t="s">
        <v>12779</v>
      </c>
      <c r="K3022" s="168"/>
      <c r="L3022" s="193" t="s">
        <v>146</v>
      </c>
    </row>
    <row r="3023" spans="1:12" ht="30">
      <c r="A3023" s="67">
        <f t="shared" si="47"/>
        <v>3021</v>
      </c>
      <c r="B3023" s="164">
        <v>3021</v>
      </c>
      <c r="C3023" s="193" t="s">
        <v>4316</v>
      </c>
      <c r="D3023" s="197" t="s">
        <v>7584</v>
      </c>
      <c r="E3023" s="193" t="s">
        <v>9811</v>
      </c>
      <c r="F3023" s="193" t="s">
        <v>114</v>
      </c>
      <c r="G3023" s="195" t="s">
        <v>1052</v>
      </c>
      <c r="H3023" s="166" t="s">
        <v>13436</v>
      </c>
      <c r="I3023" s="193" t="s">
        <v>12816</v>
      </c>
      <c r="J3023" s="193" t="s">
        <v>12618</v>
      </c>
      <c r="K3023" s="168"/>
      <c r="L3023" s="193" t="s">
        <v>146</v>
      </c>
    </row>
    <row r="3024" spans="1:12" ht="15">
      <c r="A3024" s="67">
        <f t="shared" si="47"/>
        <v>3022</v>
      </c>
      <c r="B3024" s="164">
        <v>3022</v>
      </c>
      <c r="C3024" s="193" t="s">
        <v>4317</v>
      </c>
      <c r="D3024" s="197" t="s">
        <v>7585</v>
      </c>
      <c r="E3024" s="193" t="s">
        <v>446</v>
      </c>
      <c r="F3024" s="193" t="s">
        <v>114</v>
      </c>
      <c r="G3024" s="195" t="s">
        <v>11878</v>
      </c>
      <c r="H3024" s="166" t="s">
        <v>13436</v>
      </c>
      <c r="I3024" s="193" t="s">
        <v>12816</v>
      </c>
      <c r="J3024" s="193" t="s">
        <v>146</v>
      </c>
      <c r="K3024" s="168"/>
      <c r="L3024" s="193" t="s">
        <v>146</v>
      </c>
    </row>
    <row r="3025" spans="1:12" ht="30">
      <c r="A3025" s="67">
        <f t="shared" si="47"/>
        <v>3023</v>
      </c>
      <c r="B3025" s="164">
        <v>3023</v>
      </c>
      <c r="C3025" s="193" t="s">
        <v>4318</v>
      </c>
      <c r="D3025" s="197" t="s">
        <v>7586</v>
      </c>
      <c r="E3025" s="193" t="s">
        <v>9812</v>
      </c>
      <c r="F3025" s="193" t="s">
        <v>114</v>
      </c>
      <c r="G3025" s="195" t="s">
        <v>1142</v>
      </c>
      <c r="H3025" s="166" t="s">
        <v>13436</v>
      </c>
      <c r="I3025" s="193" t="s">
        <v>12816</v>
      </c>
      <c r="J3025" s="193" t="s">
        <v>12780</v>
      </c>
      <c r="K3025" s="168"/>
      <c r="L3025" s="193" t="s">
        <v>13424</v>
      </c>
    </row>
    <row r="3026" spans="1:12" ht="15">
      <c r="A3026" s="67">
        <f t="shared" si="47"/>
        <v>3024</v>
      </c>
      <c r="B3026" s="164">
        <v>3024</v>
      </c>
      <c r="C3026" s="193" t="s">
        <v>4319</v>
      </c>
      <c r="D3026" s="195" t="s">
        <v>7587</v>
      </c>
      <c r="E3026" s="193" t="s">
        <v>595</v>
      </c>
      <c r="F3026" s="193" t="s">
        <v>59</v>
      </c>
      <c r="G3026" s="195" t="s">
        <v>1130</v>
      </c>
      <c r="H3026" s="166" t="s">
        <v>13436</v>
      </c>
      <c r="I3026" s="193" t="s">
        <v>12818</v>
      </c>
      <c r="J3026" s="219" t="s">
        <v>147</v>
      </c>
      <c r="K3026" s="168"/>
      <c r="L3026" s="193"/>
    </row>
    <row r="3027" spans="1:12" ht="30">
      <c r="A3027" s="67">
        <f t="shared" si="47"/>
        <v>3025</v>
      </c>
      <c r="B3027" s="164">
        <v>3025</v>
      </c>
      <c r="C3027" s="193" t="s">
        <v>4320</v>
      </c>
      <c r="D3027" s="199" t="s">
        <v>7588</v>
      </c>
      <c r="E3027" s="193" t="s">
        <v>161</v>
      </c>
      <c r="F3027" s="193" t="s">
        <v>114</v>
      </c>
      <c r="G3027" s="195" t="s">
        <v>11879</v>
      </c>
      <c r="H3027" s="166" t="s">
        <v>13436</v>
      </c>
      <c r="I3027" s="193" t="s">
        <v>12831</v>
      </c>
      <c r="J3027" s="193" t="s">
        <v>12781</v>
      </c>
      <c r="K3027" s="168"/>
      <c r="L3027" s="193" t="s">
        <v>146</v>
      </c>
    </row>
    <row r="3028" spans="1:12" ht="15">
      <c r="A3028" s="67">
        <f t="shared" si="47"/>
        <v>3026</v>
      </c>
      <c r="B3028" s="164">
        <v>3026</v>
      </c>
      <c r="C3028" s="193" t="s">
        <v>4321</v>
      </c>
      <c r="D3028" s="197" t="s">
        <v>7589</v>
      </c>
      <c r="E3028" s="193" t="s">
        <v>9813</v>
      </c>
      <c r="F3028" s="193" t="s">
        <v>59</v>
      </c>
      <c r="G3028" s="195" t="s">
        <v>1094</v>
      </c>
      <c r="H3028" s="166" t="s">
        <v>13436</v>
      </c>
      <c r="I3028" s="193" t="s">
        <v>12816</v>
      </c>
      <c r="J3028" s="193" t="s">
        <v>146</v>
      </c>
      <c r="K3028" s="168"/>
      <c r="L3028" s="193"/>
    </row>
    <row r="3029" spans="1:12" ht="30">
      <c r="A3029" s="67">
        <f t="shared" si="47"/>
        <v>3027</v>
      </c>
      <c r="B3029" s="164">
        <v>3027</v>
      </c>
      <c r="C3029" s="193" t="s">
        <v>4322</v>
      </c>
      <c r="D3029" s="199" t="s">
        <v>7590</v>
      </c>
      <c r="E3029" s="193" t="s">
        <v>9814</v>
      </c>
      <c r="F3029" s="193" t="s">
        <v>114</v>
      </c>
      <c r="G3029" s="195" t="s">
        <v>1172</v>
      </c>
      <c r="H3029" s="166" t="s">
        <v>13436</v>
      </c>
      <c r="I3029" s="193" t="s">
        <v>12831</v>
      </c>
      <c r="J3029" s="193" t="s">
        <v>146</v>
      </c>
      <c r="K3029" s="168"/>
      <c r="L3029" s="193" t="s">
        <v>13425</v>
      </c>
    </row>
    <row r="3030" spans="1:12" ht="15">
      <c r="A3030" s="67">
        <f t="shared" si="47"/>
        <v>3028</v>
      </c>
      <c r="B3030" s="164">
        <v>3028</v>
      </c>
      <c r="C3030" s="193" t="s">
        <v>4323</v>
      </c>
      <c r="D3030" s="197" t="s">
        <v>7591</v>
      </c>
      <c r="E3030" s="193" t="s">
        <v>9261</v>
      </c>
      <c r="F3030" s="193" t="s">
        <v>114</v>
      </c>
      <c r="G3030" s="195" t="s">
        <v>11880</v>
      </c>
      <c r="H3030" s="166" t="s">
        <v>13436</v>
      </c>
      <c r="I3030" s="193" t="s">
        <v>12816</v>
      </c>
      <c r="J3030" s="193" t="s">
        <v>146</v>
      </c>
      <c r="K3030" s="168"/>
      <c r="L3030" s="193" t="s">
        <v>146</v>
      </c>
    </row>
    <row r="3031" spans="1:12" ht="15">
      <c r="A3031" s="67">
        <f t="shared" si="47"/>
        <v>3029</v>
      </c>
      <c r="B3031" s="164">
        <v>3029</v>
      </c>
      <c r="C3031" s="193" t="s">
        <v>4324</v>
      </c>
      <c r="D3031" s="195" t="s">
        <v>7592</v>
      </c>
      <c r="E3031" s="193" t="s">
        <v>9815</v>
      </c>
      <c r="F3031" s="193" t="s">
        <v>114</v>
      </c>
      <c r="G3031" s="195" t="s">
        <v>11881</v>
      </c>
      <c r="H3031" s="166" t="s">
        <v>13436</v>
      </c>
      <c r="I3031" s="193" t="s">
        <v>12814</v>
      </c>
      <c r="J3031" s="193" t="s">
        <v>146</v>
      </c>
      <c r="K3031" s="168"/>
      <c r="L3031" s="193" t="s">
        <v>146</v>
      </c>
    </row>
    <row r="3032" spans="1:12" ht="30">
      <c r="A3032" s="67">
        <f t="shared" si="47"/>
        <v>3030</v>
      </c>
      <c r="B3032" s="164">
        <v>3030</v>
      </c>
      <c r="C3032" s="193" t="s">
        <v>4325</v>
      </c>
      <c r="D3032" s="197" t="s">
        <v>7593</v>
      </c>
      <c r="E3032" s="193" t="s">
        <v>9001</v>
      </c>
      <c r="F3032" s="193" t="s">
        <v>114</v>
      </c>
      <c r="G3032" s="195" t="s">
        <v>11882</v>
      </c>
      <c r="H3032" s="166" t="s">
        <v>13436</v>
      </c>
      <c r="I3032" s="193" t="s">
        <v>12816</v>
      </c>
      <c r="J3032" s="193" t="s">
        <v>12782</v>
      </c>
      <c r="K3032" s="168"/>
      <c r="L3032" s="193" t="s">
        <v>146</v>
      </c>
    </row>
    <row r="3033" spans="1:12" ht="15">
      <c r="A3033" s="67">
        <f t="shared" si="47"/>
        <v>3031</v>
      </c>
      <c r="B3033" s="164">
        <v>3031</v>
      </c>
      <c r="C3033" s="193" t="s">
        <v>4326</v>
      </c>
      <c r="D3033" s="195" t="s">
        <v>7594</v>
      </c>
      <c r="E3033" s="193" t="s">
        <v>8772</v>
      </c>
      <c r="F3033" s="193" t="s">
        <v>114</v>
      </c>
      <c r="G3033" s="195" t="s">
        <v>11883</v>
      </c>
      <c r="H3033" s="166" t="s">
        <v>13436</v>
      </c>
      <c r="I3033" s="193" t="s">
        <v>12814</v>
      </c>
      <c r="J3033" s="193" t="s">
        <v>146</v>
      </c>
      <c r="K3033" s="168"/>
      <c r="L3033" s="193" t="s">
        <v>146</v>
      </c>
    </row>
    <row r="3034" spans="1:12" ht="15">
      <c r="A3034" s="67">
        <f t="shared" si="47"/>
        <v>3032</v>
      </c>
      <c r="B3034" s="164">
        <v>3032</v>
      </c>
      <c r="C3034" s="193" t="s">
        <v>4327</v>
      </c>
      <c r="D3034" s="197" t="s">
        <v>7595</v>
      </c>
      <c r="E3034" s="193" t="s">
        <v>9816</v>
      </c>
      <c r="F3034" s="193" t="s">
        <v>59</v>
      </c>
      <c r="G3034" s="195" t="s">
        <v>11884</v>
      </c>
      <c r="H3034" s="166" t="s">
        <v>13436</v>
      </c>
      <c r="I3034" s="193" t="s">
        <v>12816</v>
      </c>
      <c r="J3034" s="219" t="s">
        <v>12247</v>
      </c>
      <c r="K3034" s="168"/>
      <c r="L3034" s="193"/>
    </row>
    <row r="3035" spans="1:12" ht="15">
      <c r="A3035" s="67">
        <f t="shared" si="47"/>
        <v>3033</v>
      </c>
      <c r="B3035" s="164">
        <v>3033</v>
      </c>
      <c r="C3035" s="193" t="s">
        <v>4328</v>
      </c>
      <c r="D3035" s="195" t="s">
        <v>7596</v>
      </c>
      <c r="E3035" s="193" t="s">
        <v>9817</v>
      </c>
      <c r="F3035" s="193" t="s">
        <v>114</v>
      </c>
      <c r="G3035" s="195" t="s">
        <v>1047</v>
      </c>
      <c r="H3035" s="166" t="s">
        <v>13436</v>
      </c>
      <c r="I3035" s="193" t="s">
        <v>12814</v>
      </c>
      <c r="J3035" s="193" t="s">
        <v>146</v>
      </c>
      <c r="K3035" s="168"/>
      <c r="L3035" s="193" t="s">
        <v>146</v>
      </c>
    </row>
    <row r="3036" spans="1:12" ht="15">
      <c r="A3036" s="67">
        <f t="shared" si="47"/>
        <v>3034</v>
      </c>
      <c r="B3036" s="164">
        <v>3034</v>
      </c>
      <c r="C3036" s="193" t="s">
        <v>4329</v>
      </c>
      <c r="D3036" s="195" t="s">
        <v>7597</v>
      </c>
      <c r="E3036" s="193" t="s">
        <v>421</v>
      </c>
      <c r="F3036" s="193" t="s">
        <v>114</v>
      </c>
      <c r="G3036" s="195" t="s">
        <v>11885</v>
      </c>
      <c r="H3036" s="166" t="s">
        <v>13436</v>
      </c>
      <c r="I3036" s="193" t="s">
        <v>12817</v>
      </c>
      <c r="J3036" s="193" t="s">
        <v>146</v>
      </c>
      <c r="K3036" s="168"/>
      <c r="L3036" s="193" t="s">
        <v>146</v>
      </c>
    </row>
    <row r="3037" spans="1:12" ht="15">
      <c r="A3037" s="67">
        <f t="shared" si="47"/>
        <v>3035</v>
      </c>
      <c r="B3037" s="164">
        <v>3035</v>
      </c>
      <c r="C3037" s="193" t="s">
        <v>4330</v>
      </c>
      <c r="D3037" s="208" t="s">
        <v>7598</v>
      </c>
      <c r="E3037" s="193" t="s">
        <v>9818</v>
      </c>
      <c r="F3037" s="193" t="s">
        <v>59</v>
      </c>
      <c r="G3037" s="195" t="s">
        <v>11886</v>
      </c>
      <c r="H3037" s="166" t="s">
        <v>13436</v>
      </c>
      <c r="I3037" s="193" t="s">
        <v>12816</v>
      </c>
      <c r="J3037" s="193" t="s">
        <v>146</v>
      </c>
      <c r="K3037" s="168"/>
      <c r="L3037" s="193"/>
    </row>
    <row r="3038" spans="1:12" ht="15">
      <c r="A3038" s="67">
        <f t="shared" si="47"/>
        <v>3036</v>
      </c>
      <c r="B3038" s="164">
        <v>3036</v>
      </c>
      <c r="C3038" s="193" t="s">
        <v>4331</v>
      </c>
      <c r="D3038" s="195" t="s">
        <v>7599</v>
      </c>
      <c r="E3038" s="193" t="s">
        <v>9819</v>
      </c>
      <c r="F3038" s="193" t="s">
        <v>114</v>
      </c>
      <c r="G3038" s="195" t="s">
        <v>11887</v>
      </c>
      <c r="H3038" s="166" t="s">
        <v>13436</v>
      </c>
      <c r="I3038" s="193" t="s">
        <v>12814</v>
      </c>
      <c r="J3038" s="219" t="s">
        <v>146</v>
      </c>
      <c r="K3038" s="168"/>
      <c r="L3038" s="193" t="s">
        <v>146</v>
      </c>
    </row>
    <row r="3039" spans="1:12" ht="15">
      <c r="A3039" s="67">
        <f t="shared" si="47"/>
        <v>3037</v>
      </c>
      <c r="B3039" s="164">
        <v>3037</v>
      </c>
      <c r="C3039" s="193" t="s">
        <v>4332</v>
      </c>
      <c r="D3039" s="199" t="s">
        <v>7600</v>
      </c>
      <c r="E3039" s="193" t="s">
        <v>431</v>
      </c>
      <c r="F3039" s="193" t="s">
        <v>59</v>
      </c>
      <c r="G3039" s="195" t="s">
        <v>1134</v>
      </c>
      <c r="H3039" s="166" t="s">
        <v>13436</v>
      </c>
      <c r="I3039" s="193" t="s">
        <v>12828</v>
      </c>
      <c r="J3039" s="193" t="s">
        <v>146</v>
      </c>
      <c r="K3039" s="168"/>
      <c r="L3039" s="193"/>
    </row>
    <row r="3040" spans="1:12" ht="15">
      <c r="A3040" s="67">
        <f t="shared" si="47"/>
        <v>3038</v>
      </c>
      <c r="B3040" s="164">
        <v>3038</v>
      </c>
      <c r="C3040" s="193" t="s">
        <v>4333</v>
      </c>
      <c r="D3040" s="199" t="s">
        <v>7601</v>
      </c>
      <c r="E3040" s="193" t="s">
        <v>9820</v>
      </c>
      <c r="F3040" s="193" t="s">
        <v>59</v>
      </c>
      <c r="G3040" s="195" t="s">
        <v>11888</v>
      </c>
      <c r="H3040" s="166" t="s">
        <v>13436</v>
      </c>
      <c r="I3040" s="193" t="s">
        <v>12839</v>
      </c>
      <c r="J3040" s="193" t="s">
        <v>146</v>
      </c>
      <c r="K3040" s="168"/>
      <c r="L3040" s="193"/>
    </row>
    <row r="3041" spans="1:12" ht="15">
      <c r="A3041" s="67">
        <f t="shared" si="47"/>
        <v>3039</v>
      </c>
      <c r="B3041" s="164">
        <v>3039</v>
      </c>
      <c r="C3041" s="193" t="s">
        <v>4334</v>
      </c>
      <c r="D3041" s="199" t="s">
        <v>7602</v>
      </c>
      <c r="E3041" s="193" t="s">
        <v>9821</v>
      </c>
      <c r="F3041" s="193" t="s">
        <v>114</v>
      </c>
      <c r="G3041" s="195" t="s">
        <v>11889</v>
      </c>
      <c r="H3041" s="166" t="s">
        <v>13436</v>
      </c>
      <c r="I3041" s="193" t="s">
        <v>12828</v>
      </c>
      <c r="J3041" s="193" t="s">
        <v>146</v>
      </c>
      <c r="K3041" s="168"/>
      <c r="L3041" s="193" t="s">
        <v>146</v>
      </c>
    </row>
    <row r="3042" spans="1:12" ht="15">
      <c r="A3042" s="67">
        <f t="shared" si="47"/>
        <v>3040</v>
      </c>
      <c r="B3042" s="164">
        <v>3040</v>
      </c>
      <c r="C3042" s="193" t="s">
        <v>4335</v>
      </c>
      <c r="D3042" s="199" t="s">
        <v>7603</v>
      </c>
      <c r="E3042" s="193" t="s">
        <v>9406</v>
      </c>
      <c r="F3042" s="193" t="s">
        <v>59</v>
      </c>
      <c r="G3042" s="195" t="s">
        <v>11890</v>
      </c>
      <c r="H3042" s="166" t="s">
        <v>13436</v>
      </c>
      <c r="I3042" s="193" t="s">
        <v>12828</v>
      </c>
      <c r="J3042" s="193" t="s">
        <v>146</v>
      </c>
      <c r="K3042" s="168"/>
      <c r="L3042" s="193"/>
    </row>
    <row r="3043" spans="1:12" ht="15">
      <c r="A3043" s="67">
        <f t="shared" si="47"/>
        <v>3041</v>
      </c>
      <c r="B3043" s="164">
        <v>3041</v>
      </c>
      <c r="C3043" s="193" t="s">
        <v>4336</v>
      </c>
      <c r="D3043" s="199" t="s">
        <v>7604</v>
      </c>
      <c r="E3043" s="193" t="s">
        <v>9822</v>
      </c>
      <c r="F3043" s="193" t="s">
        <v>59</v>
      </c>
      <c r="G3043" s="195" t="s">
        <v>11891</v>
      </c>
      <c r="H3043" s="166" t="s">
        <v>13436</v>
      </c>
      <c r="I3043" s="193" t="s">
        <v>12828</v>
      </c>
      <c r="J3043" s="193" t="s">
        <v>147</v>
      </c>
      <c r="K3043" s="168"/>
      <c r="L3043" s="193"/>
    </row>
    <row r="3044" spans="1:12" ht="15">
      <c r="A3044" s="67">
        <f t="shared" si="47"/>
        <v>3042</v>
      </c>
      <c r="B3044" s="164">
        <v>3042</v>
      </c>
      <c r="C3044" s="193" t="s">
        <v>4337</v>
      </c>
      <c r="D3044" s="195" t="s">
        <v>7605</v>
      </c>
      <c r="E3044" s="193" t="s">
        <v>9823</v>
      </c>
      <c r="F3044" s="193" t="s">
        <v>59</v>
      </c>
      <c r="G3044" s="195" t="s">
        <v>830</v>
      </c>
      <c r="H3044" s="166" t="s">
        <v>13436</v>
      </c>
      <c r="I3044" s="193" t="s">
        <v>1250</v>
      </c>
      <c r="J3044" s="193" t="s">
        <v>146</v>
      </c>
      <c r="K3044" s="168"/>
      <c r="L3044" s="193"/>
    </row>
    <row r="3045" spans="1:12" ht="15">
      <c r="A3045" s="67">
        <f t="shared" si="47"/>
        <v>3043</v>
      </c>
      <c r="B3045" s="164">
        <v>3043</v>
      </c>
      <c r="C3045" s="193" t="s">
        <v>4338</v>
      </c>
      <c r="D3045" s="213" t="s">
        <v>7606</v>
      </c>
      <c r="E3045" s="193" t="s">
        <v>9824</v>
      </c>
      <c r="F3045" s="193" t="s">
        <v>114</v>
      </c>
      <c r="G3045" s="195" t="s">
        <v>1210</v>
      </c>
      <c r="H3045" s="166" t="s">
        <v>13436</v>
      </c>
      <c r="I3045" s="193" t="s">
        <v>12819</v>
      </c>
      <c r="J3045" s="193" t="s">
        <v>146</v>
      </c>
      <c r="K3045" s="168"/>
      <c r="L3045" s="193" t="s">
        <v>146</v>
      </c>
    </row>
    <row r="3046" spans="1:12" ht="30">
      <c r="A3046" s="67">
        <f t="shared" si="47"/>
        <v>3044</v>
      </c>
      <c r="B3046" s="164">
        <v>3044</v>
      </c>
      <c r="C3046" s="193" t="s">
        <v>4339</v>
      </c>
      <c r="D3046" s="195" t="s">
        <v>7607</v>
      </c>
      <c r="E3046" s="193" t="s">
        <v>9825</v>
      </c>
      <c r="F3046" s="193" t="s">
        <v>114</v>
      </c>
      <c r="G3046" s="195" t="s">
        <v>11892</v>
      </c>
      <c r="H3046" s="166" t="s">
        <v>13436</v>
      </c>
      <c r="I3046" s="193" t="s">
        <v>12817</v>
      </c>
      <c r="J3046" s="193" t="s">
        <v>12783</v>
      </c>
      <c r="K3046" s="168"/>
      <c r="L3046" s="193" t="s">
        <v>146</v>
      </c>
    </row>
    <row r="3047" spans="1:12" ht="30">
      <c r="A3047" s="67">
        <f t="shared" si="47"/>
        <v>3045</v>
      </c>
      <c r="B3047" s="164">
        <v>3045</v>
      </c>
      <c r="C3047" s="193" t="s">
        <v>4340</v>
      </c>
      <c r="D3047" s="195" t="s">
        <v>7608</v>
      </c>
      <c r="E3047" s="193" t="s">
        <v>9826</v>
      </c>
      <c r="F3047" s="193" t="s">
        <v>114</v>
      </c>
      <c r="G3047" s="195" t="s">
        <v>1218</v>
      </c>
      <c r="H3047" s="166" t="s">
        <v>13436</v>
      </c>
      <c r="I3047" s="193" t="s">
        <v>12825</v>
      </c>
      <c r="J3047" s="193" t="s">
        <v>12736</v>
      </c>
      <c r="K3047" s="168"/>
      <c r="L3047" s="193" t="s">
        <v>146</v>
      </c>
    </row>
    <row r="3048" spans="1:12" ht="15">
      <c r="A3048" s="67">
        <f t="shared" si="47"/>
        <v>3046</v>
      </c>
      <c r="B3048" s="164">
        <v>3046</v>
      </c>
      <c r="C3048" s="193" t="s">
        <v>4341</v>
      </c>
      <c r="D3048" s="195" t="s">
        <v>7609</v>
      </c>
      <c r="E3048" s="193" t="s">
        <v>9827</v>
      </c>
      <c r="F3048" s="193" t="s">
        <v>114</v>
      </c>
      <c r="G3048" s="195" t="s">
        <v>1175</v>
      </c>
      <c r="H3048" s="166" t="s">
        <v>13436</v>
      </c>
      <c r="I3048" s="193" t="s">
        <v>12813</v>
      </c>
      <c r="J3048" s="193" t="s">
        <v>146</v>
      </c>
      <c r="K3048" s="168"/>
      <c r="L3048" s="193" t="s">
        <v>146</v>
      </c>
    </row>
    <row r="3049" spans="1:12" ht="15">
      <c r="A3049" s="67">
        <f t="shared" si="47"/>
        <v>3047</v>
      </c>
      <c r="B3049" s="164">
        <v>3047</v>
      </c>
      <c r="C3049" s="193" t="s">
        <v>4342</v>
      </c>
      <c r="D3049" s="195" t="s">
        <v>7610</v>
      </c>
      <c r="E3049" s="193" t="s">
        <v>9828</v>
      </c>
      <c r="F3049" s="193" t="s">
        <v>114</v>
      </c>
      <c r="G3049" s="195" t="s">
        <v>11695</v>
      </c>
      <c r="H3049" s="166" t="s">
        <v>13436</v>
      </c>
      <c r="I3049" s="193" t="s">
        <v>12814</v>
      </c>
      <c r="J3049" s="193" t="s">
        <v>146</v>
      </c>
      <c r="K3049" s="168"/>
      <c r="L3049" s="193" t="s">
        <v>146</v>
      </c>
    </row>
    <row r="3050" spans="1:12" ht="15">
      <c r="A3050" s="67">
        <f t="shared" si="47"/>
        <v>3048</v>
      </c>
      <c r="B3050" s="164">
        <v>3048</v>
      </c>
      <c r="C3050" s="193" t="s">
        <v>4343</v>
      </c>
      <c r="D3050" s="195" t="s">
        <v>7611</v>
      </c>
      <c r="E3050" s="193" t="s">
        <v>9829</v>
      </c>
      <c r="F3050" s="193" t="s">
        <v>114</v>
      </c>
      <c r="G3050" s="195" t="s">
        <v>888</v>
      </c>
      <c r="H3050" s="166" t="s">
        <v>13436</v>
      </c>
      <c r="I3050" s="193" t="s">
        <v>12813</v>
      </c>
      <c r="J3050" s="193" t="s">
        <v>146</v>
      </c>
      <c r="K3050" s="168"/>
      <c r="L3050" s="193" t="s">
        <v>146</v>
      </c>
    </row>
    <row r="3051" spans="1:12" ht="30">
      <c r="A3051" s="67">
        <f t="shared" si="47"/>
        <v>3049</v>
      </c>
      <c r="B3051" s="164">
        <v>3049</v>
      </c>
      <c r="C3051" s="193" t="s">
        <v>4344</v>
      </c>
      <c r="D3051" s="195" t="s">
        <v>7612</v>
      </c>
      <c r="E3051" s="193" t="s">
        <v>9830</v>
      </c>
      <c r="F3051" s="193" t="s">
        <v>114</v>
      </c>
      <c r="G3051" s="195" t="s">
        <v>11893</v>
      </c>
      <c r="H3051" s="166" t="s">
        <v>13436</v>
      </c>
      <c r="I3051" s="193" t="s">
        <v>12814</v>
      </c>
      <c r="J3051" s="193" t="s">
        <v>12784</v>
      </c>
      <c r="K3051" s="168"/>
      <c r="L3051" s="193" t="s">
        <v>146</v>
      </c>
    </row>
    <row r="3052" spans="1:12" ht="15">
      <c r="A3052" s="67">
        <f t="shared" si="47"/>
        <v>3050</v>
      </c>
      <c r="B3052" s="164">
        <v>3050</v>
      </c>
      <c r="C3052" s="193" t="s">
        <v>4345</v>
      </c>
      <c r="D3052" s="197" t="s">
        <v>7613</v>
      </c>
      <c r="E3052" s="193" t="s">
        <v>9831</v>
      </c>
      <c r="F3052" s="193" t="s">
        <v>59</v>
      </c>
      <c r="G3052" s="195" t="s">
        <v>11894</v>
      </c>
      <c r="H3052" s="166" t="s">
        <v>13436</v>
      </c>
      <c r="I3052" s="193" t="s">
        <v>12816</v>
      </c>
      <c r="J3052" s="193" t="s">
        <v>147</v>
      </c>
      <c r="K3052" s="168"/>
      <c r="L3052" s="193"/>
    </row>
    <row r="3053" spans="1:12" ht="15">
      <c r="A3053" s="67">
        <f t="shared" si="47"/>
        <v>3051</v>
      </c>
      <c r="B3053" s="164">
        <v>3051</v>
      </c>
      <c r="C3053" s="193" t="s">
        <v>4346</v>
      </c>
      <c r="D3053" s="195" t="s">
        <v>7614</v>
      </c>
      <c r="E3053" s="193" t="s">
        <v>601</v>
      </c>
      <c r="F3053" s="193" t="s">
        <v>114</v>
      </c>
      <c r="G3053" s="195" t="s">
        <v>963</v>
      </c>
      <c r="H3053" s="166" t="s">
        <v>13436</v>
      </c>
      <c r="I3053" s="193" t="s">
        <v>12819</v>
      </c>
      <c r="J3053" s="219" t="s">
        <v>146</v>
      </c>
      <c r="K3053" s="168"/>
      <c r="L3053" s="219" t="s">
        <v>146</v>
      </c>
    </row>
    <row r="3054" spans="1:12" ht="30">
      <c r="A3054" s="67">
        <f t="shared" si="47"/>
        <v>3052</v>
      </c>
      <c r="B3054" s="164">
        <v>3052</v>
      </c>
      <c r="C3054" s="193" t="s">
        <v>4347</v>
      </c>
      <c r="D3054" s="195" t="s">
        <v>7615</v>
      </c>
      <c r="E3054" s="193" t="s">
        <v>9832</v>
      </c>
      <c r="F3054" s="193" t="s">
        <v>114</v>
      </c>
      <c r="G3054" s="195" t="s">
        <v>1113</v>
      </c>
      <c r="H3054" s="166" t="s">
        <v>13436</v>
      </c>
      <c r="I3054" s="193" t="s">
        <v>12819</v>
      </c>
      <c r="J3054" s="193" t="s">
        <v>12785</v>
      </c>
      <c r="K3054" s="168"/>
      <c r="L3054" s="193" t="s">
        <v>146</v>
      </c>
    </row>
    <row r="3055" spans="1:12" ht="15">
      <c r="A3055" s="67">
        <f t="shared" si="47"/>
        <v>3053</v>
      </c>
      <c r="B3055" s="164">
        <v>3053</v>
      </c>
      <c r="C3055" s="193" t="s">
        <v>4348</v>
      </c>
      <c r="D3055" s="195" t="s">
        <v>7616</v>
      </c>
      <c r="E3055" s="193" t="s">
        <v>9833</v>
      </c>
      <c r="F3055" s="193" t="s">
        <v>59</v>
      </c>
      <c r="G3055" s="195" t="s">
        <v>11895</v>
      </c>
      <c r="H3055" s="166" t="s">
        <v>13436</v>
      </c>
      <c r="I3055" s="193" t="s">
        <v>12819</v>
      </c>
      <c r="J3055" s="193" t="s">
        <v>146</v>
      </c>
      <c r="K3055" s="168"/>
      <c r="L3055" s="193"/>
    </row>
    <row r="3056" spans="1:12" ht="30">
      <c r="A3056" s="67">
        <f t="shared" si="47"/>
        <v>3054</v>
      </c>
      <c r="B3056" s="164">
        <v>3054</v>
      </c>
      <c r="C3056" s="193" t="s">
        <v>4349</v>
      </c>
      <c r="D3056" s="195" t="s">
        <v>7617</v>
      </c>
      <c r="E3056" s="193" t="s">
        <v>9834</v>
      </c>
      <c r="F3056" s="193" t="s">
        <v>114</v>
      </c>
      <c r="G3056" s="195" t="s">
        <v>11896</v>
      </c>
      <c r="H3056" s="166" t="s">
        <v>13436</v>
      </c>
      <c r="I3056" s="193" t="s">
        <v>12814</v>
      </c>
      <c r="J3056" s="193" t="s">
        <v>1283</v>
      </c>
      <c r="K3056" s="168"/>
      <c r="L3056" s="193" t="s">
        <v>146</v>
      </c>
    </row>
    <row r="3057" spans="1:12" ht="75">
      <c r="A3057" s="67">
        <f t="shared" si="47"/>
        <v>3055</v>
      </c>
      <c r="B3057" s="164">
        <v>3055</v>
      </c>
      <c r="C3057" s="193" t="s">
        <v>4350</v>
      </c>
      <c r="D3057" s="195" t="s">
        <v>7618</v>
      </c>
      <c r="E3057" s="193" t="s">
        <v>9835</v>
      </c>
      <c r="F3057" s="193" t="s">
        <v>114</v>
      </c>
      <c r="G3057" s="195" t="s">
        <v>11897</v>
      </c>
      <c r="H3057" s="166" t="s">
        <v>13436</v>
      </c>
      <c r="I3057" s="193" t="s">
        <v>12814</v>
      </c>
      <c r="J3057" s="193" t="s">
        <v>146</v>
      </c>
      <c r="K3057" s="168"/>
      <c r="L3057" s="193" t="s">
        <v>13426</v>
      </c>
    </row>
    <row r="3058" spans="1:12" ht="15">
      <c r="A3058" s="67">
        <f t="shared" si="47"/>
        <v>3056</v>
      </c>
      <c r="B3058" s="164">
        <v>3056</v>
      </c>
      <c r="C3058" s="193" t="s">
        <v>4351</v>
      </c>
      <c r="D3058" s="195" t="s">
        <v>7619</v>
      </c>
      <c r="E3058" s="193" t="s">
        <v>9836</v>
      </c>
      <c r="F3058" s="193" t="s">
        <v>114</v>
      </c>
      <c r="G3058" s="195" t="s">
        <v>1199</v>
      </c>
      <c r="H3058" s="166" t="s">
        <v>13436</v>
      </c>
      <c r="I3058" s="193" t="s">
        <v>12818</v>
      </c>
      <c r="J3058" s="193" t="s">
        <v>146</v>
      </c>
      <c r="K3058" s="168"/>
      <c r="L3058" s="193" t="s">
        <v>146</v>
      </c>
    </row>
    <row r="3059" spans="1:12" ht="15">
      <c r="A3059" s="67">
        <f t="shared" si="47"/>
        <v>3057</v>
      </c>
      <c r="B3059" s="164">
        <v>3057</v>
      </c>
      <c r="C3059" s="193" t="s">
        <v>4352</v>
      </c>
      <c r="D3059" s="195" t="s">
        <v>7620</v>
      </c>
      <c r="E3059" s="193" t="s">
        <v>482</v>
      </c>
      <c r="F3059" s="193" t="s">
        <v>114</v>
      </c>
      <c r="G3059" s="195" t="s">
        <v>11898</v>
      </c>
      <c r="H3059" s="166" t="s">
        <v>13436</v>
      </c>
      <c r="I3059" s="193" t="s">
        <v>12819</v>
      </c>
      <c r="J3059" s="193" t="s">
        <v>146</v>
      </c>
      <c r="K3059" s="168"/>
      <c r="L3059" s="193" t="s">
        <v>146</v>
      </c>
    </row>
    <row r="3060" spans="1:12" ht="15">
      <c r="A3060" s="67">
        <f t="shared" si="47"/>
        <v>3058</v>
      </c>
      <c r="B3060" s="164">
        <v>3058</v>
      </c>
      <c r="C3060" s="193" t="s">
        <v>4353</v>
      </c>
      <c r="D3060" s="195" t="s">
        <v>7621</v>
      </c>
      <c r="E3060" s="193" t="s">
        <v>9837</v>
      </c>
      <c r="F3060" s="193" t="s">
        <v>59</v>
      </c>
      <c r="G3060" s="195" t="s">
        <v>1024</v>
      </c>
      <c r="H3060" s="166" t="s">
        <v>13436</v>
      </c>
      <c r="I3060" s="193" t="s">
        <v>12821</v>
      </c>
      <c r="J3060" s="193" t="s">
        <v>147</v>
      </c>
      <c r="K3060" s="168"/>
      <c r="L3060" s="193"/>
    </row>
    <row r="3061" spans="1:12" ht="15">
      <c r="A3061" s="67">
        <f t="shared" si="47"/>
        <v>3059</v>
      </c>
      <c r="B3061" s="164">
        <v>3059</v>
      </c>
      <c r="C3061" s="193" t="s">
        <v>4354</v>
      </c>
      <c r="D3061" s="195" t="s">
        <v>7622</v>
      </c>
      <c r="E3061" s="193" t="s">
        <v>9838</v>
      </c>
      <c r="F3061" s="193" t="s">
        <v>114</v>
      </c>
      <c r="G3061" s="195" t="s">
        <v>11899</v>
      </c>
      <c r="H3061" s="166" t="s">
        <v>13436</v>
      </c>
      <c r="I3061" s="193" t="s">
        <v>12827</v>
      </c>
      <c r="J3061" s="193" t="s">
        <v>146</v>
      </c>
      <c r="K3061" s="168"/>
      <c r="L3061" s="193" t="s">
        <v>146</v>
      </c>
    </row>
    <row r="3062" spans="1:12" ht="15">
      <c r="A3062" s="67">
        <f t="shared" si="47"/>
        <v>3060</v>
      </c>
      <c r="B3062" s="164">
        <v>3060</v>
      </c>
      <c r="C3062" s="193" t="s">
        <v>4355</v>
      </c>
      <c r="D3062" s="195" t="s">
        <v>7623</v>
      </c>
      <c r="E3062" s="193" t="s">
        <v>9839</v>
      </c>
      <c r="F3062" s="193" t="s">
        <v>114</v>
      </c>
      <c r="G3062" s="195" t="s">
        <v>11900</v>
      </c>
      <c r="H3062" s="166" t="s">
        <v>13436</v>
      </c>
      <c r="I3062" s="193" t="s">
        <v>12838</v>
      </c>
      <c r="J3062" s="193" t="s">
        <v>146</v>
      </c>
      <c r="K3062" s="168"/>
      <c r="L3062" s="193" t="s">
        <v>146</v>
      </c>
    </row>
    <row r="3063" spans="1:12" ht="30">
      <c r="A3063" s="67">
        <f t="shared" si="47"/>
        <v>3061</v>
      </c>
      <c r="B3063" s="164">
        <v>3061</v>
      </c>
      <c r="C3063" s="193" t="s">
        <v>4356</v>
      </c>
      <c r="D3063" s="195" t="s">
        <v>7624</v>
      </c>
      <c r="E3063" s="193" t="s">
        <v>9840</v>
      </c>
      <c r="F3063" s="193" t="s">
        <v>114</v>
      </c>
      <c r="G3063" s="195" t="s">
        <v>1167</v>
      </c>
      <c r="H3063" s="166" t="s">
        <v>13436</v>
      </c>
      <c r="I3063" s="193" t="s">
        <v>12827</v>
      </c>
      <c r="J3063" s="219" t="s">
        <v>12786</v>
      </c>
      <c r="K3063" s="168"/>
      <c r="L3063" s="219" t="s">
        <v>146</v>
      </c>
    </row>
    <row r="3064" spans="1:12" ht="30">
      <c r="A3064" s="67">
        <f t="shared" si="47"/>
        <v>3062</v>
      </c>
      <c r="B3064" s="164">
        <v>3062</v>
      </c>
      <c r="C3064" s="193" t="s">
        <v>4357</v>
      </c>
      <c r="D3064" s="195" t="s">
        <v>7625</v>
      </c>
      <c r="E3064" s="193" t="s">
        <v>553</v>
      </c>
      <c r="F3064" s="193" t="s">
        <v>114</v>
      </c>
      <c r="G3064" s="195" t="s">
        <v>11549</v>
      </c>
      <c r="H3064" s="166" t="s">
        <v>13436</v>
      </c>
      <c r="I3064" s="193" t="s">
        <v>12827</v>
      </c>
      <c r="J3064" s="193" t="s">
        <v>12787</v>
      </c>
      <c r="K3064" s="168"/>
      <c r="L3064" s="193" t="s">
        <v>146</v>
      </c>
    </row>
    <row r="3065" spans="1:12" ht="15">
      <c r="A3065" s="67">
        <f t="shared" si="47"/>
        <v>3063</v>
      </c>
      <c r="B3065" s="164">
        <v>3063</v>
      </c>
      <c r="C3065" s="193" t="s">
        <v>4358</v>
      </c>
      <c r="D3065" s="197" t="s">
        <v>7626</v>
      </c>
      <c r="E3065" s="193" t="s">
        <v>9841</v>
      </c>
      <c r="F3065" s="193" t="s">
        <v>114</v>
      </c>
      <c r="G3065" s="195" t="s">
        <v>11901</v>
      </c>
      <c r="H3065" s="166" t="s">
        <v>13436</v>
      </c>
      <c r="I3065" s="193" t="s">
        <v>12816</v>
      </c>
      <c r="J3065" s="193" t="s">
        <v>146</v>
      </c>
      <c r="K3065" s="168"/>
      <c r="L3065" s="193" t="s">
        <v>146</v>
      </c>
    </row>
    <row r="3066" spans="1:12" ht="15">
      <c r="A3066" s="67">
        <f t="shared" si="47"/>
        <v>3064</v>
      </c>
      <c r="B3066" s="164">
        <v>3064</v>
      </c>
      <c r="C3066" s="193" t="s">
        <v>4359</v>
      </c>
      <c r="D3066" s="197" t="s">
        <v>7627</v>
      </c>
      <c r="E3066" s="193" t="s">
        <v>9842</v>
      </c>
      <c r="F3066" s="193" t="s">
        <v>114</v>
      </c>
      <c r="G3066" s="195" t="s">
        <v>11902</v>
      </c>
      <c r="H3066" s="166" t="s">
        <v>13436</v>
      </c>
      <c r="I3066" s="193" t="s">
        <v>12816</v>
      </c>
      <c r="J3066" s="193" t="s">
        <v>1252</v>
      </c>
      <c r="K3066" s="168"/>
      <c r="L3066" s="193" t="s">
        <v>146</v>
      </c>
    </row>
    <row r="3067" spans="1:12" ht="15">
      <c r="A3067" s="67">
        <f t="shared" si="47"/>
        <v>3065</v>
      </c>
      <c r="B3067" s="164">
        <v>3065</v>
      </c>
      <c r="C3067" s="193" t="s">
        <v>4360</v>
      </c>
      <c r="D3067" s="195" t="s">
        <v>7628</v>
      </c>
      <c r="E3067" s="193" t="s">
        <v>9843</v>
      </c>
      <c r="F3067" s="193" t="s">
        <v>59</v>
      </c>
      <c r="G3067" s="195" t="s">
        <v>1036</v>
      </c>
      <c r="H3067" s="166" t="s">
        <v>13436</v>
      </c>
      <c r="I3067" s="193" t="s">
        <v>12821</v>
      </c>
      <c r="J3067" s="219" t="s">
        <v>146</v>
      </c>
      <c r="K3067" s="168"/>
      <c r="L3067" s="193"/>
    </row>
    <row r="3068" spans="1:12" ht="15">
      <c r="A3068" s="67">
        <f t="shared" si="47"/>
        <v>3066</v>
      </c>
      <c r="B3068" s="164">
        <v>3066</v>
      </c>
      <c r="C3068" s="193" t="s">
        <v>4361</v>
      </c>
      <c r="D3068" s="195" t="s">
        <v>7629</v>
      </c>
      <c r="E3068" s="193" t="s">
        <v>469</v>
      </c>
      <c r="F3068" s="193" t="s">
        <v>59</v>
      </c>
      <c r="G3068" s="195" t="s">
        <v>262</v>
      </c>
      <c r="H3068" s="166" t="s">
        <v>13436</v>
      </c>
      <c r="I3068" s="193" t="s">
        <v>12817</v>
      </c>
      <c r="J3068" s="193" t="s">
        <v>146</v>
      </c>
      <c r="K3068" s="168"/>
      <c r="L3068" s="193"/>
    </row>
    <row r="3069" spans="1:12" ht="15">
      <c r="A3069" s="67">
        <f t="shared" si="47"/>
        <v>3067</v>
      </c>
      <c r="B3069" s="164">
        <v>3067</v>
      </c>
      <c r="C3069" s="193" t="s">
        <v>4362</v>
      </c>
      <c r="D3069" s="195" t="s">
        <v>7630</v>
      </c>
      <c r="E3069" s="193" t="s">
        <v>478</v>
      </c>
      <c r="F3069" s="193" t="s">
        <v>59</v>
      </c>
      <c r="G3069" s="195" t="s">
        <v>939</v>
      </c>
      <c r="H3069" s="166" t="s">
        <v>13436</v>
      </c>
      <c r="I3069" s="193" t="s">
        <v>12827</v>
      </c>
      <c r="J3069" s="219" t="s">
        <v>146</v>
      </c>
      <c r="K3069" s="168"/>
      <c r="L3069" s="193"/>
    </row>
    <row r="3070" spans="1:12" ht="30">
      <c r="A3070" s="67">
        <f t="shared" si="47"/>
        <v>3068</v>
      </c>
      <c r="B3070" s="164">
        <v>3068</v>
      </c>
      <c r="C3070" s="193" t="s">
        <v>4363</v>
      </c>
      <c r="D3070" s="195" t="s">
        <v>7631</v>
      </c>
      <c r="E3070" s="193" t="s">
        <v>9844</v>
      </c>
      <c r="F3070" s="193" t="s">
        <v>114</v>
      </c>
      <c r="G3070" s="195" t="s">
        <v>11903</v>
      </c>
      <c r="H3070" s="166" t="s">
        <v>13436</v>
      </c>
      <c r="I3070" s="193" t="s">
        <v>12821</v>
      </c>
      <c r="J3070" s="193" t="s">
        <v>12788</v>
      </c>
      <c r="K3070" s="168"/>
      <c r="L3070" s="193" t="s">
        <v>146</v>
      </c>
    </row>
    <row r="3071" spans="1:12" ht="15">
      <c r="A3071" s="67">
        <f t="shared" si="47"/>
        <v>3069</v>
      </c>
      <c r="B3071" s="164">
        <v>3069</v>
      </c>
      <c r="C3071" s="193" t="s">
        <v>4364</v>
      </c>
      <c r="D3071" s="195" t="s">
        <v>7632</v>
      </c>
      <c r="E3071" s="193" t="s">
        <v>9845</v>
      </c>
      <c r="F3071" s="193" t="s">
        <v>114</v>
      </c>
      <c r="G3071" s="195" t="s">
        <v>11904</v>
      </c>
      <c r="H3071" s="166" t="s">
        <v>13436</v>
      </c>
      <c r="I3071" s="193" t="s">
        <v>12814</v>
      </c>
      <c r="J3071" s="193" t="s">
        <v>1252</v>
      </c>
      <c r="K3071" s="168"/>
      <c r="L3071" s="193" t="s">
        <v>146</v>
      </c>
    </row>
    <row r="3072" spans="1:12" ht="15">
      <c r="A3072" s="67">
        <f t="shared" si="47"/>
        <v>3070</v>
      </c>
      <c r="B3072" s="164">
        <v>3070</v>
      </c>
      <c r="C3072" s="193" t="s">
        <v>4365</v>
      </c>
      <c r="D3072" s="195" t="s">
        <v>7633</v>
      </c>
      <c r="E3072" s="193" t="s">
        <v>9846</v>
      </c>
      <c r="F3072" s="193" t="s">
        <v>114</v>
      </c>
      <c r="G3072" s="195" t="s">
        <v>11905</v>
      </c>
      <c r="H3072" s="166" t="s">
        <v>13436</v>
      </c>
      <c r="I3072" s="193" t="s">
        <v>1249</v>
      </c>
      <c r="J3072" s="193" t="s">
        <v>146</v>
      </c>
      <c r="K3072" s="168"/>
      <c r="L3072" s="193" t="s">
        <v>146</v>
      </c>
    </row>
    <row r="3073" spans="1:12" ht="15">
      <c r="A3073" s="67">
        <f t="shared" si="47"/>
        <v>3071</v>
      </c>
      <c r="B3073" s="164">
        <v>3071</v>
      </c>
      <c r="C3073" s="193" t="s">
        <v>4366</v>
      </c>
      <c r="D3073" s="199" t="s">
        <v>7634</v>
      </c>
      <c r="E3073" s="193" t="s">
        <v>9847</v>
      </c>
      <c r="F3073" s="193" t="s">
        <v>59</v>
      </c>
      <c r="G3073" s="195" t="s">
        <v>11906</v>
      </c>
      <c r="H3073" s="166" t="s">
        <v>13436</v>
      </c>
      <c r="I3073" s="193" t="s">
        <v>12839</v>
      </c>
      <c r="J3073" s="193"/>
      <c r="K3073" s="168"/>
      <c r="L3073" s="193"/>
    </row>
    <row r="3074" spans="1:12" ht="30">
      <c r="A3074" s="67">
        <f t="shared" si="47"/>
        <v>3072</v>
      </c>
      <c r="B3074" s="164">
        <v>3072</v>
      </c>
      <c r="C3074" s="193" t="s">
        <v>4367</v>
      </c>
      <c r="D3074" s="195" t="s">
        <v>7635</v>
      </c>
      <c r="E3074" s="193" t="s">
        <v>9848</v>
      </c>
      <c r="F3074" s="193" t="s">
        <v>59</v>
      </c>
      <c r="G3074" s="195" t="s">
        <v>11907</v>
      </c>
      <c r="H3074" s="166" t="s">
        <v>13436</v>
      </c>
      <c r="I3074" s="193" t="s">
        <v>12819</v>
      </c>
      <c r="J3074" s="193" t="s">
        <v>12789</v>
      </c>
      <c r="K3074" s="168"/>
      <c r="L3074" s="193"/>
    </row>
    <row r="3075" spans="1:12" ht="15">
      <c r="A3075" s="67">
        <f t="shared" ref="A3075:A3096" si="48">IFERROR(VALUE(RIGHT(C3075,4)),"")</f>
        <v>3073</v>
      </c>
      <c r="B3075" s="164">
        <v>3073</v>
      </c>
      <c r="C3075" s="193" t="s">
        <v>4368</v>
      </c>
      <c r="D3075" s="195" t="s">
        <v>7636</v>
      </c>
      <c r="E3075" s="193" t="s">
        <v>9849</v>
      </c>
      <c r="F3075" s="193" t="s">
        <v>59</v>
      </c>
      <c r="G3075" s="195" t="s">
        <v>11908</v>
      </c>
      <c r="H3075" s="166" t="s">
        <v>13436</v>
      </c>
      <c r="I3075" s="193" t="s">
        <v>12821</v>
      </c>
      <c r="J3075" s="193"/>
      <c r="K3075" s="168"/>
      <c r="L3075" s="193"/>
    </row>
    <row r="3076" spans="1:12" ht="15">
      <c r="A3076" s="67">
        <f t="shared" si="48"/>
        <v>3074</v>
      </c>
      <c r="B3076" s="164">
        <v>3074</v>
      </c>
      <c r="C3076" s="193" t="s">
        <v>4369</v>
      </c>
      <c r="D3076" s="195" t="s">
        <v>7637</v>
      </c>
      <c r="E3076" s="193" t="s">
        <v>9850</v>
      </c>
      <c r="F3076" s="193" t="s">
        <v>114</v>
      </c>
      <c r="G3076" s="195" t="s">
        <v>11909</v>
      </c>
      <c r="H3076" s="166" t="s">
        <v>13436</v>
      </c>
      <c r="I3076" s="193" t="s">
        <v>12827</v>
      </c>
      <c r="J3076" s="193" t="s">
        <v>147</v>
      </c>
      <c r="K3076" s="168"/>
      <c r="L3076" s="193" t="s">
        <v>146</v>
      </c>
    </row>
    <row r="3077" spans="1:12" ht="15">
      <c r="A3077" s="67">
        <f t="shared" si="48"/>
        <v>3075</v>
      </c>
      <c r="B3077" s="164">
        <v>3075</v>
      </c>
      <c r="C3077" s="193" t="s">
        <v>4370</v>
      </c>
      <c r="D3077" s="195" t="s">
        <v>7638</v>
      </c>
      <c r="E3077" s="193" t="s">
        <v>178</v>
      </c>
      <c r="F3077" s="193" t="s">
        <v>114</v>
      </c>
      <c r="G3077" s="195" t="s">
        <v>1091</v>
      </c>
      <c r="H3077" s="166" t="s">
        <v>13436</v>
      </c>
      <c r="I3077" s="193" t="s">
        <v>12812</v>
      </c>
      <c r="J3077" s="193" t="s">
        <v>146</v>
      </c>
      <c r="K3077" s="168"/>
      <c r="L3077" s="193" t="s">
        <v>146</v>
      </c>
    </row>
    <row r="3078" spans="1:12" ht="45">
      <c r="A3078" s="67">
        <f t="shared" si="48"/>
        <v>3076</v>
      </c>
      <c r="B3078" s="164">
        <v>3076</v>
      </c>
      <c r="C3078" s="193" t="s">
        <v>4371</v>
      </c>
      <c r="D3078" s="195" t="s">
        <v>7639</v>
      </c>
      <c r="E3078" s="193" t="s">
        <v>9851</v>
      </c>
      <c r="F3078" s="193" t="s">
        <v>114</v>
      </c>
      <c r="G3078" s="195" t="s">
        <v>946</v>
      </c>
      <c r="H3078" s="166" t="s">
        <v>13436</v>
      </c>
      <c r="I3078" s="193" t="s">
        <v>12838</v>
      </c>
      <c r="J3078" s="193" t="s">
        <v>12790</v>
      </c>
      <c r="K3078" s="168"/>
      <c r="L3078" s="193" t="s">
        <v>146</v>
      </c>
    </row>
    <row r="3079" spans="1:12" ht="75">
      <c r="A3079" s="67">
        <f t="shared" si="48"/>
        <v>3077</v>
      </c>
      <c r="B3079" s="164">
        <v>3077</v>
      </c>
      <c r="C3079" s="193" t="s">
        <v>4372</v>
      </c>
      <c r="D3079" s="195" t="s">
        <v>7640</v>
      </c>
      <c r="E3079" s="193" t="s">
        <v>8999</v>
      </c>
      <c r="F3079" s="193" t="s">
        <v>114</v>
      </c>
      <c r="G3079" s="195" t="s">
        <v>920</v>
      </c>
      <c r="H3079" s="166" t="s">
        <v>13436</v>
      </c>
      <c r="I3079" s="193" t="s">
        <v>12827</v>
      </c>
      <c r="J3079" s="193" t="s">
        <v>146</v>
      </c>
      <c r="K3079" s="168"/>
      <c r="L3079" s="193" t="s">
        <v>13427</v>
      </c>
    </row>
    <row r="3080" spans="1:12" ht="15">
      <c r="A3080" s="67">
        <f t="shared" si="48"/>
        <v>3078</v>
      </c>
      <c r="B3080" s="164">
        <v>3078</v>
      </c>
      <c r="C3080" s="193" t="s">
        <v>4373</v>
      </c>
      <c r="D3080" s="199" t="s">
        <v>7641</v>
      </c>
      <c r="E3080" s="193" t="s">
        <v>561</v>
      </c>
      <c r="F3080" s="193" t="s">
        <v>114</v>
      </c>
      <c r="G3080" s="195" t="s">
        <v>856</v>
      </c>
      <c r="H3080" s="166" t="s">
        <v>13436</v>
      </c>
      <c r="I3080" s="193" t="s">
        <v>12831</v>
      </c>
      <c r="J3080" s="193" t="s">
        <v>146</v>
      </c>
      <c r="K3080" s="168"/>
      <c r="L3080" s="193" t="s">
        <v>146</v>
      </c>
    </row>
    <row r="3081" spans="1:12" ht="15">
      <c r="A3081" s="67">
        <f t="shared" si="48"/>
        <v>3079</v>
      </c>
      <c r="B3081" s="164">
        <v>3079</v>
      </c>
      <c r="C3081" s="193" t="s">
        <v>4374</v>
      </c>
      <c r="D3081" s="195" t="s">
        <v>7642</v>
      </c>
      <c r="E3081" s="193" t="s">
        <v>9852</v>
      </c>
      <c r="F3081" s="193" t="s">
        <v>114</v>
      </c>
      <c r="G3081" s="195" t="s">
        <v>11910</v>
      </c>
      <c r="H3081" s="166" t="s">
        <v>13436</v>
      </c>
      <c r="I3081" s="193" t="s">
        <v>12827</v>
      </c>
      <c r="J3081" s="193" t="s">
        <v>1252</v>
      </c>
      <c r="K3081" s="168"/>
      <c r="L3081" s="193" t="s">
        <v>146</v>
      </c>
    </row>
    <row r="3082" spans="1:12" ht="15">
      <c r="A3082" s="67">
        <f t="shared" si="48"/>
        <v>3080</v>
      </c>
      <c r="B3082" s="164">
        <v>3080</v>
      </c>
      <c r="C3082" s="193" t="s">
        <v>4375</v>
      </c>
      <c r="D3082" s="195" t="s">
        <v>7643</v>
      </c>
      <c r="E3082" s="193" t="s">
        <v>9853</v>
      </c>
      <c r="F3082" s="193" t="s">
        <v>114</v>
      </c>
      <c r="G3082" s="195" t="s">
        <v>11356</v>
      </c>
      <c r="H3082" s="166" t="s">
        <v>13436</v>
      </c>
      <c r="I3082" s="193" t="s">
        <v>12838</v>
      </c>
      <c r="J3082" s="193" t="s">
        <v>146</v>
      </c>
      <c r="K3082" s="168"/>
      <c r="L3082" s="193" t="s">
        <v>146</v>
      </c>
    </row>
    <row r="3083" spans="1:12" ht="15">
      <c r="A3083" s="67">
        <f t="shared" si="48"/>
        <v>3081</v>
      </c>
      <c r="B3083" s="164">
        <v>3081</v>
      </c>
      <c r="C3083" s="193" t="s">
        <v>4376</v>
      </c>
      <c r="D3083" s="195" t="s">
        <v>7644</v>
      </c>
      <c r="E3083" s="193" t="s">
        <v>154</v>
      </c>
      <c r="F3083" s="193" t="s">
        <v>114</v>
      </c>
      <c r="G3083" s="195" t="s">
        <v>11911</v>
      </c>
      <c r="H3083" s="166" t="s">
        <v>13436</v>
      </c>
      <c r="I3083" s="193" t="s">
        <v>12819</v>
      </c>
      <c r="J3083" s="193" t="s">
        <v>146</v>
      </c>
      <c r="K3083" s="168"/>
      <c r="L3083" s="193" t="s">
        <v>146</v>
      </c>
    </row>
    <row r="3084" spans="1:12" ht="15">
      <c r="A3084" s="67">
        <f t="shared" si="48"/>
        <v>3082</v>
      </c>
      <c r="B3084" s="164">
        <v>3082</v>
      </c>
      <c r="C3084" s="193" t="s">
        <v>4377</v>
      </c>
      <c r="D3084" s="195" t="s">
        <v>7645</v>
      </c>
      <c r="E3084" s="193" t="s">
        <v>9854</v>
      </c>
      <c r="F3084" s="193" t="s">
        <v>114</v>
      </c>
      <c r="G3084" s="195" t="s">
        <v>937</v>
      </c>
      <c r="H3084" s="166" t="s">
        <v>13436</v>
      </c>
      <c r="I3084" s="193" t="s">
        <v>12813</v>
      </c>
      <c r="J3084" s="193"/>
      <c r="K3084" s="168"/>
      <c r="L3084" s="193"/>
    </row>
    <row r="3085" spans="1:12" ht="30">
      <c r="A3085" s="67">
        <f t="shared" si="48"/>
        <v>3083</v>
      </c>
      <c r="B3085" s="164">
        <v>3083</v>
      </c>
      <c r="C3085" s="193" t="s">
        <v>4378</v>
      </c>
      <c r="D3085" s="195" t="s">
        <v>7646</v>
      </c>
      <c r="E3085" s="193" t="s">
        <v>9855</v>
      </c>
      <c r="F3085" s="193" t="s">
        <v>114</v>
      </c>
      <c r="G3085" s="195" t="s">
        <v>1063</v>
      </c>
      <c r="H3085" s="166" t="s">
        <v>13436</v>
      </c>
      <c r="I3085" s="193" t="s">
        <v>12819</v>
      </c>
      <c r="J3085" s="193" t="s">
        <v>1258</v>
      </c>
      <c r="K3085" s="168"/>
      <c r="L3085" s="193" t="s">
        <v>146</v>
      </c>
    </row>
    <row r="3086" spans="1:12" ht="15">
      <c r="A3086" s="67">
        <f t="shared" si="48"/>
        <v>3084</v>
      </c>
      <c r="B3086" s="164">
        <v>3084</v>
      </c>
      <c r="C3086" s="193" t="s">
        <v>4379</v>
      </c>
      <c r="D3086" s="199" t="s">
        <v>7647</v>
      </c>
      <c r="E3086" s="193" t="s">
        <v>9856</v>
      </c>
      <c r="F3086" s="193" t="s">
        <v>59</v>
      </c>
      <c r="G3086" s="195" t="s">
        <v>957</v>
      </c>
      <c r="H3086" s="166" t="s">
        <v>13436</v>
      </c>
      <c r="I3086" s="193" t="s">
        <v>12828</v>
      </c>
      <c r="J3086" s="193" t="s">
        <v>146</v>
      </c>
      <c r="K3086" s="168"/>
      <c r="L3086" s="193"/>
    </row>
    <row r="3087" spans="1:12" ht="15">
      <c r="A3087" s="67">
        <f t="shared" si="48"/>
        <v>3085</v>
      </c>
      <c r="B3087" s="164">
        <v>3085</v>
      </c>
      <c r="C3087" s="193" t="s">
        <v>4380</v>
      </c>
      <c r="D3087" s="195" t="s">
        <v>7648</v>
      </c>
      <c r="E3087" s="193" t="s">
        <v>9857</v>
      </c>
      <c r="F3087" s="193" t="s">
        <v>59</v>
      </c>
      <c r="G3087" s="195" t="s">
        <v>11912</v>
      </c>
      <c r="H3087" s="166" t="s">
        <v>13436</v>
      </c>
      <c r="I3087" s="193" t="s">
        <v>1249</v>
      </c>
      <c r="J3087" s="193"/>
      <c r="K3087" s="168"/>
      <c r="L3087" s="193"/>
    </row>
    <row r="3088" spans="1:12" ht="30">
      <c r="A3088" s="67">
        <f t="shared" si="48"/>
        <v>3086</v>
      </c>
      <c r="B3088" s="164">
        <v>3086</v>
      </c>
      <c r="C3088" s="193" t="s">
        <v>4381</v>
      </c>
      <c r="D3088" s="195" t="s">
        <v>7649</v>
      </c>
      <c r="E3088" s="193" t="s">
        <v>9858</v>
      </c>
      <c r="F3088" s="193" t="s">
        <v>114</v>
      </c>
      <c r="G3088" s="195" t="s">
        <v>11913</v>
      </c>
      <c r="H3088" s="166" t="s">
        <v>13436</v>
      </c>
      <c r="I3088" s="193" t="s">
        <v>1249</v>
      </c>
      <c r="J3088" s="193" t="s">
        <v>12791</v>
      </c>
      <c r="K3088" s="168"/>
      <c r="L3088" s="193" t="s">
        <v>146</v>
      </c>
    </row>
    <row r="3089" spans="1:12" ht="15">
      <c r="A3089" s="67">
        <f t="shared" si="48"/>
        <v>3087</v>
      </c>
      <c r="B3089" s="164">
        <v>3087</v>
      </c>
      <c r="C3089" s="193" t="s">
        <v>4382</v>
      </c>
      <c r="D3089" s="195" t="s">
        <v>7650</v>
      </c>
      <c r="E3089" s="193" t="s">
        <v>462</v>
      </c>
      <c r="F3089" s="193" t="s">
        <v>114</v>
      </c>
      <c r="G3089" s="195" t="s">
        <v>898</v>
      </c>
      <c r="H3089" s="166" t="s">
        <v>13436</v>
      </c>
      <c r="I3089" s="193" t="s">
        <v>1250</v>
      </c>
      <c r="J3089" s="193" t="s">
        <v>146</v>
      </c>
      <c r="K3089" s="168"/>
      <c r="L3089" s="193" t="s">
        <v>146</v>
      </c>
    </row>
    <row r="3090" spans="1:12" ht="45">
      <c r="A3090" s="67">
        <f t="shared" si="48"/>
        <v>3088</v>
      </c>
      <c r="B3090" s="164">
        <v>3088</v>
      </c>
      <c r="C3090" s="193" t="s">
        <v>4383</v>
      </c>
      <c r="D3090" s="199" t="s">
        <v>7651</v>
      </c>
      <c r="E3090" s="193" t="s">
        <v>323</v>
      </c>
      <c r="F3090" s="193" t="s">
        <v>114</v>
      </c>
      <c r="G3090" s="195" t="s">
        <v>11914</v>
      </c>
      <c r="H3090" s="166" t="s">
        <v>13436</v>
      </c>
      <c r="I3090" s="193" t="s">
        <v>12828</v>
      </c>
      <c r="J3090" s="193" t="s">
        <v>12792</v>
      </c>
      <c r="K3090" s="168"/>
      <c r="L3090" s="193" t="s">
        <v>146</v>
      </c>
    </row>
    <row r="3091" spans="1:12" ht="15">
      <c r="A3091" s="67">
        <f t="shared" si="48"/>
        <v>3089</v>
      </c>
      <c r="B3091" s="164">
        <v>3089</v>
      </c>
      <c r="C3091" s="193" t="s">
        <v>4384</v>
      </c>
      <c r="D3091" s="195" t="s">
        <v>7652</v>
      </c>
      <c r="E3091" s="193" t="s">
        <v>319</v>
      </c>
      <c r="F3091" s="193" t="s">
        <v>114</v>
      </c>
      <c r="G3091" s="195" t="s">
        <v>11071</v>
      </c>
      <c r="H3091" s="166" t="s">
        <v>13436</v>
      </c>
      <c r="I3091" s="193" t="s">
        <v>12838</v>
      </c>
      <c r="J3091" s="193" t="s">
        <v>146</v>
      </c>
      <c r="K3091" s="168"/>
      <c r="L3091" s="193" t="s">
        <v>146</v>
      </c>
    </row>
    <row r="3092" spans="1:12" ht="15">
      <c r="A3092" s="67">
        <f t="shared" si="48"/>
        <v>3090</v>
      </c>
      <c r="B3092" s="164">
        <v>3090</v>
      </c>
      <c r="C3092" s="193" t="s">
        <v>4385</v>
      </c>
      <c r="D3092" s="195" t="s">
        <v>7653</v>
      </c>
      <c r="E3092" s="193" t="s">
        <v>9859</v>
      </c>
      <c r="F3092" s="193" t="s">
        <v>59</v>
      </c>
      <c r="G3092" s="195" t="s">
        <v>1156</v>
      </c>
      <c r="H3092" s="166" t="s">
        <v>13436</v>
      </c>
      <c r="I3092" s="193" t="s">
        <v>12819</v>
      </c>
      <c r="J3092" s="193"/>
      <c r="K3092" s="168"/>
      <c r="L3092" s="193"/>
    </row>
    <row r="3093" spans="1:12" ht="45">
      <c r="A3093" s="67">
        <f t="shared" si="48"/>
        <v>3091</v>
      </c>
      <c r="B3093" s="164">
        <v>3091</v>
      </c>
      <c r="C3093" s="193" t="s">
        <v>4386</v>
      </c>
      <c r="D3093" s="195" t="s">
        <v>7654</v>
      </c>
      <c r="E3093" s="193" t="s">
        <v>9860</v>
      </c>
      <c r="F3093" s="193" t="s">
        <v>114</v>
      </c>
      <c r="G3093" s="195" t="s">
        <v>798</v>
      </c>
      <c r="H3093" s="166" t="s">
        <v>13436</v>
      </c>
      <c r="I3093" s="193" t="s">
        <v>12819</v>
      </c>
      <c r="J3093" s="193" t="s">
        <v>146</v>
      </c>
      <c r="K3093" s="168"/>
      <c r="L3093" s="193" t="s">
        <v>13428</v>
      </c>
    </row>
    <row r="3094" spans="1:12" ht="15">
      <c r="A3094" s="67">
        <f t="shared" si="48"/>
        <v>3092</v>
      </c>
      <c r="B3094" s="164">
        <v>3092</v>
      </c>
      <c r="C3094" s="193" t="s">
        <v>4387</v>
      </c>
      <c r="D3094" s="197" t="s">
        <v>7655</v>
      </c>
      <c r="E3094" s="193" t="s">
        <v>9861</v>
      </c>
      <c r="F3094" s="193" t="s">
        <v>114</v>
      </c>
      <c r="G3094" s="195" t="s">
        <v>11915</v>
      </c>
      <c r="H3094" s="166" t="s">
        <v>13436</v>
      </c>
      <c r="I3094" s="193" t="s">
        <v>12816</v>
      </c>
      <c r="J3094" s="193" t="s">
        <v>164</v>
      </c>
      <c r="K3094" s="168"/>
      <c r="L3094" s="193" t="s">
        <v>146</v>
      </c>
    </row>
    <row r="3095" spans="1:12" ht="15">
      <c r="A3095" s="67">
        <f t="shared" si="48"/>
        <v>3093</v>
      </c>
      <c r="B3095" s="164">
        <v>3093</v>
      </c>
      <c r="C3095" s="193" t="s">
        <v>4388</v>
      </c>
      <c r="D3095" s="197" t="s">
        <v>7656</v>
      </c>
      <c r="E3095" s="193" t="s">
        <v>9862</v>
      </c>
      <c r="F3095" s="193" t="s">
        <v>114</v>
      </c>
      <c r="G3095" s="195" t="s">
        <v>941</v>
      </c>
      <c r="H3095" s="166" t="s">
        <v>13436</v>
      </c>
      <c r="I3095" s="193" t="s">
        <v>12816</v>
      </c>
      <c r="J3095" s="193" t="s">
        <v>146</v>
      </c>
      <c r="K3095" s="168"/>
      <c r="L3095" s="193" t="s">
        <v>146</v>
      </c>
    </row>
    <row r="3096" spans="1:12" ht="15">
      <c r="A3096" s="67">
        <f t="shared" si="48"/>
        <v>3094</v>
      </c>
      <c r="B3096" s="164">
        <v>3094</v>
      </c>
      <c r="C3096" s="193" t="s">
        <v>4389</v>
      </c>
      <c r="D3096" s="195" t="s">
        <v>7657</v>
      </c>
      <c r="E3096" s="193" t="s">
        <v>460</v>
      </c>
      <c r="F3096" s="193" t="s">
        <v>114</v>
      </c>
      <c r="G3096" s="195" t="s">
        <v>11916</v>
      </c>
      <c r="H3096" s="166" t="s">
        <v>13436</v>
      </c>
      <c r="I3096" s="193" t="s">
        <v>12827</v>
      </c>
      <c r="J3096" s="193" t="s">
        <v>146</v>
      </c>
      <c r="K3096" s="168"/>
      <c r="L3096" s="193" t="s">
        <v>146</v>
      </c>
    </row>
    <row r="3097" spans="1:12" ht="15">
      <c r="A3097" s="67">
        <f t="shared" ref="A3097:A3160" si="49">IFERROR(VALUE(RIGHT(C3097,4)),"")</f>
        <v>3095</v>
      </c>
      <c r="B3097" s="164">
        <v>3095</v>
      </c>
      <c r="C3097" s="193" t="s">
        <v>4390</v>
      </c>
      <c r="D3097" s="195" t="s">
        <v>7658</v>
      </c>
      <c r="E3097" s="193" t="s">
        <v>8406</v>
      </c>
      <c r="F3097" s="193" t="s">
        <v>59</v>
      </c>
      <c r="G3097" s="195" t="s">
        <v>11917</v>
      </c>
      <c r="H3097" s="166" t="s">
        <v>13436</v>
      </c>
      <c r="I3097" s="193" t="s">
        <v>12821</v>
      </c>
      <c r="J3097" s="193" t="s">
        <v>146</v>
      </c>
      <c r="L3097" s="193"/>
    </row>
    <row r="3098" spans="1:12" ht="15">
      <c r="A3098" s="67">
        <f t="shared" si="49"/>
        <v>3096</v>
      </c>
      <c r="B3098" s="164">
        <v>3096</v>
      </c>
      <c r="C3098" s="193" t="s">
        <v>4391</v>
      </c>
      <c r="D3098" s="195" t="s">
        <v>7659</v>
      </c>
      <c r="E3098" s="193" t="s">
        <v>8852</v>
      </c>
      <c r="F3098" s="193" t="s">
        <v>59</v>
      </c>
      <c r="G3098" s="195" t="s">
        <v>1026</v>
      </c>
      <c r="H3098" s="166" t="s">
        <v>13436</v>
      </c>
      <c r="I3098" s="193" t="s">
        <v>12836</v>
      </c>
      <c r="J3098" s="193" t="s">
        <v>146</v>
      </c>
      <c r="L3098" s="193"/>
    </row>
    <row r="3099" spans="1:12" ht="45">
      <c r="A3099" s="67">
        <f t="shared" si="49"/>
        <v>3097</v>
      </c>
      <c r="B3099" s="164">
        <v>3097</v>
      </c>
      <c r="C3099" s="193" t="s">
        <v>4392</v>
      </c>
      <c r="D3099" s="195" t="s">
        <v>7660</v>
      </c>
      <c r="E3099" s="193" t="s">
        <v>533</v>
      </c>
      <c r="F3099" s="193" t="s">
        <v>114</v>
      </c>
      <c r="G3099" s="195" t="s">
        <v>1034</v>
      </c>
      <c r="H3099" s="166" t="s">
        <v>13436</v>
      </c>
      <c r="I3099" s="193" t="s">
        <v>12827</v>
      </c>
      <c r="J3099" s="193" t="s">
        <v>146</v>
      </c>
      <c r="L3099" s="193" t="s">
        <v>13429</v>
      </c>
    </row>
    <row r="3100" spans="1:12" ht="75">
      <c r="A3100" s="67">
        <f t="shared" si="49"/>
        <v>3098</v>
      </c>
      <c r="B3100" s="164">
        <v>3098</v>
      </c>
      <c r="C3100" s="193" t="s">
        <v>4393</v>
      </c>
      <c r="D3100" s="195" t="s">
        <v>7661</v>
      </c>
      <c r="E3100" s="193" t="s">
        <v>9863</v>
      </c>
      <c r="F3100" s="193" t="s">
        <v>114</v>
      </c>
      <c r="G3100" s="195" t="s">
        <v>899</v>
      </c>
      <c r="H3100" s="166" t="s">
        <v>13436</v>
      </c>
      <c r="I3100" s="193" t="s">
        <v>12812</v>
      </c>
      <c r="J3100" s="193" t="s">
        <v>146</v>
      </c>
      <c r="L3100" s="193" t="s">
        <v>13430</v>
      </c>
    </row>
    <row r="3101" spans="1:12" ht="30">
      <c r="A3101" s="67">
        <f t="shared" si="49"/>
        <v>3099</v>
      </c>
      <c r="B3101" s="164">
        <v>3099</v>
      </c>
      <c r="C3101" s="193" t="s">
        <v>4394</v>
      </c>
      <c r="D3101" s="195" t="s">
        <v>7662</v>
      </c>
      <c r="E3101" s="193" t="s">
        <v>9149</v>
      </c>
      <c r="F3101" s="193" t="s">
        <v>114</v>
      </c>
      <c r="G3101" s="195" t="s">
        <v>11918</v>
      </c>
      <c r="H3101" s="166" t="s">
        <v>13436</v>
      </c>
      <c r="I3101" s="193" t="s">
        <v>12836</v>
      </c>
      <c r="J3101" s="193"/>
      <c r="L3101" s="193" t="s">
        <v>13431</v>
      </c>
    </row>
    <row r="3102" spans="1:12" ht="15">
      <c r="A3102" s="67">
        <f t="shared" si="49"/>
        <v>3100</v>
      </c>
      <c r="B3102" s="164">
        <v>3100</v>
      </c>
      <c r="C3102" s="193" t="s">
        <v>4395</v>
      </c>
      <c r="D3102" s="195" t="s">
        <v>7663</v>
      </c>
      <c r="E3102" s="193" t="s">
        <v>9864</v>
      </c>
      <c r="F3102" s="193" t="s">
        <v>114</v>
      </c>
      <c r="G3102" s="195" t="s">
        <v>11919</v>
      </c>
      <c r="H3102" s="166" t="s">
        <v>13436</v>
      </c>
      <c r="I3102" s="193" t="s">
        <v>12821</v>
      </c>
      <c r="J3102" s="193" t="s">
        <v>146</v>
      </c>
      <c r="L3102" s="193" t="s">
        <v>146</v>
      </c>
    </row>
    <row r="3103" spans="1:12" ht="15">
      <c r="A3103" s="67">
        <f t="shared" si="49"/>
        <v>3101</v>
      </c>
      <c r="B3103" s="164">
        <v>3101</v>
      </c>
      <c r="C3103" s="193" t="s">
        <v>4396</v>
      </c>
      <c r="D3103" s="195" t="s">
        <v>7664</v>
      </c>
      <c r="E3103" s="193" t="s">
        <v>481</v>
      </c>
      <c r="F3103" s="193" t="s">
        <v>114</v>
      </c>
      <c r="G3103" s="195" t="s">
        <v>1050</v>
      </c>
      <c r="H3103" s="166" t="s">
        <v>13436</v>
      </c>
      <c r="I3103" s="193" t="s">
        <v>12836</v>
      </c>
      <c r="J3103" s="193" t="s">
        <v>1252</v>
      </c>
      <c r="L3103" s="193" t="s">
        <v>146</v>
      </c>
    </row>
    <row r="3104" spans="1:12" ht="15">
      <c r="A3104" s="67">
        <f t="shared" si="49"/>
        <v>3102</v>
      </c>
      <c r="B3104" s="164">
        <v>3102</v>
      </c>
      <c r="C3104" s="193" t="s">
        <v>4397</v>
      </c>
      <c r="D3104" s="195" t="s">
        <v>7665</v>
      </c>
      <c r="E3104" s="193" t="s">
        <v>326</v>
      </c>
      <c r="F3104" s="193" t="s">
        <v>114</v>
      </c>
      <c r="G3104" s="195" t="s">
        <v>1101</v>
      </c>
      <c r="H3104" s="166" t="s">
        <v>13436</v>
      </c>
      <c r="I3104" s="193" t="s">
        <v>12819</v>
      </c>
      <c r="J3104" s="193"/>
      <c r="L3104" s="193" t="s">
        <v>146</v>
      </c>
    </row>
    <row r="3105" spans="1:12" ht="45">
      <c r="A3105" s="67">
        <f t="shared" si="49"/>
        <v>3103</v>
      </c>
      <c r="B3105" s="164">
        <v>3103</v>
      </c>
      <c r="C3105" s="193" t="s">
        <v>4398</v>
      </c>
      <c r="D3105" s="197" t="s">
        <v>7666</v>
      </c>
      <c r="E3105" s="193" t="s">
        <v>345</v>
      </c>
      <c r="F3105" s="193" t="s">
        <v>114</v>
      </c>
      <c r="G3105" s="195" t="s">
        <v>966</v>
      </c>
      <c r="H3105" s="166" t="s">
        <v>13436</v>
      </c>
      <c r="I3105" s="193" t="s">
        <v>12816</v>
      </c>
      <c r="J3105" s="193" t="s">
        <v>146</v>
      </c>
      <c r="L3105" s="193" t="s">
        <v>13432</v>
      </c>
    </row>
    <row r="3106" spans="1:12" ht="15">
      <c r="A3106" s="67">
        <f t="shared" si="49"/>
        <v>3104</v>
      </c>
      <c r="B3106" s="164">
        <v>3104</v>
      </c>
      <c r="C3106" s="193" t="s">
        <v>4399</v>
      </c>
      <c r="D3106" s="195" t="s">
        <v>7667</v>
      </c>
      <c r="E3106" s="193" t="s">
        <v>9865</v>
      </c>
      <c r="F3106" s="193" t="s">
        <v>114</v>
      </c>
      <c r="G3106" s="195" t="s">
        <v>785</v>
      </c>
      <c r="H3106" s="166" t="s">
        <v>13436</v>
      </c>
      <c r="I3106" s="193" t="s">
        <v>12821</v>
      </c>
      <c r="J3106" s="193" t="s">
        <v>146</v>
      </c>
      <c r="L3106" s="193" t="s">
        <v>146</v>
      </c>
    </row>
    <row r="3107" spans="1:12" ht="15">
      <c r="A3107" s="67">
        <f t="shared" si="49"/>
        <v>3105</v>
      </c>
      <c r="B3107" s="164">
        <v>3105</v>
      </c>
      <c r="C3107" s="193" t="s">
        <v>4400</v>
      </c>
      <c r="D3107" s="204" t="s">
        <v>7668</v>
      </c>
      <c r="E3107" s="193" t="s">
        <v>9866</v>
      </c>
      <c r="F3107" s="193" t="s">
        <v>114</v>
      </c>
      <c r="G3107" s="195" t="s">
        <v>11920</v>
      </c>
      <c r="H3107" s="166" t="s">
        <v>13436</v>
      </c>
      <c r="I3107" s="193" t="s">
        <v>12816</v>
      </c>
      <c r="J3107" s="193" t="s">
        <v>146</v>
      </c>
      <c r="L3107" s="193" t="s">
        <v>146</v>
      </c>
    </row>
    <row r="3108" spans="1:12" ht="15">
      <c r="A3108" s="67">
        <f t="shared" si="49"/>
        <v>3106</v>
      </c>
      <c r="B3108" s="164">
        <v>3106</v>
      </c>
      <c r="C3108" s="193" t="s">
        <v>4401</v>
      </c>
      <c r="D3108" s="195" t="s">
        <v>7669</v>
      </c>
      <c r="E3108" s="193" t="s">
        <v>9867</v>
      </c>
      <c r="F3108" s="193" t="s">
        <v>114</v>
      </c>
      <c r="G3108" s="195" t="s">
        <v>11921</v>
      </c>
      <c r="H3108" s="166" t="s">
        <v>13436</v>
      </c>
      <c r="I3108" s="193" t="s">
        <v>12817</v>
      </c>
      <c r="J3108" s="193" t="s">
        <v>1252</v>
      </c>
      <c r="L3108" s="193" t="s">
        <v>146</v>
      </c>
    </row>
    <row r="3109" spans="1:12" ht="15">
      <c r="A3109" s="67">
        <f t="shared" si="49"/>
        <v>3107</v>
      </c>
      <c r="B3109" s="164">
        <v>3107</v>
      </c>
      <c r="C3109" s="193" t="s">
        <v>4402</v>
      </c>
      <c r="D3109" s="195" t="s">
        <v>7670</v>
      </c>
      <c r="E3109" s="193" t="s">
        <v>172</v>
      </c>
      <c r="F3109" s="193" t="s">
        <v>114</v>
      </c>
      <c r="G3109" s="195" t="s">
        <v>11922</v>
      </c>
      <c r="H3109" s="166" t="s">
        <v>13436</v>
      </c>
      <c r="I3109" s="193" t="s">
        <v>12817</v>
      </c>
      <c r="J3109" s="193" t="s">
        <v>146</v>
      </c>
      <c r="L3109" s="193" t="s">
        <v>146</v>
      </c>
    </row>
    <row r="3110" spans="1:12" ht="15">
      <c r="A3110" s="67">
        <f t="shared" si="49"/>
        <v>3108</v>
      </c>
      <c r="B3110" s="164">
        <v>3108</v>
      </c>
      <c r="C3110" s="193" t="s">
        <v>4403</v>
      </c>
      <c r="D3110" s="197" t="s">
        <v>7671</v>
      </c>
      <c r="E3110" s="193" t="s">
        <v>336</v>
      </c>
      <c r="F3110" s="193" t="s">
        <v>114</v>
      </c>
      <c r="G3110" s="195" t="s">
        <v>11649</v>
      </c>
      <c r="H3110" s="166" t="s">
        <v>13436</v>
      </c>
      <c r="I3110" s="193" t="s">
        <v>12816</v>
      </c>
      <c r="J3110" s="193" t="s">
        <v>146</v>
      </c>
      <c r="L3110" s="193" t="s">
        <v>146</v>
      </c>
    </row>
    <row r="3111" spans="1:12" ht="15">
      <c r="A3111" s="67">
        <f t="shared" si="49"/>
        <v>3109</v>
      </c>
      <c r="B3111" s="164">
        <v>3109</v>
      </c>
      <c r="C3111" s="193" t="s">
        <v>4404</v>
      </c>
      <c r="D3111" s="204" t="s">
        <v>7672</v>
      </c>
      <c r="E3111" s="193" t="s">
        <v>9868</v>
      </c>
      <c r="F3111" s="193" t="s">
        <v>114</v>
      </c>
      <c r="G3111" s="195" t="s">
        <v>11923</v>
      </c>
      <c r="H3111" s="166" t="s">
        <v>13436</v>
      </c>
      <c r="I3111" s="193" t="s">
        <v>12816</v>
      </c>
      <c r="J3111" s="193" t="s">
        <v>146</v>
      </c>
      <c r="L3111" s="193" t="s">
        <v>146</v>
      </c>
    </row>
    <row r="3112" spans="1:12" ht="15">
      <c r="A3112" s="67">
        <f t="shared" si="49"/>
        <v>3110</v>
      </c>
      <c r="B3112" s="164">
        <v>3110</v>
      </c>
      <c r="C3112" s="193" t="s">
        <v>4405</v>
      </c>
      <c r="D3112" s="208" t="s">
        <v>7673</v>
      </c>
      <c r="E3112" s="193" t="s">
        <v>8819</v>
      </c>
      <c r="F3112" s="193" t="s">
        <v>114</v>
      </c>
      <c r="G3112" s="195" t="s">
        <v>1226</v>
      </c>
      <c r="H3112" s="166" t="s">
        <v>13436</v>
      </c>
      <c r="I3112" s="193" t="s">
        <v>12816</v>
      </c>
      <c r="J3112" s="193" t="s">
        <v>146</v>
      </c>
      <c r="L3112" s="193" t="s">
        <v>146</v>
      </c>
    </row>
    <row r="3113" spans="1:12" ht="15">
      <c r="A3113" s="67">
        <f t="shared" si="49"/>
        <v>3111</v>
      </c>
      <c r="B3113" s="164">
        <v>3111</v>
      </c>
      <c r="C3113" s="193" t="s">
        <v>4406</v>
      </c>
      <c r="D3113" s="195" t="s">
        <v>7674</v>
      </c>
      <c r="E3113" s="193" t="s">
        <v>9869</v>
      </c>
      <c r="F3113" s="193" t="s">
        <v>59</v>
      </c>
      <c r="G3113" s="195" t="s">
        <v>1196</v>
      </c>
      <c r="H3113" s="166" t="s">
        <v>13436</v>
      </c>
      <c r="I3113" s="193" t="s">
        <v>12827</v>
      </c>
      <c r="J3113" s="193"/>
      <c r="L3113" s="193"/>
    </row>
    <row r="3114" spans="1:12" ht="15">
      <c r="A3114" s="67">
        <f t="shared" si="49"/>
        <v>3112</v>
      </c>
      <c r="B3114" s="164">
        <v>3112</v>
      </c>
      <c r="C3114" s="193" t="s">
        <v>4407</v>
      </c>
      <c r="D3114" s="204" t="s">
        <v>7675</v>
      </c>
      <c r="E3114" s="193" t="s">
        <v>9870</v>
      </c>
      <c r="F3114" s="193" t="s">
        <v>114</v>
      </c>
      <c r="G3114" s="195" t="s">
        <v>11924</v>
      </c>
      <c r="H3114" s="166" t="s">
        <v>13436</v>
      </c>
      <c r="I3114" s="193" t="s">
        <v>12816</v>
      </c>
      <c r="J3114" s="193" t="s">
        <v>146</v>
      </c>
      <c r="L3114" s="193" t="s">
        <v>146</v>
      </c>
    </row>
    <row r="3115" spans="1:12" ht="15">
      <c r="A3115" s="67">
        <f t="shared" si="49"/>
        <v>3113</v>
      </c>
      <c r="B3115" s="164">
        <v>3113</v>
      </c>
      <c r="C3115" s="193" t="s">
        <v>4408</v>
      </c>
      <c r="D3115" s="208" t="s">
        <v>7676</v>
      </c>
      <c r="E3115" s="193" t="s">
        <v>9871</v>
      </c>
      <c r="F3115" s="193" t="s">
        <v>114</v>
      </c>
      <c r="G3115" s="195" t="s">
        <v>11925</v>
      </c>
      <c r="H3115" s="166" t="s">
        <v>13436</v>
      </c>
      <c r="I3115" s="193" t="s">
        <v>12816</v>
      </c>
      <c r="J3115" s="193" t="s">
        <v>146</v>
      </c>
      <c r="L3115" s="193" t="s">
        <v>146</v>
      </c>
    </row>
    <row r="3116" spans="1:12" ht="30">
      <c r="A3116" s="67">
        <f t="shared" si="49"/>
        <v>3114</v>
      </c>
      <c r="B3116" s="164">
        <v>3114</v>
      </c>
      <c r="C3116" s="193" t="s">
        <v>4409</v>
      </c>
      <c r="D3116" s="195" t="s">
        <v>7677</v>
      </c>
      <c r="E3116" s="193" t="s">
        <v>9872</v>
      </c>
      <c r="F3116" s="193" t="s">
        <v>114</v>
      </c>
      <c r="G3116" s="195" t="s">
        <v>1132</v>
      </c>
      <c r="H3116" s="166" t="s">
        <v>13436</v>
      </c>
      <c r="I3116" s="193" t="s">
        <v>12812</v>
      </c>
      <c r="J3116" s="193" t="s">
        <v>12793</v>
      </c>
      <c r="L3116" s="193" t="s">
        <v>13433</v>
      </c>
    </row>
    <row r="3117" spans="1:12" ht="15">
      <c r="A3117" s="67">
        <f t="shared" si="49"/>
        <v>3115</v>
      </c>
      <c r="B3117" s="164">
        <v>3115</v>
      </c>
      <c r="C3117" s="193" t="s">
        <v>4410</v>
      </c>
      <c r="D3117" s="195" t="s">
        <v>7678</v>
      </c>
      <c r="E3117" s="193" t="s">
        <v>9873</v>
      </c>
      <c r="F3117" s="193" t="s">
        <v>59</v>
      </c>
      <c r="G3117" s="195" t="s">
        <v>11926</v>
      </c>
      <c r="H3117" s="166" t="s">
        <v>13436</v>
      </c>
      <c r="I3117" s="193" t="s">
        <v>12812</v>
      </c>
      <c r="J3117" s="193"/>
      <c r="L3117" s="193"/>
    </row>
    <row r="3118" spans="1:12" ht="30">
      <c r="A3118" s="67">
        <f t="shared" si="49"/>
        <v>3116</v>
      </c>
      <c r="B3118" s="164">
        <v>3116</v>
      </c>
      <c r="C3118" s="193" t="s">
        <v>4411</v>
      </c>
      <c r="D3118" s="195" t="s">
        <v>7679</v>
      </c>
      <c r="E3118" s="193" t="s">
        <v>8069</v>
      </c>
      <c r="F3118" s="193" t="s">
        <v>114</v>
      </c>
      <c r="G3118" s="195" t="s">
        <v>11823</v>
      </c>
      <c r="H3118" s="166" t="s">
        <v>13436</v>
      </c>
      <c r="I3118" s="193" t="s">
        <v>12821</v>
      </c>
      <c r="J3118" s="193" t="s">
        <v>12794</v>
      </c>
      <c r="L3118" s="193" t="s">
        <v>146</v>
      </c>
    </row>
    <row r="3119" spans="1:12" ht="15">
      <c r="A3119" s="67">
        <f t="shared" si="49"/>
        <v>3117</v>
      </c>
      <c r="B3119" s="164">
        <v>3117</v>
      </c>
      <c r="C3119" s="193" t="s">
        <v>4412</v>
      </c>
      <c r="D3119" s="195" t="s">
        <v>7680</v>
      </c>
      <c r="E3119" s="193" t="s">
        <v>9874</v>
      </c>
      <c r="F3119" s="193" t="s">
        <v>59</v>
      </c>
      <c r="G3119" s="195" t="s">
        <v>975</v>
      </c>
      <c r="H3119" s="166" t="s">
        <v>13436</v>
      </c>
      <c r="I3119" s="193" t="s">
        <v>12817</v>
      </c>
      <c r="J3119" s="193"/>
      <c r="L3119" s="193"/>
    </row>
    <row r="3120" spans="1:12" ht="15">
      <c r="A3120" s="67">
        <f t="shared" si="49"/>
        <v>3118</v>
      </c>
      <c r="B3120" s="164">
        <v>3118</v>
      </c>
      <c r="C3120" s="193" t="s">
        <v>4413</v>
      </c>
      <c r="D3120" s="195" t="s">
        <v>7681</v>
      </c>
      <c r="E3120" s="193" t="s">
        <v>9875</v>
      </c>
      <c r="F3120" s="193" t="s">
        <v>114</v>
      </c>
      <c r="G3120" s="195" t="s">
        <v>285</v>
      </c>
      <c r="H3120" s="166" t="s">
        <v>13436</v>
      </c>
      <c r="I3120" s="193" t="s">
        <v>12835</v>
      </c>
      <c r="J3120" s="193" t="s">
        <v>146</v>
      </c>
      <c r="L3120" s="193" t="s">
        <v>146</v>
      </c>
    </row>
    <row r="3121" spans="1:12" ht="15">
      <c r="A3121" s="67">
        <f t="shared" si="49"/>
        <v>3119</v>
      </c>
      <c r="B3121" s="164">
        <v>3119</v>
      </c>
      <c r="C3121" s="193" t="s">
        <v>4414</v>
      </c>
      <c r="D3121" s="195" t="s">
        <v>7682</v>
      </c>
      <c r="E3121" s="193" t="s">
        <v>8173</v>
      </c>
      <c r="F3121" s="193" t="s">
        <v>114</v>
      </c>
      <c r="G3121" s="195" t="s">
        <v>1140</v>
      </c>
      <c r="H3121" s="166" t="s">
        <v>13436</v>
      </c>
      <c r="I3121" s="193" t="s">
        <v>12812</v>
      </c>
      <c r="J3121" s="193" t="s">
        <v>146</v>
      </c>
      <c r="L3121" s="193" t="s">
        <v>146</v>
      </c>
    </row>
    <row r="3122" spans="1:12" ht="15">
      <c r="A3122" s="67">
        <f t="shared" si="49"/>
        <v>3120</v>
      </c>
      <c r="B3122" s="164">
        <v>3120</v>
      </c>
      <c r="C3122" s="193" t="s">
        <v>4415</v>
      </c>
      <c r="D3122" s="195" t="s">
        <v>7683</v>
      </c>
      <c r="E3122" s="193" t="s">
        <v>9876</v>
      </c>
      <c r="F3122" s="193" t="s">
        <v>114</v>
      </c>
      <c r="G3122" s="195" t="s">
        <v>11927</v>
      </c>
      <c r="H3122" s="166" t="s">
        <v>13436</v>
      </c>
      <c r="I3122" s="193" t="s">
        <v>12821</v>
      </c>
      <c r="J3122" s="193" t="s">
        <v>146</v>
      </c>
      <c r="L3122" s="193" t="s">
        <v>146</v>
      </c>
    </row>
    <row r="3123" spans="1:12" ht="30">
      <c r="A3123" s="67">
        <f t="shared" si="49"/>
        <v>3121</v>
      </c>
      <c r="B3123" s="164">
        <v>3121</v>
      </c>
      <c r="C3123" s="193" t="s">
        <v>4416</v>
      </c>
      <c r="D3123" s="195" t="s">
        <v>7684</v>
      </c>
      <c r="E3123" s="193" t="s">
        <v>9877</v>
      </c>
      <c r="F3123" s="193" t="s">
        <v>114</v>
      </c>
      <c r="G3123" s="195" t="s">
        <v>1131</v>
      </c>
      <c r="H3123" s="166" t="s">
        <v>13436</v>
      </c>
      <c r="I3123" s="193" t="s">
        <v>12821</v>
      </c>
      <c r="J3123" s="193" t="s">
        <v>12795</v>
      </c>
      <c r="L3123" s="193" t="s">
        <v>146</v>
      </c>
    </row>
    <row r="3124" spans="1:12" ht="15">
      <c r="A3124" s="67">
        <f t="shared" si="49"/>
        <v>3122</v>
      </c>
      <c r="B3124" s="164">
        <v>3122</v>
      </c>
      <c r="C3124" s="193" t="s">
        <v>4417</v>
      </c>
      <c r="D3124" s="195" t="s">
        <v>7685</v>
      </c>
      <c r="E3124" s="193" t="s">
        <v>9878</v>
      </c>
      <c r="F3124" s="193" t="s">
        <v>114</v>
      </c>
      <c r="G3124" s="195" t="s">
        <v>11928</v>
      </c>
      <c r="H3124" s="166" t="s">
        <v>13436</v>
      </c>
      <c r="I3124" s="193" t="s">
        <v>12814</v>
      </c>
      <c r="J3124" s="193"/>
      <c r="L3124" s="193"/>
    </row>
    <row r="3125" spans="1:12" ht="30">
      <c r="A3125" s="67">
        <f t="shared" si="49"/>
        <v>3123</v>
      </c>
      <c r="B3125" s="164">
        <v>3123</v>
      </c>
      <c r="C3125" s="193" t="s">
        <v>4418</v>
      </c>
      <c r="D3125" s="195" t="s">
        <v>7686</v>
      </c>
      <c r="E3125" s="193" t="s">
        <v>9879</v>
      </c>
      <c r="F3125" s="193" t="s">
        <v>114</v>
      </c>
      <c r="G3125" s="195" t="s">
        <v>11929</v>
      </c>
      <c r="H3125" s="166" t="s">
        <v>13436</v>
      </c>
      <c r="I3125" s="193" t="s">
        <v>12812</v>
      </c>
      <c r="J3125" s="193" t="s">
        <v>12694</v>
      </c>
      <c r="L3125" s="193" t="s">
        <v>146</v>
      </c>
    </row>
    <row r="3126" spans="1:12" ht="15">
      <c r="A3126" s="67">
        <f t="shared" si="49"/>
        <v>3124</v>
      </c>
      <c r="B3126" s="164">
        <v>3124</v>
      </c>
      <c r="C3126" s="193" t="s">
        <v>4419</v>
      </c>
      <c r="D3126" s="195" t="s">
        <v>7687</v>
      </c>
      <c r="E3126" s="193" t="s">
        <v>166</v>
      </c>
      <c r="F3126" s="193" t="s">
        <v>114</v>
      </c>
      <c r="G3126" s="195" t="s">
        <v>1032</v>
      </c>
      <c r="H3126" s="166" t="s">
        <v>13436</v>
      </c>
      <c r="I3126" s="193" t="s">
        <v>12812</v>
      </c>
      <c r="J3126" s="193" t="s">
        <v>146</v>
      </c>
      <c r="L3126" s="193" t="s">
        <v>146</v>
      </c>
    </row>
    <row r="3127" spans="1:12" ht="15">
      <c r="A3127" s="67">
        <f t="shared" si="49"/>
        <v>3125</v>
      </c>
      <c r="B3127" s="164">
        <v>3125</v>
      </c>
      <c r="C3127" s="193" t="s">
        <v>4420</v>
      </c>
      <c r="D3127" s="195" t="s">
        <v>7688</v>
      </c>
      <c r="E3127" s="193" t="s">
        <v>9880</v>
      </c>
      <c r="F3127" s="193" t="s">
        <v>114</v>
      </c>
      <c r="G3127" s="195" t="s">
        <v>11930</v>
      </c>
      <c r="H3127" s="166" t="s">
        <v>13436</v>
      </c>
      <c r="I3127" s="193" t="s">
        <v>12812</v>
      </c>
      <c r="J3127" s="193" t="s">
        <v>146</v>
      </c>
      <c r="L3127" s="193" t="s">
        <v>146</v>
      </c>
    </row>
    <row r="3128" spans="1:12" ht="15">
      <c r="A3128" s="67">
        <f t="shared" si="49"/>
        <v>3126</v>
      </c>
      <c r="B3128" s="164">
        <v>3126</v>
      </c>
      <c r="C3128" s="193" t="s">
        <v>4421</v>
      </c>
      <c r="D3128" s="195" t="s">
        <v>7689</v>
      </c>
      <c r="E3128" s="193" t="s">
        <v>477</v>
      </c>
      <c r="F3128" s="193" t="s">
        <v>114</v>
      </c>
      <c r="G3128" s="195" t="s">
        <v>269</v>
      </c>
      <c r="H3128" s="166" t="s">
        <v>13436</v>
      </c>
      <c r="I3128" s="193" t="s">
        <v>12812</v>
      </c>
      <c r="J3128" s="193" t="s">
        <v>146</v>
      </c>
      <c r="L3128" s="193" t="s">
        <v>146</v>
      </c>
    </row>
    <row r="3129" spans="1:12" ht="30">
      <c r="A3129" s="67">
        <f t="shared" si="49"/>
        <v>3127</v>
      </c>
      <c r="B3129" s="164">
        <v>3127</v>
      </c>
      <c r="C3129" s="193" t="s">
        <v>4422</v>
      </c>
      <c r="D3129" s="195" t="s">
        <v>7690</v>
      </c>
      <c r="E3129" s="193" t="s">
        <v>9881</v>
      </c>
      <c r="F3129" s="193" t="s">
        <v>114</v>
      </c>
      <c r="G3129" s="195" t="s">
        <v>1230</v>
      </c>
      <c r="H3129" s="166" t="s">
        <v>13436</v>
      </c>
      <c r="I3129" s="193" t="s">
        <v>12827</v>
      </c>
      <c r="J3129" s="193" t="s">
        <v>1284</v>
      </c>
      <c r="L3129" s="193" t="s">
        <v>146</v>
      </c>
    </row>
    <row r="3130" spans="1:12" ht="15">
      <c r="A3130" s="67">
        <f t="shared" si="49"/>
        <v>3128</v>
      </c>
      <c r="B3130" s="164">
        <v>3128</v>
      </c>
      <c r="C3130" s="193" t="s">
        <v>4423</v>
      </c>
      <c r="D3130" s="195" t="s">
        <v>7691</v>
      </c>
      <c r="E3130" s="193" t="s">
        <v>9882</v>
      </c>
      <c r="F3130" s="193" t="s">
        <v>59</v>
      </c>
      <c r="G3130" s="195" t="s">
        <v>900</v>
      </c>
      <c r="H3130" s="166" t="s">
        <v>13436</v>
      </c>
      <c r="I3130" s="193" t="s">
        <v>12812</v>
      </c>
      <c r="J3130" s="193" t="s">
        <v>147</v>
      </c>
      <c r="L3130" s="193"/>
    </row>
    <row r="3131" spans="1:12" ht="15">
      <c r="A3131" s="67">
        <f t="shared" si="49"/>
        <v>3129</v>
      </c>
      <c r="B3131" s="164">
        <v>3129</v>
      </c>
      <c r="C3131" s="193" t="s">
        <v>4424</v>
      </c>
      <c r="D3131" s="195" t="s">
        <v>7692</v>
      </c>
      <c r="E3131" s="193" t="s">
        <v>513</v>
      </c>
      <c r="F3131" s="193" t="s">
        <v>114</v>
      </c>
      <c r="G3131" s="195" t="s">
        <v>11931</v>
      </c>
      <c r="H3131" s="166" t="s">
        <v>13436</v>
      </c>
      <c r="I3131" s="193" t="s">
        <v>12827</v>
      </c>
      <c r="J3131" s="193" t="s">
        <v>146</v>
      </c>
      <c r="L3131" s="193" t="s">
        <v>146</v>
      </c>
    </row>
    <row r="3132" spans="1:12" ht="15">
      <c r="A3132" s="67">
        <f t="shared" si="49"/>
        <v>3130</v>
      </c>
      <c r="B3132" s="164">
        <v>3130</v>
      </c>
      <c r="C3132" s="193" t="s">
        <v>4425</v>
      </c>
      <c r="D3132" s="195" t="s">
        <v>7693</v>
      </c>
      <c r="E3132" s="193" t="s">
        <v>9883</v>
      </c>
      <c r="F3132" s="193" t="s">
        <v>114</v>
      </c>
      <c r="G3132" s="195" t="s">
        <v>11932</v>
      </c>
      <c r="H3132" s="166" t="s">
        <v>13436</v>
      </c>
      <c r="I3132" s="193" t="s">
        <v>12812</v>
      </c>
      <c r="J3132" s="193" t="s">
        <v>146</v>
      </c>
      <c r="L3132" s="193" t="s">
        <v>146</v>
      </c>
    </row>
    <row r="3133" spans="1:12" ht="15">
      <c r="A3133" s="67">
        <f t="shared" si="49"/>
        <v>3131</v>
      </c>
      <c r="B3133" s="164">
        <v>3131</v>
      </c>
      <c r="C3133" s="193" t="s">
        <v>4426</v>
      </c>
      <c r="D3133" s="195" t="s">
        <v>7694</v>
      </c>
      <c r="E3133" s="193" t="s">
        <v>9884</v>
      </c>
      <c r="F3133" s="193" t="s">
        <v>59</v>
      </c>
      <c r="G3133" s="195" t="s">
        <v>1044</v>
      </c>
      <c r="H3133" s="166" t="s">
        <v>13436</v>
      </c>
      <c r="I3133" s="193" t="s">
        <v>12812</v>
      </c>
      <c r="J3133" s="193" t="s">
        <v>146</v>
      </c>
      <c r="L3133" s="193"/>
    </row>
    <row r="3134" spans="1:12" ht="15">
      <c r="A3134" s="67">
        <f t="shared" si="49"/>
        <v>3132</v>
      </c>
      <c r="B3134" s="164">
        <v>3132</v>
      </c>
      <c r="C3134" s="193" t="s">
        <v>4427</v>
      </c>
      <c r="D3134" s="195" t="s">
        <v>7695</v>
      </c>
      <c r="E3134" s="193" t="s">
        <v>9885</v>
      </c>
      <c r="F3134" s="193" t="s">
        <v>114</v>
      </c>
      <c r="G3134" s="195" t="s">
        <v>11933</v>
      </c>
      <c r="H3134" s="166" t="s">
        <v>13436</v>
      </c>
      <c r="I3134" s="193" t="s">
        <v>12827</v>
      </c>
      <c r="J3134" s="193" t="s">
        <v>146</v>
      </c>
      <c r="L3134" s="193" t="s">
        <v>146</v>
      </c>
    </row>
    <row r="3135" spans="1:12" ht="30">
      <c r="A3135" s="67">
        <f t="shared" si="49"/>
        <v>3133</v>
      </c>
      <c r="B3135" s="164">
        <v>3133</v>
      </c>
      <c r="C3135" s="193" t="s">
        <v>4428</v>
      </c>
      <c r="D3135" s="195" t="s">
        <v>7696</v>
      </c>
      <c r="E3135" s="193" t="s">
        <v>9886</v>
      </c>
      <c r="F3135" s="193" t="s">
        <v>114</v>
      </c>
      <c r="G3135" s="195" t="s">
        <v>1177</v>
      </c>
      <c r="H3135" s="166" t="s">
        <v>13436</v>
      </c>
      <c r="I3135" s="193" t="s">
        <v>12827</v>
      </c>
      <c r="J3135" s="193" t="s">
        <v>12796</v>
      </c>
      <c r="L3135" s="193" t="s">
        <v>146</v>
      </c>
    </row>
    <row r="3136" spans="1:12" ht="30">
      <c r="A3136" s="67">
        <f t="shared" si="49"/>
        <v>3134</v>
      </c>
      <c r="B3136" s="164">
        <v>3134</v>
      </c>
      <c r="C3136" s="193" t="s">
        <v>4429</v>
      </c>
      <c r="D3136" s="195" t="s">
        <v>7697</v>
      </c>
      <c r="E3136" s="193" t="s">
        <v>345</v>
      </c>
      <c r="F3136" s="193" t="s">
        <v>114</v>
      </c>
      <c r="G3136" s="195" t="s">
        <v>11934</v>
      </c>
      <c r="H3136" s="166" t="s">
        <v>13436</v>
      </c>
      <c r="I3136" s="193" t="s">
        <v>12812</v>
      </c>
      <c r="J3136" s="193" t="s">
        <v>146</v>
      </c>
      <c r="L3136" s="193" t="s">
        <v>13434</v>
      </c>
    </row>
    <row r="3137" spans="1:12" ht="15">
      <c r="A3137" s="67">
        <f t="shared" si="49"/>
        <v>3135</v>
      </c>
      <c r="B3137" s="164">
        <v>3135</v>
      </c>
      <c r="C3137" s="193" t="s">
        <v>4430</v>
      </c>
      <c r="D3137" s="196" t="s">
        <v>7698</v>
      </c>
      <c r="E3137" s="193" t="s">
        <v>9887</v>
      </c>
      <c r="F3137" s="193" t="s">
        <v>59</v>
      </c>
      <c r="G3137" s="195" t="s">
        <v>1237</v>
      </c>
      <c r="H3137" s="166" t="s">
        <v>13436</v>
      </c>
      <c r="I3137" s="193" t="s">
        <v>12839</v>
      </c>
      <c r="J3137" s="193"/>
      <c r="L3137" s="193"/>
    </row>
    <row r="3138" spans="1:12" ht="15">
      <c r="A3138" s="67">
        <f t="shared" si="49"/>
        <v>3136</v>
      </c>
      <c r="B3138" s="164">
        <v>3136</v>
      </c>
      <c r="C3138" s="193" t="s">
        <v>4431</v>
      </c>
      <c r="D3138" s="199" t="s">
        <v>7699</v>
      </c>
      <c r="E3138" s="193" t="s">
        <v>9888</v>
      </c>
      <c r="F3138" s="193" t="s">
        <v>59</v>
      </c>
      <c r="G3138" s="195" t="s">
        <v>11935</v>
      </c>
      <c r="H3138" s="166" t="s">
        <v>13436</v>
      </c>
      <c r="I3138" s="193" t="s">
        <v>12828</v>
      </c>
      <c r="J3138" s="193" t="s">
        <v>147</v>
      </c>
      <c r="L3138" s="193"/>
    </row>
    <row r="3139" spans="1:12" ht="15">
      <c r="A3139" s="67">
        <f t="shared" si="49"/>
        <v>3137</v>
      </c>
      <c r="B3139" s="164">
        <v>3137</v>
      </c>
      <c r="C3139" s="193" t="s">
        <v>4432</v>
      </c>
      <c r="D3139" s="195" t="s">
        <v>7700</v>
      </c>
      <c r="E3139" s="193" t="s">
        <v>8643</v>
      </c>
      <c r="F3139" s="193" t="s">
        <v>114</v>
      </c>
      <c r="G3139" s="195" t="s">
        <v>11936</v>
      </c>
      <c r="H3139" s="166" t="s">
        <v>13436</v>
      </c>
      <c r="I3139" s="193" t="s">
        <v>1249</v>
      </c>
      <c r="J3139" s="193" t="s">
        <v>146</v>
      </c>
      <c r="L3139" s="193" t="s">
        <v>146</v>
      </c>
    </row>
    <row r="3140" spans="1:12" ht="15">
      <c r="A3140" s="67">
        <f t="shared" si="49"/>
        <v>3138</v>
      </c>
      <c r="B3140" s="164">
        <v>3138</v>
      </c>
      <c r="C3140" s="193" t="s">
        <v>4433</v>
      </c>
      <c r="D3140" s="195" t="s">
        <v>7701</v>
      </c>
      <c r="E3140" s="193" t="s">
        <v>176</v>
      </c>
      <c r="F3140" s="193" t="s">
        <v>114</v>
      </c>
      <c r="G3140" s="195" t="s">
        <v>11937</v>
      </c>
      <c r="H3140" s="166" t="s">
        <v>13436</v>
      </c>
      <c r="I3140" s="193" t="s">
        <v>1249</v>
      </c>
      <c r="J3140" s="193"/>
      <c r="L3140" s="193" t="s">
        <v>146</v>
      </c>
    </row>
    <row r="3141" spans="1:12" ht="15">
      <c r="A3141" s="67">
        <f t="shared" si="49"/>
        <v>3139</v>
      </c>
      <c r="B3141" s="164">
        <v>3139</v>
      </c>
      <c r="C3141" s="193" t="s">
        <v>4434</v>
      </c>
      <c r="D3141" s="195" t="s">
        <v>7702</v>
      </c>
      <c r="E3141" s="193" t="s">
        <v>9889</v>
      </c>
      <c r="F3141" s="193" t="s">
        <v>59</v>
      </c>
      <c r="G3141" s="195" t="s">
        <v>219</v>
      </c>
      <c r="H3141" s="166" t="s">
        <v>13436</v>
      </c>
      <c r="I3141" s="193" t="s">
        <v>1250</v>
      </c>
      <c r="J3141" s="193"/>
      <c r="L3141" s="193"/>
    </row>
    <row r="3142" spans="1:12" ht="15">
      <c r="A3142" s="67">
        <f t="shared" si="49"/>
        <v>3140</v>
      </c>
      <c r="B3142" s="164">
        <v>3140</v>
      </c>
      <c r="C3142" s="193" t="s">
        <v>4435</v>
      </c>
      <c r="D3142" s="195" t="s">
        <v>7703</v>
      </c>
      <c r="E3142" s="193" t="s">
        <v>9890</v>
      </c>
      <c r="F3142" s="193" t="s">
        <v>114</v>
      </c>
      <c r="G3142" s="195" t="s">
        <v>11938</v>
      </c>
      <c r="H3142" s="166" t="s">
        <v>13436</v>
      </c>
      <c r="I3142" s="193" t="s">
        <v>1249</v>
      </c>
      <c r="J3142" s="193" t="s">
        <v>146</v>
      </c>
      <c r="L3142" s="193" t="s">
        <v>146</v>
      </c>
    </row>
    <row r="3143" spans="1:12" ht="45">
      <c r="A3143" s="67">
        <f t="shared" si="49"/>
        <v>3141</v>
      </c>
      <c r="B3143" s="164">
        <v>3141</v>
      </c>
      <c r="C3143" s="193" t="s">
        <v>4436</v>
      </c>
      <c r="D3143" s="208" t="s">
        <v>7704</v>
      </c>
      <c r="E3143" s="193" t="s">
        <v>348</v>
      </c>
      <c r="F3143" s="193" t="s">
        <v>114</v>
      </c>
      <c r="G3143" s="195" t="s">
        <v>1082</v>
      </c>
      <c r="H3143" s="166" t="s">
        <v>13436</v>
      </c>
      <c r="I3143" s="193" t="s">
        <v>12816</v>
      </c>
      <c r="J3143" s="193" t="s">
        <v>12797</v>
      </c>
      <c r="L3143" s="193" t="s">
        <v>146</v>
      </c>
    </row>
    <row r="3144" spans="1:12" ht="15">
      <c r="A3144" s="67">
        <f t="shared" si="49"/>
        <v>3142</v>
      </c>
      <c r="B3144" s="164">
        <v>3142</v>
      </c>
      <c r="C3144" s="193" t="s">
        <v>4437</v>
      </c>
      <c r="D3144" s="208" t="s">
        <v>7705</v>
      </c>
      <c r="E3144" s="193" t="s">
        <v>9891</v>
      </c>
      <c r="F3144" s="193" t="s">
        <v>114</v>
      </c>
      <c r="G3144" s="195" t="s">
        <v>11939</v>
      </c>
      <c r="H3144" s="166" t="s">
        <v>13436</v>
      </c>
      <c r="I3144" s="193" t="s">
        <v>12816</v>
      </c>
      <c r="J3144" s="193" t="s">
        <v>146</v>
      </c>
      <c r="L3144" s="193" t="s">
        <v>146</v>
      </c>
    </row>
    <row r="3145" spans="1:12" ht="15">
      <c r="A3145" s="67">
        <f t="shared" si="49"/>
        <v>3143</v>
      </c>
      <c r="B3145" s="164">
        <v>3143</v>
      </c>
      <c r="C3145" s="193" t="s">
        <v>4438</v>
      </c>
      <c r="D3145" s="195" t="s">
        <v>7706</v>
      </c>
      <c r="E3145" s="193" t="s">
        <v>9892</v>
      </c>
      <c r="F3145" s="193" t="s">
        <v>59</v>
      </c>
      <c r="G3145" s="195" t="s">
        <v>1066</v>
      </c>
      <c r="H3145" s="166" t="s">
        <v>13436</v>
      </c>
      <c r="I3145" s="193" t="s">
        <v>12817</v>
      </c>
      <c r="J3145" s="193"/>
      <c r="L3145" s="193"/>
    </row>
    <row r="3146" spans="1:12" ht="15">
      <c r="A3146" s="67">
        <f t="shared" si="49"/>
        <v>3144</v>
      </c>
      <c r="B3146" s="164">
        <v>3144</v>
      </c>
      <c r="C3146" s="193" t="s">
        <v>4439</v>
      </c>
      <c r="D3146" s="195" t="s">
        <v>7707</v>
      </c>
      <c r="E3146" s="193" t="s">
        <v>9893</v>
      </c>
      <c r="F3146" s="193" t="s">
        <v>59</v>
      </c>
      <c r="G3146" s="195" t="s">
        <v>820</v>
      </c>
      <c r="H3146" s="166" t="s">
        <v>13436</v>
      </c>
      <c r="I3146" s="193" t="s">
        <v>12817</v>
      </c>
      <c r="J3146" s="193" t="s">
        <v>146</v>
      </c>
      <c r="L3146" s="193"/>
    </row>
    <row r="3147" spans="1:12" ht="15">
      <c r="A3147" s="67">
        <f t="shared" si="49"/>
        <v>3145</v>
      </c>
      <c r="B3147" s="164">
        <v>3145</v>
      </c>
      <c r="C3147" s="193" t="s">
        <v>4440</v>
      </c>
      <c r="D3147" s="195" t="s">
        <v>7708</v>
      </c>
      <c r="E3147" s="193" t="s">
        <v>9894</v>
      </c>
      <c r="F3147" s="193" t="s">
        <v>114</v>
      </c>
      <c r="G3147" s="195" t="s">
        <v>11940</v>
      </c>
      <c r="H3147" s="166" t="s">
        <v>13436</v>
      </c>
      <c r="I3147" s="193" t="s">
        <v>12817</v>
      </c>
      <c r="J3147" s="193"/>
      <c r="L3147" s="193" t="s">
        <v>146</v>
      </c>
    </row>
    <row r="3148" spans="1:12" ht="15">
      <c r="A3148" s="67">
        <f t="shared" si="49"/>
        <v>3146</v>
      </c>
      <c r="B3148" s="164">
        <v>3146</v>
      </c>
      <c r="C3148" s="193" t="s">
        <v>4441</v>
      </c>
      <c r="D3148" s="195" t="s">
        <v>7709</v>
      </c>
      <c r="E3148" s="193" t="s">
        <v>9895</v>
      </c>
      <c r="F3148" s="193" t="s">
        <v>59</v>
      </c>
      <c r="G3148" s="195" t="s">
        <v>1040</v>
      </c>
      <c r="H3148" s="166" t="s">
        <v>13436</v>
      </c>
      <c r="I3148" s="193" t="s">
        <v>12817</v>
      </c>
      <c r="J3148" s="193" t="s">
        <v>146</v>
      </c>
      <c r="L3148" s="193"/>
    </row>
    <row r="3149" spans="1:12" ht="15">
      <c r="A3149" s="67">
        <f t="shared" si="49"/>
        <v>3147</v>
      </c>
      <c r="B3149" s="164">
        <v>3147</v>
      </c>
      <c r="C3149" s="193" t="s">
        <v>4442</v>
      </c>
      <c r="D3149" s="195" t="s">
        <v>7710</v>
      </c>
      <c r="E3149" s="193" t="s">
        <v>9896</v>
      </c>
      <c r="F3149" s="193" t="s">
        <v>114</v>
      </c>
      <c r="G3149" s="195" t="s">
        <v>11941</v>
      </c>
      <c r="H3149" s="166" t="s">
        <v>13436</v>
      </c>
      <c r="I3149" s="193" t="s">
        <v>12817</v>
      </c>
      <c r="J3149" s="193" t="s">
        <v>146</v>
      </c>
      <c r="L3149" s="193" t="s">
        <v>146</v>
      </c>
    </row>
    <row r="3150" spans="1:12" ht="15">
      <c r="A3150" s="67">
        <f t="shared" si="49"/>
        <v>3148</v>
      </c>
      <c r="B3150" s="164">
        <v>3148</v>
      </c>
      <c r="C3150" s="193" t="s">
        <v>4443</v>
      </c>
      <c r="D3150" s="195" t="s">
        <v>7711</v>
      </c>
      <c r="E3150" s="193" t="s">
        <v>9897</v>
      </c>
      <c r="F3150" s="193" t="s">
        <v>114</v>
      </c>
      <c r="G3150" s="195" t="s">
        <v>11942</v>
      </c>
      <c r="H3150" s="166" t="s">
        <v>13436</v>
      </c>
      <c r="I3150" s="193" t="s">
        <v>12817</v>
      </c>
      <c r="J3150" s="193" t="s">
        <v>146</v>
      </c>
      <c r="L3150" s="193" t="s">
        <v>146</v>
      </c>
    </row>
    <row r="3151" spans="1:12" ht="30">
      <c r="A3151" s="67">
        <f t="shared" si="49"/>
        <v>3149</v>
      </c>
      <c r="B3151" s="164">
        <v>3149</v>
      </c>
      <c r="C3151" s="193" t="s">
        <v>4444</v>
      </c>
      <c r="D3151" s="195" t="s">
        <v>7712</v>
      </c>
      <c r="E3151" s="193" t="s">
        <v>313</v>
      </c>
      <c r="F3151" s="193" t="s">
        <v>114</v>
      </c>
      <c r="G3151" s="195" t="s">
        <v>1028</v>
      </c>
      <c r="H3151" s="166" t="s">
        <v>13436</v>
      </c>
      <c r="I3151" s="193" t="s">
        <v>12817</v>
      </c>
      <c r="J3151" s="193" t="s">
        <v>12101</v>
      </c>
      <c r="L3151" s="193" t="s">
        <v>146</v>
      </c>
    </row>
    <row r="3152" spans="1:12" ht="15">
      <c r="A3152" s="67">
        <f t="shared" si="49"/>
        <v>3150</v>
      </c>
      <c r="B3152" s="164">
        <v>3150</v>
      </c>
      <c r="C3152" s="193" t="s">
        <v>4445</v>
      </c>
      <c r="D3152" s="195" t="s">
        <v>7713</v>
      </c>
      <c r="E3152" s="193" t="s">
        <v>483</v>
      </c>
      <c r="F3152" s="193" t="s">
        <v>114</v>
      </c>
      <c r="G3152" s="195" t="s">
        <v>11943</v>
      </c>
      <c r="H3152" s="166" t="s">
        <v>13436</v>
      </c>
      <c r="I3152" s="193" t="s">
        <v>12817</v>
      </c>
      <c r="J3152" s="193" t="s">
        <v>146</v>
      </c>
      <c r="L3152" s="193" t="s">
        <v>146</v>
      </c>
    </row>
    <row r="3153" spans="1:12" ht="15">
      <c r="A3153" s="67">
        <f t="shared" si="49"/>
        <v>3151</v>
      </c>
      <c r="B3153" s="164">
        <v>3151</v>
      </c>
      <c r="C3153" s="193" t="s">
        <v>4446</v>
      </c>
      <c r="D3153" s="195" t="s">
        <v>7714</v>
      </c>
      <c r="E3153" s="193" t="s">
        <v>8824</v>
      </c>
      <c r="F3153" s="193" t="s">
        <v>59</v>
      </c>
      <c r="G3153" s="195" t="s">
        <v>11671</v>
      </c>
      <c r="H3153" s="166" t="s">
        <v>13436</v>
      </c>
      <c r="I3153" s="193" t="s">
        <v>12812</v>
      </c>
      <c r="J3153" s="193"/>
      <c r="L3153" s="193"/>
    </row>
    <row r="3154" spans="1:12" ht="15">
      <c r="A3154" s="67">
        <f t="shared" si="49"/>
        <v>3152</v>
      </c>
      <c r="B3154" s="164">
        <v>3152</v>
      </c>
      <c r="C3154" s="193" t="s">
        <v>4447</v>
      </c>
      <c r="D3154" s="195" t="s">
        <v>7715</v>
      </c>
      <c r="E3154" s="193" t="s">
        <v>8104</v>
      </c>
      <c r="F3154" s="193" t="s">
        <v>114</v>
      </c>
      <c r="G3154" s="195" t="s">
        <v>935</v>
      </c>
      <c r="H3154" s="166" t="s">
        <v>13436</v>
      </c>
      <c r="I3154" s="193" t="s">
        <v>12814</v>
      </c>
      <c r="J3154" s="193" t="s">
        <v>12798</v>
      </c>
      <c r="L3154" s="193" t="s">
        <v>146</v>
      </c>
    </row>
    <row r="3155" spans="1:12" ht="15">
      <c r="A3155" s="67">
        <f t="shared" si="49"/>
        <v>3153</v>
      </c>
      <c r="B3155" s="164">
        <v>3153</v>
      </c>
      <c r="C3155" s="193" t="s">
        <v>4448</v>
      </c>
      <c r="D3155" s="195" t="s">
        <v>7716</v>
      </c>
      <c r="E3155" s="193" t="s">
        <v>8404</v>
      </c>
      <c r="F3155" s="193" t="s">
        <v>114</v>
      </c>
      <c r="G3155" s="195" t="s">
        <v>11944</v>
      </c>
      <c r="H3155" s="166" t="s">
        <v>13436</v>
      </c>
      <c r="I3155" s="193" t="s">
        <v>12812</v>
      </c>
      <c r="J3155" s="193" t="s">
        <v>146</v>
      </c>
      <c r="L3155" s="193" t="s">
        <v>146</v>
      </c>
    </row>
    <row r="3156" spans="1:12" ht="15">
      <c r="A3156" s="67">
        <f t="shared" si="49"/>
        <v>3154</v>
      </c>
      <c r="B3156" s="164">
        <v>3154</v>
      </c>
      <c r="C3156" s="193" t="s">
        <v>4449</v>
      </c>
      <c r="D3156" s="195" t="s">
        <v>7717</v>
      </c>
      <c r="E3156" s="193" t="s">
        <v>9898</v>
      </c>
      <c r="F3156" s="193" t="s">
        <v>114</v>
      </c>
      <c r="G3156" s="195" t="s">
        <v>11945</v>
      </c>
      <c r="H3156" s="166" t="s">
        <v>13436</v>
      </c>
      <c r="I3156" s="193" t="s">
        <v>12814</v>
      </c>
      <c r="J3156" s="193" t="s">
        <v>146</v>
      </c>
      <c r="L3156" s="193" t="s">
        <v>146</v>
      </c>
    </row>
    <row r="3157" spans="1:12" ht="15">
      <c r="A3157" s="67">
        <f t="shared" si="49"/>
        <v>3155</v>
      </c>
      <c r="B3157" s="164">
        <v>3155</v>
      </c>
      <c r="C3157" s="193" t="s">
        <v>4450</v>
      </c>
      <c r="D3157" s="195" t="s">
        <v>7718</v>
      </c>
      <c r="E3157" s="193" t="s">
        <v>8068</v>
      </c>
      <c r="F3157" s="193" t="s">
        <v>114</v>
      </c>
      <c r="G3157" s="195" t="s">
        <v>11946</v>
      </c>
      <c r="H3157" s="166" t="s">
        <v>13436</v>
      </c>
      <c r="I3157" s="193" t="s">
        <v>12812</v>
      </c>
      <c r="J3157" s="193"/>
      <c r="L3157" s="193" t="s">
        <v>146</v>
      </c>
    </row>
    <row r="3158" spans="1:12" ht="15">
      <c r="A3158" s="67">
        <f t="shared" si="49"/>
        <v>3156</v>
      </c>
      <c r="B3158" s="164">
        <v>3156</v>
      </c>
      <c r="C3158" s="193" t="s">
        <v>4451</v>
      </c>
      <c r="D3158" s="195" t="s">
        <v>7719</v>
      </c>
      <c r="E3158" s="193" t="s">
        <v>9899</v>
      </c>
      <c r="F3158" s="193" t="s">
        <v>59</v>
      </c>
      <c r="G3158" s="195" t="s">
        <v>11947</v>
      </c>
      <c r="H3158" s="166" t="s">
        <v>13436</v>
      </c>
      <c r="I3158" s="193" t="s">
        <v>12812</v>
      </c>
      <c r="J3158" s="193"/>
      <c r="L3158" s="193"/>
    </row>
    <row r="3159" spans="1:12" ht="30">
      <c r="A3159" s="67">
        <f t="shared" si="49"/>
        <v>3157</v>
      </c>
      <c r="B3159" s="164">
        <v>3157</v>
      </c>
      <c r="C3159" s="193" t="s">
        <v>4452</v>
      </c>
      <c r="D3159" s="195" t="s">
        <v>7720</v>
      </c>
      <c r="E3159" s="193" t="s">
        <v>9900</v>
      </c>
      <c r="F3159" s="193" t="s">
        <v>114</v>
      </c>
      <c r="G3159" s="195" t="s">
        <v>11948</v>
      </c>
      <c r="H3159" s="166" t="s">
        <v>13436</v>
      </c>
      <c r="I3159" s="193" t="s">
        <v>12819</v>
      </c>
      <c r="J3159" s="193" t="s">
        <v>12799</v>
      </c>
      <c r="L3159" s="193" t="s">
        <v>146</v>
      </c>
    </row>
    <row r="3160" spans="1:12" ht="15">
      <c r="A3160" s="67">
        <f t="shared" si="49"/>
        <v>3158</v>
      </c>
      <c r="B3160" s="164">
        <v>3158</v>
      </c>
      <c r="C3160" s="193" t="s">
        <v>4453</v>
      </c>
      <c r="D3160" s="195" t="s">
        <v>13438</v>
      </c>
      <c r="E3160" s="193" t="s">
        <v>9901</v>
      </c>
      <c r="F3160" s="193" t="s">
        <v>114</v>
      </c>
      <c r="G3160" s="195" t="s">
        <v>793</v>
      </c>
      <c r="H3160" s="166" t="s">
        <v>13436</v>
      </c>
      <c r="I3160" s="193" t="s">
        <v>12819</v>
      </c>
      <c r="J3160" s="193" t="s">
        <v>146</v>
      </c>
      <c r="L3160" s="193" t="s">
        <v>146</v>
      </c>
    </row>
    <row r="3161" spans="1:12" ht="15">
      <c r="A3161" s="67">
        <f t="shared" ref="A3161:A3224" si="50">IFERROR(VALUE(RIGHT(C3161,4)),"")</f>
        <v>3159</v>
      </c>
      <c r="B3161" s="164">
        <v>3159</v>
      </c>
      <c r="C3161" s="193" t="s">
        <v>4454</v>
      </c>
      <c r="D3161" s="195" t="s">
        <v>7721</v>
      </c>
      <c r="E3161" s="193" t="s">
        <v>9902</v>
      </c>
      <c r="F3161" s="193" t="s">
        <v>114</v>
      </c>
      <c r="G3161" s="195" t="s">
        <v>11949</v>
      </c>
      <c r="H3161" s="166" t="s">
        <v>13436</v>
      </c>
      <c r="I3161" s="193" t="s">
        <v>12819</v>
      </c>
      <c r="J3161" s="193" t="s">
        <v>146</v>
      </c>
      <c r="L3161" s="193" t="s">
        <v>146</v>
      </c>
    </row>
    <row r="3162" spans="1:12" ht="30">
      <c r="A3162" s="67">
        <f t="shared" si="50"/>
        <v>3160</v>
      </c>
      <c r="B3162" s="164">
        <v>3160</v>
      </c>
      <c r="C3162" s="193" t="s">
        <v>4455</v>
      </c>
      <c r="D3162" s="195" t="s">
        <v>7722</v>
      </c>
      <c r="E3162" s="193" t="s">
        <v>364</v>
      </c>
      <c r="F3162" s="193" t="s">
        <v>114</v>
      </c>
      <c r="G3162" s="195" t="s">
        <v>11629</v>
      </c>
      <c r="H3162" s="166" t="s">
        <v>13436</v>
      </c>
      <c r="I3162" s="193" t="s">
        <v>12819</v>
      </c>
      <c r="J3162" s="193" t="s">
        <v>12800</v>
      </c>
      <c r="L3162" s="193" t="s">
        <v>146</v>
      </c>
    </row>
    <row r="3163" spans="1:12" ht="15">
      <c r="A3163" s="67">
        <f t="shared" si="50"/>
        <v>3161</v>
      </c>
      <c r="B3163" s="164">
        <v>3161</v>
      </c>
      <c r="C3163" s="193" t="s">
        <v>4456</v>
      </c>
      <c r="D3163" s="195" t="s">
        <v>7723</v>
      </c>
      <c r="E3163" s="193" t="s">
        <v>9903</v>
      </c>
      <c r="F3163" s="193" t="s">
        <v>114</v>
      </c>
      <c r="G3163" s="195" t="s">
        <v>943</v>
      </c>
      <c r="H3163" s="166" t="s">
        <v>13436</v>
      </c>
      <c r="I3163" s="193" t="s">
        <v>12836</v>
      </c>
      <c r="J3163" s="193" t="s">
        <v>146</v>
      </c>
      <c r="L3163" s="193" t="s">
        <v>146</v>
      </c>
    </row>
    <row r="3164" spans="1:12" ht="30">
      <c r="A3164" s="67">
        <f t="shared" si="50"/>
        <v>3162</v>
      </c>
      <c r="B3164" s="164">
        <v>3162</v>
      </c>
      <c r="C3164" s="193" t="s">
        <v>4457</v>
      </c>
      <c r="D3164" s="195" t="s">
        <v>7724</v>
      </c>
      <c r="E3164" s="193" t="s">
        <v>437</v>
      </c>
      <c r="F3164" s="193" t="s">
        <v>114</v>
      </c>
      <c r="G3164" s="195" t="s">
        <v>11950</v>
      </c>
      <c r="H3164" s="166" t="s">
        <v>13436</v>
      </c>
      <c r="I3164" s="193" t="s">
        <v>12821</v>
      </c>
      <c r="J3164" s="193" t="s">
        <v>12801</v>
      </c>
      <c r="L3164" s="193" t="s">
        <v>146</v>
      </c>
    </row>
    <row r="3165" spans="1:12" ht="15">
      <c r="A3165" s="67">
        <f t="shared" si="50"/>
        <v>3163</v>
      </c>
      <c r="B3165" s="164">
        <v>3163</v>
      </c>
      <c r="C3165" s="193" t="s">
        <v>4458</v>
      </c>
      <c r="D3165" s="195" t="s">
        <v>7725</v>
      </c>
      <c r="E3165" s="193" t="s">
        <v>9904</v>
      </c>
      <c r="F3165" s="193" t="s">
        <v>59</v>
      </c>
      <c r="G3165" s="195" t="s">
        <v>11951</v>
      </c>
      <c r="H3165" s="166" t="s">
        <v>13436</v>
      </c>
      <c r="I3165" s="193" t="s">
        <v>12821</v>
      </c>
      <c r="J3165" s="193" t="s">
        <v>146</v>
      </c>
      <c r="L3165" s="193"/>
    </row>
    <row r="3166" spans="1:12" ht="15">
      <c r="A3166" s="67">
        <f t="shared" si="50"/>
        <v>3164</v>
      </c>
      <c r="B3166" s="164">
        <v>3164</v>
      </c>
      <c r="C3166" s="193" t="s">
        <v>4459</v>
      </c>
      <c r="D3166" s="195" t="s">
        <v>7726</v>
      </c>
      <c r="E3166" s="193" t="s">
        <v>9905</v>
      </c>
      <c r="F3166" s="193" t="s">
        <v>59</v>
      </c>
      <c r="G3166" s="195" t="s">
        <v>11952</v>
      </c>
      <c r="H3166" s="166" t="s">
        <v>13436</v>
      </c>
      <c r="I3166" s="193" t="s">
        <v>12821</v>
      </c>
      <c r="J3166" s="193" t="s">
        <v>146</v>
      </c>
      <c r="L3166" s="193"/>
    </row>
    <row r="3167" spans="1:12" ht="15">
      <c r="A3167" s="67">
        <f t="shared" si="50"/>
        <v>3165</v>
      </c>
      <c r="B3167" s="164">
        <v>3165</v>
      </c>
      <c r="C3167" s="193" t="s">
        <v>4460</v>
      </c>
      <c r="D3167" s="195" t="s">
        <v>7727</v>
      </c>
      <c r="E3167" s="193" t="s">
        <v>9906</v>
      </c>
      <c r="F3167" s="193" t="s">
        <v>59</v>
      </c>
      <c r="G3167" s="195" t="s">
        <v>1204</v>
      </c>
      <c r="H3167" s="166" t="s">
        <v>13436</v>
      </c>
      <c r="I3167" s="193" t="s">
        <v>12821</v>
      </c>
      <c r="J3167" s="193" t="s">
        <v>146</v>
      </c>
      <c r="L3167" s="193"/>
    </row>
    <row r="3168" spans="1:12" ht="15">
      <c r="A3168" s="67">
        <f t="shared" si="50"/>
        <v>3166</v>
      </c>
      <c r="B3168" s="164">
        <v>3166</v>
      </c>
      <c r="C3168" s="193" t="s">
        <v>4461</v>
      </c>
      <c r="D3168" s="195" t="s">
        <v>7728</v>
      </c>
      <c r="E3168" s="193" t="s">
        <v>9907</v>
      </c>
      <c r="F3168" s="193" t="s">
        <v>114</v>
      </c>
      <c r="G3168" s="195" t="s">
        <v>11953</v>
      </c>
      <c r="H3168" s="166" t="s">
        <v>13436</v>
      </c>
      <c r="I3168" s="193" t="s">
        <v>12836</v>
      </c>
      <c r="J3168" s="193" t="s">
        <v>146</v>
      </c>
      <c r="L3168" s="193" t="s">
        <v>146</v>
      </c>
    </row>
    <row r="3169" spans="1:12" ht="15">
      <c r="A3169" s="67">
        <f t="shared" si="50"/>
        <v>3167</v>
      </c>
      <c r="B3169" s="164">
        <v>3167</v>
      </c>
      <c r="C3169" s="193" t="s">
        <v>4462</v>
      </c>
      <c r="D3169" s="195" t="s">
        <v>7729</v>
      </c>
      <c r="E3169" s="193" t="s">
        <v>9908</v>
      </c>
      <c r="F3169" s="193" t="s">
        <v>59</v>
      </c>
      <c r="G3169" s="195" t="s">
        <v>1221</v>
      </c>
      <c r="H3169" s="166" t="s">
        <v>13436</v>
      </c>
      <c r="I3169" s="193" t="s">
        <v>12821</v>
      </c>
      <c r="J3169" s="193" t="s">
        <v>146</v>
      </c>
      <c r="L3169" s="193"/>
    </row>
    <row r="3170" spans="1:12" ht="30">
      <c r="A3170" s="67">
        <f t="shared" si="50"/>
        <v>3168</v>
      </c>
      <c r="B3170" s="164">
        <v>3168</v>
      </c>
      <c r="C3170" s="193" t="s">
        <v>4463</v>
      </c>
      <c r="D3170" s="195" t="s">
        <v>7730</v>
      </c>
      <c r="E3170" s="193" t="s">
        <v>9909</v>
      </c>
      <c r="F3170" s="193" t="s">
        <v>114</v>
      </c>
      <c r="G3170" s="195" t="s">
        <v>1096</v>
      </c>
      <c r="H3170" s="166" t="s">
        <v>13436</v>
      </c>
      <c r="I3170" s="193" t="s">
        <v>12836</v>
      </c>
      <c r="J3170" s="193" t="s">
        <v>12802</v>
      </c>
      <c r="L3170" s="193" t="s">
        <v>146</v>
      </c>
    </row>
    <row r="3171" spans="1:12" ht="15">
      <c r="A3171" s="67">
        <f t="shared" si="50"/>
        <v>3169</v>
      </c>
      <c r="B3171" s="164">
        <v>3169</v>
      </c>
      <c r="C3171" s="193" t="s">
        <v>4464</v>
      </c>
      <c r="D3171" s="195" t="s">
        <v>7731</v>
      </c>
      <c r="E3171" s="193" t="s">
        <v>9910</v>
      </c>
      <c r="F3171" s="193" t="s">
        <v>114</v>
      </c>
      <c r="G3171" s="195" t="s">
        <v>11954</v>
      </c>
      <c r="H3171" s="166" t="s">
        <v>13436</v>
      </c>
      <c r="I3171" s="193" t="s">
        <v>12821</v>
      </c>
      <c r="J3171" s="193" t="s">
        <v>146</v>
      </c>
      <c r="L3171" s="193" t="s">
        <v>146</v>
      </c>
    </row>
    <row r="3172" spans="1:12" ht="15">
      <c r="A3172" s="67">
        <f t="shared" si="50"/>
        <v>3170</v>
      </c>
      <c r="B3172" s="164">
        <v>3170</v>
      </c>
      <c r="C3172" s="193" t="s">
        <v>4465</v>
      </c>
      <c r="D3172" s="195" t="s">
        <v>7732</v>
      </c>
      <c r="E3172" s="193" t="s">
        <v>9911</v>
      </c>
      <c r="F3172" s="193" t="s">
        <v>114</v>
      </c>
      <c r="G3172" s="195" t="s">
        <v>11955</v>
      </c>
      <c r="H3172" s="166" t="s">
        <v>13436</v>
      </c>
      <c r="I3172" s="193" t="s">
        <v>12836</v>
      </c>
      <c r="J3172" s="193" t="s">
        <v>146</v>
      </c>
      <c r="L3172" s="193" t="s">
        <v>146</v>
      </c>
    </row>
    <row r="3173" spans="1:12" ht="30">
      <c r="A3173" s="67">
        <f t="shared" si="50"/>
        <v>3171</v>
      </c>
      <c r="B3173" s="164">
        <v>3171</v>
      </c>
      <c r="C3173" s="193" t="s">
        <v>4466</v>
      </c>
      <c r="D3173" s="195" t="s">
        <v>7733</v>
      </c>
      <c r="E3173" s="193" t="s">
        <v>8764</v>
      </c>
      <c r="F3173" s="193" t="s">
        <v>114</v>
      </c>
      <c r="G3173" s="195" t="s">
        <v>11956</v>
      </c>
      <c r="H3173" s="166" t="s">
        <v>13436</v>
      </c>
      <c r="I3173" s="193" t="s">
        <v>12827</v>
      </c>
      <c r="J3173" s="193" t="s">
        <v>12803</v>
      </c>
      <c r="L3173" s="193" t="s">
        <v>146</v>
      </c>
    </row>
    <row r="3174" spans="1:12" ht="30">
      <c r="A3174" s="67">
        <f t="shared" si="50"/>
        <v>3172</v>
      </c>
      <c r="B3174" s="164">
        <v>3172</v>
      </c>
      <c r="C3174" s="193" t="s">
        <v>4467</v>
      </c>
      <c r="D3174" s="195" t="s">
        <v>7734</v>
      </c>
      <c r="E3174" s="193" t="s">
        <v>9912</v>
      </c>
      <c r="F3174" s="193" t="s">
        <v>114</v>
      </c>
      <c r="G3174" s="195" t="s">
        <v>11957</v>
      </c>
      <c r="H3174" s="166" t="s">
        <v>13436</v>
      </c>
      <c r="I3174" s="193" t="s">
        <v>12827</v>
      </c>
      <c r="J3174" s="193" t="s">
        <v>12804</v>
      </c>
      <c r="L3174" s="193" t="s">
        <v>146</v>
      </c>
    </row>
    <row r="3175" spans="1:12" ht="15">
      <c r="A3175" s="67">
        <f t="shared" si="50"/>
        <v>3173</v>
      </c>
      <c r="B3175" s="164">
        <v>3173</v>
      </c>
      <c r="C3175" s="193" t="s">
        <v>4468</v>
      </c>
      <c r="D3175" s="195" t="s">
        <v>7735</v>
      </c>
      <c r="E3175" s="193" t="s">
        <v>9913</v>
      </c>
      <c r="F3175" s="193" t="s">
        <v>114</v>
      </c>
      <c r="G3175" s="195" t="s">
        <v>1213</v>
      </c>
      <c r="H3175" s="166" t="s">
        <v>13436</v>
      </c>
      <c r="I3175" s="193" t="s">
        <v>12827</v>
      </c>
      <c r="J3175" s="193"/>
      <c r="L3175" s="193" t="s">
        <v>146</v>
      </c>
    </row>
    <row r="3176" spans="1:12" ht="15">
      <c r="A3176" s="67">
        <f t="shared" si="50"/>
        <v>3174</v>
      </c>
      <c r="B3176" s="164">
        <v>3174</v>
      </c>
      <c r="C3176" s="193" t="s">
        <v>4469</v>
      </c>
      <c r="D3176" s="195" t="s">
        <v>7736</v>
      </c>
      <c r="E3176" s="193" t="s">
        <v>623</v>
      </c>
      <c r="F3176" s="193" t="s">
        <v>114</v>
      </c>
      <c r="G3176" s="195" t="s">
        <v>11958</v>
      </c>
      <c r="H3176" s="166" t="s">
        <v>13436</v>
      </c>
      <c r="I3176" s="193" t="s">
        <v>12827</v>
      </c>
      <c r="J3176" s="193" t="s">
        <v>146</v>
      </c>
      <c r="L3176" s="193" t="s">
        <v>146</v>
      </c>
    </row>
    <row r="3177" spans="1:12" ht="15">
      <c r="A3177" s="67">
        <f t="shared" si="50"/>
        <v>3175</v>
      </c>
      <c r="B3177" s="164">
        <v>3175</v>
      </c>
      <c r="C3177" s="193" t="s">
        <v>4470</v>
      </c>
      <c r="D3177" s="195" t="s">
        <v>7737</v>
      </c>
      <c r="E3177" s="193" t="s">
        <v>9914</v>
      </c>
      <c r="F3177" s="193" t="s">
        <v>59</v>
      </c>
      <c r="G3177" s="195" t="s">
        <v>11959</v>
      </c>
      <c r="H3177" s="166" t="s">
        <v>13436</v>
      </c>
      <c r="I3177" s="193" t="s">
        <v>12827</v>
      </c>
      <c r="J3177" s="193"/>
      <c r="L3177" s="193"/>
    </row>
    <row r="3178" spans="1:12" ht="15">
      <c r="A3178" s="67">
        <f t="shared" si="50"/>
        <v>3176</v>
      </c>
      <c r="B3178" s="164">
        <v>3176</v>
      </c>
      <c r="C3178" s="193" t="s">
        <v>4471</v>
      </c>
      <c r="D3178" s="195" t="s">
        <v>7738</v>
      </c>
      <c r="E3178" s="193" t="s">
        <v>9915</v>
      </c>
      <c r="F3178" s="193" t="s">
        <v>114</v>
      </c>
      <c r="G3178" s="195" t="s">
        <v>11960</v>
      </c>
      <c r="H3178" s="166" t="s">
        <v>13436</v>
      </c>
      <c r="I3178" s="193" t="s">
        <v>12836</v>
      </c>
      <c r="J3178" s="193"/>
      <c r="L3178" s="193" t="s">
        <v>146</v>
      </c>
    </row>
    <row r="3179" spans="1:12" ht="15">
      <c r="A3179" s="67">
        <f t="shared" si="50"/>
        <v>3177</v>
      </c>
      <c r="B3179" s="164">
        <v>3177</v>
      </c>
      <c r="C3179" s="193" t="s">
        <v>4472</v>
      </c>
      <c r="D3179" s="195" t="s">
        <v>7739</v>
      </c>
      <c r="E3179" s="193" t="s">
        <v>9916</v>
      </c>
      <c r="F3179" s="193" t="s">
        <v>114</v>
      </c>
      <c r="G3179" s="195" t="s">
        <v>11961</v>
      </c>
      <c r="H3179" s="166" t="s">
        <v>13436</v>
      </c>
      <c r="I3179" s="193" t="s">
        <v>1250</v>
      </c>
      <c r="J3179" s="193" t="s">
        <v>146</v>
      </c>
      <c r="L3179" s="193" t="s">
        <v>146</v>
      </c>
    </row>
    <row r="3180" spans="1:12" ht="15">
      <c r="A3180" s="67">
        <f t="shared" si="50"/>
        <v>3178</v>
      </c>
      <c r="B3180" s="164">
        <v>3178</v>
      </c>
      <c r="C3180" s="193" t="s">
        <v>4473</v>
      </c>
      <c r="D3180" s="195" t="s">
        <v>7740</v>
      </c>
      <c r="E3180" s="193" t="s">
        <v>9917</v>
      </c>
      <c r="F3180" s="193" t="s">
        <v>114</v>
      </c>
      <c r="G3180" s="195" t="s">
        <v>11962</v>
      </c>
      <c r="H3180" s="166" t="s">
        <v>13436</v>
      </c>
      <c r="I3180" s="193" t="s">
        <v>12821</v>
      </c>
      <c r="J3180" s="193" t="s">
        <v>146</v>
      </c>
      <c r="L3180" s="193" t="s">
        <v>146</v>
      </c>
    </row>
    <row r="3181" spans="1:12" ht="15">
      <c r="A3181" s="67">
        <f t="shared" si="50"/>
        <v>3179</v>
      </c>
      <c r="B3181" s="164">
        <v>3179</v>
      </c>
      <c r="C3181" s="193" t="s">
        <v>4474</v>
      </c>
      <c r="D3181" s="195" t="s">
        <v>7741</v>
      </c>
      <c r="E3181" s="193" t="s">
        <v>9918</v>
      </c>
      <c r="F3181" s="193" t="s">
        <v>59</v>
      </c>
      <c r="G3181" s="195" t="s">
        <v>11963</v>
      </c>
      <c r="H3181" s="166" t="s">
        <v>13436</v>
      </c>
      <c r="I3181" s="193" t="s">
        <v>12825</v>
      </c>
      <c r="J3181" s="193"/>
      <c r="L3181" s="193"/>
    </row>
    <row r="3182" spans="1:12" ht="15">
      <c r="A3182" s="67">
        <f t="shared" si="50"/>
        <v>3180</v>
      </c>
      <c r="B3182" s="164">
        <v>3180</v>
      </c>
      <c r="C3182" s="193" t="s">
        <v>4475</v>
      </c>
      <c r="D3182" s="195" t="s">
        <v>7742</v>
      </c>
      <c r="E3182" s="193" t="s">
        <v>9919</v>
      </c>
      <c r="F3182" s="193" t="s">
        <v>114</v>
      </c>
      <c r="G3182" s="195" t="s">
        <v>11964</v>
      </c>
      <c r="H3182" s="166" t="s">
        <v>13436</v>
      </c>
      <c r="I3182" s="193" t="s">
        <v>12836</v>
      </c>
      <c r="J3182" s="193" t="s">
        <v>146</v>
      </c>
      <c r="L3182" s="193" t="s">
        <v>146</v>
      </c>
    </row>
    <row r="3183" spans="1:12" ht="15">
      <c r="A3183" s="67">
        <f t="shared" si="50"/>
        <v>3181</v>
      </c>
      <c r="B3183" s="164">
        <v>3181</v>
      </c>
      <c r="C3183" s="193" t="s">
        <v>4476</v>
      </c>
      <c r="D3183" s="195" t="s">
        <v>7743</v>
      </c>
      <c r="E3183" s="193" t="s">
        <v>9920</v>
      </c>
      <c r="F3183" s="193" t="s">
        <v>114</v>
      </c>
      <c r="G3183" s="195" t="s">
        <v>11965</v>
      </c>
      <c r="H3183" s="166" t="s">
        <v>13436</v>
      </c>
      <c r="I3183" s="193" t="s">
        <v>12819</v>
      </c>
      <c r="J3183" s="193" t="s">
        <v>146</v>
      </c>
      <c r="L3183" s="193" t="s">
        <v>146</v>
      </c>
    </row>
    <row r="3184" spans="1:12" ht="15">
      <c r="A3184" s="67">
        <f t="shared" si="50"/>
        <v>3182</v>
      </c>
      <c r="B3184" s="164">
        <v>3182</v>
      </c>
      <c r="C3184" s="193" t="s">
        <v>4477</v>
      </c>
      <c r="D3184" s="195" t="s">
        <v>7744</v>
      </c>
      <c r="E3184" s="193" t="s">
        <v>9921</v>
      </c>
      <c r="F3184" s="193" t="s">
        <v>59</v>
      </c>
      <c r="G3184" s="195" t="s">
        <v>1045</v>
      </c>
      <c r="H3184" s="166" t="s">
        <v>13436</v>
      </c>
      <c r="I3184" s="193" t="s">
        <v>12821</v>
      </c>
      <c r="J3184" s="193"/>
      <c r="L3184" s="193"/>
    </row>
    <row r="3185" spans="1:12" ht="15">
      <c r="A3185" s="67">
        <f t="shared" si="50"/>
        <v>3183</v>
      </c>
      <c r="B3185" s="164">
        <v>3183</v>
      </c>
      <c r="C3185" s="193" t="s">
        <v>4478</v>
      </c>
      <c r="D3185" s="195" t="s">
        <v>7745</v>
      </c>
      <c r="E3185" s="193" t="s">
        <v>9922</v>
      </c>
      <c r="F3185" s="193" t="s">
        <v>59</v>
      </c>
      <c r="G3185" s="195" t="s">
        <v>11966</v>
      </c>
      <c r="H3185" s="166" t="s">
        <v>13436</v>
      </c>
      <c r="I3185" s="193" t="s">
        <v>12836</v>
      </c>
      <c r="J3185" s="193"/>
      <c r="L3185" s="193"/>
    </row>
    <row r="3186" spans="1:12" ht="15">
      <c r="A3186" s="67">
        <f t="shared" si="50"/>
        <v>3184</v>
      </c>
      <c r="B3186" s="164">
        <v>3184</v>
      </c>
      <c r="C3186" s="193" t="s">
        <v>4479</v>
      </c>
      <c r="D3186" s="195" t="s">
        <v>7746</v>
      </c>
      <c r="E3186" s="193" t="s">
        <v>9923</v>
      </c>
      <c r="F3186" s="193" t="s">
        <v>59</v>
      </c>
      <c r="G3186" s="195" t="s">
        <v>944</v>
      </c>
      <c r="H3186" s="166" t="s">
        <v>13436</v>
      </c>
      <c r="I3186" s="193" t="s">
        <v>12817</v>
      </c>
      <c r="J3186" s="193" t="s">
        <v>146</v>
      </c>
      <c r="L3186" s="193"/>
    </row>
    <row r="3187" spans="1:12" ht="30">
      <c r="A3187" s="67">
        <f t="shared" si="50"/>
        <v>3185</v>
      </c>
      <c r="B3187" s="164">
        <v>3185</v>
      </c>
      <c r="C3187" s="193" t="s">
        <v>4480</v>
      </c>
      <c r="D3187" s="195" t="s">
        <v>7747</v>
      </c>
      <c r="E3187" s="193" t="s">
        <v>9924</v>
      </c>
      <c r="F3187" s="193" t="s">
        <v>59</v>
      </c>
      <c r="G3187" s="195" t="s">
        <v>11967</v>
      </c>
      <c r="H3187" s="166" t="s">
        <v>13436</v>
      </c>
      <c r="I3187" s="193" t="s">
        <v>12817</v>
      </c>
      <c r="J3187" s="193" t="s">
        <v>12805</v>
      </c>
      <c r="L3187" s="193"/>
    </row>
    <row r="3188" spans="1:12" ht="45">
      <c r="A3188" s="67">
        <f t="shared" si="50"/>
        <v>3186</v>
      </c>
      <c r="B3188" s="164">
        <v>3186</v>
      </c>
      <c r="C3188" s="193" t="s">
        <v>4481</v>
      </c>
      <c r="D3188" s="195" t="s">
        <v>7748</v>
      </c>
      <c r="E3188" s="193" t="s">
        <v>9925</v>
      </c>
      <c r="F3188" s="193" t="s">
        <v>114</v>
      </c>
      <c r="G3188" s="195" t="s">
        <v>11968</v>
      </c>
      <c r="H3188" s="166" t="s">
        <v>13436</v>
      </c>
      <c r="I3188" s="193" t="s">
        <v>12812</v>
      </c>
      <c r="J3188" s="193" t="s">
        <v>146</v>
      </c>
      <c r="L3188" s="193" t="s">
        <v>13435</v>
      </c>
    </row>
    <row r="3189" spans="1:12" ht="30">
      <c r="A3189" s="67">
        <f t="shared" si="50"/>
        <v>3187</v>
      </c>
      <c r="B3189" s="164">
        <v>3187</v>
      </c>
      <c r="C3189" s="193" t="s">
        <v>4482</v>
      </c>
      <c r="D3189" s="195" t="s">
        <v>7749</v>
      </c>
      <c r="E3189" s="193" t="s">
        <v>264</v>
      </c>
      <c r="F3189" s="193" t="s">
        <v>114</v>
      </c>
      <c r="G3189" s="195" t="s">
        <v>11969</v>
      </c>
      <c r="H3189" s="166" t="s">
        <v>13436</v>
      </c>
      <c r="I3189" s="193" t="s">
        <v>12826</v>
      </c>
      <c r="J3189" s="193" t="s">
        <v>12806</v>
      </c>
      <c r="L3189" s="193" t="s">
        <v>146</v>
      </c>
    </row>
    <row r="3190" spans="1:12" ht="15">
      <c r="A3190" s="67">
        <f t="shared" si="50"/>
        <v>3188</v>
      </c>
      <c r="B3190" s="164">
        <v>3188</v>
      </c>
      <c r="C3190" s="193" t="s">
        <v>4483</v>
      </c>
      <c r="D3190" s="195" t="s">
        <v>7750</v>
      </c>
      <c r="E3190" s="193" t="s">
        <v>177</v>
      </c>
      <c r="F3190" s="193" t="s">
        <v>114</v>
      </c>
      <c r="G3190" s="195" t="s">
        <v>11885</v>
      </c>
      <c r="H3190" s="166" t="s">
        <v>13436</v>
      </c>
      <c r="I3190" s="193" t="s">
        <v>12826</v>
      </c>
      <c r="J3190" s="193" t="s">
        <v>146</v>
      </c>
      <c r="L3190" s="193" t="s">
        <v>146</v>
      </c>
    </row>
    <row r="3191" spans="1:12" ht="15">
      <c r="A3191" s="67">
        <f t="shared" si="50"/>
        <v>3189</v>
      </c>
      <c r="B3191" s="164">
        <v>3189</v>
      </c>
      <c r="C3191" s="193" t="s">
        <v>4484</v>
      </c>
      <c r="D3191" s="195" t="s">
        <v>7751</v>
      </c>
      <c r="E3191" s="193" t="s">
        <v>8993</v>
      </c>
      <c r="F3191" s="193" t="s">
        <v>114</v>
      </c>
      <c r="G3191" s="195" t="s">
        <v>11970</v>
      </c>
      <c r="H3191" s="166" t="s">
        <v>13436</v>
      </c>
      <c r="I3191" s="193" t="s">
        <v>12827</v>
      </c>
      <c r="J3191" s="193" t="s">
        <v>146</v>
      </c>
      <c r="L3191" s="193" t="s">
        <v>146</v>
      </c>
    </row>
    <row r="3192" spans="1:12" ht="15">
      <c r="A3192" s="67">
        <f t="shared" si="50"/>
        <v>3190</v>
      </c>
      <c r="B3192" s="164">
        <v>3190</v>
      </c>
      <c r="C3192" s="193" t="s">
        <v>4485</v>
      </c>
      <c r="D3192" s="195" t="s">
        <v>7752</v>
      </c>
      <c r="E3192" s="193" t="s">
        <v>9926</v>
      </c>
      <c r="F3192" s="193" t="s">
        <v>114</v>
      </c>
      <c r="G3192" s="195" t="s">
        <v>11971</v>
      </c>
      <c r="H3192" s="166" t="s">
        <v>13436</v>
      </c>
      <c r="I3192" s="193" t="s">
        <v>12821</v>
      </c>
      <c r="J3192" s="193" t="s">
        <v>146</v>
      </c>
      <c r="L3192" s="193" t="s">
        <v>146</v>
      </c>
    </row>
    <row r="3193" spans="1:12" ht="15">
      <c r="A3193" s="67">
        <f t="shared" si="50"/>
        <v>3191</v>
      </c>
      <c r="B3193" s="164">
        <v>3191</v>
      </c>
      <c r="C3193" s="193" t="s">
        <v>4486</v>
      </c>
      <c r="D3193" s="195" t="s">
        <v>7753</v>
      </c>
      <c r="E3193" s="193" t="s">
        <v>9927</v>
      </c>
      <c r="F3193" s="193" t="s">
        <v>114</v>
      </c>
      <c r="G3193" s="195" t="s">
        <v>11972</v>
      </c>
      <c r="H3193" s="166" t="s">
        <v>13436</v>
      </c>
      <c r="I3193" s="193" t="s">
        <v>12819</v>
      </c>
      <c r="J3193" s="193" t="s">
        <v>146</v>
      </c>
      <c r="L3193" s="193" t="s">
        <v>146</v>
      </c>
    </row>
    <row r="3194" spans="1:12" ht="15">
      <c r="A3194" s="67">
        <f t="shared" si="50"/>
        <v>3192</v>
      </c>
      <c r="B3194" s="164">
        <v>3192</v>
      </c>
      <c r="C3194" s="193" t="s">
        <v>4487</v>
      </c>
      <c r="D3194" s="197" t="s">
        <v>7754</v>
      </c>
      <c r="E3194" s="193" t="s">
        <v>9928</v>
      </c>
      <c r="F3194" s="193" t="s">
        <v>114</v>
      </c>
      <c r="G3194" s="195" t="s">
        <v>11973</v>
      </c>
      <c r="H3194" s="166" t="s">
        <v>13436</v>
      </c>
      <c r="I3194" s="193" t="s">
        <v>12816</v>
      </c>
      <c r="J3194" s="193" t="s">
        <v>146</v>
      </c>
      <c r="L3194" s="193" t="s">
        <v>146</v>
      </c>
    </row>
    <row r="3195" spans="1:12" ht="30">
      <c r="A3195" s="67">
        <f t="shared" si="50"/>
        <v>3193</v>
      </c>
      <c r="B3195" s="164">
        <v>3193</v>
      </c>
      <c r="C3195" s="193" t="s">
        <v>4488</v>
      </c>
      <c r="D3195" s="197" t="s">
        <v>7755</v>
      </c>
      <c r="E3195" s="193" t="s">
        <v>9929</v>
      </c>
      <c r="F3195" s="193" t="s">
        <v>114</v>
      </c>
      <c r="G3195" s="195" t="s">
        <v>11974</v>
      </c>
      <c r="H3195" s="166" t="s">
        <v>13436</v>
      </c>
      <c r="I3195" s="193" t="s">
        <v>12816</v>
      </c>
      <c r="J3195" s="193" t="s">
        <v>12807</v>
      </c>
      <c r="L3195" s="193" t="s">
        <v>146</v>
      </c>
    </row>
    <row r="3196" spans="1:12" ht="15">
      <c r="A3196" s="67">
        <f t="shared" si="50"/>
        <v>3194</v>
      </c>
      <c r="B3196" s="164">
        <v>3194</v>
      </c>
      <c r="C3196" s="193" t="s">
        <v>4489</v>
      </c>
      <c r="D3196" s="195" t="s">
        <v>7756</v>
      </c>
      <c r="E3196" s="193" t="s">
        <v>8036</v>
      </c>
      <c r="F3196" s="193" t="s">
        <v>114</v>
      </c>
      <c r="G3196" s="195" t="s">
        <v>11827</v>
      </c>
      <c r="H3196" s="166" t="s">
        <v>13436</v>
      </c>
      <c r="I3196" s="193" t="s">
        <v>12812</v>
      </c>
      <c r="J3196" s="193" t="s">
        <v>146</v>
      </c>
      <c r="L3196" s="193" t="s">
        <v>146</v>
      </c>
    </row>
    <row r="3197" spans="1:12" ht="15">
      <c r="A3197" s="67">
        <f t="shared" si="50"/>
        <v>3195</v>
      </c>
      <c r="B3197" s="164">
        <v>3195</v>
      </c>
      <c r="C3197" s="193" t="s">
        <v>4490</v>
      </c>
      <c r="D3197" s="195" t="s">
        <v>7757</v>
      </c>
      <c r="E3197" s="193" t="s">
        <v>9930</v>
      </c>
      <c r="F3197" s="193" t="s">
        <v>59</v>
      </c>
      <c r="G3197" s="195" t="s">
        <v>11975</v>
      </c>
      <c r="H3197" s="166" t="s">
        <v>13436</v>
      </c>
      <c r="I3197" s="193" t="s">
        <v>12827</v>
      </c>
      <c r="J3197" s="193"/>
      <c r="L3197" s="193"/>
    </row>
    <row r="3198" spans="1:12" ht="15">
      <c r="A3198" s="67">
        <f t="shared" si="50"/>
        <v>3196</v>
      </c>
      <c r="B3198" s="164">
        <v>3196</v>
      </c>
      <c r="C3198" s="193" t="s">
        <v>4491</v>
      </c>
      <c r="D3198" s="195" t="s">
        <v>7758</v>
      </c>
      <c r="E3198" s="193" t="s">
        <v>9931</v>
      </c>
      <c r="F3198" s="193" t="s">
        <v>114</v>
      </c>
      <c r="G3198" s="195" t="s">
        <v>11976</v>
      </c>
      <c r="H3198" s="166" t="s">
        <v>13436</v>
      </c>
      <c r="I3198" s="193" t="s">
        <v>12827</v>
      </c>
      <c r="J3198" s="193" t="s">
        <v>146</v>
      </c>
      <c r="L3198" s="193" t="s">
        <v>146</v>
      </c>
    </row>
    <row r="3199" spans="1:12" ht="15">
      <c r="A3199" s="67">
        <f t="shared" si="50"/>
        <v>3197</v>
      </c>
      <c r="B3199" s="164">
        <v>3197</v>
      </c>
      <c r="C3199" s="193" t="s">
        <v>4492</v>
      </c>
      <c r="D3199" s="195" t="s">
        <v>7759</v>
      </c>
      <c r="E3199" s="193" t="s">
        <v>9932</v>
      </c>
      <c r="F3199" s="193" t="s">
        <v>59</v>
      </c>
      <c r="G3199" s="195" t="s">
        <v>11977</v>
      </c>
      <c r="H3199" s="166" t="s">
        <v>13436</v>
      </c>
      <c r="I3199" s="193" t="s">
        <v>12821</v>
      </c>
      <c r="J3199" s="193" t="s">
        <v>146</v>
      </c>
      <c r="L3199" s="193"/>
    </row>
    <row r="3200" spans="1:12" ht="15">
      <c r="A3200" s="67">
        <f t="shared" si="50"/>
        <v>3198</v>
      </c>
      <c r="B3200" s="164">
        <v>3198</v>
      </c>
      <c r="C3200" s="193" t="s">
        <v>4493</v>
      </c>
      <c r="D3200" s="195" t="s">
        <v>7760</v>
      </c>
      <c r="E3200" s="193" t="s">
        <v>9933</v>
      </c>
      <c r="F3200" s="193" t="s">
        <v>59</v>
      </c>
      <c r="G3200" s="195" t="s">
        <v>1159</v>
      </c>
      <c r="H3200" s="166" t="s">
        <v>13436</v>
      </c>
      <c r="I3200" s="193" t="s">
        <v>12821</v>
      </c>
      <c r="J3200" s="193" t="s">
        <v>146</v>
      </c>
      <c r="L3200" s="193"/>
    </row>
    <row r="3201" spans="1:12" ht="15">
      <c r="A3201" s="67">
        <f t="shared" si="50"/>
        <v>3199</v>
      </c>
      <c r="B3201" s="164">
        <v>3199</v>
      </c>
      <c r="C3201" s="193" t="s">
        <v>4494</v>
      </c>
      <c r="D3201" s="195" t="s">
        <v>7761</v>
      </c>
      <c r="E3201" s="193" t="s">
        <v>9934</v>
      </c>
      <c r="F3201" s="193" t="s">
        <v>59</v>
      </c>
      <c r="G3201" s="195" t="s">
        <v>808</v>
      </c>
      <c r="H3201" s="166" t="s">
        <v>13436</v>
      </c>
      <c r="I3201" s="193" t="s">
        <v>12832</v>
      </c>
      <c r="J3201" s="193" t="s">
        <v>146</v>
      </c>
      <c r="L3201" s="193"/>
    </row>
    <row r="3202" spans="1:12" ht="15">
      <c r="A3202" s="67">
        <f t="shared" si="50"/>
        <v>3200</v>
      </c>
      <c r="B3202" s="164">
        <v>3200</v>
      </c>
      <c r="C3202" s="193" t="s">
        <v>4495</v>
      </c>
      <c r="D3202" s="195" t="s">
        <v>7762</v>
      </c>
      <c r="E3202" s="193" t="s">
        <v>9935</v>
      </c>
      <c r="F3202" s="193" t="s">
        <v>114</v>
      </c>
      <c r="G3202" s="195" t="s">
        <v>1119</v>
      </c>
      <c r="H3202" s="166" t="s">
        <v>13436</v>
      </c>
      <c r="I3202" s="193" t="s">
        <v>12827</v>
      </c>
      <c r="J3202" s="193" t="s">
        <v>146</v>
      </c>
      <c r="L3202" s="193" t="s">
        <v>146</v>
      </c>
    </row>
    <row r="3203" spans="1:12" ht="15">
      <c r="A3203" s="67">
        <f t="shared" si="50"/>
        <v>3201</v>
      </c>
      <c r="B3203" s="164">
        <v>3201</v>
      </c>
      <c r="C3203" s="193" t="s">
        <v>4496</v>
      </c>
      <c r="D3203" s="195" t="s">
        <v>7763</v>
      </c>
      <c r="E3203" s="193" t="s">
        <v>9936</v>
      </c>
      <c r="F3203" s="193" t="s">
        <v>114</v>
      </c>
      <c r="G3203" s="195" t="s">
        <v>11978</v>
      </c>
      <c r="H3203" s="166" t="s">
        <v>13436</v>
      </c>
      <c r="I3203" s="193" t="s">
        <v>12832</v>
      </c>
      <c r="J3203" s="193" t="s">
        <v>146</v>
      </c>
      <c r="L3203" s="193" t="s">
        <v>1293</v>
      </c>
    </row>
    <row r="3204" spans="1:12" ht="15">
      <c r="A3204" s="67">
        <f t="shared" si="50"/>
        <v>3202</v>
      </c>
      <c r="B3204" s="164">
        <v>3202</v>
      </c>
      <c r="C3204" s="193" t="s">
        <v>4497</v>
      </c>
      <c r="D3204" s="203" t="s">
        <v>7764</v>
      </c>
      <c r="E3204" s="193" t="s">
        <v>9937</v>
      </c>
      <c r="F3204" s="193" t="s">
        <v>114</v>
      </c>
      <c r="G3204" s="195" t="s">
        <v>1049</v>
      </c>
      <c r="H3204" s="166" t="s">
        <v>13436</v>
      </c>
      <c r="I3204" s="193" t="s">
        <v>12827</v>
      </c>
      <c r="J3204" s="193" t="s">
        <v>146</v>
      </c>
      <c r="L3204" s="193" t="s">
        <v>146</v>
      </c>
    </row>
    <row r="3205" spans="1:12" ht="30">
      <c r="A3205" s="67">
        <f t="shared" si="50"/>
        <v>3203</v>
      </c>
      <c r="B3205" s="164">
        <v>3203</v>
      </c>
      <c r="C3205" s="193" t="s">
        <v>4498</v>
      </c>
      <c r="D3205" s="195" t="s">
        <v>7765</v>
      </c>
      <c r="E3205" s="193" t="s">
        <v>9938</v>
      </c>
      <c r="F3205" s="193" t="s">
        <v>114</v>
      </c>
      <c r="G3205" s="195" t="s">
        <v>11451</v>
      </c>
      <c r="H3205" s="166" t="s">
        <v>13436</v>
      </c>
      <c r="I3205" s="193" t="s">
        <v>12827</v>
      </c>
      <c r="J3205" s="193" t="s">
        <v>1275</v>
      </c>
      <c r="L3205" s="193" t="s">
        <v>146</v>
      </c>
    </row>
    <row r="3206" spans="1:12" ht="15">
      <c r="A3206" s="67">
        <f t="shared" si="50"/>
        <v>3204</v>
      </c>
      <c r="B3206" s="164">
        <v>3204</v>
      </c>
      <c r="C3206" s="193" t="s">
        <v>4499</v>
      </c>
      <c r="D3206" s="195" t="s">
        <v>7766</v>
      </c>
      <c r="E3206" s="193" t="s">
        <v>418</v>
      </c>
      <c r="F3206" s="193" t="s">
        <v>114</v>
      </c>
      <c r="G3206" s="195" t="s">
        <v>11979</v>
      </c>
      <c r="H3206" s="166" t="s">
        <v>13436</v>
      </c>
      <c r="I3206" s="193" t="s">
        <v>12827</v>
      </c>
      <c r="J3206" s="193" t="s">
        <v>146</v>
      </c>
      <c r="L3206" s="193" t="s">
        <v>146</v>
      </c>
    </row>
    <row r="3207" spans="1:12" ht="15">
      <c r="A3207" s="67">
        <f t="shared" si="50"/>
        <v>3205</v>
      </c>
      <c r="B3207" s="164">
        <v>3205</v>
      </c>
      <c r="C3207" s="193" t="s">
        <v>4500</v>
      </c>
      <c r="D3207" s="195" t="s">
        <v>7767</v>
      </c>
      <c r="E3207" s="193" t="s">
        <v>9939</v>
      </c>
      <c r="F3207" s="193" t="s">
        <v>114</v>
      </c>
      <c r="G3207" s="195" t="s">
        <v>897</v>
      </c>
      <c r="H3207" s="166" t="s">
        <v>13436</v>
      </c>
      <c r="I3207" s="193" t="s">
        <v>12836</v>
      </c>
      <c r="J3207" s="193" t="s">
        <v>146</v>
      </c>
      <c r="L3207" s="193" t="s">
        <v>146</v>
      </c>
    </row>
    <row r="3208" spans="1:12" ht="15">
      <c r="A3208" s="67">
        <f t="shared" si="50"/>
        <v>3206</v>
      </c>
      <c r="B3208" s="164">
        <v>3206</v>
      </c>
      <c r="C3208" s="193" t="s">
        <v>4501</v>
      </c>
      <c r="D3208" s="195" t="s">
        <v>7768</v>
      </c>
      <c r="E3208" s="193" t="s">
        <v>9940</v>
      </c>
      <c r="F3208" s="193" t="s">
        <v>114</v>
      </c>
      <c r="G3208" s="195" t="s">
        <v>11980</v>
      </c>
      <c r="H3208" s="166" t="s">
        <v>13436</v>
      </c>
      <c r="I3208" s="193" t="s">
        <v>12827</v>
      </c>
      <c r="J3208" s="193"/>
      <c r="L3208" s="193" t="s">
        <v>146</v>
      </c>
    </row>
    <row r="3209" spans="1:12" ht="15">
      <c r="A3209" s="67">
        <f t="shared" si="50"/>
        <v>3207</v>
      </c>
      <c r="B3209" s="164">
        <v>3207</v>
      </c>
      <c r="C3209" s="193" t="s">
        <v>4502</v>
      </c>
      <c r="D3209" s="195" t="s">
        <v>7769</v>
      </c>
      <c r="E3209" s="193" t="s">
        <v>9941</v>
      </c>
      <c r="F3209" s="193" t="s">
        <v>114</v>
      </c>
      <c r="G3209" s="195" t="s">
        <v>11981</v>
      </c>
      <c r="H3209" s="166" t="s">
        <v>13436</v>
      </c>
      <c r="I3209" s="193" t="s">
        <v>1249</v>
      </c>
      <c r="J3209" s="193"/>
      <c r="L3209" s="193"/>
    </row>
    <row r="3210" spans="1:12" ht="15">
      <c r="A3210" s="67">
        <f t="shared" si="50"/>
        <v>3208</v>
      </c>
      <c r="B3210" s="164">
        <v>3208</v>
      </c>
      <c r="C3210" s="193" t="s">
        <v>4503</v>
      </c>
      <c r="D3210" s="196" t="s">
        <v>7770</v>
      </c>
      <c r="E3210" s="193" t="s">
        <v>9942</v>
      </c>
      <c r="F3210" s="193" t="s">
        <v>114</v>
      </c>
      <c r="G3210" s="195" t="s">
        <v>11982</v>
      </c>
      <c r="H3210" s="166" t="s">
        <v>13436</v>
      </c>
      <c r="I3210" s="193" t="s">
        <v>1248</v>
      </c>
      <c r="J3210" s="193"/>
      <c r="L3210" s="193"/>
    </row>
    <row r="3211" spans="1:12" ht="15">
      <c r="A3211" s="67">
        <f t="shared" si="50"/>
        <v>3209</v>
      </c>
      <c r="B3211" s="164">
        <v>3209</v>
      </c>
      <c r="C3211" s="193" t="s">
        <v>4504</v>
      </c>
      <c r="D3211" s="196" t="s">
        <v>7771</v>
      </c>
      <c r="E3211" s="193" t="s">
        <v>9943</v>
      </c>
      <c r="F3211" s="193" t="s">
        <v>59</v>
      </c>
      <c r="G3211" s="195" t="s">
        <v>11983</v>
      </c>
      <c r="H3211" s="166" t="s">
        <v>13436</v>
      </c>
      <c r="I3211" s="193" t="s">
        <v>12823</v>
      </c>
      <c r="L3211" s="193"/>
    </row>
    <row r="3212" spans="1:12" ht="15">
      <c r="A3212" s="67">
        <f t="shared" si="50"/>
        <v>3210</v>
      </c>
      <c r="B3212" s="164">
        <v>3210</v>
      </c>
      <c r="C3212" s="193" t="s">
        <v>4505</v>
      </c>
      <c r="D3212" s="195" t="s">
        <v>7772</v>
      </c>
      <c r="E3212" s="193" t="s">
        <v>9944</v>
      </c>
      <c r="F3212" s="193" t="s">
        <v>114</v>
      </c>
      <c r="G3212" s="195" t="s">
        <v>11984</v>
      </c>
      <c r="H3212" s="166" t="s">
        <v>13436</v>
      </c>
      <c r="I3212" s="193" t="s">
        <v>1249</v>
      </c>
      <c r="L3212" s="193"/>
    </row>
    <row r="3213" spans="1:12" ht="15">
      <c r="A3213" s="67">
        <f t="shared" si="50"/>
        <v>3211</v>
      </c>
      <c r="B3213" s="164">
        <v>3211</v>
      </c>
      <c r="C3213" s="193" t="s">
        <v>4506</v>
      </c>
      <c r="D3213" s="196" t="s">
        <v>7773</v>
      </c>
      <c r="E3213" s="193" t="s">
        <v>656</v>
      </c>
      <c r="F3213" s="193" t="s">
        <v>59</v>
      </c>
      <c r="G3213" s="195" t="s">
        <v>11985</v>
      </c>
      <c r="H3213" s="166" t="s">
        <v>13436</v>
      </c>
      <c r="I3213" s="193" t="s">
        <v>12823</v>
      </c>
      <c r="L3213" s="193"/>
    </row>
    <row r="3214" spans="1:12" ht="15">
      <c r="A3214" s="67">
        <f t="shared" si="50"/>
        <v>3212</v>
      </c>
      <c r="B3214" s="164">
        <v>3212</v>
      </c>
      <c r="C3214" s="193" t="s">
        <v>4507</v>
      </c>
      <c r="D3214" s="216"/>
      <c r="E3214" s="218"/>
      <c r="F3214" s="164"/>
      <c r="G3214" s="216"/>
      <c r="H3214" s="166" t="s">
        <v>13436</v>
      </c>
      <c r="I3214" s="164"/>
      <c r="L3214" s="166"/>
    </row>
    <row r="3215" spans="1:12" ht="15">
      <c r="A3215" s="67">
        <f t="shared" si="50"/>
        <v>3213</v>
      </c>
      <c r="B3215" s="164">
        <v>3213</v>
      </c>
      <c r="C3215" s="193" t="s">
        <v>4508</v>
      </c>
      <c r="D3215" s="216"/>
      <c r="E3215" s="218"/>
      <c r="F3215" s="164"/>
      <c r="G3215" s="216"/>
      <c r="H3215" s="166" t="s">
        <v>13436</v>
      </c>
      <c r="I3215" s="164"/>
      <c r="L3215" s="166"/>
    </row>
    <row r="3216" spans="1:12" ht="15">
      <c r="A3216" s="67">
        <f t="shared" si="50"/>
        <v>3214</v>
      </c>
      <c r="B3216" s="164">
        <v>3214</v>
      </c>
      <c r="C3216" s="193" t="s">
        <v>4509</v>
      </c>
      <c r="D3216" s="216"/>
      <c r="E3216" s="218"/>
      <c r="F3216" s="164"/>
      <c r="G3216" s="216"/>
      <c r="H3216" s="166" t="s">
        <v>13436</v>
      </c>
      <c r="I3216" s="164"/>
      <c r="L3216" s="166"/>
    </row>
    <row r="3217" spans="1:12" ht="15">
      <c r="A3217" s="67">
        <f t="shared" si="50"/>
        <v>3215</v>
      </c>
      <c r="B3217" s="164">
        <v>3215</v>
      </c>
      <c r="C3217" s="193" t="s">
        <v>4510</v>
      </c>
      <c r="D3217" s="216"/>
      <c r="E3217" s="218"/>
      <c r="F3217" s="164"/>
      <c r="G3217" s="216"/>
      <c r="H3217" s="166" t="s">
        <v>13436</v>
      </c>
      <c r="I3217" s="164"/>
      <c r="L3217" s="166"/>
    </row>
    <row r="3218" spans="1:12" ht="15">
      <c r="A3218" s="67">
        <f t="shared" si="50"/>
        <v>3216</v>
      </c>
      <c r="B3218" s="164">
        <v>3216</v>
      </c>
      <c r="C3218" s="193" t="s">
        <v>4511</v>
      </c>
      <c r="D3218" s="216"/>
      <c r="E3218" s="218"/>
      <c r="F3218" s="164"/>
      <c r="G3218" s="216"/>
      <c r="H3218" s="166" t="s">
        <v>13436</v>
      </c>
      <c r="I3218" s="164"/>
      <c r="L3218" s="166"/>
    </row>
    <row r="3219" spans="1:12" ht="15">
      <c r="A3219" s="67">
        <f t="shared" si="50"/>
        <v>3217</v>
      </c>
      <c r="B3219" s="164">
        <v>3217</v>
      </c>
      <c r="C3219" s="193" t="s">
        <v>4512</v>
      </c>
      <c r="D3219" s="216"/>
      <c r="E3219" s="218"/>
      <c r="F3219" s="164"/>
      <c r="G3219" s="216"/>
      <c r="H3219" s="166" t="s">
        <v>13436</v>
      </c>
      <c r="I3219" s="164"/>
      <c r="L3219" s="166"/>
    </row>
    <row r="3220" spans="1:12" ht="15">
      <c r="A3220" s="67">
        <f t="shared" si="50"/>
        <v>3218</v>
      </c>
      <c r="B3220" s="164">
        <v>3218</v>
      </c>
      <c r="C3220" s="193" t="s">
        <v>4513</v>
      </c>
      <c r="D3220" s="216"/>
      <c r="E3220" s="218"/>
      <c r="F3220" s="164"/>
      <c r="G3220" s="216"/>
      <c r="H3220" s="166" t="s">
        <v>13436</v>
      </c>
      <c r="I3220" s="164"/>
      <c r="L3220" s="166"/>
    </row>
    <row r="3221" spans="1:12" ht="15">
      <c r="A3221" s="67">
        <f t="shared" si="50"/>
        <v>3219</v>
      </c>
      <c r="B3221" s="164">
        <v>3219</v>
      </c>
      <c r="C3221" s="193" t="s">
        <v>4514</v>
      </c>
      <c r="D3221" s="216"/>
      <c r="E3221" s="218"/>
      <c r="F3221" s="164"/>
      <c r="G3221" s="216"/>
      <c r="H3221" s="166" t="s">
        <v>13436</v>
      </c>
      <c r="I3221" s="164"/>
      <c r="L3221" s="166"/>
    </row>
    <row r="3222" spans="1:12" ht="15">
      <c r="A3222" s="67">
        <f t="shared" si="50"/>
        <v>3220</v>
      </c>
      <c r="B3222" s="164">
        <v>3220</v>
      </c>
      <c r="C3222" s="193" t="s">
        <v>4515</v>
      </c>
      <c r="D3222" s="216"/>
      <c r="E3222" s="218"/>
      <c r="F3222" s="164"/>
      <c r="G3222" s="216"/>
      <c r="H3222" s="166" t="s">
        <v>13436</v>
      </c>
      <c r="I3222" s="164"/>
      <c r="L3222" s="166"/>
    </row>
    <row r="3223" spans="1:12" ht="15">
      <c r="A3223" s="67">
        <f t="shared" si="50"/>
        <v>3221</v>
      </c>
      <c r="B3223" s="164">
        <v>3221</v>
      </c>
      <c r="C3223" s="193" t="s">
        <v>4516</v>
      </c>
      <c r="D3223" s="216"/>
      <c r="E3223" s="218"/>
      <c r="F3223" s="164"/>
      <c r="G3223" s="216"/>
      <c r="H3223" s="166" t="s">
        <v>13436</v>
      </c>
      <c r="I3223" s="164"/>
      <c r="L3223" s="166"/>
    </row>
    <row r="3224" spans="1:12" ht="15">
      <c r="A3224" s="67">
        <f t="shared" si="50"/>
        <v>3222</v>
      </c>
      <c r="B3224" s="164">
        <v>3222</v>
      </c>
      <c r="C3224" s="193" t="s">
        <v>4517</v>
      </c>
      <c r="D3224" s="216"/>
      <c r="E3224" s="218"/>
      <c r="F3224" s="164"/>
      <c r="G3224" s="216"/>
      <c r="H3224" s="166" t="s">
        <v>13436</v>
      </c>
      <c r="I3224" s="164"/>
      <c r="L3224" s="166"/>
    </row>
    <row r="3225" spans="1:12" ht="15">
      <c r="A3225" s="67">
        <f t="shared" ref="A3225:A3270" si="51">IFERROR(VALUE(RIGHT(C3225,4)),"")</f>
        <v>3223</v>
      </c>
      <c r="B3225" s="164">
        <v>3223</v>
      </c>
      <c r="C3225" s="193" t="s">
        <v>4518</v>
      </c>
      <c r="D3225" s="216"/>
      <c r="E3225" s="218"/>
      <c r="F3225" s="164"/>
      <c r="G3225" s="216"/>
      <c r="H3225" s="166" t="s">
        <v>13436</v>
      </c>
      <c r="I3225" s="164"/>
      <c r="L3225" s="166"/>
    </row>
    <row r="3226" spans="1:12" ht="15">
      <c r="A3226" s="67">
        <f t="shared" si="51"/>
        <v>3224</v>
      </c>
      <c r="B3226" s="164">
        <v>3224</v>
      </c>
      <c r="C3226" s="193" t="s">
        <v>4519</v>
      </c>
      <c r="D3226" s="216"/>
      <c r="E3226" s="218"/>
      <c r="F3226" s="164"/>
      <c r="G3226" s="216"/>
      <c r="H3226" s="166" t="s">
        <v>13436</v>
      </c>
      <c r="I3226" s="164"/>
      <c r="L3226" s="166"/>
    </row>
    <row r="3227" spans="1:12" ht="15">
      <c r="A3227" s="67">
        <f t="shared" si="51"/>
        <v>3225</v>
      </c>
      <c r="B3227" s="164">
        <v>3225</v>
      </c>
      <c r="C3227" s="193" t="s">
        <v>4520</v>
      </c>
      <c r="D3227" s="216"/>
      <c r="E3227" s="218"/>
      <c r="F3227" s="164"/>
      <c r="G3227" s="216"/>
      <c r="H3227" s="166" t="s">
        <v>13436</v>
      </c>
      <c r="I3227" s="164"/>
      <c r="L3227" s="166"/>
    </row>
    <row r="3228" spans="1:12" ht="15">
      <c r="A3228" s="67">
        <f t="shared" si="51"/>
        <v>3226</v>
      </c>
      <c r="B3228" s="164">
        <v>3226</v>
      </c>
      <c r="C3228" s="193" t="s">
        <v>4521</v>
      </c>
      <c r="D3228" s="216"/>
      <c r="E3228" s="218"/>
      <c r="F3228" s="164"/>
      <c r="G3228" s="216"/>
      <c r="H3228" s="166" t="s">
        <v>13436</v>
      </c>
      <c r="I3228" s="164"/>
      <c r="L3228" s="166"/>
    </row>
    <row r="3229" spans="1:12" ht="15">
      <c r="A3229" s="67">
        <f t="shared" si="51"/>
        <v>3227</v>
      </c>
      <c r="B3229" s="164">
        <v>3227</v>
      </c>
      <c r="C3229" s="193" t="s">
        <v>4522</v>
      </c>
      <c r="D3229" s="216"/>
      <c r="E3229" s="218"/>
      <c r="F3229" s="164"/>
      <c r="G3229" s="216"/>
      <c r="H3229" s="166" t="s">
        <v>13436</v>
      </c>
      <c r="I3229" s="164"/>
      <c r="L3229" s="166"/>
    </row>
    <row r="3230" spans="1:12" ht="15">
      <c r="A3230" s="67">
        <f t="shared" si="51"/>
        <v>3228</v>
      </c>
      <c r="B3230" s="164">
        <v>3228</v>
      </c>
      <c r="C3230" s="193" t="s">
        <v>4523</v>
      </c>
      <c r="D3230" s="216"/>
      <c r="E3230" s="218"/>
      <c r="F3230" s="164"/>
      <c r="G3230" s="216"/>
      <c r="H3230" s="166" t="s">
        <v>13436</v>
      </c>
      <c r="I3230" s="164"/>
      <c r="L3230" s="166"/>
    </row>
    <row r="3231" spans="1:12" ht="15">
      <c r="A3231" s="67">
        <f t="shared" si="51"/>
        <v>3229</v>
      </c>
      <c r="B3231" s="164">
        <v>3229</v>
      </c>
      <c r="C3231" s="193" t="s">
        <v>4524</v>
      </c>
      <c r="D3231" s="216"/>
      <c r="E3231" s="218"/>
      <c r="F3231" s="164"/>
      <c r="G3231" s="216"/>
      <c r="H3231" s="166" t="s">
        <v>13436</v>
      </c>
      <c r="I3231" s="164"/>
      <c r="L3231" s="166"/>
    </row>
    <row r="3232" spans="1:12" ht="15">
      <c r="A3232" s="67">
        <f t="shared" si="51"/>
        <v>3230</v>
      </c>
      <c r="B3232" s="164">
        <v>3230</v>
      </c>
      <c r="C3232" s="193" t="s">
        <v>4525</v>
      </c>
      <c r="D3232" s="216"/>
      <c r="E3232" s="218"/>
      <c r="F3232" s="164"/>
      <c r="G3232" s="216"/>
      <c r="H3232" s="166" t="s">
        <v>13436</v>
      </c>
      <c r="I3232" s="164"/>
      <c r="L3232" s="166"/>
    </row>
    <row r="3233" spans="1:12" ht="15">
      <c r="A3233" s="67">
        <f t="shared" si="51"/>
        <v>3231</v>
      </c>
      <c r="B3233" s="164">
        <v>3231</v>
      </c>
      <c r="C3233" s="193" t="s">
        <v>4526</v>
      </c>
      <c r="D3233" s="216"/>
      <c r="E3233" s="218"/>
      <c r="F3233" s="164"/>
      <c r="G3233" s="216"/>
      <c r="H3233" s="166" t="s">
        <v>13436</v>
      </c>
      <c r="I3233" s="164"/>
      <c r="L3233" s="166"/>
    </row>
    <row r="3234" spans="1:12" ht="15">
      <c r="A3234" s="67">
        <f t="shared" si="51"/>
        <v>3232</v>
      </c>
      <c r="B3234" s="164">
        <v>3232</v>
      </c>
      <c r="C3234" s="193" t="s">
        <v>4527</v>
      </c>
      <c r="D3234" s="216"/>
      <c r="E3234" s="218"/>
      <c r="F3234" s="164"/>
      <c r="G3234" s="216"/>
      <c r="H3234" s="166" t="s">
        <v>13436</v>
      </c>
      <c r="I3234" s="164"/>
      <c r="L3234" s="166"/>
    </row>
    <row r="3235" spans="1:12" ht="15">
      <c r="A3235" s="67">
        <f t="shared" si="51"/>
        <v>3233</v>
      </c>
      <c r="B3235" s="164">
        <v>3233</v>
      </c>
      <c r="C3235" s="193" t="s">
        <v>4528</v>
      </c>
      <c r="D3235" s="216"/>
      <c r="E3235" s="218"/>
      <c r="F3235" s="164"/>
      <c r="G3235" s="216"/>
      <c r="H3235" s="166" t="s">
        <v>13436</v>
      </c>
      <c r="I3235" s="164"/>
      <c r="L3235" s="166"/>
    </row>
    <row r="3236" spans="1:12" ht="15">
      <c r="A3236" s="67">
        <f t="shared" si="51"/>
        <v>3234</v>
      </c>
      <c r="B3236" s="164">
        <v>3234</v>
      </c>
      <c r="C3236" s="193" t="s">
        <v>4529</v>
      </c>
      <c r="D3236" s="216"/>
      <c r="E3236" s="218"/>
      <c r="F3236" s="164"/>
      <c r="G3236" s="216"/>
      <c r="H3236" s="166" t="s">
        <v>13436</v>
      </c>
      <c r="I3236" s="164"/>
      <c r="L3236" s="166"/>
    </row>
    <row r="3237" spans="1:12" ht="15">
      <c r="A3237" s="67">
        <f t="shared" si="51"/>
        <v>3235</v>
      </c>
      <c r="B3237" s="164">
        <v>3235</v>
      </c>
      <c r="C3237" s="193" t="s">
        <v>4530</v>
      </c>
      <c r="D3237" s="216"/>
      <c r="E3237" s="218"/>
      <c r="F3237" s="164"/>
      <c r="G3237" s="216"/>
      <c r="H3237" s="166" t="s">
        <v>13436</v>
      </c>
      <c r="I3237" s="164"/>
      <c r="L3237" s="166"/>
    </row>
    <row r="3238" spans="1:12" ht="15">
      <c r="A3238" s="67">
        <f t="shared" si="51"/>
        <v>3236</v>
      </c>
      <c r="B3238" s="164">
        <v>3236</v>
      </c>
      <c r="C3238" s="193" t="s">
        <v>4531</v>
      </c>
      <c r="D3238" s="216"/>
      <c r="E3238" s="218"/>
      <c r="F3238" s="164"/>
      <c r="G3238" s="216"/>
      <c r="H3238" s="166" t="s">
        <v>13436</v>
      </c>
      <c r="I3238" s="164"/>
      <c r="L3238" s="166"/>
    </row>
    <row r="3239" spans="1:12" ht="15">
      <c r="A3239" s="67">
        <f t="shared" si="51"/>
        <v>3237</v>
      </c>
      <c r="B3239" s="164">
        <v>3237</v>
      </c>
      <c r="C3239" s="193" t="s">
        <v>4532</v>
      </c>
      <c r="D3239" s="216"/>
      <c r="E3239" s="218"/>
      <c r="F3239" s="164"/>
      <c r="G3239" s="216"/>
      <c r="H3239" s="166" t="s">
        <v>13436</v>
      </c>
      <c r="I3239" s="164"/>
      <c r="L3239" s="166"/>
    </row>
    <row r="3240" spans="1:12" ht="15">
      <c r="A3240" s="67">
        <f t="shared" si="51"/>
        <v>3238</v>
      </c>
      <c r="B3240" s="164">
        <v>3238</v>
      </c>
      <c r="C3240" s="193" t="s">
        <v>4533</v>
      </c>
      <c r="D3240" s="216"/>
      <c r="E3240" s="218"/>
      <c r="F3240" s="164"/>
      <c r="G3240" s="216"/>
      <c r="H3240" s="166" t="s">
        <v>13436</v>
      </c>
      <c r="I3240" s="164"/>
      <c r="L3240" s="166"/>
    </row>
    <row r="3241" spans="1:12" ht="15">
      <c r="A3241" s="67">
        <f t="shared" si="51"/>
        <v>3239</v>
      </c>
      <c r="B3241" s="164">
        <v>3239</v>
      </c>
      <c r="C3241" s="193" t="s">
        <v>4534</v>
      </c>
      <c r="D3241" s="216"/>
      <c r="E3241" s="218"/>
      <c r="F3241" s="164"/>
      <c r="G3241" s="216"/>
      <c r="H3241" s="166" t="s">
        <v>13436</v>
      </c>
      <c r="I3241" s="164"/>
      <c r="L3241" s="166"/>
    </row>
    <row r="3242" spans="1:12" ht="15">
      <c r="A3242" s="67">
        <f t="shared" si="51"/>
        <v>3240</v>
      </c>
      <c r="B3242" s="164">
        <v>3240</v>
      </c>
      <c r="C3242" s="193" t="s">
        <v>4535</v>
      </c>
      <c r="D3242" s="216"/>
      <c r="E3242" s="218"/>
      <c r="F3242" s="164"/>
      <c r="G3242" s="216"/>
      <c r="H3242" s="166" t="s">
        <v>13436</v>
      </c>
      <c r="I3242" s="164"/>
      <c r="L3242" s="166"/>
    </row>
    <row r="3243" spans="1:12" ht="15">
      <c r="A3243" s="67">
        <f t="shared" si="51"/>
        <v>3241</v>
      </c>
      <c r="B3243" s="164">
        <v>3241</v>
      </c>
      <c r="C3243" s="193" t="s">
        <v>4536</v>
      </c>
      <c r="D3243" s="216"/>
      <c r="E3243" s="218"/>
      <c r="F3243" s="164"/>
      <c r="G3243" s="216"/>
      <c r="H3243" s="166" t="s">
        <v>13436</v>
      </c>
      <c r="I3243" s="164"/>
      <c r="L3243" s="166"/>
    </row>
    <row r="3244" spans="1:12" ht="15">
      <c r="A3244" s="67">
        <f t="shared" si="51"/>
        <v>3242</v>
      </c>
      <c r="B3244" s="164">
        <v>3242</v>
      </c>
      <c r="C3244" s="193" t="s">
        <v>4537</v>
      </c>
      <c r="D3244" s="216"/>
      <c r="E3244" s="218"/>
      <c r="F3244" s="164"/>
      <c r="G3244" s="216"/>
      <c r="H3244" s="166" t="s">
        <v>13436</v>
      </c>
      <c r="I3244" s="164"/>
      <c r="L3244" s="166"/>
    </row>
    <row r="3245" spans="1:12" ht="15">
      <c r="A3245" s="67">
        <f t="shared" si="51"/>
        <v>3243</v>
      </c>
      <c r="B3245" s="164">
        <v>3243</v>
      </c>
      <c r="C3245" s="193" t="s">
        <v>4538</v>
      </c>
      <c r="D3245" s="216"/>
      <c r="E3245" s="218"/>
      <c r="F3245" s="164"/>
      <c r="G3245" s="216"/>
      <c r="H3245" s="166" t="s">
        <v>13436</v>
      </c>
      <c r="I3245" s="164"/>
      <c r="L3245" s="166"/>
    </row>
    <row r="3246" spans="1:12" ht="15">
      <c r="A3246" s="67">
        <f t="shared" si="51"/>
        <v>3244</v>
      </c>
      <c r="B3246" s="164">
        <v>3244</v>
      </c>
      <c r="C3246" s="193" t="s">
        <v>4539</v>
      </c>
      <c r="D3246" s="216"/>
      <c r="E3246" s="218"/>
      <c r="F3246" s="164"/>
      <c r="G3246" s="216"/>
      <c r="H3246" s="166" t="s">
        <v>13436</v>
      </c>
      <c r="I3246" s="164"/>
      <c r="L3246" s="166"/>
    </row>
    <row r="3247" spans="1:12" ht="15">
      <c r="A3247" s="67">
        <f t="shared" si="51"/>
        <v>3245</v>
      </c>
      <c r="B3247" s="164">
        <v>3245</v>
      </c>
      <c r="C3247" s="193" t="s">
        <v>4540</v>
      </c>
      <c r="D3247" s="216"/>
      <c r="E3247" s="218"/>
      <c r="F3247" s="164"/>
      <c r="G3247" s="216"/>
      <c r="H3247" s="166" t="s">
        <v>13436</v>
      </c>
      <c r="I3247" s="164"/>
      <c r="L3247" s="166"/>
    </row>
    <row r="3248" spans="1:12" ht="15">
      <c r="A3248" s="67">
        <f t="shared" si="51"/>
        <v>3246</v>
      </c>
      <c r="B3248" s="164">
        <v>3246</v>
      </c>
      <c r="C3248" s="193" t="s">
        <v>4541</v>
      </c>
      <c r="D3248" s="216"/>
      <c r="E3248" s="218"/>
      <c r="F3248" s="164"/>
      <c r="G3248" s="216"/>
      <c r="H3248" s="166" t="s">
        <v>13436</v>
      </c>
      <c r="I3248" s="164"/>
      <c r="L3248" s="166"/>
    </row>
    <row r="3249" spans="1:12" ht="15">
      <c r="A3249" s="67">
        <f t="shared" si="51"/>
        <v>3247</v>
      </c>
      <c r="B3249" s="164">
        <v>3247</v>
      </c>
      <c r="C3249" s="193" t="s">
        <v>4542</v>
      </c>
      <c r="D3249" s="216"/>
      <c r="E3249" s="218"/>
      <c r="F3249" s="164"/>
      <c r="G3249" s="216"/>
      <c r="H3249" s="166" t="s">
        <v>13436</v>
      </c>
      <c r="I3249" s="164"/>
      <c r="L3249" s="166"/>
    </row>
    <row r="3250" spans="1:12" ht="15">
      <c r="A3250" s="67">
        <f t="shared" si="51"/>
        <v>3248</v>
      </c>
      <c r="B3250" s="164">
        <v>3248</v>
      </c>
      <c r="C3250" s="193" t="s">
        <v>4543</v>
      </c>
      <c r="D3250" s="216"/>
      <c r="E3250" s="218"/>
      <c r="F3250" s="164"/>
      <c r="G3250" s="216"/>
      <c r="H3250" s="166" t="s">
        <v>13436</v>
      </c>
      <c r="I3250" s="164"/>
      <c r="L3250" s="166"/>
    </row>
    <row r="3251" spans="1:12" ht="15">
      <c r="A3251" s="67">
        <f t="shared" si="51"/>
        <v>3249</v>
      </c>
      <c r="B3251" s="164">
        <v>3249</v>
      </c>
      <c r="C3251" s="193" t="s">
        <v>4544</v>
      </c>
      <c r="D3251" s="216"/>
      <c r="E3251" s="218"/>
      <c r="F3251" s="164"/>
      <c r="G3251" s="216"/>
      <c r="H3251" s="166" t="s">
        <v>13436</v>
      </c>
      <c r="I3251" s="164"/>
      <c r="L3251" s="166"/>
    </row>
    <row r="3252" spans="1:12" ht="15">
      <c r="A3252" s="67">
        <f t="shared" si="51"/>
        <v>3250</v>
      </c>
      <c r="B3252" s="164">
        <v>3250</v>
      </c>
      <c r="C3252" s="193" t="s">
        <v>4545</v>
      </c>
      <c r="D3252" s="216"/>
      <c r="E3252" s="218"/>
      <c r="F3252" s="164"/>
      <c r="G3252" s="216"/>
      <c r="H3252" s="166" t="s">
        <v>13436</v>
      </c>
      <c r="I3252" s="164"/>
      <c r="L3252" s="166"/>
    </row>
    <row r="3253" spans="1:12" ht="15">
      <c r="A3253" s="67">
        <f t="shared" si="51"/>
        <v>3251</v>
      </c>
      <c r="B3253" s="164">
        <v>3251</v>
      </c>
      <c r="C3253" s="193" t="s">
        <v>4546</v>
      </c>
      <c r="D3253" s="216"/>
      <c r="E3253" s="218"/>
      <c r="F3253" s="164"/>
      <c r="G3253" s="216"/>
      <c r="H3253" s="166" t="s">
        <v>13436</v>
      </c>
      <c r="I3253" s="164"/>
      <c r="L3253" s="166"/>
    </row>
    <row r="3254" spans="1:12" ht="15">
      <c r="A3254" s="67">
        <f t="shared" si="51"/>
        <v>3252</v>
      </c>
      <c r="B3254" s="164">
        <v>3252</v>
      </c>
      <c r="C3254" s="193" t="s">
        <v>4547</v>
      </c>
      <c r="D3254" s="216"/>
      <c r="E3254" s="218"/>
      <c r="F3254" s="164"/>
      <c r="G3254" s="216"/>
      <c r="H3254" s="166" t="s">
        <v>13436</v>
      </c>
      <c r="I3254" s="164"/>
      <c r="L3254" s="166"/>
    </row>
    <row r="3255" spans="1:12" ht="15">
      <c r="A3255" s="67">
        <f t="shared" si="51"/>
        <v>3253</v>
      </c>
      <c r="B3255" s="164">
        <v>3253</v>
      </c>
      <c r="C3255" s="193" t="s">
        <v>4548</v>
      </c>
      <c r="D3255" s="216"/>
      <c r="E3255" s="218"/>
      <c r="F3255" s="164"/>
      <c r="G3255" s="216"/>
      <c r="H3255" s="166" t="s">
        <v>13436</v>
      </c>
      <c r="I3255" s="164"/>
      <c r="L3255" s="166"/>
    </row>
    <row r="3256" spans="1:12" ht="15">
      <c r="A3256" s="67">
        <f t="shared" si="51"/>
        <v>3254</v>
      </c>
      <c r="B3256" s="164">
        <v>3254</v>
      </c>
      <c r="C3256" s="193" t="s">
        <v>4549</v>
      </c>
      <c r="D3256" s="216"/>
      <c r="E3256" s="218"/>
      <c r="F3256" s="164"/>
      <c r="G3256" s="216"/>
      <c r="H3256" s="166" t="s">
        <v>13436</v>
      </c>
      <c r="I3256" s="164"/>
      <c r="L3256" s="166"/>
    </row>
    <row r="3257" spans="1:12" ht="15">
      <c r="A3257" s="67">
        <f t="shared" si="51"/>
        <v>3255</v>
      </c>
      <c r="B3257" s="164">
        <v>3255</v>
      </c>
      <c r="C3257" s="193" t="s">
        <v>4550</v>
      </c>
      <c r="D3257" s="216"/>
      <c r="E3257" s="218"/>
      <c r="F3257" s="164"/>
      <c r="G3257" s="216"/>
      <c r="H3257" s="166" t="s">
        <v>13436</v>
      </c>
      <c r="I3257" s="164"/>
      <c r="L3257" s="166"/>
    </row>
    <row r="3258" spans="1:12" ht="15">
      <c r="A3258" s="67">
        <f t="shared" si="51"/>
        <v>3256</v>
      </c>
      <c r="B3258" s="164">
        <v>3256</v>
      </c>
      <c r="C3258" s="193" t="s">
        <v>4551</v>
      </c>
      <c r="D3258" s="216"/>
      <c r="E3258" s="218"/>
      <c r="F3258" s="164"/>
      <c r="G3258" s="216"/>
      <c r="H3258" s="166" t="s">
        <v>13436</v>
      </c>
      <c r="I3258" s="164"/>
      <c r="L3258" s="166"/>
    </row>
    <row r="3259" spans="1:12" ht="15">
      <c r="A3259" s="67">
        <f t="shared" si="51"/>
        <v>3257</v>
      </c>
      <c r="B3259" s="164">
        <v>3257</v>
      </c>
      <c r="C3259" s="193" t="s">
        <v>4552</v>
      </c>
      <c r="D3259" s="216"/>
      <c r="E3259" s="218"/>
      <c r="F3259" s="164"/>
      <c r="G3259" s="216"/>
      <c r="H3259" s="166" t="s">
        <v>13436</v>
      </c>
      <c r="I3259" s="164"/>
      <c r="L3259" s="166"/>
    </row>
    <row r="3260" spans="1:12" ht="15">
      <c r="A3260" s="67">
        <f t="shared" si="51"/>
        <v>3258</v>
      </c>
      <c r="B3260" s="164">
        <v>3258</v>
      </c>
      <c r="C3260" s="193" t="s">
        <v>4553</v>
      </c>
      <c r="D3260" s="216"/>
      <c r="E3260" s="218"/>
      <c r="F3260" s="164"/>
      <c r="G3260" s="216"/>
      <c r="H3260" s="166" t="s">
        <v>13436</v>
      </c>
      <c r="I3260" s="164"/>
      <c r="L3260" s="166"/>
    </row>
    <row r="3261" spans="1:12" ht="15">
      <c r="A3261" s="67">
        <f t="shared" si="51"/>
        <v>3259</v>
      </c>
      <c r="B3261" s="164">
        <v>3259</v>
      </c>
      <c r="C3261" s="193" t="s">
        <v>4554</v>
      </c>
      <c r="D3261" s="216"/>
      <c r="E3261" s="218"/>
      <c r="F3261" s="164"/>
      <c r="G3261" s="216"/>
      <c r="H3261" s="166" t="s">
        <v>13436</v>
      </c>
      <c r="I3261" s="164"/>
      <c r="L3261" s="166"/>
    </row>
    <row r="3262" spans="1:12" ht="15">
      <c r="A3262" s="67">
        <f t="shared" si="51"/>
        <v>3260</v>
      </c>
      <c r="B3262" s="164">
        <v>3260</v>
      </c>
      <c r="C3262" s="193" t="s">
        <v>4555</v>
      </c>
      <c r="D3262" s="216"/>
      <c r="E3262" s="218"/>
      <c r="F3262" s="164"/>
      <c r="G3262" s="216"/>
      <c r="H3262" s="166" t="s">
        <v>13436</v>
      </c>
      <c r="I3262" s="164"/>
    </row>
    <row r="3263" spans="1:12" ht="15">
      <c r="A3263" s="67">
        <f t="shared" si="51"/>
        <v>3261</v>
      </c>
      <c r="B3263" s="164">
        <v>3261</v>
      </c>
      <c r="C3263" s="194" t="s">
        <v>4556</v>
      </c>
      <c r="D3263" s="217" t="s">
        <v>7774</v>
      </c>
      <c r="E3263" s="194" t="s">
        <v>8393</v>
      </c>
      <c r="F3263" s="194" t="s">
        <v>59</v>
      </c>
      <c r="G3263" s="213" t="s">
        <v>275</v>
      </c>
      <c r="H3263" s="166" t="s">
        <v>13436</v>
      </c>
      <c r="I3263" s="194" t="s">
        <v>12821</v>
      </c>
    </row>
    <row r="3264" spans="1:12" ht="15">
      <c r="A3264" s="67">
        <f t="shared" si="51"/>
        <v>3262</v>
      </c>
      <c r="B3264" s="164">
        <v>3262</v>
      </c>
      <c r="C3264" s="194" t="s">
        <v>4557</v>
      </c>
      <c r="D3264" s="217" t="s">
        <v>7775</v>
      </c>
      <c r="E3264" s="194" t="s">
        <v>9945</v>
      </c>
      <c r="F3264" s="194" t="s">
        <v>59</v>
      </c>
      <c r="G3264" s="213" t="s">
        <v>11986</v>
      </c>
      <c r="H3264" s="166" t="s">
        <v>13436</v>
      </c>
      <c r="I3264" s="194" t="s">
        <v>12821</v>
      </c>
    </row>
    <row r="3265" spans="1:9" ht="15">
      <c r="A3265" s="67">
        <f t="shared" si="51"/>
        <v>3263</v>
      </c>
      <c r="B3265" s="164">
        <v>3263</v>
      </c>
      <c r="C3265" s="194" t="s">
        <v>4558</v>
      </c>
      <c r="D3265" s="217" t="s">
        <v>7776</v>
      </c>
      <c r="E3265" s="194" t="s">
        <v>9946</v>
      </c>
      <c r="F3265" s="194" t="s">
        <v>59</v>
      </c>
      <c r="G3265" s="213" t="s">
        <v>11987</v>
      </c>
      <c r="H3265" s="166" t="s">
        <v>13436</v>
      </c>
      <c r="I3265" s="194" t="s">
        <v>12816</v>
      </c>
    </row>
    <row r="3266" spans="1:9" ht="15">
      <c r="A3266" s="67">
        <f t="shared" si="51"/>
        <v>3264</v>
      </c>
      <c r="B3266" s="164">
        <v>3264</v>
      </c>
      <c r="C3266" s="194" t="s">
        <v>4559</v>
      </c>
      <c r="D3266" s="217" t="s">
        <v>7777</v>
      </c>
      <c r="E3266" s="194" t="s">
        <v>298</v>
      </c>
      <c r="F3266" s="194" t="s">
        <v>59</v>
      </c>
      <c r="G3266" s="213" t="s">
        <v>11988</v>
      </c>
      <c r="H3266" s="166" t="s">
        <v>13436</v>
      </c>
      <c r="I3266" s="194" t="s">
        <v>12819</v>
      </c>
    </row>
    <row r="3267" spans="1:9" ht="15">
      <c r="A3267" s="67">
        <f t="shared" si="51"/>
        <v>3265</v>
      </c>
      <c r="B3267" s="164">
        <v>3265</v>
      </c>
      <c r="C3267" s="194" t="s">
        <v>4560</v>
      </c>
      <c r="D3267" s="217" t="s">
        <v>7778</v>
      </c>
      <c r="E3267" s="194" t="s">
        <v>9947</v>
      </c>
      <c r="F3267" s="194" t="s">
        <v>59</v>
      </c>
      <c r="G3267" s="213" t="s">
        <v>11989</v>
      </c>
      <c r="H3267" s="166" t="s">
        <v>13436</v>
      </c>
      <c r="I3267" s="194" t="s">
        <v>12819</v>
      </c>
    </row>
    <row r="3268" spans="1:9" ht="15">
      <c r="A3268" s="67">
        <f t="shared" si="51"/>
        <v>3266</v>
      </c>
      <c r="B3268" s="164">
        <v>3266</v>
      </c>
      <c r="C3268" s="194" t="s">
        <v>4561</v>
      </c>
      <c r="D3268" s="217" t="s">
        <v>7779</v>
      </c>
      <c r="E3268" s="194" t="s">
        <v>9948</v>
      </c>
      <c r="F3268" s="194" t="s">
        <v>59</v>
      </c>
      <c r="G3268" s="213" t="s">
        <v>11990</v>
      </c>
      <c r="H3268" s="166" t="s">
        <v>13436</v>
      </c>
      <c r="I3268" s="194" t="s">
        <v>12838</v>
      </c>
    </row>
    <row r="3269" spans="1:9" ht="15">
      <c r="A3269" s="67">
        <f t="shared" si="51"/>
        <v>3267</v>
      </c>
      <c r="B3269" s="164">
        <v>3267</v>
      </c>
      <c r="C3269" s="194" t="s">
        <v>4562</v>
      </c>
      <c r="D3269" s="217" t="s">
        <v>7780</v>
      </c>
      <c r="E3269" s="194" t="s">
        <v>9949</v>
      </c>
      <c r="F3269" s="194" t="s">
        <v>59</v>
      </c>
      <c r="G3269" s="213" t="s">
        <v>11991</v>
      </c>
      <c r="H3269" s="166" t="s">
        <v>13436</v>
      </c>
      <c r="I3269" s="194" t="s">
        <v>12818</v>
      </c>
    </row>
    <row r="3270" spans="1:9" ht="15">
      <c r="A3270" s="67">
        <f t="shared" si="51"/>
        <v>3268</v>
      </c>
      <c r="B3270" s="164">
        <v>3268</v>
      </c>
      <c r="C3270" s="194" t="s">
        <v>4563</v>
      </c>
      <c r="D3270" s="217" t="s">
        <v>7781</v>
      </c>
      <c r="E3270" s="194" t="s">
        <v>9950</v>
      </c>
      <c r="F3270" s="194" t="s">
        <v>59</v>
      </c>
      <c r="G3270" s="213" t="s">
        <v>1171</v>
      </c>
      <c r="H3270" s="166" t="s">
        <v>13436</v>
      </c>
      <c r="I3270" s="194" t="s">
        <v>12808</v>
      </c>
    </row>
  </sheetData>
  <autoFilter ref="A2:P3096" xr:uid="{00000000-0009-0000-0000-000000000000}">
    <sortState xmlns:xlrd2="http://schemas.microsoft.com/office/spreadsheetml/2017/richdata2" ref="A4:P3096">
      <sortCondition ref="B2:B3096"/>
    </sortState>
  </autoFilter>
  <mergeCells count="1">
    <mergeCell ref="A1:A2"/>
  </mergeCells>
  <phoneticPr fontId="18" type="noConversion"/>
  <conditionalFormatting sqref="D2">
    <cfRule type="duplicateValues" dxfId="1" priority="4"/>
  </conditionalFormatting>
  <conditionalFormatting sqref="D2">
    <cfRule type="duplicateValues" dxfId="0" priority="3"/>
  </conditionalFormatting>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tabColor theme="7"/>
  </sheetPr>
  <dimension ref="H2:L10"/>
  <sheetViews>
    <sheetView showGridLines="0" workbookViewId="0">
      <selection activeCell="L26" sqref="L26"/>
    </sheetView>
  </sheetViews>
  <sheetFormatPr defaultRowHeight="14.25"/>
  <cols>
    <col min="1" max="7" width="3" customWidth="1"/>
    <col min="8" max="8" width="23.875" customWidth="1"/>
    <col min="9" max="9" width="37.625" customWidth="1"/>
    <col min="10" max="11" width="8.625" customWidth="1"/>
    <col min="12" max="12" width="14" customWidth="1"/>
  </cols>
  <sheetData>
    <row r="2" spans="8:12" ht="20.25">
      <c r="H2" s="37" t="s">
        <v>115</v>
      </c>
      <c r="J2" s="38"/>
      <c r="K2" s="38"/>
      <c r="L2" s="38"/>
    </row>
    <row r="3" spans="8:12">
      <c r="J3" s="38"/>
      <c r="K3" s="38"/>
      <c r="L3" s="38"/>
    </row>
    <row r="5" spans="8:12">
      <c r="H5" s="26" t="s">
        <v>8</v>
      </c>
      <c r="I5" s="27" t="s">
        <v>254</v>
      </c>
    </row>
    <row r="6" spans="8:12">
      <c r="H6" s="26" t="s">
        <v>11</v>
      </c>
      <c r="I6" s="27" t="s">
        <v>254</v>
      </c>
    </row>
    <row r="7" spans="8:12">
      <c r="H7" s="26" t="s">
        <v>9</v>
      </c>
      <c r="I7" s="220">
        <v>46088</v>
      </c>
    </row>
    <row r="8" spans="8:12">
      <c r="H8" s="26" t="s">
        <v>10</v>
      </c>
      <c r="I8" s="27" t="s">
        <v>254</v>
      </c>
    </row>
    <row r="9" spans="8:12" ht="15.75" thickBot="1">
      <c r="H9" s="28" t="s">
        <v>54</v>
      </c>
      <c r="I9" s="29" t="s">
        <v>13437</v>
      </c>
      <c r="K9" t="s">
        <v>121</v>
      </c>
    </row>
    <row r="10" spans="8:12" ht="15">
      <c r="K10" t="s">
        <v>122</v>
      </c>
    </row>
  </sheetData>
  <sheetProtection sheet="1" objects="1" scenarios="1" selectLockedCells="1"/>
  <pageMargins left="0.7" right="0.7" top="0.75" bottom="0.75" header="0.3" footer="0.3"/>
  <pageSetup orientation="portrait" r:id="rId1"/>
  <drawing r:id="rId2"/>
  <legacyDrawing r:id="rId3"/>
  <controls>
    <mc:AlternateContent xmlns:mc="http://schemas.openxmlformats.org/markup-compatibility/2006">
      <mc:Choice Requires="x14">
        <control shapeId="10241" r:id="rId4" name="cmd_LoadFormConfig">
          <controlPr defaultSize="0" autoLine="0" r:id="rId5">
            <anchor moveWithCells="1">
              <from>
                <xdr:col>9</xdr:col>
                <xdr:colOff>190500</xdr:colOff>
                <xdr:row>1</xdr:row>
                <xdr:rowOff>57150</xdr:rowOff>
              </from>
              <to>
                <xdr:col>11</xdr:col>
                <xdr:colOff>285750</xdr:colOff>
                <xdr:row>2</xdr:row>
                <xdr:rowOff>152400</xdr:rowOff>
              </to>
            </anchor>
          </controlPr>
        </control>
      </mc:Choice>
      <mc:Fallback>
        <control shapeId="10241" r:id="rId4" name="cmd_LoadFormConfig"/>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5"/>
  <dimension ref="A1:E8"/>
  <sheetViews>
    <sheetView workbookViewId="0">
      <selection activeCell="A8" sqref="A8:B8"/>
    </sheetView>
  </sheetViews>
  <sheetFormatPr defaultColWidth="8.75" defaultRowHeight="15"/>
  <cols>
    <col min="1" max="1" width="8.75" style="69"/>
    <col min="2" max="2" width="80.125" style="69" bestFit="1" customWidth="1"/>
    <col min="3" max="16384" width="8.75" style="69"/>
  </cols>
  <sheetData>
    <row r="1" spans="1:5" ht="40.5" customHeight="1">
      <c r="A1" s="223" t="s">
        <v>245</v>
      </c>
      <c r="B1" s="224"/>
      <c r="D1" s="69" t="s">
        <v>140</v>
      </c>
    </row>
    <row r="2" spans="1:5" ht="45" customHeight="1">
      <c r="A2" s="71" t="s">
        <v>134</v>
      </c>
      <c r="B2" s="70" t="s">
        <v>137</v>
      </c>
      <c r="E2" s="69" t="s">
        <v>141</v>
      </c>
    </row>
    <row r="3" spans="1:5" ht="30.6" customHeight="1">
      <c r="A3" s="71" t="s">
        <v>135</v>
      </c>
      <c r="B3" s="70" t="s">
        <v>241</v>
      </c>
      <c r="E3" s="69" t="s">
        <v>142</v>
      </c>
    </row>
    <row r="4" spans="1:5" ht="38.450000000000003" customHeight="1">
      <c r="A4" s="71" t="s">
        <v>136</v>
      </c>
      <c r="B4" s="70" t="s">
        <v>242</v>
      </c>
      <c r="E4" s="69" t="s">
        <v>143</v>
      </c>
    </row>
    <row r="5" spans="1:5" ht="42.6" customHeight="1">
      <c r="A5" s="71" t="s">
        <v>138</v>
      </c>
      <c r="B5" s="70" t="s">
        <v>139</v>
      </c>
      <c r="E5" s="69" t="s">
        <v>144</v>
      </c>
    </row>
    <row r="6" spans="1:5" ht="36.6" customHeight="1">
      <c r="A6" s="222" t="s">
        <v>244</v>
      </c>
      <c r="B6" s="222"/>
      <c r="E6" s="69" t="s">
        <v>145</v>
      </c>
    </row>
    <row r="7" spans="1:5" ht="100.5" customHeight="1">
      <c r="A7" s="222" t="s">
        <v>1294</v>
      </c>
      <c r="B7" s="222"/>
    </row>
    <row r="8" spans="1:5" ht="62.45" customHeight="1">
      <c r="A8" s="222" t="s">
        <v>243</v>
      </c>
      <c r="B8" s="222"/>
    </row>
  </sheetData>
  <sheetProtection sheet="1" objects="1" scenarios="1" selectLockedCells="1"/>
  <mergeCells count="4">
    <mergeCell ref="A6:B6"/>
    <mergeCell ref="A7:B7"/>
    <mergeCell ref="A8:B8"/>
    <mergeCell ref="A1:B1"/>
  </mergeCell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tabColor theme="8" tint="-0.499984740745262"/>
    <pageSetUpPr fitToPage="1"/>
  </sheetPr>
  <dimension ref="A1:Y28"/>
  <sheetViews>
    <sheetView showGridLines="0" tabSelected="1" topLeftCell="A3" zoomScale="85" zoomScaleNormal="85" zoomScaleSheetLayoutView="85" workbookViewId="0">
      <selection activeCell="C20" sqref="C20:F20"/>
    </sheetView>
  </sheetViews>
  <sheetFormatPr defaultColWidth="9.125" defaultRowHeight="14.25"/>
  <cols>
    <col min="1" max="1" width="3.75" style="1" customWidth="1"/>
    <col min="2" max="2" width="18.375" style="1" customWidth="1"/>
    <col min="3" max="3" width="53.125" style="1" customWidth="1"/>
    <col min="4" max="4" width="16.125" style="1" customWidth="1"/>
    <col min="5" max="5" width="15.25" style="1" customWidth="1"/>
    <col min="6" max="7" width="9.125" style="1"/>
    <col min="8" max="8" width="25.875" style="1" customWidth="1"/>
    <col min="9" max="9" width="40.75" style="24" customWidth="1"/>
    <col min="10" max="10" width="13" style="91" customWidth="1"/>
    <col min="11" max="21" width="9.125" style="1"/>
    <col min="22" max="22" width="35.375" style="1" customWidth="1"/>
    <col min="23" max="23" width="53.375" style="1" customWidth="1"/>
    <col min="24" max="16384" width="9.125" style="1"/>
  </cols>
  <sheetData>
    <row r="1" spans="1:25" ht="15.75" customHeight="1" thickBot="1">
      <c r="A1" s="31"/>
      <c r="C1" s="237"/>
      <c r="D1" s="238"/>
      <c r="E1" s="238"/>
      <c r="F1" s="238"/>
    </row>
    <row r="2" spans="1:25" ht="18.75" customHeight="1">
      <c r="C2" s="238"/>
      <c r="D2" s="238"/>
      <c r="E2" s="238"/>
      <c r="F2" s="238"/>
      <c r="H2" s="231" t="s">
        <v>126</v>
      </c>
      <c r="I2" s="227"/>
      <c r="J2" s="92"/>
      <c r="K2" s="5"/>
      <c r="V2" s="192" t="s">
        <v>90</v>
      </c>
      <c r="W2" s="191">
        <f ca="1">YEAR(TODAY()) - 1</f>
        <v>2025</v>
      </c>
    </row>
    <row r="3" spans="1:25" ht="30.75" customHeight="1">
      <c r="B3" s="1" t="s">
        <v>133</v>
      </c>
      <c r="C3" s="238"/>
      <c r="D3" s="238"/>
      <c r="E3" s="238"/>
      <c r="F3" s="238"/>
      <c r="H3" s="232"/>
      <c r="I3" s="228"/>
      <c r="J3" s="92"/>
      <c r="K3" s="5"/>
      <c r="V3" s="234" t="s">
        <v>91</v>
      </c>
      <c r="W3" s="236" t="str">
        <f>IFERROR(VLOOKUP($I$2,DanhSach!$A:$M,10,0),"Không có")</f>
        <v>Không có</v>
      </c>
    </row>
    <row r="4" spans="1:25" ht="37.5" customHeight="1" thickBot="1">
      <c r="B4" s="229" t="s">
        <v>44</v>
      </c>
      <c r="C4" s="229"/>
      <c r="D4" s="229"/>
      <c r="E4" s="229"/>
      <c r="F4" s="229"/>
      <c r="H4" s="232"/>
      <c r="I4" s="228"/>
      <c r="J4" s="92"/>
      <c r="K4" s="5"/>
      <c r="V4" s="234"/>
      <c r="W4" s="236"/>
    </row>
    <row r="5" spans="1:25" s="84" customFormat="1" ht="27" customHeight="1">
      <c r="B5" s="93" t="s">
        <v>24</v>
      </c>
      <c r="C5" s="171" t="str">
        <f>IFERROR(VLOOKUP($I$2,DanhSach!$A:$M,5,0),"Không có")</f>
        <v>Không có</v>
      </c>
      <c r="D5" s="94" t="s">
        <v>29</v>
      </c>
      <c r="E5" s="173" t="str">
        <f>IFERROR(VLOOKUP($I$2,DanhSach!$A:$M,7,0),"Không có")</f>
        <v>Không có</v>
      </c>
      <c r="F5" s="95"/>
      <c r="H5" s="96" t="s">
        <v>8</v>
      </c>
      <c r="I5" s="97" t="str">
        <f>CaiDat!I5</f>
        <v>test</v>
      </c>
      <c r="J5" s="98"/>
    </row>
    <row r="6" spans="1:25" s="84" customFormat="1" ht="27" customHeight="1">
      <c r="B6" s="99" t="s">
        <v>25</v>
      </c>
      <c r="C6" s="88" t="str">
        <f>IFERROR(VLOOKUP($I$2,DanhSach!$A:$M,9,0),"Không có")</f>
        <v>Không có</v>
      </c>
      <c r="D6" s="84" t="s">
        <v>30</v>
      </c>
      <c r="E6" s="87" t="str">
        <f>IFERROR(VLOOKUP($I$2,DanhSach!$A:$M,6,0),"Không có")</f>
        <v>Không có</v>
      </c>
      <c r="F6" s="100"/>
      <c r="H6" s="96" t="s">
        <v>11</v>
      </c>
      <c r="I6" s="97" t="str">
        <f>CaiDat!I6</f>
        <v>test</v>
      </c>
      <c r="J6" s="98"/>
    </row>
    <row r="7" spans="1:25" s="84" customFormat="1" ht="27" customHeight="1">
      <c r="B7" s="99" t="s">
        <v>26</v>
      </c>
      <c r="C7" s="88" t="str">
        <f>IFERROR(VLOOKUP($I$2,DanhSach!$A:$M,4,0),"Không có")</f>
        <v>Không có</v>
      </c>
      <c r="D7" s="84" t="s">
        <v>31</v>
      </c>
      <c r="E7" s="87" t="str">
        <f>IFERROR(VLOOKUP($I$2,DanhSach!$A:$M,3,0),"Không có")</f>
        <v>Không có</v>
      </c>
      <c r="F7" s="100"/>
      <c r="H7" s="96" t="s">
        <v>9</v>
      </c>
      <c r="I7" s="101">
        <f>CaiDat!I7</f>
        <v>46088</v>
      </c>
      <c r="J7" s="102"/>
      <c r="L7" s="103" t="s">
        <v>127</v>
      </c>
    </row>
    <row r="8" spans="1:25" s="84" customFormat="1" ht="27" customHeight="1">
      <c r="B8" s="99" t="s">
        <v>27</v>
      </c>
      <c r="C8" s="87" t="str">
        <f>IFERROR(VLOOKUP($I$2,DanhSach!$A:$M,8,0),"Không có")</f>
        <v>Không có</v>
      </c>
      <c r="D8" s="235"/>
      <c r="E8" s="235"/>
      <c r="F8" s="100"/>
      <c r="H8" s="96" t="s">
        <v>10</v>
      </c>
      <c r="I8" s="97" t="str">
        <f>CaiDat!I8</f>
        <v>test</v>
      </c>
      <c r="J8" s="98"/>
    </row>
    <row r="9" spans="1:25" s="84" customFormat="1" ht="27" customHeight="1" thickBot="1">
      <c r="B9" s="99" t="s">
        <v>28</v>
      </c>
      <c r="C9" s="87" t="s">
        <v>23</v>
      </c>
      <c r="D9" s="104" t="str">
        <f>IF(OR(E6="Nữ",E6="Nu"),"Nhầm form SA Nam/Nữ","")</f>
        <v/>
      </c>
      <c r="F9" s="100"/>
      <c r="H9" s="105" t="s">
        <v>54</v>
      </c>
      <c r="I9" s="106" t="str">
        <f>CaiDat!I9</f>
        <v>D:\Downloads\</v>
      </c>
      <c r="J9" s="98"/>
    </row>
    <row r="10" spans="1:25" s="84" customFormat="1" ht="9.75" customHeight="1" thickBot="1">
      <c r="B10" s="107"/>
      <c r="C10" s="108"/>
      <c r="D10" s="108"/>
      <c r="E10" s="108"/>
      <c r="F10" s="109"/>
      <c r="I10" s="110"/>
      <c r="J10" s="111"/>
    </row>
    <row r="11" spans="1:25" s="84" customFormat="1" ht="25.5" customHeight="1">
      <c r="B11" s="230" t="s">
        <v>12</v>
      </c>
      <c r="C11" s="230"/>
      <c r="D11" s="230"/>
      <c r="E11" s="230"/>
      <c r="F11" s="230"/>
      <c r="I11" s="110"/>
      <c r="J11" s="111"/>
    </row>
    <row r="12" spans="1:25" s="84" customFormat="1" ht="77.25" customHeight="1">
      <c r="B12" s="74" t="s">
        <v>32</v>
      </c>
      <c r="C12" s="225" t="s">
        <v>13</v>
      </c>
      <c r="D12" s="225"/>
      <c r="E12" s="225"/>
      <c r="F12" s="225"/>
      <c r="I12" s="110"/>
      <c r="J12" s="111"/>
    </row>
    <row r="13" spans="1:25" s="84" customFormat="1" ht="40.5" customHeight="1">
      <c r="B13" s="74" t="s">
        <v>33</v>
      </c>
      <c r="C13" s="225" t="s">
        <v>14</v>
      </c>
      <c r="D13" s="225"/>
      <c r="E13" s="225"/>
      <c r="F13" s="225"/>
      <c r="J13" s="75"/>
    </row>
    <row r="14" spans="1:25" s="84" customFormat="1" ht="49.5" customHeight="1">
      <c r="B14" s="74" t="s">
        <v>34</v>
      </c>
      <c r="C14" s="225" t="s">
        <v>15</v>
      </c>
      <c r="D14" s="225"/>
      <c r="E14" s="225"/>
      <c r="F14" s="225"/>
      <c r="J14" s="112"/>
    </row>
    <row r="15" spans="1:25" s="84" customFormat="1" ht="36" customHeight="1">
      <c r="B15" s="74" t="s">
        <v>35</v>
      </c>
      <c r="C15" s="225" t="s">
        <v>16</v>
      </c>
      <c r="D15" s="225"/>
      <c r="E15" s="225"/>
      <c r="F15" s="225"/>
      <c r="J15" s="112"/>
      <c r="Y15" s="113"/>
    </row>
    <row r="16" spans="1:25" s="84" customFormat="1" ht="58.5" customHeight="1">
      <c r="B16" s="74" t="s">
        <v>36</v>
      </c>
      <c r="C16" s="225" t="s">
        <v>17</v>
      </c>
      <c r="D16" s="225"/>
      <c r="E16" s="225"/>
      <c r="F16" s="225"/>
      <c r="H16" s="113"/>
      <c r="I16" s="112"/>
      <c r="J16" s="113"/>
    </row>
    <row r="17" spans="2:25" s="84" customFormat="1" ht="50.25" customHeight="1">
      <c r="B17" s="74" t="s">
        <v>37</v>
      </c>
      <c r="C17" s="225" t="s">
        <v>18</v>
      </c>
      <c r="D17" s="225"/>
      <c r="E17" s="225"/>
      <c r="F17" s="225"/>
      <c r="H17" s="113"/>
      <c r="I17" s="233"/>
      <c r="J17" s="233"/>
    </row>
    <row r="18" spans="2:25" s="84" customFormat="1" ht="44.25" customHeight="1">
      <c r="B18" s="74" t="s">
        <v>38</v>
      </c>
      <c r="C18" s="225" t="s">
        <v>19</v>
      </c>
      <c r="D18" s="225"/>
      <c r="E18" s="225"/>
      <c r="F18" s="225"/>
      <c r="I18" s="110"/>
      <c r="J18" s="111"/>
    </row>
    <row r="19" spans="2:25" s="84" customFormat="1" ht="42.75" customHeight="1">
      <c r="B19" s="74" t="s">
        <v>39</v>
      </c>
      <c r="C19" s="225" t="s">
        <v>20</v>
      </c>
      <c r="D19" s="225"/>
      <c r="E19" s="225"/>
      <c r="F19" s="225"/>
      <c r="I19" s="110"/>
      <c r="J19" s="111"/>
    </row>
    <row r="20" spans="2:25" s="84" customFormat="1" ht="38.25" customHeight="1">
      <c r="B20" s="74" t="s">
        <v>40</v>
      </c>
      <c r="C20" s="225" t="s">
        <v>21</v>
      </c>
      <c r="D20" s="225"/>
      <c r="E20" s="225"/>
      <c r="F20" s="225"/>
      <c r="I20" s="110"/>
      <c r="J20" s="114"/>
      <c r="N20" s="113"/>
    </row>
    <row r="21" spans="2:25" s="113" customFormat="1" ht="84.75" customHeight="1">
      <c r="B21" s="187" t="s">
        <v>41</v>
      </c>
      <c r="C21" s="226" t="s">
        <v>22</v>
      </c>
      <c r="D21" s="226"/>
      <c r="E21" s="226"/>
      <c r="F21" s="226"/>
      <c r="H21" s="84"/>
      <c r="I21" s="115"/>
      <c r="J21" s="111"/>
      <c r="Y21" s="84"/>
    </row>
    <row r="22" spans="2:25" s="113" customFormat="1" ht="18.75" customHeight="1">
      <c r="B22" s="75"/>
      <c r="C22" s="84"/>
      <c r="D22" s="85" t="str">
        <f>"Ngày " &amp; DAY($I$7) &amp; " tháng " &amp; MONTH($I$7) &amp; " năm " &amp; YEAR($I$7)</f>
        <v>Ngày 7 tháng 3 năm 2026</v>
      </c>
      <c r="E22" s="86"/>
      <c r="F22" s="75"/>
      <c r="H22" s="84"/>
      <c r="I22" s="115"/>
      <c r="J22" s="116"/>
      <c r="Y22" s="84"/>
    </row>
    <row r="23" spans="2:25" s="87" customFormat="1" ht="16.5">
      <c r="C23" s="88" t="s">
        <v>43</v>
      </c>
      <c r="D23" s="89" t="s">
        <v>42</v>
      </c>
      <c r="I23" s="88"/>
      <c r="J23" s="117"/>
    </row>
    <row r="24" spans="2:25" s="84" customFormat="1" ht="16.5">
      <c r="B24" s="90"/>
      <c r="I24" s="110"/>
      <c r="J24" s="116"/>
      <c r="K24" s="118"/>
    </row>
    <row r="26" spans="2:25" ht="33.75" customHeight="1"/>
    <row r="28" spans="2:25" s="87" customFormat="1" ht="21" customHeight="1">
      <c r="C28" s="87" t="str">
        <f>I6</f>
        <v>test</v>
      </c>
      <c r="D28" s="87" t="str">
        <f>I5</f>
        <v>test</v>
      </c>
      <c r="I28" s="88"/>
      <c r="J28" s="117"/>
    </row>
  </sheetData>
  <sheetProtection sheet="1" objects="1" scenarios="1" selectLockedCells="1"/>
  <dataConsolidate/>
  <mergeCells count="19">
    <mergeCell ref="V3:V4"/>
    <mergeCell ref="D8:E8"/>
    <mergeCell ref="W3:W4"/>
    <mergeCell ref="C19:F19"/>
    <mergeCell ref="C1:F3"/>
    <mergeCell ref="C20:F20"/>
    <mergeCell ref="C21:F21"/>
    <mergeCell ref="I2:I4"/>
    <mergeCell ref="C16:F16"/>
    <mergeCell ref="B4:F4"/>
    <mergeCell ref="B11:F11"/>
    <mergeCell ref="C12:F12"/>
    <mergeCell ref="C13:F13"/>
    <mergeCell ref="C15:F15"/>
    <mergeCell ref="C14:F14"/>
    <mergeCell ref="H2:H4"/>
    <mergeCell ref="I17:J17"/>
    <mergeCell ref="C17:F17"/>
    <mergeCell ref="C18:F18"/>
  </mergeCells>
  <pageMargins left="0.25" right="0.25" top="0.75" bottom="0.75" header="0.3" footer="0.3"/>
  <pageSetup paperSize="9" scale="81" fitToHeight="0" orientation="portrait" horizontalDpi="1200" verticalDpi="1200" r:id="rId1"/>
  <drawing r:id="rId2"/>
  <legacyDrawing r:id="rId3"/>
  <controls>
    <mc:AlternateContent xmlns:mc="http://schemas.openxmlformats.org/markup-compatibility/2006">
      <mc:Choice Requires="x14">
        <control shapeId="1025" r:id="rId4" name="cmd_RESETKQ">
          <controlPr defaultSize="0" autoLine="0" autoPict="0" r:id="rId5">
            <anchor moveWithCells="1">
              <from>
                <xdr:col>8</xdr:col>
                <xdr:colOff>1171575</xdr:colOff>
                <xdr:row>10</xdr:row>
                <xdr:rowOff>76200</xdr:rowOff>
              </from>
              <to>
                <xdr:col>8</xdr:col>
                <xdr:colOff>2171700</xdr:colOff>
                <xdr:row>11</xdr:row>
                <xdr:rowOff>123825</xdr:rowOff>
              </to>
            </anchor>
          </controlPr>
        </control>
      </mc:Choice>
      <mc:Fallback>
        <control shapeId="1025" r:id="rId4" name="cmd_RESETKQ"/>
      </mc:Fallback>
    </mc:AlternateContent>
    <mc:AlternateContent xmlns:mc="http://schemas.openxmlformats.org/markup-compatibility/2006">
      <mc:Choice Requires="x14">
        <control shapeId="1028" r:id="rId6" name="cmd_LUU_IN_OBUNGNAM">
          <controlPr defaultSize="0" autoLine="0" r:id="rId7">
            <anchor moveWithCells="1">
              <from>
                <xdr:col>7</xdr:col>
                <xdr:colOff>0</xdr:colOff>
                <xdr:row>10</xdr:row>
                <xdr:rowOff>95250</xdr:rowOff>
              </from>
              <to>
                <xdr:col>7</xdr:col>
                <xdr:colOff>1114425</xdr:colOff>
                <xdr:row>11</xdr:row>
                <xdr:rowOff>123825</xdr:rowOff>
              </to>
            </anchor>
          </controlPr>
        </control>
      </mc:Choice>
      <mc:Fallback>
        <control shapeId="1028" r:id="rId6" name="cmd_LUU_IN_OBUNGNAM"/>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tabColor theme="5" tint="-0.499984740745262"/>
    <pageSetUpPr fitToPage="1"/>
  </sheetPr>
  <dimension ref="B1:Y29"/>
  <sheetViews>
    <sheetView showGridLines="0" zoomScale="85" zoomScaleNormal="85" workbookViewId="0">
      <selection activeCell="I2" sqref="I2:I4"/>
    </sheetView>
  </sheetViews>
  <sheetFormatPr defaultColWidth="9.125" defaultRowHeight="14.25"/>
  <cols>
    <col min="1" max="1" width="3.75" style="1" customWidth="1"/>
    <col min="2" max="2" width="18.375" style="1" customWidth="1"/>
    <col min="3" max="3" width="53.125" style="1" customWidth="1"/>
    <col min="4" max="4" width="13.75" style="1" customWidth="1"/>
    <col min="5" max="5" width="13" style="1" bestFit="1" customWidth="1"/>
    <col min="6" max="7" width="9.125" style="1"/>
    <col min="8" max="8" width="25.875" style="1" customWidth="1"/>
    <col min="9" max="9" width="39.25" style="24" customWidth="1"/>
    <col min="10" max="10" width="18" style="91" customWidth="1"/>
    <col min="11" max="21" width="9.125" style="1"/>
    <col min="22" max="22" width="35.375" style="1" customWidth="1"/>
    <col min="23" max="23" width="53.375" style="1" customWidth="1"/>
    <col min="24" max="16384" width="9.125" style="1"/>
  </cols>
  <sheetData>
    <row r="1" spans="2:25" ht="15.75" customHeight="1" thickBot="1">
      <c r="C1" s="237"/>
      <c r="D1" s="238"/>
      <c r="E1" s="238"/>
      <c r="F1" s="238"/>
    </row>
    <row r="2" spans="2:25" ht="18.75" customHeight="1">
      <c r="C2" s="238"/>
      <c r="D2" s="238"/>
      <c r="E2" s="238"/>
      <c r="F2" s="238"/>
      <c r="H2" s="231" t="s">
        <v>126</v>
      </c>
      <c r="I2" s="227"/>
      <c r="J2" s="92"/>
      <c r="K2" s="5"/>
      <c r="V2" s="190" t="s">
        <v>90</v>
      </c>
      <c r="W2" s="191">
        <f ca="1">YEAR(TODAY()) - 1</f>
        <v>2025</v>
      </c>
    </row>
    <row r="3" spans="2:25" ht="30.75" customHeight="1">
      <c r="C3" s="238"/>
      <c r="D3" s="238"/>
      <c r="E3" s="238"/>
      <c r="F3" s="238"/>
      <c r="H3" s="232"/>
      <c r="I3" s="228"/>
      <c r="J3" s="92"/>
      <c r="K3" s="5"/>
      <c r="V3" s="240" t="s">
        <v>91</v>
      </c>
      <c r="W3" s="236" t="str">
        <f>IFERROR(VLOOKUP($I$2,DanhSach!$A:$M,10,0),"Không có")</f>
        <v>Không có</v>
      </c>
    </row>
    <row r="4" spans="2:25" ht="37.5" customHeight="1" thickBot="1">
      <c r="B4" s="242" t="s">
        <v>63</v>
      </c>
      <c r="C4" s="242"/>
      <c r="D4" s="242"/>
      <c r="E4" s="242"/>
      <c r="F4" s="242"/>
      <c r="H4" s="232"/>
      <c r="I4" s="228"/>
      <c r="J4" s="92"/>
      <c r="K4" s="5"/>
      <c r="V4" s="240"/>
      <c r="W4" s="236"/>
    </row>
    <row r="5" spans="2:25" ht="27" customHeight="1">
      <c r="B5" s="93" t="s">
        <v>24</v>
      </c>
      <c r="C5" s="171" t="str">
        <f>IFERROR(VLOOKUP($I$2,DanhSach!$A:$M,5,0),"Không có")</f>
        <v>Không có</v>
      </c>
      <c r="D5" s="94" t="s">
        <v>29</v>
      </c>
      <c r="E5" s="172" t="str">
        <f>IFERROR(VLOOKUP($I$2,DanhSach!$A:$M,7,0),"Không có")</f>
        <v>Không có</v>
      </c>
      <c r="F5" s="95"/>
      <c r="H5" s="26" t="s">
        <v>8</v>
      </c>
      <c r="I5" s="120" t="str">
        <f>OB_Nam!I5</f>
        <v>test</v>
      </c>
    </row>
    <row r="6" spans="2:25" ht="27" customHeight="1">
      <c r="B6" s="99" t="s">
        <v>25</v>
      </c>
      <c r="C6" s="88" t="str">
        <f>IFERROR(VLOOKUP($I$2,DanhSach!$A:$M,9,0),"Không có")</f>
        <v>Không có</v>
      </c>
      <c r="D6" s="84" t="s">
        <v>30</v>
      </c>
      <c r="E6" s="87" t="str">
        <f>IFERROR(VLOOKUP($I$2,DanhSach!$A:$M,6,0),"Không có")</f>
        <v>Không có</v>
      </c>
      <c r="F6" s="100"/>
      <c r="H6" s="26" t="s">
        <v>11</v>
      </c>
      <c r="I6" s="120" t="str">
        <f>OB_Nam!I6</f>
        <v>test</v>
      </c>
      <c r="J6" s="124"/>
    </row>
    <row r="7" spans="2:25" ht="27" customHeight="1">
      <c r="B7" s="99" t="s">
        <v>26</v>
      </c>
      <c r="C7" s="88" t="str">
        <f>IFERROR(VLOOKUP($I$2,DanhSach!$A:$M,4,0),"Không có")</f>
        <v>Không có</v>
      </c>
      <c r="D7" s="84" t="s">
        <v>31</v>
      </c>
      <c r="E7" s="87" t="str">
        <f>IFERROR(VLOOKUP($I$2,DanhSach!$A:$M,3,0),"Không có")</f>
        <v>Không có</v>
      </c>
      <c r="F7" s="100"/>
      <c r="H7" s="26" t="s">
        <v>9</v>
      </c>
      <c r="I7" s="125">
        <f>OB_Nam!I7</f>
        <v>46088</v>
      </c>
      <c r="J7" s="126"/>
      <c r="K7" s="127" t="s">
        <v>127</v>
      </c>
    </row>
    <row r="8" spans="2:25" ht="27" customHeight="1">
      <c r="B8" s="99" t="s">
        <v>27</v>
      </c>
      <c r="C8" s="87" t="str">
        <f>IFERROR(VLOOKUP($I$2,DanhSach!$A:$M,8,0),"Không có")</f>
        <v>Không có</v>
      </c>
      <c r="D8" s="235"/>
      <c r="E8" s="235"/>
      <c r="F8" s="100"/>
      <c r="H8" s="26" t="s">
        <v>10</v>
      </c>
      <c r="I8" s="120" t="str">
        <f>OB_Nam!I8</f>
        <v>test</v>
      </c>
      <c r="J8" s="124"/>
    </row>
    <row r="9" spans="2:25" ht="27" customHeight="1" thickBot="1">
      <c r="B9" s="99" t="s">
        <v>28</v>
      </c>
      <c r="C9" s="87" t="s">
        <v>23</v>
      </c>
      <c r="D9" s="104" t="str">
        <f>IF(OR(E6="Nam",E6="Male"),"Nhầm form SA Nam/Nữ","")</f>
        <v/>
      </c>
      <c r="E9" s="84"/>
      <c r="F9" s="100"/>
      <c r="H9" s="28" t="s">
        <v>54</v>
      </c>
      <c r="I9" s="128" t="str">
        <f>OB_Nam!I9</f>
        <v>D:\Downloads\</v>
      </c>
      <c r="J9" s="124"/>
    </row>
    <row r="10" spans="2:25" ht="9.75" customHeight="1" thickBot="1">
      <c r="B10" s="107"/>
      <c r="C10" s="108"/>
      <c r="D10" s="108"/>
      <c r="E10" s="108"/>
      <c r="F10" s="109"/>
    </row>
    <row r="11" spans="2:25" ht="28.5" customHeight="1">
      <c r="B11" s="230" t="s">
        <v>12</v>
      </c>
      <c r="C11" s="230"/>
      <c r="D11" s="230"/>
      <c r="E11" s="230"/>
      <c r="F11" s="230"/>
      <c r="N11" s="20"/>
    </row>
    <row r="12" spans="2:25" ht="66" customHeight="1">
      <c r="B12" s="74" t="s">
        <v>32</v>
      </c>
      <c r="C12" s="225" t="s">
        <v>13</v>
      </c>
      <c r="D12" s="225"/>
      <c r="E12" s="225"/>
      <c r="F12" s="225"/>
    </row>
    <row r="13" spans="2:25" ht="31.5" customHeight="1">
      <c r="B13" s="74" t="s">
        <v>33</v>
      </c>
      <c r="C13" s="225" t="s">
        <v>14</v>
      </c>
      <c r="D13" s="225"/>
      <c r="E13" s="225"/>
      <c r="F13" s="225"/>
      <c r="J13" s="241"/>
    </row>
    <row r="14" spans="2:25" ht="48.75" customHeight="1">
      <c r="B14" s="74" t="s">
        <v>34</v>
      </c>
      <c r="C14" s="225" t="s">
        <v>15</v>
      </c>
      <c r="D14" s="225"/>
      <c r="E14" s="225"/>
      <c r="F14" s="225"/>
      <c r="J14" s="241"/>
    </row>
    <row r="15" spans="2:25" s="84" customFormat="1" ht="36" customHeight="1">
      <c r="B15" s="74" t="s">
        <v>35</v>
      </c>
      <c r="C15" s="225" t="s">
        <v>16</v>
      </c>
      <c r="D15" s="225"/>
      <c r="E15" s="225"/>
      <c r="F15" s="225"/>
      <c r="J15" s="241"/>
      <c r="Y15" s="113"/>
    </row>
    <row r="16" spans="2:25" s="84" customFormat="1" ht="54" customHeight="1">
      <c r="B16" s="74" t="s">
        <v>36</v>
      </c>
      <c r="C16" s="225" t="s">
        <v>17</v>
      </c>
      <c r="D16" s="225"/>
      <c r="E16" s="225"/>
      <c r="F16" s="225"/>
      <c r="H16" s="113"/>
      <c r="I16" s="112"/>
      <c r="J16" s="113"/>
    </row>
    <row r="17" spans="2:25" s="84" customFormat="1" ht="53.25" customHeight="1">
      <c r="B17" s="74" t="s">
        <v>37</v>
      </c>
      <c r="C17" s="225" t="s">
        <v>18</v>
      </c>
      <c r="D17" s="225"/>
      <c r="E17" s="225"/>
      <c r="F17" s="225"/>
      <c r="H17" s="113"/>
      <c r="I17" s="233"/>
      <c r="J17" s="233"/>
    </row>
    <row r="18" spans="2:25" s="84" customFormat="1" ht="35.25" customHeight="1">
      <c r="B18" s="74" t="s">
        <v>38</v>
      </c>
      <c r="C18" s="225" t="s">
        <v>19</v>
      </c>
      <c r="D18" s="225"/>
      <c r="E18" s="225"/>
      <c r="F18" s="225"/>
      <c r="I18" s="110"/>
      <c r="J18" s="111"/>
    </row>
    <row r="19" spans="2:25" ht="74.25" customHeight="1">
      <c r="B19" s="74" t="s">
        <v>123</v>
      </c>
      <c r="C19" s="225" t="s">
        <v>64</v>
      </c>
      <c r="D19" s="225"/>
      <c r="E19" s="225"/>
      <c r="F19" s="225"/>
    </row>
    <row r="20" spans="2:25" s="84" customFormat="1" ht="38.25" customHeight="1">
      <c r="B20" s="74" t="s">
        <v>40</v>
      </c>
      <c r="C20" s="225" t="s">
        <v>21</v>
      </c>
      <c r="D20" s="225"/>
      <c r="E20" s="225"/>
      <c r="F20" s="225"/>
      <c r="I20" s="110"/>
      <c r="J20" s="114"/>
      <c r="N20" s="113"/>
    </row>
    <row r="21" spans="2:25" s="113" customFormat="1" ht="75.75" customHeight="1">
      <c r="B21" s="187" t="s">
        <v>41</v>
      </c>
      <c r="C21" s="226" t="s">
        <v>22</v>
      </c>
      <c r="D21" s="226"/>
      <c r="E21" s="226"/>
      <c r="F21" s="226"/>
      <c r="H21" s="84"/>
      <c r="I21" s="115"/>
      <c r="J21" s="111"/>
      <c r="Y21" s="84"/>
    </row>
    <row r="22" spans="2:25" s="5" customFormat="1" ht="12" customHeight="1">
      <c r="B22" s="6"/>
      <c r="C22" s="30"/>
      <c r="D22" s="30"/>
      <c r="E22" s="30"/>
      <c r="F22" s="30"/>
      <c r="H22" s="1"/>
      <c r="I22" s="139"/>
      <c r="J22" s="140"/>
    </row>
    <row r="23" spans="2:25" ht="16.5">
      <c r="C23" s="84"/>
      <c r="D23" s="85" t="str">
        <f>"Ngày " &amp; DAY($I$7) &amp; " tháng " &amp; MONTH($I$7) &amp; " năm " &amp; YEAR($I$7)</f>
        <v>Ngày 7 tháng 3 năm 2026</v>
      </c>
      <c r="E23" s="84"/>
    </row>
    <row r="24" spans="2:25" ht="16.5">
      <c r="B24" s="2"/>
      <c r="C24" s="88" t="s">
        <v>43</v>
      </c>
      <c r="D24" s="239" t="s">
        <v>42</v>
      </c>
      <c r="E24" s="239"/>
      <c r="F24" s="239"/>
      <c r="I24" s="139"/>
      <c r="J24" s="140"/>
      <c r="K24" s="141"/>
    </row>
    <row r="27" spans="2:25" ht="14.25" customHeight="1"/>
    <row r="29" spans="2:25" s="14" customFormat="1" ht="16.5">
      <c r="C29" s="87" t="str">
        <f>I6</f>
        <v>test</v>
      </c>
      <c r="D29" s="87" t="str">
        <f>I5</f>
        <v>test</v>
      </c>
      <c r="E29" s="87"/>
      <c r="I29" s="4"/>
      <c r="J29" s="158"/>
    </row>
  </sheetData>
  <sheetProtection sheet="1" objects="1" scenarios="1" selectLockedCells="1"/>
  <mergeCells count="21">
    <mergeCell ref="B4:F4"/>
    <mergeCell ref="B11:F11"/>
    <mergeCell ref="C12:F12"/>
    <mergeCell ref="C1:F3"/>
    <mergeCell ref="D8:E8"/>
    <mergeCell ref="W3:W4"/>
    <mergeCell ref="D24:F24"/>
    <mergeCell ref="I17:J17"/>
    <mergeCell ref="C19:F19"/>
    <mergeCell ref="C20:F20"/>
    <mergeCell ref="C21:F21"/>
    <mergeCell ref="C16:F16"/>
    <mergeCell ref="C17:F17"/>
    <mergeCell ref="C18:F18"/>
    <mergeCell ref="C13:F13"/>
    <mergeCell ref="C14:F14"/>
    <mergeCell ref="C15:F15"/>
    <mergeCell ref="V3:V4"/>
    <mergeCell ref="J13:J15"/>
    <mergeCell ref="H2:H4"/>
    <mergeCell ref="I2:I4"/>
  </mergeCells>
  <pageMargins left="0.25" right="0.25" top="0.75" bottom="0.75" header="0.3" footer="0.3"/>
  <pageSetup paperSize="9" scale="84" fitToHeight="0" orientation="portrait" r:id="rId1"/>
  <drawing r:id="rId2"/>
  <legacyDrawing r:id="rId3"/>
  <controls>
    <mc:AlternateContent xmlns:mc="http://schemas.openxmlformats.org/markup-compatibility/2006">
      <mc:Choice Requires="x14">
        <control shapeId="2051" r:id="rId4" name="cmd_NUCOTHAI">
          <controlPr defaultSize="0" autoLine="0" r:id="rId5">
            <anchor moveWithCells="1">
              <from>
                <xdr:col>7</xdr:col>
                <xdr:colOff>133350</xdr:colOff>
                <xdr:row>18</xdr:row>
                <xdr:rowOff>85725</xdr:rowOff>
              </from>
              <to>
                <xdr:col>7</xdr:col>
                <xdr:colOff>1133475</xdr:colOff>
                <xdr:row>18</xdr:row>
                <xdr:rowOff>457200</xdr:rowOff>
              </to>
            </anchor>
          </controlPr>
        </control>
      </mc:Choice>
      <mc:Fallback>
        <control shapeId="2051" r:id="rId4" name="cmd_NUCOTHAI"/>
      </mc:Fallback>
    </mc:AlternateContent>
    <mc:AlternateContent xmlns:mc="http://schemas.openxmlformats.org/markup-compatibility/2006">
      <mc:Choice Requires="x14">
        <control shapeId="2049" r:id="rId6" name="CommandButton1">
          <controlPr defaultSize="0" autoLine="0" autoPict="0" r:id="rId7">
            <anchor moveWithCells="1">
              <from>
                <xdr:col>8</xdr:col>
                <xdr:colOff>1171575</xdr:colOff>
                <xdr:row>10</xdr:row>
                <xdr:rowOff>76200</xdr:rowOff>
              </from>
              <to>
                <xdr:col>8</xdr:col>
                <xdr:colOff>2171700</xdr:colOff>
                <xdr:row>11</xdr:row>
                <xdr:rowOff>85725</xdr:rowOff>
              </to>
            </anchor>
          </controlPr>
        </control>
      </mc:Choice>
      <mc:Fallback>
        <control shapeId="2049" r:id="rId6" name="CommandButton1"/>
      </mc:Fallback>
    </mc:AlternateContent>
    <mc:AlternateContent xmlns:mc="http://schemas.openxmlformats.org/markup-compatibility/2006">
      <mc:Choice Requires="x14">
        <control shapeId="2050" r:id="rId8" name="CMD_OBUNG_NU">
          <controlPr defaultSize="0" autoLine="0" r:id="rId9">
            <anchor moveWithCells="1">
              <from>
                <xdr:col>7</xdr:col>
                <xdr:colOff>0</xdr:colOff>
                <xdr:row>10</xdr:row>
                <xdr:rowOff>95250</xdr:rowOff>
              </from>
              <to>
                <xdr:col>7</xdr:col>
                <xdr:colOff>1114425</xdr:colOff>
                <xdr:row>11</xdr:row>
                <xdr:rowOff>85725</xdr:rowOff>
              </to>
            </anchor>
          </controlPr>
        </control>
      </mc:Choice>
      <mc:Fallback>
        <control shapeId="2050" r:id="rId8" name="CMD_OBUNG_NU"/>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9" tint="-0.499984740745262"/>
    <pageSetUpPr fitToPage="1"/>
  </sheetPr>
  <dimension ref="B1:W24"/>
  <sheetViews>
    <sheetView showGridLines="0" zoomScale="85" zoomScaleNormal="85" workbookViewId="0">
      <selection activeCell="C16" sqref="C16:F16"/>
    </sheetView>
  </sheetViews>
  <sheetFormatPr defaultColWidth="9.125" defaultRowHeight="14.25"/>
  <cols>
    <col min="1" max="1" width="3.75" style="1" customWidth="1"/>
    <col min="2" max="2" width="18.375" style="1" customWidth="1"/>
    <col min="3" max="3" width="53.125" style="1" customWidth="1"/>
    <col min="4" max="4" width="13.75" style="1" customWidth="1"/>
    <col min="5" max="5" width="14" style="1" bestFit="1" customWidth="1"/>
    <col min="6" max="7" width="9.125" style="1"/>
    <col min="8" max="8" width="25.875" style="1" customWidth="1"/>
    <col min="9" max="9" width="41.25" style="24" customWidth="1"/>
    <col min="10" max="10" width="18" style="91" customWidth="1"/>
    <col min="11" max="21" width="9.125" style="1"/>
    <col min="22" max="22" width="35.375" style="1" customWidth="1"/>
    <col min="23" max="23" width="53.375" style="1" customWidth="1"/>
    <col min="24" max="16384" width="9.125" style="1"/>
  </cols>
  <sheetData>
    <row r="1" spans="2:23" ht="15.75" customHeight="1" thickBot="1">
      <c r="C1" s="237"/>
      <c r="D1" s="238"/>
      <c r="E1" s="238"/>
      <c r="F1" s="238"/>
    </row>
    <row r="2" spans="2:23" ht="18.75" customHeight="1">
      <c r="C2" s="238"/>
      <c r="D2" s="238"/>
      <c r="E2" s="238"/>
      <c r="F2" s="238"/>
      <c r="H2" s="244" t="s">
        <v>126</v>
      </c>
      <c r="I2" s="246"/>
      <c r="J2" s="92"/>
      <c r="K2" s="5"/>
      <c r="V2" s="192" t="s">
        <v>90</v>
      </c>
      <c r="W2" s="191">
        <f ca="1">YEAR(TODAY()) - 1</f>
        <v>2025</v>
      </c>
    </row>
    <row r="3" spans="2:23" ht="30.75" customHeight="1">
      <c r="C3" s="238"/>
      <c r="D3" s="238"/>
      <c r="E3" s="238"/>
      <c r="F3" s="238"/>
      <c r="H3" s="245"/>
      <c r="I3" s="247"/>
      <c r="J3" s="92"/>
      <c r="K3" s="5"/>
      <c r="V3" s="234" t="s">
        <v>92</v>
      </c>
      <c r="W3" s="236" t="str">
        <f>IFERROR(VLOOKUP($I$2,DanhSach!$A:$M,11,0),"Không có")</f>
        <v>Không có</v>
      </c>
    </row>
    <row r="4" spans="2:23" ht="37.5" customHeight="1" thickBot="1">
      <c r="B4" s="250" t="s">
        <v>66</v>
      </c>
      <c r="C4" s="250"/>
      <c r="D4" s="250"/>
      <c r="E4" s="250"/>
      <c r="F4" s="250"/>
      <c r="H4" s="245"/>
      <c r="I4" s="247"/>
      <c r="J4" s="92"/>
      <c r="K4" s="5"/>
      <c r="V4" s="234"/>
      <c r="W4" s="236"/>
    </row>
    <row r="5" spans="2:23" ht="27" customHeight="1">
      <c r="B5" s="119" t="s">
        <v>24</v>
      </c>
      <c r="C5" s="174" t="str">
        <f>IFERROR(VLOOKUP($I$2,DanhSach!$A:$M,5,0),"Không có")</f>
        <v>Không có</v>
      </c>
      <c r="D5" s="175" t="s">
        <v>29</v>
      </c>
      <c r="E5" s="176" t="str">
        <f>IFERROR(VLOOKUP($I$2,DanhSach!$A:$M,7,0),"Không có")</f>
        <v>Không có</v>
      </c>
      <c r="F5" s="177"/>
      <c r="H5" s="26" t="s">
        <v>8</v>
      </c>
      <c r="I5" s="120" t="str">
        <f>OB_Nam!I5</f>
        <v>test</v>
      </c>
    </row>
    <row r="6" spans="2:23" ht="27" customHeight="1">
      <c r="B6" s="121" t="s">
        <v>25</v>
      </c>
      <c r="C6" s="122" t="str">
        <f>IFERROR(VLOOKUP($I$2,DanhSach!$A:$M,9,0),"Không có")</f>
        <v>Không có</v>
      </c>
      <c r="D6" s="123" t="s">
        <v>30</v>
      </c>
      <c r="E6" s="178" t="str">
        <f>IFERROR(VLOOKUP($I$2,DanhSach!$A:$M,6,0),"Không có")</f>
        <v>Không có</v>
      </c>
      <c r="F6" s="179"/>
      <c r="H6" s="26" t="s">
        <v>11</v>
      </c>
      <c r="I6" s="120" t="str">
        <f>OB_Nam!I6</f>
        <v>test</v>
      </c>
      <c r="J6" s="124"/>
    </row>
    <row r="7" spans="2:23" ht="27" customHeight="1">
      <c r="B7" s="121" t="s">
        <v>26</v>
      </c>
      <c r="C7" s="122" t="str">
        <f>IFERROR(VLOOKUP($I$2,DanhSach!$A:$M,4,0),"Không có")</f>
        <v>Không có</v>
      </c>
      <c r="D7" s="123" t="s">
        <v>31</v>
      </c>
      <c r="E7" s="178" t="str">
        <f>IFERROR(VLOOKUP($I$2,DanhSach!$A:$M,3,0),"Không có")</f>
        <v>Không có</v>
      </c>
      <c r="F7" s="179"/>
      <c r="H7" s="26" t="s">
        <v>9</v>
      </c>
      <c r="I7" s="125">
        <f>OB_Nam!I7</f>
        <v>46088</v>
      </c>
      <c r="J7" s="126"/>
      <c r="K7" s="127" t="s">
        <v>101</v>
      </c>
    </row>
    <row r="8" spans="2:23" ht="27" customHeight="1">
      <c r="B8" s="121" t="s">
        <v>27</v>
      </c>
      <c r="C8" s="178" t="str">
        <f>IFERROR(VLOOKUP($I$2,DanhSach!$A:$M,8,0),"Không có")</f>
        <v>Không có</v>
      </c>
      <c r="D8" s="235"/>
      <c r="E8" s="235"/>
      <c r="F8" s="179"/>
      <c r="H8" s="26" t="s">
        <v>10</v>
      </c>
      <c r="I8" s="120" t="str">
        <f>OB_Nam!I8</f>
        <v>test</v>
      </c>
      <c r="J8" s="124"/>
    </row>
    <row r="9" spans="2:23" ht="27" customHeight="1" thickBot="1">
      <c r="B9" s="121" t="s">
        <v>28</v>
      </c>
      <c r="C9" s="178" t="s">
        <v>67</v>
      </c>
      <c r="D9" s="180"/>
      <c r="E9" s="123"/>
      <c r="F9" s="179"/>
      <c r="H9" s="28" t="s">
        <v>54</v>
      </c>
      <c r="I9" s="128" t="str">
        <f>OB_Nam!I9</f>
        <v>D:\Downloads\</v>
      </c>
      <c r="J9" s="124"/>
    </row>
    <row r="10" spans="2:23" ht="9.75" customHeight="1" thickBot="1">
      <c r="B10" s="129"/>
      <c r="C10" s="130"/>
      <c r="D10" s="130"/>
      <c r="E10" s="130"/>
      <c r="F10" s="131"/>
    </row>
    <row r="11" spans="2:23" ht="33" customHeight="1">
      <c r="B11" s="251" t="s">
        <v>12</v>
      </c>
      <c r="C11" s="251"/>
      <c r="D11" s="251"/>
      <c r="E11" s="251"/>
      <c r="F11" s="251"/>
      <c r="N11" s="20"/>
    </row>
    <row r="12" spans="2:23" ht="75.75" customHeight="1">
      <c r="B12" s="132" t="s">
        <v>110</v>
      </c>
      <c r="C12" s="249" t="s">
        <v>68</v>
      </c>
      <c r="D12" s="249"/>
      <c r="E12" s="249"/>
      <c r="F12" s="249"/>
      <c r="H12"/>
    </row>
    <row r="13" spans="2:23" ht="75.75" customHeight="1">
      <c r="B13" s="132" t="s">
        <v>111</v>
      </c>
      <c r="C13" s="249" t="s">
        <v>69</v>
      </c>
      <c r="D13" s="249"/>
      <c r="E13" s="249"/>
      <c r="F13" s="249"/>
      <c r="J13" s="6"/>
    </row>
    <row r="14" spans="2:23" ht="58.5" customHeight="1">
      <c r="B14" s="132" t="s">
        <v>71</v>
      </c>
      <c r="C14" s="249" t="s">
        <v>70</v>
      </c>
      <c r="D14" s="249"/>
      <c r="E14" s="249"/>
      <c r="F14" s="249"/>
      <c r="J14" s="5"/>
    </row>
    <row r="15" spans="2:23" ht="54" customHeight="1">
      <c r="B15" s="132" t="s">
        <v>89</v>
      </c>
      <c r="C15" s="249" t="s">
        <v>72</v>
      </c>
      <c r="D15" s="249"/>
      <c r="E15" s="249"/>
      <c r="F15" s="249"/>
      <c r="J15" s="5"/>
    </row>
    <row r="16" spans="2:23" ht="95.25" customHeight="1">
      <c r="B16" s="155" t="s">
        <v>41</v>
      </c>
      <c r="C16" s="226" t="s">
        <v>74</v>
      </c>
      <c r="D16" s="226"/>
      <c r="E16" s="226"/>
      <c r="F16" s="226"/>
      <c r="H16" s="5"/>
      <c r="I16" s="248"/>
      <c r="J16" s="248"/>
    </row>
    <row r="17" spans="2:14" ht="36" customHeight="1">
      <c r="B17" s="134"/>
      <c r="C17" s="123"/>
      <c r="D17" s="135" t="str">
        <f>"Ngày " &amp; DAY($I$7) &amp; " tháng " &amp; MONTH($I$7) &amp; " năm " &amp; YEAR($I$7)</f>
        <v>Ngày 7 tháng 3 năm 2026</v>
      </c>
      <c r="E17" s="134"/>
      <c r="F17" s="30"/>
      <c r="H17" s="5"/>
      <c r="I17" s="5"/>
      <c r="J17" s="5"/>
    </row>
    <row r="18" spans="2:14" ht="36" customHeight="1">
      <c r="B18" s="134"/>
      <c r="C18" s="122" t="s">
        <v>43</v>
      </c>
      <c r="D18" s="243" t="s">
        <v>42</v>
      </c>
      <c r="E18" s="243"/>
      <c r="F18" s="30"/>
    </row>
    <row r="19" spans="2:14" ht="36" customHeight="1"/>
    <row r="20" spans="2:14" ht="36" customHeight="1">
      <c r="B20" s="2"/>
      <c r="I20" s="136"/>
      <c r="J20" s="137"/>
      <c r="N20" s="5"/>
    </row>
    <row r="21" spans="2:14" s="5" customFormat="1" ht="3.75" customHeight="1">
      <c r="B21" s="1"/>
      <c r="C21" s="1"/>
      <c r="D21" s="1"/>
      <c r="E21" s="1"/>
      <c r="F21" s="1"/>
      <c r="H21" s="1"/>
      <c r="I21" s="24"/>
      <c r="J21" s="91"/>
    </row>
    <row r="22" spans="2:14" s="6" customFormat="1" ht="18.75" customHeight="1">
      <c r="B22" s="14"/>
      <c r="C22" s="87" t="str">
        <f>I6</f>
        <v>test</v>
      </c>
      <c r="D22" s="87" t="str">
        <f>I5</f>
        <v>test</v>
      </c>
      <c r="E22" s="87"/>
      <c r="F22" s="14"/>
      <c r="H22" s="14"/>
      <c r="I22" s="138"/>
      <c r="J22" s="124"/>
    </row>
    <row r="24" spans="2:14">
      <c r="I24" s="139"/>
      <c r="J24" s="140"/>
      <c r="K24" s="141"/>
    </row>
  </sheetData>
  <sheetProtection sheet="1" objects="1" scenarios="1" selectLockedCells="1"/>
  <mergeCells count="15">
    <mergeCell ref="D18:E18"/>
    <mergeCell ref="H2:H4"/>
    <mergeCell ref="I2:I4"/>
    <mergeCell ref="V3:V4"/>
    <mergeCell ref="W3:W4"/>
    <mergeCell ref="I16:J16"/>
    <mergeCell ref="C14:F14"/>
    <mergeCell ref="C15:F15"/>
    <mergeCell ref="C16:F16"/>
    <mergeCell ref="C13:F13"/>
    <mergeCell ref="B4:F4"/>
    <mergeCell ref="B11:F11"/>
    <mergeCell ref="C12:F12"/>
    <mergeCell ref="C1:F3"/>
    <mergeCell ref="D8:E8"/>
  </mergeCells>
  <pageMargins left="0.25" right="0.25" top="0.75" bottom="0.75" header="0.3" footer="0.3"/>
  <pageSetup paperSize="9" scale="84" fitToHeight="0" orientation="portrait" horizontalDpi="1200" verticalDpi="1200" r:id="rId1"/>
  <drawing r:id="rId2"/>
  <legacyDrawing r:id="rId3"/>
  <controls>
    <mc:AlternateContent xmlns:mc="http://schemas.openxmlformats.org/markup-compatibility/2006">
      <mc:Choice Requires="x14">
        <control shapeId="3073" r:id="rId4" name="CommandButton1">
          <controlPr defaultSize="0" autoLine="0" autoPict="0" r:id="rId5">
            <anchor moveWithCells="1">
              <from>
                <xdr:col>8</xdr:col>
                <xdr:colOff>1171575</xdr:colOff>
                <xdr:row>10</xdr:row>
                <xdr:rowOff>76200</xdr:rowOff>
              </from>
              <to>
                <xdr:col>8</xdr:col>
                <xdr:colOff>2171700</xdr:colOff>
                <xdr:row>11</xdr:row>
                <xdr:rowOff>28575</xdr:rowOff>
              </to>
            </anchor>
          </controlPr>
        </control>
      </mc:Choice>
      <mc:Fallback>
        <control shapeId="3073" r:id="rId4" name="CommandButton1"/>
      </mc:Fallback>
    </mc:AlternateContent>
    <mc:AlternateContent xmlns:mc="http://schemas.openxmlformats.org/markup-compatibility/2006">
      <mc:Choice Requires="x14">
        <control shapeId="3074" r:id="rId6" name="cmd_LUU_IN_TUYENGIAP">
          <controlPr defaultSize="0" autoLine="0" r:id="rId7">
            <anchor moveWithCells="1">
              <from>
                <xdr:col>7</xdr:col>
                <xdr:colOff>0</xdr:colOff>
                <xdr:row>10</xdr:row>
                <xdr:rowOff>95250</xdr:rowOff>
              </from>
              <to>
                <xdr:col>7</xdr:col>
                <xdr:colOff>1114425</xdr:colOff>
                <xdr:row>11</xdr:row>
                <xdr:rowOff>28575</xdr:rowOff>
              </to>
            </anchor>
          </controlPr>
        </control>
      </mc:Choice>
      <mc:Fallback>
        <control shapeId="3074" r:id="rId6" name="cmd_LUU_IN_TUYENGIAP"/>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7030A0"/>
    <pageSetUpPr fitToPage="1"/>
  </sheetPr>
  <dimension ref="B1:W24"/>
  <sheetViews>
    <sheetView showGridLines="0" zoomScale="90" zoomScaleNormal="90" workbookViewId="0">
      <selection activeCell="I2" sqref="I2:I4"/>
    </sheetView>
  </sheetViews>
  <sheetFormatPr defaultColWidth="9.125" defaultRowHeight="14.25"/>
  <cols>
    <col min="1" max="1" width="3.75" style="1" customWidth="1"/>
    <col min="2" max="2" width="20.75" style="1" customWidth="1"/>
    <col min="3" max="3" width="53.125" style="1" customWidth="1"/>
    <col min="4" max="4" width="13.75" style="1" customWidth="1"/>
    <col min="5" max="5" width="12.625" style="1" bestFit="1" customWidth="1"/>
    <col min="6" max="6" width="8" style="1" customWidth="1"/>
    <col min="7" max="7" width="9.125" style="1"/>
    <col min="8" max="8" width="25.875" style="1" customWidth="1"/>
    <col min="9" max="9" width="42.875" style="24" customWidth="1"/>
    <col min="10" max="10" width="18" style="91" customWidth="1"/>
    <col min="11" max="21" width="9.125" style="1"/>
    <col min="22" max="22" width="35.375" style="1" customWidth="1"/>
    <col min="23" max="23" width="53.375" style="1" customWidth="1"/>
    <col min="24" max="16384" width="9.125" style="1"/>
  </cols>
  <sheetData>
    <row r="1" spans="2:23" ht="15.75" customHeight="1" thickBot="1">
      <c r="C1" s="237"/>
      <c r="D1" s="238"/>
      <c r="E1" s="238"/>
      <c r="F1" s="238"/>
    </row>
    <row r="2" spans="2:23" ht="18.75" customHeight="1">
      <c r="C2" s="238"/>
      <c r="D2" s="238"/>
      <c r="E2" s="238"/>
      <c r="F2" s="238"/>
      <c r="H2" s="254" t="s">
        <v>126</v>
      </c>
      <c r="I2" s="227"/>
      <c r="J2" s="92"/>
      <c r="K2" s="5"/>
      <c r="V2" s="133" t="s">
        <v>90</v>
      </c>
      <c r="W2" s="142">
        <f ca="1">YEAR(TODAY()) - 1</f>
        <v>2025</v>
      </c>
    </row>
    <row r="3" spans="2:23" ht="30.75" customHeight="1">
      <c r="C3" s="238"/>
      <c r="D3" s="238"/>
      <c r="E3" s="238"/>
      <c r="F3" s="238"/>
      <c r="H3" s="255"/>
      <c r="I3" s="228"/>
      <c r="J3" s="92"/>
      <c r="K3" s="5"/>
      <c r="V3" s="253" t="s">
        <v>93</v>
      </c>
      <c r="W3" s="252" t="str">
        <f>IFERROR(VLOOKUP($I$2,DanhSach!$A:$M,12,0),"Không có")</f>
        <v>Không có</v>
      </c>
    </row>
    <row r="4" spans="2:23" ht="37.5" customHeight="1" thickBot="1">
      <c r="B4" s="256" t="s">
        <v>80</v>
      </c>
      <c r="C4" s="256"/>
      <c r="D4" s="256"/>
      <c r="E4" s="256"/>
      <c r="F4" s="256"/>
      <c r="H4" s="255"/>
      <c r="I4" s="228"/>
      <c r="J4" s="92"/>
      <c r="K4" s="5"/>
      <c r="V4" s="253"/>
      <c r="W4" s="252"/>
    </row>
    <row r="5" spans="2:23" ht="27" customHeight="1">
      <c r="B5" s="93" t="s">
        <v>24</v>
      </c>
      <c r="C5" s="171" t="str">
        <f>IFERROR(VLOOKUP($I$2,DanhSach!$A:$M,5,0),"Không có")</f>
        <v>Không có</v>
      </c>
      <c r="D5" s="94" t="s">
        <v>29</v>
      </c>
      <c r="E5" s="172" t="str">
        <f>IFERROR(VLOOKUP($I$2,DanhSach!$A:$M,7,0),"Không có")</f>
        <v>Không có</v>
      </c>
      <c r="F5" s="95"/>
      <c r="H5" s="26" t="s">
        <v>8</v>
      </c>
      <c r="I5" s="120" t="str">
        <f>OB_Nam!I5</f>
        <v>test</v>
      </c>
    </row>
    <row r="6" spans="2:23" ht="27" customHeight="1">
      <c r="B6" s="99" t="s">
        <v>25</v>
      </c>
      <c r="C6" s="88" t="str">
        <f>IFERROR(VLOOKUP($I$2,DanhSach!$A:$M,9,0),"Không có")</f>
        <v>Không có</v>
      </c>
      <c r="D6" s="84" t="s">
        <v>30</v>
      </c>
      <c r="E6" s="87" t="str">
        <f>IFERROR(VLOOKUP($I$2,DanhSach!$A:$M,6,0),"Không có")</f>
        <v>Không có</v>
      </c>
      <c r="F6" s="100"/>
      <c r="H6" s="26" t="s">
        <v>11</v>
      </c>
      <c r="I6" s="120" t="str">
        <f>OB_Nam!I6</f>
        <v>test</v>
      </c>
      <c r="J6" s="124"/>
    </row>
    <row r="7" spans="2:23" ht="27" customHeight="1">
      <c r="B7" s="99" t="s">
        <v>26</v>
      </c>
      <c r="C7" s="88" t="str">
        <f>IFERROR(VLOOKUP($I$2,DanhSach!$A:$M,4,0),"Không có")</f>
        <v>Không có</v>
      </c>
      <c r="D7" s="84" t="s">
        <v>31</v>
      </c>
      <c r="E7" s="87" t="str">
        <f>IFERROR(VLOOKUP($I$2,DanhSach!$A:$M,3,0),"Không có")</f>
        <v>Không có</v>
      </c>
      <c r="F7" s="100"/>
      <c r="H7" s="26" t="s">
        <v>9</v>
      </c>
      <c r="I7" s="125">
        <f>OB_Nam!I7</f>
        <v>46088</v>
      </c>
      <c r="J7" s="126"/>
      <c r="K7" s="127" t="s">
        <v>101</v>
      </c>
    </row>
    <row r="8" spans="2:23" ht="27" customHeight="1">
      <c r="B8" s="99" t="s">
        <v>27</v>
      </c>
      <c r="C8" s="87" t="str">
        <f>IFERROR(VLOOKUP($I$2,DanhSach!$A:$M,8,0),"Không có")</f>
        <v>Không có</v>
      </c>
      <c r="D8" s="235"/>
      <c r="E8" s="235"/>
      <c r="F8" s="100"/>
      <c r="H8" s="26" t="s">
        <v>10</v>
      </c>
      <c r="I8" s="120" t="str">
        <f>OB_Nam!I8</f>
        <v>test</v>
      </c>
      <c r="J8" s="124"/>
    </row>
    <row r="9" spans="2:23" ht="27" customHeight="1" thickBot="1">
      <c r="B9" s="99" t="s">
        <v>28</v>
      </c>
      <c r="C9" s="87" t="s">
        <v>79</v>
      </c>
      <c r="D9" s="104" t="str">
        <f>IF(OR(E6="Nam",E6="Male"),"Nhầm form SA Nam/Nữ","")</f>
        <v/>
      </c>
      <c r="E9" s="84"/>
      <c r="F9" s="100"/>
      <c r="H9" s="28" t="s">
        <v>54</v>
      </c>
      <c r="I9" s="128" t="str">
        <f>OB_Nam!I9</f>
        <v>D:\Downloads\</v>
      </c>
      <c r="J9" s="124"/>
    </row>
    <row r="10" spans="2:23" ht="9.75" customHeight="1" thickBot="1">
      <c r="B10" s="107"/>
      <c r="C10" s="108"/>
      <c r="D10" s="108"/>
      <c r="E10" s="108"/>
      <c r="F10" s="109"/>
    </row>
    <row r="11" spans="2:23" ht="37.5" customHeight="1">
      <c r="B11" s="230" t="s">
        <v>12</v>
      </c>
      <c r="C11" s="230"/>
      <c r="D11" s="230"/>
      <c r="E11" s="230"/>
      <c r="F11" s="230"/>
      <c r="N11" s="20"/>
    </row>
    <row r="12" spans="2:23" ht="99.95" customHeight="1">
      <c r="B12" s="143" t="s">
        <v>75</v>
      </c>
      <c r="C12" s="225" t="s">
        <v>76</v>
      </c>
      <c r="D12" s="225"/>
      <c r="E12" s="225"/>
      <c r="F12" s="225"/>
    </row>
    <row r="13" spans="2:23" ht="99.95" customHeight="1">
      <c r="B13" s="143" t="s">
        <v>109</v>
      </c>
      <c r="C13" s="225" t="s">
        <v>76</v>
      </c>
      <c r="D13" s="225"/>
      <c r="E13" s="225"/>
      <c r="F13" s="225"/>
      <c r="J13" s="6"/>
    </row>
    <row r="14" spans="2:23" ht="53.25" customHeight="1">
      <c r="B14" s="143" t="s">
        <v>73</v>
      </c>
      <c r="C14" s="225" t="s">
        <v>77</v>
      </c>
      <c r="D14" s="225"/>
      <c r="E14" s="225"/>
      <c r="F14" s="225"/>
      <c r="J14" s="5"/>
    </row>
    <row r="15" spans="2:23" ht="129" customHeight="1">
      <c r="B15" s="188" t="s">
        <v>41</v>
      </c>
      <c r="C15" s="226" t="s">
        <v>78</v>
      </c>
      <c r="D15" s="226"/>
      <c r="E15" s="226"/>
      <c r="F15" s="226"/>
      <c r="J15" s="5"/>
    </row>
    <row r="16" spans="2:23" ht="36" customHeight="1">
      <c r="B16" s="144"/>
      <c r="C16" s="84"/>
      <c r="D16" s="85" t="str">
        <f>"Ngày " &amp; DAY($I$7) &amp; " tháng " &amp; MONTH($I$7) &amp; " năm " &amp; YEAR($I$7)</f>
        <v>Ngày 7 tháng 3 năm 2026</v>
      </c>
      <c r="E16" s="145"/>
      <c r="F16" s="145"/>
      <c r="H16" s="5"/>
      <c r="I16" s="248"/>
      <c r="J16" s="248"/>
    </row>
    <row r="17" spans="2:14" ht="18" customHeight="1">
      <c r="B17" s="75"/>
      <c r="C17" s="88" t="s">
        <v>43</v>
      </c>
      <c r="D17" s="239" t="s">
        <v>42</v>
      </c>
      <c r="E17" s="239"/>
      <c r="F17" s="75"/>
      <c r="H17" s="5"/>
      <c r="I17" s="248"/>
      <c r="J17" s="248"/>
    </row>
    <row r="18" spans="2:14" ht="18" customHeight="1">
      <c r="B18" s="75"/>
      <c r="C18" s="84"/>
      <c r="D18" s="84"/>
      <c r="E18" s="84"/>
      <c r="F18" s="75"/>
    </row>
    <row r="19" spans="2:14" ht="39" customHeight="1"/>
    <row r="20" spans="2:14" ht="18" customHeight="1">
      <c r="B20" s="2"/>
      <c r="I20" s="136"/>
      <c r="J20" s="137"/>
      <c r="N20" s="5"/>
    </row>
    <row r="21" spans="2:14" s="30" customFormat="1" ht="18" customHeight="1">
      <c r="B21" s="146"/>
      <c r="C21" s="146" t="str">
        <f>I6</f>
        <v>test</v>
      </c>
      <c r="D21" s="146" t="str">
        <f>I5</f>
        <v>test</v>
      </c>
      <c r="E21" s="146"/>
      <c r="F21" s="146"/>
      <c r="H21" s="146"/>
      <c r="I21" s="147"/>
      <c r="J21" s="148"/>
    </row>
    <row r="22" spans="2:14" s="5" customFormat="1" ht="18" customHeight="1">
      <c r="B22" s="1"/>
      <c r="C22" s="1"/>
      <c r="D22" s="1"/>
      <c r="E22" s="1"/>
      <c r="F22" s="1"/>
      <c r="H22" s="1"/>
      <c r="I22" s="139"/>
      <c r="J22" s="140"/>
    </row>
    <row r="24" spans="2:14">
      <c r="I24" s="139"/>
      <c r="J24" s="140"/>
      <c r="K24" s="141"/>
    </row>
  </sheetData>
  <sheetProtection sheet="1" objects="1" scenarios="1" selectLockedCells="1"/>
  <mergeCells count="15">
    <mergeCell ref="W3:W4"/>
    <mergeCell ref="B11:F11"/>
    <mergeCell ref="C12:F12"/>
    <mergeCell ref="C13:F13"/>
    <mergeCell ref="V3:V4"/>
    <mergeCell ref="H2:H4"/>
    <mergeCell ref="C1:F3"/>
    <mergeCell ref="D8:E8"/>
    <mergeCell ref="I2:I4"/>
    <mergeCell ref="B4:F4"/>
    <mergeCell ref="D17:E17"/>
    <mergeCell ref="I16:J16"/>
    <mergeCell ref="I17:J17"/>
    <mergeCell ref="C14:F14"/>
    <mergeCell ref="C15:F15"/>
  </mergeCells>
  <pageMargins left="0.25" right="0.25" top="0.75" bottom="0.75" header="0.3" footer="0.3"/>
  <pageSetup paperSize="9" scale="84" fitToHeight="0" orientation="portrait" horizontalDpi="1200" verticalDpi="1200" r:id="rId1"/>
  <drawing r:id="rId2"/>
  <legacyDrawing r:id="rId3"/>
  <controls>
    <mc:AlternateContent xmlns:mc="http://schemas.openxmlformats.org/markup-compatibility/2006">
      <mc:Choice Requires="x14">
        <control shapeId="4097" r:id="rId4" name="CommandButton1">
          <controlPr defaultSize="0" autoLine="0" autoPict="0" r:id="rId5">
            <anchor moveWithCells="1">
              <from>
                <xdr:col>8</xdr:col>
                <xdr:colOff>1171575</xdr:colOff>
                <xdr:row>10</xdr:row>
                <xdr:rowOff>76200</xdr:rowOff>
              </from>
              <to>
                <xdr:col>8</xdr:col>
                <xdr:colOff>2171700</xdr:colOff>
                <xdr:row>10</xdr:row>
                <xdr:rowOff>447675</xdr:rowOff>
              </to>
            </anchor>
          </controlPr>
        </control>
      </mc:Choice>
      <mc:Fallback>
        <control shapeId="4097" r:id="rId4" name="CommandButton1"/>
      </mc:Fallback>
    </mc:AlternateContent>
    <mc:AlternateContent xmlns:mc="http://schemas.openxmlformats.org/markup-compatibility/2006">
      <mc:Choice Requires="x14">
        <control shapeId="4098" r:id="rId6" name="cmd_LUU_IN_TUYENVU">
          <controlPr defaultSize="0" autoLine="0" r:id="rId7">
            <anchor moveWithCells="1">
              <from>
                <xdr:col>7</xdr:col>
                <xdr:colOff>0</xdr:colOff>
                <xdr:row>10</xdr:row>
                <xdr:rowOff>95250</xdr:rowOff>
              </from>
              <to>
                <xdr:col>7</xdr:col>
                <xdr:colOff>1114425</xdr:colOff>
                <xdr:row>10</xdr:row>
                <xdr:rowOff>447675</xdr:rowOff>
              </to>
            </anchor>
          </controlPr>
        </control>
      </mc:Choice>
      <mc:Fallback>
        <control shapeId="4098" r:id="rId6" name="cmd_LUU_IN_TUYENVU"/>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tabColor theme="2" tint="-0.89999084444715716"/>
    <pageSetUpPr fitToPage="1"/>
  </sheetPr>
  <dimension ref="B1:W24"/>
  <sheetViews>
    <sheetView showGridLines="0" zoomScale="85" zoomScaleNormal="85" workbookViewId="0">
      <selection activeCell="C13" sqref="C13:F13"/>
    </sheetView>
  </sheetViews>
  <sheetFormatPr defaultColWidth="9.125" defaultRowHeight="14.25"/>
  <cols>
    <col min="1" max="1" width="3.75" style="1" customWidth="1"/>
    <col min="2" max="2" width="26.75" style="1" customWidth="1"/>
    <col min="3" max="3" width="53.125" style="1" customWidth="1"/>
    <col min="4" max="4" width="13.75" style="1" customWidth="1"/>
    <col min="5" max="5" width="12.625" style="1" bestFit="1" customWidth="1"/>
    <col min="6" max="7" width="9.125" style="1"/>
    <col min="8" max="8" width="25.875" style="1" customWidth="1"/>
    <col min="9" max="9" width="41.25" style="1" customWidth="1"/>
    <col min="10" max="10" width="18" style="91" customWidth="1"/>
    <col min="11" max="21" width="9.125" style="1"/>
    <col min="22" max="22" width="35.375" style="1" customWidth="1"/>
    <col min="23" max="23" width="53.375" style="1" customWidth="1"/>
    <col min="24" max="16384" width="9.125" style="1"/>
  </cols>
  <sheetData>
    <row r="1" spans="2:23" ht="15.75" customHeight="1" thickBot="1">
      <c r="C1" s="237"/>
      <c r="D1" s="238"/>
      <c r="E1" s="238"/>
      <c r="F1" s="238"/>
    </row>
    <row r="2" spans="2:23" ht="18.75" customHeight="1">
      <c r="C2" s="238"/>
      <c r="D2" s="238"/>
      <c r="E2" s="238"/>
      <c r="F2" s="238"/>
      <c r="H2" s="260" t="s">
        <v>126</v>
      </c>
      <c r="I2" s="227"/>
      <c r="J2" s="92"/>
      <c r="K2" s="5"/>
      <c r="V2" s="191" t="s">
        <v>90</v>
      </c>
      <c r="W2" s="191">
        <f ca="1">YEAR(TODAY()) - 1</f>
        <v>2025</v>
      </c>
    </row>
    <row r="3" spans="2:23" ht="30.75" customHeight="1">
      <c r="C3" s="238"/>
      <c r="D3" s="238"/>
      <c r="E3" s="238"/>
      <c r="F3" s="238"/>
      <c r="H3" s="261"/>
      <c r="I3" s="228"/>
      <c r="J3" s="92"/>
      <c r="K3" s="5"/>
      <c r="V3" s="234" t="s">
        <v>94</v>
      </c>
      <c r="W3" s="236" t="str">
        <f>IFERROR(VLOOKUP($I$2,DanhSach!$A:$M,13,0),"Không có")</f>
        <v>Không có</v>
      </c>
    </row>
    <row r="4" spans="2:23" ht="37.5" customHeight="1" thickBot="1">
      <c r="B4" s="262" t="s">
        <v>81</v>
      </c>
      <c r="C4" s="262"/>
      <c r="D4" s="262"/>
      <c r="E4" s="262"/>
      <c r="F4" s="262"/>
      <c r="H4" s="261"/>
      <c r="I4" s="228"/>
      <c r="J4" s="92"/>
      <c r="K4" s="5"/>
      <c r="V4" s="234"/>
      <c r="W4" s="236"/>
    </row>
    <row r="5" spans="2:23" ht="27" customHeight="1">
      <c r="B5" s="149" t="s">
        <v>24</v>
      </c>
      <c r="C5" s="181" t="str">
        <f>IFERROR(VLOOKUP($I$2,DanhSach!$A:$M,5,0),"Không có")</f>
        <v>Không có</v>
      </c>
      <c r="D5" s="182" t="s">
        <v>29</v>
      </c>
      <c r="E5" s="183" t="str">
        <f>IFERROR(VLOOKUP($I$2,DanhSach!$A:$M,7,0),"Không có")</f>
        <v>Không có</v>
      </c>
      <c r="F5" s="184"/>
      <c r="H5" s="26" t="s">
        <v>8</v>
      </c>
      <c r="I5" s="120" t="str">
        <f>OB_Nam!I5</f>
        <v>test</v>
      </c>
    </row>
    <row r="6" spans="2:23" ht="27" customHeight="1">
      <c r="B6" s="150" t="s">
        <v>25</v>
      </c>
      <c r="C6" s="147" t="str">
        <f>IFERROR(VLOOKUP($I$2,DanhSach!$A:$M,9,0),"Không có")</f>
        <v>Không có</v>
      </c>
      <c r="D6" s="151" t="s">
        <v>30</v>
      </c>
      <c r="E6" s="146" t="str">
        <f>IFERROR(VLOOKUP($I$2,DanhSach!$A:$M,6,0),"Không có")</f>
        <v>Không có</v>
      </c>
      <c r="F6" s="185"/>
      <c r="H6" s="26" t="s">
        <v>11</v>
      </c>
      <c r="I6" s="120" t="str">
        <f>OB_Nam!I6</f>
        <v>test</v>
      </c>
      <c r="J6" s="124"/>
    </row>
    <row r="7" spans="2:23" ht="27" customHeight="1">
      <c r="B7" s="150" t="s">
        <v>26</v>
      </c>
      <c r="C7" s="147" t="str">
        <f>IFERROR(VLOOKUP($I$2,DanhSach!$A:$M,4,0),"Không có")</f>
        <v>Không có</v>
      </c>
      <c r="D7" s="151" t="s">
        <v>31</v>
      </c>
      <c r="E7" s="146" t="str">
        <f>IFERROR(VLOOKUP($I$2,DanhSach!$A:$M,3,0),"Không có")</f>
        <v>Không có</v>
      </c>
      <c r="F7" s="185"/>
      <c r="H7" s="26" t="s">
        <v>9</v>
      </c>
      <c r="I7" s="125">
        <f>OB_Nam!I7</f>
        <v>46088</v>
      </c>
      <c r="J7" s="126"/>
      <c r="K7" s="127" t="s">
        <v>101</v>
      </c>
    </row>
    <row r="8" spans="2:23" ht="27" customHeight="1">
      <c r="B8" s="150" t="s">
        <v>27</v>
      </c>
      <c r="C8" s="146" t="str">
        <f>IFERROR(VLOOKUP($I$2,DanhSach!$A:$M,8,0),"Không có")</f>
        <v>Không có</v>
      </c>
      <c r="D8" s="257"/>
      <c r="E8" s="257"/>
      <c r="F8" s="185"/>
      <c r="H8" s="26" t="s">
        <v>10</v>
      </c>
      <c r="I8" s="120" t="str">
        <f>OB_Nam!I8</f>
        <v>test</v>
      </c>
      <c r="J8" s="124"/>
    </row>
    <row r="9" spans="2:23" ht="27" customHeight="1" thickBot="1">
      <c r="B9" s="150" t="s">
        <v>28</v>
      </c>
      <c r="C9" s="146" t="s">
        <v>82</v>
      </c>
      <c r="D9" s="186" t="str">
        <f>IF(OR(E6="Nam",E6="Male"),"Nhầm form SA Nam/Nữ","")</f>
        <v/>
      </c>
      <c r="E9" s="151"/>
      <c r="F9" s="185"/>
      <c r="H9" s="28" t="s">
        <v>54</v>
      </c>
      <c r="I9" s="128" t="str">
        <f>OB_Nam!I9</f>
        <v>D:\Downloads\</v>
      </c>
      <c r="J9" s="124"/>
    </row>
    <row r="10" spans="2:23" ht="9.75" customHeight="1" thickBot="1">
      <c r="B10" s="152"/>
      <c r="C10" s="153"/>
      <c r="D10" s="153"/>
      <c r="E10" s="153"/>
      <c r="F10" s="154"/>
    </row>
    <row r="11" spans="2:23" ht="37.5" customHeight="1">
      <c r="B11" s="263" t="s">
        <v>12</v>
      </c>
      <c r="C11" s="263"/>
      <c r="D11" s="263"/>
      <c r="E11" s="263"/>
      <c r="F11" s="263"/>
      <c r="N11" s="20"/>
    </row>
    <row r="12" spans="2:23" ht="111" customHeight="1">
      <c r="B12" s="155" t="s">
        <v>84</v>
      </c>
      <c r="C12" s="259" t="s">
        <v>85</v>
      </c>
      <c r="D12" s="259"/>
      <c r="E12" s="259"/>
      <c r="F12" s="259"/>
    </row>
    <row r="13" spans="2:23" ht="51" customHeight="1">
      <c r="B13" s="155" t="s">
        <v>130</v>
      </c>
      <c r="C13" s="259" t="s">
        <v>128</v>
      </c>
      <c r="D13" s="259"/>
      <c r="E13" s="259"/>
      <c r="F13" s="259"/>
      <c r="J13" s="6"/>
    </row>
    <row r="14" spans="2:23" ht="52.5" customHeight="1">
      <c r="B14" s="155" t="s">
        <v>131</v>
      </c>
      <c r="C14" s="259" t="s">
        <v>128</v>
      </c>
      <c r="D14" s="259"/>
      <c r="E14" s="259"/>
      <c r="F14" s="259"/>
      <c r="J14" s="5"/>
    </row>
    <row r="15" spans="2:23" ht="51" customHeight="1">
      <c r="B15" s="155" t="s">
        <v>132</v>
      </c>
      <c r="C15" s="259" t="s">
        <v>129</v>
      </c>
      <c r="D15" s="259"/>
      <c r="E15" s="259"/>
      <c r="F15" s="259"/>
      <c r="J15" s="5"/>
    </row>
    <row r="16" spans="2:23" ht="117.75" customHeight="1">
      <c r="B16" s="155" t="s">
        <v>41</v>
      </c>
      <c r="C16" s="226" t="s">
        <v>83</v>
      </c>
      <c r="D16" s="226"/>
      <c r="E16" s="226"/>
      <c r="F16" s="226"/>
      <c r="H16" s="5"/>
      <c r="I16" s="248"/>
      <c r="J16" s="248"/>
    </row>
    <row r="17" spans="2:14" ht="36" customHeight="1">
      <c r="B17" s="30"/>
      <c r="C17" s="151"/>
      <c r="D17" s="156" t="str">
        <f>"Ngày " &amp; DAY($I$7) &amp; " tháng " &amp; MONTH($I$7) &amp; " năm " &amp; YEAR($I$7)</f>
        <v>Ngày 7 tháng 3 năm 2026</v>
      </c>
      <c r="E17" s="151"/>
      <c r="F17" s="30"/>
      <c r="H17" s="5"/>
      <c r="I17" s="248"/>
      <c r="J17" s="248"/>
    </row>
    <row r="18" spans="2:14" ht="36" customHeight="1">
      <c r="B18" s="30"/>
      <c r="C18" s="147" t="s">
        <v>43</v>
      </c>
      <c r="D18" s="258" t="s">
        <v>42</v>
      </c>
      <c r="E18" s="258"/>
      <c r="F18" s="30"/>
    </row>
    <row r="19" spans="2:14" ht="36" customHeight="1"/>
    <row r="20" spans="2:14" ht="49.5" customHeight="1">
      <c r="B20" s="2"/>
      <c r="I20" s="157"/>
      <c r="J20" s="137"/>
      <c r="N20" s="5"/>
    </row>
    <row r="21" spans="2:14" s="5" customFormat="1" ht="4.5" customHeight="1">
      <c r="B21" s="1"/>
      <c r="C21" s="1"/>
      <c r="D21" s="1"/>
      <c r="E21" s="1"/>
      <c r="F21" s="1"/>
      <c r="H21" s="1"/>
      <c r="I21" s="1"/>
      <c r="J21" s="91"/>
    </row>
    <row r="22" spans="2:14" s="75" customFormat="1" ht="18.75" customHeight="1">
      <c r="B22" s="87"/>
      <c r="C22" s="146" t="str">
        <f>I6</f>
        <v>test</v>
      </c>
      <c r="D22" s="147" t="str">
        <f>I5</f>
        <v>test</v>
      </c>
      <c r="E22" s="87"/>
      <c r="F22" s="87"/>
      <c r="H22" s="87"/>
      <c r="J22" s="98"/>
    </row>
    <row r="24" spans="2:14">
      <c r="I24" s="5"/>
      <c r="J24" s="140"/>
      <c r="K24" s="141"/>
    </row>
  </sheetData>
  <sheetProtection sheet="1" objects="1" scenarios="1" selectLockedCells="1"/>
  <mergeCells count="16">
    <mergeCell ref="V3:V4"/>
    <mergeCell ref="W3:W4"/>
    <mergeCell ref="C1:F3"/>
    <mergeCell ref="D8:E8"/>
    <mergeCell ref="D18:E18"/>
    <mergeCell ref="I17:J17"/>
    <mergeCell ref="C14:F14"/>
    <mergeCell ref="C15:F15"/>
    <mergeCell ref="C16:F16"/>
    <mergeCell ref="H2:H4"/>
    <mergeCell ref="I2:I4"/>
    <mergeCell ref="I16:J16"/>
    <mergeCell ref="B4:F4"/>
    <mergeCell ref="B11:F11"/>
    <mergeCell ref="C12:F12"/>
    <mergeCell ref="C13:F13"/>
  </mergeCells>
  <pageMargins left="0.25" right="0.25" top="0.75" bottom="0.75" header="0.3" footer="0.3"/>
  <pageSetup paperSize="9" scale="79" fitToHeight="0" orientation="portrait" horizontalDpi="1200" verticalDpi="1200" r:id="rId1"/>
  <drawing r:id="rId2"/>
  <legacyDrawing r:id="rId3"/>
  <controls>
    <mc:AlternateContent xmlns:mc="http://schemas.openxmlformats.org/markup-compatibility/2006">
      <mc:Choice Requires="x14">
        <control shapeId="5121" r:id="rId4" name="CommandButton1">
          <controlPr defaultSize="0" autoLine="0" r:id="rId5">
            <anchor moveWithCells="1">
              <from>
                <xdr:col>8</xdr:col>
                <xdr:colOff>1152525</xdr:colOff>
                <xdr:row>10</xdr:row>
                <xdr:rowOff>95250</xdr:rowOff>
              </from>
              <to>
                <xdr:col>8</xdr:col>
                <xdr:colOff>2152650</xdr:colOff>
                <xdr:row>10</xdr:row>
                <xdr:rowOff>466725</xdr:rowOff>
              </to>
            </anchor>
          </controlPr>
        </control>
      </mc:Choice>
      <mc:Fallback>
        <control shapeId="5121" r:id="rId4" name="CommandButton1"/>
      </mc:Fallback>
    </mc:AlternateContent>
    <mc:AlternateContent xmlns:mc="http://schemas.openxmlformats.org/markup-compatibility/2006">
      <mc:Choice Requires="x14">
        <control shapeId="5122" r:id="rId6" name="cmd_LUU_IN_TCPP">
          <controlPr defaultSize="0" autoLine="0" r:id="rId7">
            <anchor moveWithCells="1">
              <from>
                <xdr:col>7</xdr:col>
                <xdr:colOff>57150</xdr:colOff>
                <xdr:row>10</xdr:row>
                <xdr:rowOff>95250</xdr:rowOff>
              </from>
              <to>
                <xdr:col>7</xdr:col>
                <xdr:colOff>1171575</xdr:colOff>
                <xdr:row>10</xdr:row>
                <xdr:rowOff>447675</xdr:rowOff>
              </to>
            </anchor>
          </controlPr>
        </control>
      </mc:Choice>
      <mc:Fallback>
        <control shapeId="5122" r:id="rId6" name="cmd_LUU_IN_TCPP"/>
      </mc:Fallback>
    </mc:AlternateContent>
  </control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tabColor rgb="FF92D050"/>
  </sheetPr>
  <dimension ref="A1:N72"/>
  <sheetViews>
    <sheetView zoomScaleNormal="100" workbookViewId="0">
      <selection activeCell="C9" sqref="C9"/>
    </sheetView>
  </sheetViews>
  <sheetFormatPr defaultColWidth="9.125" defaultRowHeight="15"/>
  <cols>
    <col min="1" max="1" width="8.125" style="44" customWidth="1"/>
    <col min="2" max="3" width="29.875" style="45" customWidth="1"/>
    <col min="4" max="4" width="14.375" style="45" customWidth="1"/>
    <col min="5" max="5" width="45" style="45" customWidth="1"/>
    <col min="6" max="6" width="44" style="45" customWidth="1"/>
    <col min="7" max="7" width="45.875" style="45" customWidth="1"/>
    <col min="8" max="8" width="33.75" style="45" customWidth="1"/>
    <col min="9" max="10" width="27.25" style="45" customWidth="1"/>
    <col min="11" max="14" width="26.375" style="45" customWidth="1"/>
    <col min="15" max="16384" width="9.125" style="34"/>
  </cols>
  <sheetData>
    <row r="1" spans="1:14" ht="30" customHeight="1">
      <c r="A1" s="42" t="s">
        <v>0</v>
      </c>
      <c r="B1" s="42" t="s">
        <v>4</v>
      </c>
      <c r="C1" s="42" t="s">
        <v>1295</v>
      </c>
      <c r="D1" s="42" t="s">
        <v>97</v>
      </c>
      <c r="E1" s="42" t="s">
        <v>102</v>
      </c>
      <c r="F1" s="42" t="s">
        <v>5</v>
      </c>
      <c r="G1" s="42" t="s">
        <v>6</v>
      </c>
      <c r="H1" s="42" t="s">
        <v>7</v>
      </c>
      <c r="I1" s="42" t="s">
        <v>103</v>
      </c>
      <c r="J1" s="42" t="s">
        <v>104</v>
      </c>
      <c r="K1" s="43" t="s">
        <v>116</v>
      </c>
      <c r="L1" s="42" t="s">
        <v>117</v>
      </c>
      <c r="M1" s="42" t="s">
        <v>118</v>
      </c>
      <c r="N1" s="42" t="s">
        <v>119</v>
      </c>
    </row>
    <row r="2" spans="1:14">
      <c r="K2" s="189"/>
      <c r="L2" s="189"/>
      <c r="N2" s="189"/>
    </row>
    <row r="3" spans="1:14">
      <c r="K3" s="189"/>
      <c r="M3" s="189"/>
    </row>
    <row r="4" spans="1:14">
      <c r="L4" s="189"/>
    </row>
    <row r="5" spans="1:14">
      <c r="K5" s="189"/>
      <c r="L5" s="189"/>
    </row>
    <row r="6" spans="1:14">
      <c r="K6" s="189"/>
    </row>
    <row r="29" spans="5:5">
      <c r="E29" s="73"/>
    </row>
    <row r="44" spans="5:5">
      <c r="E44" s="73"/>
    </row>
    <row r="72" spans="5:5">
      <c r="E72" s="73"/>
    </row>
  </sheetData>
  <sheetProtection sheet="1" objects="1" scenarios="1" selectLockedCells="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E56"/>
  <sheetViews>
    <sheetView zoomScale="145" zoomScaleNormal="145" workbookViewId="0">
      <selection activeCell="D51" sqref="D51"/>
    </sheetView>
  </sheetViews>
  <sheetFormatPr defaultRowHeight="14.25"/>
  <cols>
    <col min="1" max="1" width="22.875" customWidth="1"/>
    <col min="2" max="2" width="13.875" customWidth="1"/>
    <col min="3" max="3" width="75.125" customWidth="1"/>
  </cols>
  <sheetData>
    <row r="1" spans="1:3">
      <c r="A1" s="272" t="s">
        <v>32</v>
      </c>
      <c r="B1" s="273"/>
      <c r="C1" s="68" t="s">
        <v>247</v>
      </c>
    </row>
    <row r="2" spans="1:3">
      <c r="A2" s="274"/>
      <c r="B2" s="275"/>
      <c r="C2" s="68" t="s">
        <v>248</v>
      </c>
    </row>
    <row r="3" spans="1:3">
      <c r="A3" s="274"/>
      <c r="B3" s="275"/>
      <c r="C3" s="68" t="s">
        <v>249</v>
      </c>
    </row>
    <row r="4" spans="1:3">
      <c r="A4" s="274"/>
      <c r="B4" s="275"/>
      <c r="C4" s="68" t="s">
        <v>250</v>
      </c>
    </row>
    <row r="5" spans="1:3">
      <c r="A5" s="274"/>
      <c r="B5" s="275"/>
      <c r="C5" s="68" t="s">
        <v>252</v>
      </c>
    </row>
    <row r="6" spans="1:3">
      <c r="A6" s="274"/>
      <c r="B6" s="275"/>
      <c r="C6" s="68" t="s">
        <v>251</v>
      </c>
    </row>
    <row r="7" spans="1:3" ht="15" thickBot="1">
      <c r="A7" s="276"/>
      <c r="B7" s="277"/>
      <c r="C7" s="79" t="s">
        <v>253</v>
      </c>
    </row>
    <row r="8" spans="1:3" ht="15" thickTop="1">
      <c r="A8" s="278" t="s">
        <v>33</v>
      </c>
      <c r="B8" s="278"/>
      <c r="C8" s="77">
        <v>1</v>
      </c>
    </row>
    <row r="9" spans="1:3" ht="15" thickBot="1">
      <c r="A9" s="279"/>
      <c r="B9" s="279"/>
      <c r="C9" s="79">
        <v>2</v>
      </c>
    </row>
    <row r="10" spans="1:3" ht="15" thickTop="1">
      <c r="A10" s="280" t="s">
        <v>34</v>
      </c>
      <c r="B10" s="280"/>
      <c r="C10" s="78">
        <v>3</v>
      </c>
    </row>
    <row r="11" spans="1:3" ht="15" thickBot="1">
      <c r="A11" s="279"/>
      <c r="B11" s="279"/>
      <c r="C11" s="79">
        <v>4</v>
      </c>
    </row>
    <row r="12" spans="1:3" ht="15" thickTop="1">
      <c r="A12" s="280" t="s">
        <v>35</v>
      </c>
      <c r="B12" s="280"/>
      <c r="C12" s="78">
        <v>5</v>
      </c>
    </row>
    <row r="13" spans="1:3" ht="15" thickBot="1">
      <c r="A13" s="279"/>
      <c r="B13" s="279"/>
      <c r="C13" s="79">
        <v>6</v>
      </c>
    </row>
    <row r="14" spans="1:3" ht="15" thickTop="1">
      <c r="A14" s="280" t="s">
        <v>36</v>
      </c>
      <c r="B14" s="280"/>
      <c r="C14" s="78">
        <v>7</v>
      </c>
    </row>
    <row r="15" spans="1:3" ht="15" thickBot="1">
      <c r="A15" s="279"/>
      <c r="B15" s="279"/>
      <c r="C15" s="79">
        <v>8</v>
      </c>
    </row>
    <row r="16" spans="1:3" ht="15" thickTop="1">
      <c r="A16" s="280" t="s">
        <v>37</v>
      </c>
      <c r="B16" s="280"/>
      <c r="C16" s="78">
        <v>9</v>
      </c>
    </row>
    <row r="17" spans="1:3" ht="15" thickBot="1">
      <c r="A17" s="279"/>
      <c r="B17" s="279"/>
      <c r="C17" s="79">
        <v>10</v>
      </c>
    </row>
    <row r="18" spans="1:3" ht="15" thickTop="1">
      <c r="A18" s="280" t="s">
        <v>38</v>
      </c>
      <c r="B18" s="280"/>
      <c r="C18" s="78">
        <v>11</v>
      </c>
    </row>
    <row r="19" spans="1:3" ht="15" thickBot="1">
      <c r="A19" s="279"/>
      <c r="B19" s="279"/>
      <c r="C19" s="79">
        <v>12</v>
      </c>
    </row>
    <row r="20" spans="1:3" ht="15" thickTop="1">
      <c r="A20" s="264" t="s">
        <v>39</v>
      </c>
      <c r="B20" s="264"/>
      <c r="C20" s="78">
        <v>13</v>
      </c>
    </row>
    <row r="21" spans="1:3" ht="15" thickBot="1">
      <c r="A21" s="265"/>
      <c r="B21" s="265"/>
      <c r="C21" s="79">
        <v>14</v>
      </c>
    </row>
    <row r="22" spans="1:3" ht="15" thickTop="1">
      <c r="A22" s="280" t="s">
        <v>40</v>
      </c>
      <c r="B22" s="280"/>
      <c r="C22" s="78">
        <v>15</v>
      </c>
    </row>
    <row r="23" spans="1:3" ht="15" thickBot="1">
      <c r="A23" s="279"/>
      <c r="B23" s="279"/>
      <c r="C23" s="79">
        <v>16</v>
      </c>
    </row>
    <row r="24" spans="1:3" ht="15" thickTop="1">
      <c r="A24" s="280" t="s">
        <v>65</v>
      </c>
      <c r="B24" s="280"/>
      <c r="C24" s="78">
        <v>17</v>
      </c>
    </row>
    <row r="25" spans="1:3" ht="15" thickBot="1">
      <c r="A25" s="279"/>
      <c r="B25" s="279"/>
      <c r="C25" s="79">
        <v>18</v>
      </c>
    </row>
    <row r="26" spans="1:3" ht="15" thickTop="1">
      <c r="A26" s="264" t="s">
        <v>110</v>
      </c>
      <c r="B26" s="264"/>
      <c r="C26" s="78">
        <v>19</v>
      </c>
    </row>
    <row r="27" spans="1:3" ht="15" thickBot="1">
      <c r="A27" s="265"/>
      <c r="B27" s="265"/>
      <c r="C27" s="79">
        <v>20</v>
      </c>
    </row>
    <row r="28" spans="1:3" ht="15" thickTop="1">
      <c r="A28" s="264" t="s">
        <v>111</v>
      </c>
      <c r="B28" s="264"/>
      <c r="C28" s="78">
        <v>21</v>
      </c>
    </row>
    <row r="29" spans="1:3" ht="15" thickBot="1">
      <c r="A29" s="265"/>
      <c r="B29" s="265"/>
      <c r="C29" s="79">
        <v>22</v>
      </c>
    </row>
    <row r="30" spans="1:3" ht="15" thickTop="1">
      <c r="A30" s="264" t="s">
        <v>71</v>
      </c>
      <c r="B30" s="264"/>
      <c r="C30" s="78">
        <v>23</v>
      </c>
    </row>
    <row r="31" spans="1:3" ht="15" thickBot="1">
      <c r="A31" s="265"/>
      <c r="B31" s="265"/>
      <c r="C31" s="79">
        <v>24</v>
      </c>
    </row>
    <row r="32" spans="1:3" ht="15" thickTop="1">
      <c r="A32" s="264" t="s">
        <v>75</v>
      </c>
      <c r="B32" s="264"/>
      <c r="C32" s="78">
        <v>25</v>
      </c>
    </row>
    <row r="33" spans="1:5" ht="15" thickBot="1">
      <c r="A33" s="265"/>
      <c r="B33" s="265"/>
      <c r="C33" s="79">
        <v>26</v>
      </c>
    </row>
    <row r="34" spans="1:5" ht="15" thickTop="1">
      <c r="A34" s="264" t="s">
        <v>109</v>
      </c>
      <c r="B34" s="264"/>
      <c r="C34" s="78">
        <v>27</v>
      </c>
    </row>
    <row r="35" spans="1:5" ht="15" thickBot="1">
      <c r="A35" s="265"/>
      <c r="B35" s="265"/>
      <c r="C35" s="79">
        <v>28</v>
      </c>
    </row>
    <row r="36" spans="1:5" ht="15" thickTop="1">
      <c r="A36" s="264" t="s">
        <v>84</v>
      </c>
      <c r="B36" s="264"/>
      <c r="C36" s="78">
        <v>29</v>
      </c>
    </row>
    <row r="37" spans="1:5" ht="15" thickBot="1">
      <c r="A37" s="265"/>
      <c r="B37" s="265"/>
      <c r="C37" s="79">
        <v>30</v>
      </c>
    </row>
    <row r="38" spans="1:5" ht="15" thickTop="1">
      <c r="A38" s="264" t="s">
        <v>86</v>
      </c>
      <c r="B38" s="264"/>
      <c r="C38" s="78">
        <v>31</v>
      </c>
    </row>
    <row r="39" spans="1:5" ht="15" thickBot="1">
      <c r="A39" s="265"/>
      <c r="B39" s="265"/>
      <c r="C39" s="79">
        <v>32</v>
      </c>
    </row>
    <row r="40" spans="1:5" ht="15" thickTop="1">
      <c r="A40" s="264" t="s">
        <v>87</v>
      </c>
      <c r="B40" s="264"/>
      <c r="C40" s="78">
        <v>33</v>
      </c>
    </row>
    <row r="41" spans="1:5" ht="15" thickBot="1">
      <c r="A41" s="265"/>
      <c r="B41" s="265"/>
      <c r="C41" s="79">
        <v>34</v>
      </c>
    </row>
    <row r="42" spans="1:5" ht="15" thickTop="1">
      <c r="A42" s="264" t="s">
        <v>88</v>
      </c>
      <c r="B42" s="264"/>
      <c r="C42" s="78">
        <v>35</v>
      </c>
    </row>
    <row r="43" spans="1:5" ht="15" thickBot="1">
      <c r="A43" s="265"/>
      <c r="B43" s="265"/>
      <c r="C43" s="79">
        <v>36</v>
      </c>
    </row>
    <row r="44" spans="1:5" ht="15" thickTop="1">
      <c r="A44" s="264" t="s">
        <v>89</v>
      </c>
      <c r="B44" s="264" t="s">
        <v>107</v>
      </c>
      <c r="C44" s="78">
        <v>37</v>
      </c>
    </row>
    <row r="45" spans="1:5" ht="15" thickBot="1">
      <c r="A45" s="266"/>
      <c r="B45" s="267"/>
      <c r="C45" s="80">
        <v>38</v>
      </c>
    </row>
    <row r="46" spans="1:5">
      <c r="A46" s="266"/>
      <c r="B46" s="268" t="s">
        <v>108</v>
      </c>
      <c r="C46" s="81">
        <v>39</v>
      </c>
    </row>
    <row r="47" spans="1:5" ht="15" thickBot="1">
      <c r="A47" s="265"/>
      <c r="B47" s="265"/>
      <c r="C47" s="79">
        <v>40</v>
      </c>
      <c r="E47" s="76"/>
    </row>
    <row r="48" spans="1:5" ht="15" thickTop="1">
      <c r="A48" s="264" t="s">
        <v>41</v>
      </c>
      <c r="B48" s="264" t="s">
        <v>246</v>
      </c>
      <c r="C48" s="78">
        <v>41</v>
      </c>
    </row>
    <row r="49" spans="1:3" ht="15" thickBot="1">
      <c r="A49" s="266"/>
      <c r="B49" s="267"/>
      <c r="C49" s="83">
        <v>42</v>
      </c>
    </row>
    <row r="50" spans="1:3">
      <c r="A50" s="266"/>
      <c r="B50" s="268" t="s">
        <v>107</v>
      </c>
      <c r="C50" s="77">
        <v>43</v>
      </c>
    </row>
    <row r="51" spans="1:3" ht="15" thickBot="1">
      <c r="A51" s="266"/>
      <c r="B51" s="267"/>
      <c r="C51" s="83">
        <v>44</v>
      </c>
    </row>
    <row r="52" spans="1:3">
      <c r="A52" s="266"/>
      <c r="B52" s="269" t="s">
        <v>108</v>
      </c>
      <c r="C52" s="77">
        <v>45</v>
      </c>
    </row>
    <row r="53" spans="1:3" ht="15" thickBot="1">
      <c r="A53" s="266"/>
      <c r="B53" s="267"/>
      <c r="C53" s="80">
        <v>46</v>
      </c>
    </row>
    <row r="54" spans="1:3">
      <c r="A54" s="266"/>
      <c r="B54" s="270" t="s">
        <v>95</v>
      </c>
      <c r="C54" s="82">
        <v>47</v>
      </c>
    </row>
    <row r="55" spans="1:3" ht="15" thickBot="1">
      <c r="A55" s="265"/>
      <c r="B55" s="271"/>
      <c r="C55" s="79">
        <v>48</v>
      </c>
    </row>
    <row r="56" spans="1:3" ht="15" thickTop="1"/>
  </sheetData>
  <mergeCells count="27">
    <mergeCell ref="A16:B17"/>
    <mergeCell ref="A18:B19"/>
    <mergeCell ref="A20:B21"/>
    <mergeCell ref="A22:B23"/>
    <mergeCell ref="A30:B31"/>
    <mergeCell ref="A24:B25"/>
    <mergeCell ref="A26:B27"/>
    <mergeCell ref="A28:B29"/>
    <mergeCell ref="A1:B7"/>
    <mergeCell ref="A8:B9"/>
    <mergeCell ref="A10:B11"/>
    <mergeCell ref="A12:B13"/>
    <mergeCell ref="A14:B15"/>
    <mergeCell ref="A48:A55"/>
    <mergeCell ref="B48:B49"/>
    <mergeCell ref="B50:B51"/>
    <mergeCell ref="B52:B53"/>
    <mergeCell ref="B54:B55"/>
    <mergeCell ref="A32:B33"/>
    <mergeCell ref="A34:B35"/>
    <mergeCell ref="A36:B37"/>
    <mergeCell ref="A44:A47"/>
    <mergeCell ref="B44:B45"/>
    <mergeCell ref="B46:B47"/>
    <mergeCell ref="A38:B39"/>
    <mergeCell ref="A40:B41"/>
    <mergeCell ref="A42:B43"/>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
    <tabColor theme="1"/>
  </sheetPr>
  <dimension ref="A1:X59"/>
  <sheetViews>
    <sheetView topLeftCell="A28" workbookViewId="0">
      <selection activeCell="C19" sqref="C19"/>
    </sheetView>
  </sheetViews>
  <sheetFormatPr defaultRowHeight="14.25"/>
  <cols>
    <col min="1" max="1" width="32.875" customWidth="1"/>
    <col min="2" max="2" width="8" customWidth="1"/>
    <col min="3" max="3" width="24" customWidth="1"/>
  </cols>
  <sheetData>
    <row r="1" spans="1:4">
      <c r="A1" s="33" t="s">
        <v>98</v>
      </c>
      <c r="B1" s="33">
        <f>COUNTA(DanhSach!C:C)-1</f>
        <v>3268</v>
      </c>
      <c r="D1" t="s">
        <v>100</v>
      </c>
    </row>
    <row r="2" spans="1:4">
      <c r="A2" s="33" t="s">
        <v>99</v>
      </c>
      <c r="B2" s="33">
        <f>COUNTA(TongHopKQ!D:D)-1</f>
        <v>0</v>
      </c>
      <c r="D2" t="s">
        <v>100</v>
      </c>
    </row>
    <row r="4" spans="1:4">
      <c r="A4" t="s">
        <v>113</v>
      </c>
      <c r="B4" t="s">
        <v>59</v>
      </c>
    </row>
    <row r="5" spans="1:4">
      <c r="B5" t="s">
        <v>114</v>
      </c>
    </row>
    <row r="6" spans="1:4">
      <c r="B6" t="s">
        <v>112</v>
      </c>
    </row>
    <row r="7" spans="1:4">
      <c r="B7" t="s">
        <v>96</v>
      </c>
    </row>
    <row r="8" spans="1:4">
      <c r="B8" t="s">
        <v>120</v>
      </c>
    </row>
    <row r="10" spans="1:4">
      <c r="A10" t="s">
        <v>105</v>
      </c>
      <c r="B10" s="34">
        <v>1</v>
      </c>
      <c r="C10" s="32" t="s">
        <v>32</v>
      </c>
      <c r="D10" t="s">
        <v>13</v>
      </c>
    </row>
    <row r="11" spans="1:4">
      <c r="A11" t="s">
        <v>105</v>
      </c>
      <c r="B11" s="34">
        <v>2</v>
      </c>
      <c r="C11" s="32" t="s">
        <v>33</v>
      </c>
      <c r="D11" t="s">
        <v>14</v>
      </c>
    </row>
    <row r="12" spans="1:4">
      <c r="A12" t="s">
        <v>105</v>
      </c>
      <c r="B12" s="34">
        <v>3</v>
      </c>
      <c r="C12" s="32" t="s">
        <v>34</v>
      </c>
      <c r="D12" t="s">
        <v>15</v>
      </c>
    </row>
    <row r="13" spans="1:4">
      <c r="A13" t="s">
        <v>105</v>
      </c>
      <c r="B13" s="34">
        <v>4</v>
      </c>
      <c r="C13" s="32" t="s">
        <v>35</v>
      </c>
      <c r="D13" t="s">
        <v>16</v>
      </c>
    </row>
    <row r="14" spans="1:4">
      <c r="A14" t="s">
        <v>105</v>
      </c>
      <c r="B14" s="34">
        <v>5</v>
      </c>
      <c r="C14" s="32" t="s">
        <v>36</v>
      </c>
      <c r="D14" t="s">
        <v>17</v>
      </c>
    </row>
    <row r="15" spans="1:4">
      <c r="A15" t="s">
        <v>105</v>
      </c>
      <c r="B15" s="34">
        <v>6</v>
      </c>
      <c r="C15" s="32" t="s">
        <v>37</v>
      </c>
      <c r="D15" t="s">
        <v>18</v>
      </c>
    </row>
    <row r="16" spans="1:4">
      <c r="A16" t="s">
        <v>105</v>
      </c>
      <c r="B16" s="34">
        <v>7</v>
      </c>
      <c r="C16" s="32" t="s">
        <v>38</v>
      </c>
      <c r="D16" t="s">
        <v>19</v>
      </c>
    </row>
    <row r="17" spans="1:24">
      <c r="A17" t="s">
        <v>105</v>
      </c>
      <c r="B17" s="34">
        <v>8</v>
      </c>
      <c r="C17" t="s">
        <v>39</v>
      </c>
      <c r="D17" t="s">
        <v>20</v>
      </c>
    </row>
    <row r="18" spans="1:24">
      <c r="A18" t="s">
        <v>105</v>
      </c>
      <c r="B18" s="34">
        <v>9</v>
      </c>
      <c r="C18" s="32" t="s">
        <v>40</v>
      </c>
      <c r="D18" t="s">
        <v>21</v>
      </c>
    </row>
    <row r="19" spans="1:24">
      <c r="A19" t="s">
        <v>105</v>
      </c>
      <c r="B19" s="35">
        <v>10</v>
      </c>
      <c r="C19" s="5" t="s">
        <v>41</v>
      </c>
      <c r="D19" t="s">
        <v>22</v>
      </c>
    </row>
    <row r="20" spans="1:24">
      <c r="A20" t="s">
        <v>106</v>
      </c>
      <c r="B20" s="34">
        <v>1</v>
      </c>
      <c r="C20" t="s">
        <v>32</v>
      </c>
      <c r="D20" t="s">
        <v>13</v>
      </c>
    </row>
    <row r="21" spans="1:24">
      <c r="A21" t="s">
        <v>106</v>
      </c>
      <c r="B21" s="34">
        <v>2</v>
      </c>
      <c r="C21" t="s">
        <v>33</v>
      </c>
      <c r="D21" t="s">
        <v>14</v>
      </c>
    </row>
    <row r="22" spans="1:24">
      <c r="A22" t="s">
        <v>106</v>
      </c>
      <c r="B22" s="34">
        <v>3</v>
      </c>
      <c r="C22" t="s">
        <v>34</v>
      </c>
      <c r="D22" t="s">
        <v>15</v>
      </c>
    </row>
    <row r="23" spans="1:24">
      <c r="A23" t="s">
        <v>106</v>
      </c>
      <c r="B23" s="34">
        <v>4</v>
      </c>
      <c r="C23" t="s">
        <v>35</v>
      </c>
      <c r="D23" t="s">
        <v>16</v>
      </c>
    </row>
    <row r="24" spans="1:24">
      <c r="A24" t="s">
        <v>106</v>
      </c>
      <c r="B24" s="34">
        <v>5</v>
      </c>
      <c r="C24" t="s">
        <v>36</v>
      </c>
      <c r="D24" t="s">
        <v>17</v>
      </c>
    </row>
    <row r="25" spans="1:24">
      <c r="A25" t="s">
        <v>106</v>
      </c>
      <c r="B25" s="34">
        <v>6</v>
      </c>
      <c r="C25" t="s">
        <v>37</v>
      </c>
      <c r="D25" t="s">
        <v>18</v>
      </c>
    </row>
    <row r="26" spans="1:24">
      <c r="A26" t="s">
        <v>106</v>
      </c>
      <c r="B26" s="34">
        <v>7</v>
      </c>
      <c r="C26" t="s">
        <v>38</v>
      </c>
      <c r="D26" t="s">
        <v>19</v>
      </c>
    </row>
    <row r="27" spans="1:24">
      <c r="A27" t="s">
        <v>106</v>
      </c>
      <c r="B27" s="34">
        <v>8</v>
      </c>
      <c r="C27" s="32" t="s">
        <v>65</v>
      </c>
      <c r="D27" t="s">
        <v>64</v>
      </c>
    </row>
    <row r="28" spans="1:24">
      <c r="A28" t="s">
        <v>106</v>
      </c>
      <c r="B28" s="34">
        <v>9</v>
      </c>
      <c r="C28" t="s">
        <v>40</v>
      </c>
      <c r="D28" t="s">
        <v>21</v>
      </c>
      <c r="X28" t="s">
        <v>39</v>
      </c>
    </row>
    <row r="29" spans="1:24">
      <c r="A29" t="s">
        <v>106</v>
      </c>
      <c r="B29" s="35">
        <v>10</v>
      </c>
      <c r="C29" t="s">
        <v>41</v>
      </c>
      <c r="D29" t="s">
        <v>22</v>
      </c>
    </row>
    <row r="30" spans="1:24">
      <c r="A30" t="s">
        <v>107</v>
      </c>
      <c r="B30" s="34">
        <v>1</v>
      </c>
      <c r="C30" t="s">
        <v>110</v>
      </c>
      <c r="D30" t="s">
        <v>68</v>
      </c>
    </row>
    <row r="31" spans="1:24">
      <c r="A31" t="s">
        <v>107</v>
      </c>
      <c r="B31" s="34">
        <v>2</v>
      </c>
      <c r="C31" t="s">
        <v>111</v>
      </c>
      <c r="D31" t="s">
        <v>69</v>
      </c>
    </row>
    <row r="32" spans="1:24">
      <c r="A32" t="s">
        <v>107</v>
      </c>
      <c r="B32" s="34">
        <v>3</v>
      </c>
      <c r="C32" t="s">
        <v>71</v>
      </c>
      <c r="D32" t="s">
        <v>70</v>
      </c>
    </row>
    <row r="33" spans="1:4">
      <c r="A33" t="s">
        <v>107</v>
      </c>
      <c r="B33" s="36">
        <v>4</v>
      </c>
      <c r="C33" t="s">
        <v>89</v>
      </c>
      <c r="D33" t="s">
        <v>72</v>
      </c>
    </row>
    <row r="34" spans="1:4">
      <c r="A34" t="s">
        <v>107</v>
      </c>
      <c r="B34" s="35">
        <v>5</v>
      </c>
      <c r="C34" t="s">
        <v>41</v>
      </c>
      <c r="D34" t="s">
        <v>74</v>
      </c>
    </row>
    <row r="35" spans="1:4">
      <c r="A35" t="s">
        <v>108</v>
      </c>
      <c r="B35" s="34">
        <v>1</v>
      </c>
      <c r="C35" t="s">
        <v>75</v>
      </c>
      <c r="D35" t="s">
        <v>76</v>
      </c>
    </row>
    <row r="36" spans="1:4">
      <c r="A36" t="s">
        <v>108</v>
      </c>
      <c r="B36" s="34">
        <v>2</v>
      </c>
      <c r="C36" t="s">
        <v>109</v>
      </c>
      <c r="D36" t="s">
        <v>76</v>
      </c>
    </row>
    <row r="37" spans="1:4">
      <c r="A37" t="s">
        <v>108</v>
      </c>
      <c r="B37" s="34">
        <v>3</v>
      </c>
      <c r="C37" t="s">
        <v>73</v>
      </c>
      <c r="D37" t="s">
        <v>77</v>
      </c>
    </row>
    <row r="38" spans="1:4">
      <c r="A38" t="s">
        <v>108</v>
      </c>
      <c r="B38" s="35">
        <v>4</v>
      </c>
      <c r="C38" t="s">
        <v>41</v>
      </c>
      <c r="D38" t="s">
        <v>78</v>
      </c>
    </row>
    <row r="39" spans="1:4">
      <c r="A39" t="s">
        <v>95</v>
      </c>
      <c r="B39" s="34">
        <v>1</v>
      </c>
      <c r="C39" t="s">
        <v>84</v>
      </c>
      <c r="D39" t="s">
        <v>85</v>
      </c>
    </row>
    <row r="40" spans="1:4">
      <c r="A40" t="s">
        <v>95</v>
      </c>
      <c r="B40" s="34">
        <v>2</v>
      </c>
      <c r="C40" t="s">
        <v>86</v>
      </c>
      <c r="D40" t="s">
        <v>128</v>
      </c>
    </row>
    <row r="41" spans="1:4">
      <c r="A41" t="s">
        <v>95</v>
      </c>
      <c r="B41" s="34">
        <v>3</v>
      </c>
      <c r="C41" t="s">
        <v>87</v>
      </c>
      <c r="D41" t="s">
        <v>128</v>
      </c>
    </row>
    <row r="42" spans="1:4">
      <c r="A42" t="s">
        <v>95</v>
      </c>
      <c r="B42" s="34">
        <v>4</v>
      </c>
      <c r="C42" t="s">
        <v>88</v>
      </c>
      <c r="D42" t="s">
        <v>129</v>
      </c>
    </row>
    <row r="43" spans="1:4">
      <c r="A43" t="s">
        <v>95</v>
      </c>
      <c r="B43" s="35">
        <v>5</v>
      </c>
      <c r="C43" t="s">
        <v>41</v>
      </c>
      <c r="D43" t="s">
        <v>83</v>
      </c>
    </row>
    <row r="45" spans="1:4">
      <c r="A45" s="40" t="s">
        <v>106</v>
      </c>
      <c r="B45" s="40"/>
      <c r="C45" s="41" t="s">
        <v>65</v>
      </c>
      <c r="D45" s="1" t="s">
        <v>124</v>
      </c>
    </row>
    <row r="46" spans="1:4">
      <c r="A46" s="40" t="s">
        <v>106</v>
      </c>
      <c r="C46" s="40" t="s">
        <v>41</v>
      </c>
      <c r="D46" t="s">
        <v>125</v>
      </c>
    </row>
    <row r="49" spans="1:8">
      <c r="A49" s="1"/>
      <c r="B49" s="1"/>
      <c r="C49" s="1" t="s">
        <v>45</v>
      </c>
      <c r="D49" s="1"/>
      <c r="E49" s="1"/>
      <c r="F49" s="1"/>
      <c r="G49" s="1"/>
      <c r="H49" s="1"/>
    </row>
    <row r="50" spans="1:8">
      <c r="A50" s="1"/>
      <c r="B50" s="1"/>
      <c r="C50" s="1" t="s">
        <v>46</v>
      </c>
      <c r="D50" s="1"/>
      <c r="E50" s="1"/>
      <c r="F50" s="1"/>
      <c r="G50" s="1"/>
      <c r="H50" s="1"/>
    </row>
    <row r="51" spans="1:8">
      <c r="A51" s="1"/>
      <c r="B51" s="1"/>
      <c r="C51" s="1"/>
      <c r="D51" s="1"/>
      <c r="E51" s="1"/>
      <c r="F51" s="1"/>
      <c r="G51" s="1"/>
      <c r="H51" s="1"/>
    </row>
    <row r="52" spans="1:8">
      <c r="A52" s="1"/>
      <c r="B52" s="1"/>
      <c r="C52" s="1"/>
      <c r="D52" s="1"/>
      <c r="E52" s="1"/>
      <c r="F52" s="1"/>
      <c r="G52" s="1"/>
      <c r="H52" s="1"/>
    </row>
    <row r="53" spans="1:8">
      <c r="A53" s="20"/>
      <c r="B53" s="1"/>
      <c r="C53" s="1"/>
      <c r="D53" s="1"/>
      <c r="E53" s="1"/>
      <c r="F53" s="1"/>
      <c r="G53" s="1"/>
      <c r="H53" s="1"/>
    </row>
    <row r="54" spans="1:8">
      <c r="A54" s="1"/>
      <c r="B54" s="1"/>
      <c r="C54" s="1"/>
      <c r="D54" s="1"/>
      <c r="E54" s="1"/>
      <c r="F54" s="5" t="s">
        <v>47</v>
      </c>
      <c r="G54" s="1"/>
      <c r="H54" s="1"/>
    </row>
    <row r="55" spans="1:8">
      <c r="A55" s="1"/>
      <c r="B55" s="1"/>
      <c r="C55" s="1"/>
      <c r="D55" s="1"/>
      <c r="E55" s="1"/>
      <c r="F55" s="1"/>
      <c r="G55" s="1"/>
      <c r="H55" s="1"/>
    </row>
    <row r="56" spans="1:8">
      <c r="A56" s="1" t="s">
        <v>51</v>
      </c>
      <c r="B56" s="1" t="s">
        <v>48</v>
      </c>
      <c r="C56" s="1" t="s">
        <v>52</v>
      </c>
      <c r="D56" s="1"/>
      <c r="E56" s="1"/>
      <c r="F56" s="1"/>
      <c r="G56" s="1"/>
      <c r="H56" s="1"/>
    </row>
    <row r="57" spans="1:8">
      <c r="A57" s="1"/>
      <c r="B57" s="1" t="s">
        <v>49</v>
      </c>
      <c r="C57" s="1" t="s">
        <v>53</v>
      </c>
      <c r="D57" s="1"/>
      <c r="E57" s="1"/>
      <c r="F57" s="1"/>
      <c r="G57" s="1"/>
      <c r="H57" s="1"/>
    </row>
    <row r="58" spans="1:8">
      <c r="A58" s="1"/>
      <c r="B58" s="1" t="s">
        <v>50</v>
      </c>
      <c r="C58" s="1" t="s">
        <v>53</v>
      </c>
      <c r="D58" s="1"/>
      <c r="E58" s="1"/>
      <c r="F58" s="1"/>
      <c r="G58" s="1"/>
      <c r="H58" s="1"/>
    </row>
    <row r="59" spans="1:8">
      <c r="A59" s="1" t="s">
        <v>62</v>
      </c>
      <c r="B59" s="1"/>
      <c r="C59" s="1"/>
      <c r="D59" s="1"/>
      <c r="E59" s="1"/>
      <c r="F59" s="1"/>
      <c r="G59" s="1"/>
      <c r="H59" s="1"/>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theme="2" tint="-9.9978637043366805E-2"/>
    <pageSetUpPr fitToPage="1"/>
  </sheetPr>
  <dimension ref="A1:S31"/>
  <sheetViews>
    <sheetView showGridLines="0" zoomScaleNormal="100" zoomScaleSheetLayoutView="85" workbookViewId="0">
      <selection activeCell="C21" sqref="C21:F21"/>
    </sheetView>
  </sheetViews>
  <sheetFormatPr defaultColWidth="9.125" defaultRowHeight="14.25"/>
  <cols>
    <col min="1" max="1" width="3.75" style="1" customWidth="1"/>
    <col min="2" max="2" width="18.375" style="1" customWidth="1"/>
    <col min="3" max="3" width="53.125" style="1" customWidth="1"/>
    <col min="4" max="4" width="13.75" style="1" customWidth="1"/>
    <col min="5" max="5" width="14" style="1" customWidth="1"/>
    <col min="6" max="16384" width="9.125" style="1"/>
  </cols>
  <sheetData>
    <row r="1" spans="1:19" ht="15.75" customHeight="1">
      <c r="A1" s="31"/>
      <c r="C1" s="237"/>
      <c r="D1" s="238"/>
      <c r="E1" s="238"/>
      <c r="F1" s="238"/>
    </row>
    <row r="2" spans="1:19" ht="18.75" customHeight="1">
      <c r="C2" s="238"/>
      <c r="D2" s="238"/>
      <c r="E2" s="238"/>
      <c r="F2" s="238"/>
    </row>
    <row r="3" spans="1:19" ht="41.25" customHeight="1">
      <c r="C3" s="238"/>
      <c r="D3" s="238"/>
      <c r="E3" s="238"/>
      <c r="F3" s="238"/>
    </row>
    <row r="4" spans="1:19" ht="37.5" customHeight="1" thickBot="1">
      <c r="B4" s="229" t="s">
        <v>44</v>
      </c>
      <c r="C4" s="229"/>
      <c r="D4" s="229"/>
      <c r="E4" s="229"/>
      <c r="F4" s="229"/>
    </row>
    <row r="5" spans="1:19" ht="22.5" customHeight="1">
      <c r="B5" s="46" t="s">
        <v>24</v>
      </c>
      <c r="C5" s="47" t="str">
        <f>OB_Nam!$C$5</f>
        <v>Không có</v>
      </c>
      <c r="D5" s="48" t="s">
        <v>29</v>
      </c>
      <c r="E5" s="49" t="str">
        <f>OB_Nam!$E$5</f>
        <v>Không có</v>
      </c>
      <c r="F5" s="50"/>
    </row>
    <row r="6" spans="1:19" ht="22.5" customHeight="1">
      <c r="B6" s="51" t="s">
        <v>25</v>
      </c>
      <c r="C6" s="52" t="str">
        <f>OB_Nam!$C$6</f>
        <v>Không có</v>
      </c>
      <c r="D6" s="53" t="s">
        <v>30</v>
      </c>
      <c r="E6" s="54" t="str">
        <f>OB_Nam!E6</f>
        <v>Không có</v>
      </c>
      <c r="F6" s="55"/>
    </row>
    <row r="7" spans="1:19" ht="22.5" customHeight="1">
      <c r="B7" s="51" t="s">
        <v>26</v>
      </c>
      <c r="C7" s="52" t="str">
        <f>OB_Nam!$C$7</f>
        <v>Không có</v>
      </c>
      <c r="D7" s="53" t="s">
        <v>31</v>
      </c>
      <c r="E7" s="54" t="str">
        <f>OB_Nam!E7</f>
        <v>Không có</v>
      </c>
      <c r="F7" s="55"/>
    </row>
    <row r="8" spans="1:19" ht="22.5" customHeight="1">
      <c r="B8" s="51" t="s">
        <v>27</v>
      </c>
      <c r="C8" s="52" t="str">
        <f>OB_Nam!$C$8</f>
        <v>Không có</v>
      </c>
      <c r="D8" s="53"/>
      <c r="E8" s="53"/>
      <c r="F8" s="55"/>
    </row>
    <row r="9" spans="1:19" ht="22.5" customHeight="1">
      <c r="B9" s="51" t="s">
        <v>28</v>
      </c>
      <c r="C9" s="54" t="str">
        <f>OB_Nam!$C$9</f>
        <v>SIÊU ÂM Ổ BỤNG</v>
      </c>
      <c r="D9" s="56" t="str">
        <f>IF(OR(E6="Nữ",E6="Nu"),"Nhầm form SA Nam/Nữ","")</f>
        <v/>
      </c>
      <c r="E9" s="53"/>
      <c r="F9" s="55"/>
    </row>
    <row r="10" spans="1:19" ht="9.75" customHeight="1" thickBot="1">
      <c r="B10" s="57"/>
      <c r="C10" s="58"/>
      <c r="D10" s="58"/>
      <c r="E10" s="58"/>
      <c r="F10" s="59"/>
    </row>
    <row r="11" spans="1:19" ht="37.5" customHeight="1">
      <c r="B11" s="283" t="s">
        <v>12</v>
      </c>
      <c r="C11" s="283"/>
      <c r="D11" s="283"/>
      <c r="E11" s="283"/>
      <c r="F11" s="283"/>
      <c r="J11" s="20"/>
    </row>
    <row r="12" spans="1:19" ht="56.25" customHeight="1">
      <c r="B12" s="60" t="s">
        <v>32</v>
      </c>
      <c r="C12" s="281" t="str">
        <f>OB_Nam!C12</f>
        <v>Kích thước bình thường, nhu mô gan đều, không có khối u bất thường. Đường mật trong và ngoài gan không giãn, không có sỏi.
Tĩnh mạch cửa không giãn. Ống mật chủ không giãn, không có sỏi.</v>
      </c>
      <c r="D12" s="281"/>
      <c r="E12" s="281"/>
      <c r="F12" s="281"/>
      <c r="O12" s="5"/>
    </row>
    <row r="13" spans="1:19" ht="36" customHeight="1">
      <c r="B13" s="60" t="s">
        <v>33</v>
      </c>
      <c r="C13" s="281" t="str">
        <f>OB_Nam!C13</f>
        <v>Kích thước không to, thành mỏng, dịch trong, không có sỏi, không có polyp.</v>
      </c>
      <c r="D13" s="281"/>
      <c r="E13" s="281"/>
      <c r="F13" s="281"/>
    </row>
    <row r="14" spans="1:19" ht="36" customHeight="1">
      <c r="B14" s="60" t="s">
        <v>34</v>
      </c>
      <c r="C14" s="281" t="str">
        <f>OB_Nam!C14</f>
        <v>Kích thước bình thường, nhu mô đều, ống Wirsung không giãn, không có sỏi, không có dịch quanh tụy.</v>
      </c>
      <c r="D14" s="281"/>
      <c r="E14" s="281"/>
      <c r="F14" s="281"/>
    </row>
    <row r="15" spans="1:19" ht="36" customHeight="1">
      <c r="B15" s="60" t="s">
        <v>35</v>
      </c>
      <c r="C15" s="281" t="str">
        <f>OB_Nam!C15</f>
        <v>Kích thước bình thường, nhu mô đều. Tĩnh mạch lách không giãn.</v>
      </c>
      <c r="D15" s="281"/>
      <c r="E15" s="281"/>
      <c r="F15" s="281"/>
      <c r="S15" s="5"/>
    </row>
    <row r="16" spans="1:19" ht="36" customHeight="1">
      <c r="B16" s="60" t="s">
        <v>36</v>
      </c>
      <c r="C16" s="281" t="str">
        <f>OB_Nam!C16</f>
        <v>Kích thước bình thường, nhu mô đều, ranh giới tủy vỏ rõ, đài bể thận  không giãn, không có sỏi. Niệu quản không giãn, không có sỏi.</v>
      </c>
      <c r="D16" s="281"/>
      <c r="E16" s="281"/>
      <c r="F16" s="281"/>
    </row>
    <row r="17" spans="2:19" ht="52.5" customHeight="1">
      <c r="B17" s="60" t="s">
        <v>37</v>
      </c>
      <c r="C17" s="281" t="str">
        <f>OB_Nam!C17</f>
        <v>Kích thước bình thường, nhu mô đều, ranh giới tủy vỏ rõ, đài bể thận không giãn, không có sỏi. Niệu quản không giãn, không có sỏi.</v>
      </c>
      <c r="D17" s="281"/>
      <c r="E17" s="281"/>
      <c r="F17" s="281"/>
    </row>
    <row r="18" spans="2:19" ht="49.5" customHeight="1">
      <c r="B18" s="60" t="s">
        <v>38</v>
      </c>
      <c r="C18" s="281" t="str">
        <f>OB_Nam!C18</f>
        <v>Thành mỏng, nước tiểu trong, không có sỏi.</v>
      </c>
      <c r="D18" s="281"/>
      <c r="E18" s="281"/>
      <c r="F18" s="281"/>
    </row>
    <row r="19" spans="2:19" ht="55.5" customHeight="1">
      <c r="B19" s="60" t="s">
        <v>39</v>
      </c>
      <c r="C19" s="281" t="str">
        <f>OB_Nam!C19</f>
        <v>Kích thước bình thường, nhu mô đều, không có khối khu trú.</v>
      </c>
      <c r="D19" s="281"/>
      <c r="E19" s="281"/>
      <c r="F19" s="281"/>
    </row>
    <row r="20" spans="2:19" ht="36" customHeight="1">
      <c r="B20" s="60" t="s">
        <v>40</v>
      </c>
      <c r="C20" s="281" t="str">
        <f>OB_Nam!C20</f>
        <v>Ổ bụng không có dịch.</v>
      </c>
      <c r="D20" s="281"/>
      <c r="E20" s="281"/>
      <c r="F20" s="281"/>
      <c r="H20" s="5"/>
    </row>
    <row r="21" spans="2:19" s="5" customFormat="1" ht="56.25" customHeight="1">
      <c r="B21" s="61" t="s">
        <v>41</v>
      </c>
      <c r="C21" s="282" t="str">
        <f>OB_Nam!C21</f>
        <v>Hình ảnh siêu âm ổ bụng hiện tại bình thường</v>
      </c>
      <c r="D21" s="282"/>
      <c r="E21" s="282"/>
      <c r="F21" s="282"/>
      <c r="S21" s="1"/>
    </row>
    <row r="22" spans="2:19" s="5" customFormat="1" ht="18.75" customHeight="1">
      <c r="B22" s="61"/>
      <c r="C22" s="286"/>
      <c r="D22" s="284" t="str">
        <f>OB_Nam!D22</f>
        <v>Ngày 7 tháng 3 năm 2026</v>
      </c>
      <c r="E22" s="284"/>
      <c r="F22" s="284"/>
      <c r="S22" s="1"/>
    </row>
    <row r="23" spans="2:19" ht="15.75">
      <c r="B23" s="53"/>
      <c r="C23" s="286"/>
      <c r="D23" s="285" t="s">
        <v>42</v>
      </c>
      <c r="E23" s="285"/>
      <c r="F23" s="285"/>
    </row>
    <row r="24" spans="2:19" ht="15.75">
      <c r="B24" s="62"/>
      <c r="C24" s="286"/>
      <c r="D24" s="53"/>
      <c r="E24" s="53"/>
      <c r="F24" s="53"/>
    </row>
    <row r="25" spans="2:19" ht="15.75">
      <c r="B25" s="53"/>
      <c r="C25" s="286"/>
      <c r="D25" s="53"/>
      <c r="E25" s="53"/>
      <c r="F25" s="53"/>
    </row>
    <row r="26" spans="2:19" ht="15.75">
      <c r="B26" s="53"/>
      <c r="C26" s="286"/>
      <c r="D26" s="53"/>
      <c r="E26" s="53"/>
      <c r="F26" s="53"/>
    </row>
    <row r="27" spans="2:19" ht="15.75">
      <c r="B27" s="53"/>
      <c r="C27" s="286"/>
      <c r="D27" s="53"/>
      <c r="E27" s="53"/>
      <c r="F27" s="53"/>
    </row>
    <row r="28" spans="2:19" ht="15.75">
      <c r="B28" s="53"/>
      <c r="C28" s="286"/>
      <c r="D28" s="286" t="str">
        <f>OB_Nam!D28</f>
        <v>test</v>
      </c>
      <c r="E28" s="286"/>
      <c r="F28" s="286"/>
    </row>
    <row r="29" spans="2:19" ht="15.75">
      <c r="B29" s="53"/>
      <c r="C29" s="286"/>
      <c r="D29" s="53"/>
      <c r="E29" s="53"/>
      <c r="F29" s="53"/>
    </row>
    <row r="30" spans="2:19">
      <c r="C30" s="286"/>
    </row>
    <row r="31" spans="2:19">
      <c r="C31" s="286"/>
    </row>
  </sheetData>
  <mergeCells count="17">
    <mergeCell ref="D22:F22"/>
    <mergeCell ref="D23:F23"/>
    <mergeCell ref="D28:F28"/>
    <mergeCell ref="C22:C31"/>
    <mergeCell ref="C1:F3"/>
    <mergeCell ref="C20:F20"/>
    <mergeCell ref="C21:F21"/>
    <mergeCell ref="C16:F16"/>
    <mergeCell ref="C17:F17"/>
    <mergeCell ref="C18:F18"/>
    <mergeCell ref="C19:F19"/>
    <mergeCell ref="C12:F12"/>
    <mergeCell ref="C13:F13"/>
    <mergeCell ref="C14:F14"/>
    <mergeCell ref="C15:F15"/>
    <mergeCell ref="B4:F4"/>
    <mergeCell ref="B11:F11"/>
  </mergeCells>
  <pageMargins left="0.7" right="0.7" top="0.75" bottom="0.75" header="0.3" footer="0.3"/>
  <pageSetup scale="84" fitToHeight="0"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2" tint="-9.9978637043366805E-2"/>
    <pageSetUpPr fitToPage="1"/>
  </sheetPr>
  <dimension ref="B1:H30"/>
  <sheetViews>
    <sheetView showGridLines="0" topLeftCell="A19" zoomScaleNormal="100" workbookViewId="0">
      <selection activeCell="C24" sqref="C24"/>
    </sheetView>
  </sheetViews>
  <sheetFormatPr defaultColWidth="9.125" defaultRowHeight="14.25"/>
  <cols>
    <col min="1" max="1" width="3.75" style="1" customWidth="1"/>
    <col min="2" max="2" width="18.375" style="1" customWidth="1"/>
    <col min="3" max="3" width="53.125" style="1" customWidth="1"/>
    <col min="4" max="4" width="13.75" style="1" customWidth="1"/>
    <col min="5" max="16384" width="9.125" style="1"/>
  </cols>
  <sheetData>
    <row r="1" spans="2:8" ht="15.75" customHeight="1">
      <c r="C1" s="237"/>
      <c r="D1" s="238"/>
      <c r="E1" s="238"/>
      <c r="F1" s="238"/>
    </row>
    <row r="2" spans="2:8" ht="18.75" customHeight="1">
      <c r="C2" s="238"/>
      <c r="D2" s="238"/>
      <c r="E2" s="238"/>
      <c r="F2" s="238"/>
    </row>
    <row r="3" spans="2:8" ht="30.75" customHeight="1">
      <c r="C3" s="238"/>
      <c r="D3" s="238"/>
      <c r="E3" s="238"/>
      <c r="F3" s="238"/>
    </row>
    <row r="4" spans="2:8" ht="37.5" customHeight="1" thickBot="1">
      <c r="B4" s="242" t="s">
        <v>63</v>
      </c>
      <c r="C4" s="242"/>
      <c r="D4" s="242"/>
      <c r="E4" s="242"/>
      <c r="F4" s="242"/>
    </row>
    <row r="5" spans="2:8" ht="27" customHeight="1">
      <c r="B5" s="18" t="s">
        <v>24</v>
      </c>
      <c r="C5" s="11" t="str">
        <f>OB_Nu!$C$5</f>
        <v>Không có</v>
      </c>
      <c r="D5" s="10" t="s">
        <v>29</v>
      </c>
      <c r="E5" s="12" t="str">
        <f>OB_Nu!$E$5</f>
        <v>Không có</v>
      </c>
      <c r="F5" s="13"/>
    </row>
    <row r="6" spans="2:8" ht="27" customHeight="1">
      <c r="B6" s="19" t="s">
        <v>25</v>
      </c>
      <c r="C6" s="4" t="str">
        <f>OB_Nu!$C$6</f>
        <v>Không có</v>
      </c>
      <c r="D6" s="1" t="s">
        <v>30</v>
      </c>
      <c r="E6" s="14" t="str">
        <f>OB_Nu!$E$6</f>
        <v>Không có</v>
      </c>
      <c r="F6" s="15"/>
    </row>
    <row r="7" spans="2:8" ht="27" customHeight="1">
      <c r="B7" s="19" t="s">
        <v>26</v>
      </c>
      <c r="C7" s="4" t="str">
        <f>OB_Nu!$C$7</f>
        <v>Không có</v>
      </c>
      <c r="D7" s="1" t="s">
        <v>31</v>
      </c>
      <c r="E7" s="14" t="str">
        <f>OB_Nu!$E$7</f>
        <v>Không có</v>
      </c>
      <c r="F7" s="15"/>
    </row>
    <row r="8" spans="2:8" ht="27" customHeight="1">
      <c r="B8" s="19" t="s">
        <v>27</v>
      </c>
      <c r="C8" s="14" t="str">
        <f>OB_Nu!$C$8</f>
        <v>Không có</v>
      </c>
      <c r="F8" s="15"/>
    </row>
    <row r="9" spans="2:8" ht="27" customHeight="1">
      <c r="B9" s="19" t="s">
        <v>28</v>
      </c>
      <c r="C9" s="14" t="str">
        <f>OB_Nu!$C$9</f>
        <v>SIÊU ÂM Ổ BỤNG</v>
      </c>
      <c r="D9" s="21" t="str">
        <f>IF(OR(E6="Nam",E6="Male"),"Nhầm form SA Nam/Nữ","")</f>
        <v/>
      </c>
      <c r="F9" s="15"/>
    </row>
    <row r="10" spans="2:8" ht="9.75" customHeight="1" thickBot="1">
      <c r="B10" s="16"/>
      <c r="C10" s="3"/>
      <c r="D10" s="3"/>
      <c r="E10" s="3"/>
      <c r="F10" s="17"/>
    </row>
    <row r="11" spans="2:8" ht="37.5" customHeight="1">
      <c r="B11" s="289" t="s">
        <v>12</v>
      </c>
      <c r="C11" s="289"/>
      <c r="D11" s="289"/>
      <c r="E11" s="289"/>
      <c r="F11" s="289"/>
      <c r="H11" s="20"/>
    </row>
    <row r="12" spans="2:8" ht="56.25" customHeight="1">
      <c r="B12" s="7" t="s">
        <v>32</v>
      </c>
      <c r="C12" s="287" t="str">
        <f>OB_Nu!$C$12</f>
        <v>Kích thước bình thường, nhu mô gan đều, không có khối u bất thường. Đường mật trong và ngoài gan không giãn, không có sỏi.
Tĩnh mạch cửa không giãn. Ống mật chủ không giãn, không có sỏi.</v>
      </c>
      <c r="D12" s="287"/>
      <c r="E12" s="287"/>
      <c r="F12" s="287"/>
    </row>
    <row r="13" spans="2:8" ht="36" customHeight="1">
      <c r="B13" s="7" t="s">
        <v>33</v>
      </c>
      <c r="C13" s="287" t="str">
        <f>OB_Nu!$C13</f>
        <v>Kích thước không to, thành mỏng, dịch trong, không có sỏi, không có polyp.</v>
      </c>
      <c r="D13" s="287"/>
      <c r="E13" s="287"/>
      <c r="F13" s="287"/>
    </row>
    <row r="14" spans="2:8" ht="36" customHeight="1">
      <c r="B14" s="7" t="s">
        <v>34</v>
      </c>
      <c r="C14" s="287" t="str">
        <f>OB_Nu!$C14</f>
        <v>Kích thước bình thường, nhu mô đều, ống Wirsung không giãn, không có sỏi, không có dịch quanh tụy.</v>
      </c>
      <c r="D14" s="287"/>
      <c r="E14" s="287"/>
      <c r="F14" s="287"/>
    </row>
    <row r="15" spans="2:8" ht="36" customHeight="1">
      <c r="B15" s="7" t="s">
        <v>35</v>
      </c>
      <c r="C15" s="287" t="str">
        <f>OB_Nu!$C15</f>
        <v>Kích thước bình thường, nhu mô đều. Tĩnh mạch lách không giãn.</v>
      </c>
      <c r="D15" s="287"/>
      <c r="E15" s="287"/>
      <c r="F15" s="287"/>
    </row>
    <row r="16" spans="2:8" ht="44.25" customHeight="1">
      <c r="B16" s="7" t="s">
        <v>36</v>
      </c>
      <c r="C16" s="287" t="str">
        <f>OB_Nu!$C16</f>
        <v>Kích thước bình thường, nhu mô đều, ranh giới tủy vỏ rõ, đài bể thận  không giãn, không có sỏi. Niệu quản không giãn, không có sỏi.</v>
      </c>
      <c r="D16" s="287"/>
      <c r="E16" s="287"/>
      <c r="F16" s="287"/>
    </row>
    <row r="17" spans="2:8" ht="46.5" customHeight="1">
      <c r="B17" s="7" t="s">
        <v>37</v>
      </c>
      <c r="C17" s="287" t="str">
        <f>OB_Nu!$C17</f>
        <v>Kích thước bình thường, nhu mô đều, ranh giới tủy vỏ rõ, đài bể thận không giãn, không có sỏi. Niệu quản không giãn, không có sỏi.</v>
      </c>
      <c r="D17" s="287"/>
      <c r="E17" s="287"/>
      <c r="F17" s="287"/>
    </row>
    <row r="18" spans="2:8" ht="36" customHeight="1">
      <c r="B18" s="7" t="s">
        <v>38</v>
      </c>
      <c r="C18" s="287" t="str">
        <f>OB_Nu!$C18</f>
        <v>Thành mỏng, nước tiểu trong, không có sỏi.</v>
      </c>
      <c r="D18" s="287"/>
      <c r="E18" s="287"/>
      <c r="F18" s="287"/>
    </row>
    <row r="19" spans="2:8" ht="75.75" customHeight="1">
      <c r="B19" s="7" t="s">
        <v>65</v>
      </c>
      <c r="C19" s="287" t="str">
        <f>OB_Nu!$C19</f>
        <v>Kích thước bình thường, âm vang cơ đều, trong buồng tử cung  không có dịch, không có khối bất thường.
Phần phụ hai bên không có gì đặc biệt.</v>
      </c>
      <c r="D19" s="287"/>
      <c r="E19" s="287"/>
      <c r="F19" s="287"/>
    </row>
    <row r="20" spans="2:8" ht="36" customHeight="1">
      <c r="B20" s="7" t="s">
        <v>40</v>
      </c>
      <c r="C20" s="287" t="str">
        <f>OB_Nu!$C20</f>
        <v>Ổ bụng không có dịch.</v>
      </c>
      <c r="D20" s="287"/>
      <c r="E20" s="287"/>
      <c r="F20" s="287"/>
      <c r="H20" s="5"/>
    </row>
    <row r="21" spans="2:8" s="5" customFormat="1" ht="99" customHeight="1">
      <c r="B21" s="6" t="s">
        <v>41</v>
      </c>
      <c r="C21" s="288" t="str">
        <f>OB_Nu!$C$21</f>
        <v>Hình ảnh siêu âm ổ bụng hiện tại bình thường</v>
      </c>
      <c r="D21" s="288"/>
      <c r="E21" s="288"/>
      <c r="F21" s="288"/>
    </row>
    <row r="22" spans="2:8" s="5" customFormat="1" ht="18.75" customHeight="1">
      <c r="B22" s="6"/>
      <c r="C22" s="30"/>
      <c r="D22" s="30"/>
      <c r="E22" s="30"/>
      <c r="F22" s="30"/>
    </row>
    <row r="23" spans="2:8">
      <c r="D23" s="8" t="str">
        <f>OB_Nu!D23</f>
        <v>Ngày 7 tháng 3 năm 2026</v>
      </c>
    </row>
    <row r="24" spans="2:8">
      <c r="B24" s="2"/>
      <c r="C24" s="4"/>
      <c r="D24" s="9" t="s">
        <v>42</v>
      </c>
    </row>
    <row r="30" spans="2:8">
      <c r="D30" s="1" t="str">
        <f>OB_Nu!$D$29</f>
        <v>test</v>
      </c>
    </row>
  </sheetData>
  <mergeCells count="13">
    <mergeCell ref="C1:F3"/>
    <mergeCell ref="C20:F20"/>
    <mergeCell ref="C21:F21"/>
    <mergeCell ref="C16:F16"/>
    <mergeCell ref="C17:F17"/>
    <mergeCell ref="C18:F18"/>
    <mergeCell ref="C19:F19"/>
    <mergeCell ref="C12:F12"/>
    <mergeCell ref="C13:F13"/>
    <mergeCell ref="C14:F14"/>
    <mergeCell ref="C15:F15"/>
    <mergeCell ref="B4:F4"/>
    <mergeCell ref="B11:F11"/>
  </mergeCells>
  <pageMargins left="0.7" right="0.7" top="0.75" bottom="0.75" header="0.3" footer="0.3"/>
  <pageSetup paperSize="9" scale="81"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tabColor theme="2" tint="-9.9978637043366805E-2"/>
    <pageSetUpPr fitToPage="1"/>
  </sheetPr>
  <dimension ref="B1:F22"/>
  <sheetViews>
    <sheetView showGridLines="0" topLeftCell="A13" zoomScaleNormal="100" workbookViewId="0">
      <selection activeCell="C22" sqref="C22"/>
    </sheetView>
  </sheetViews>
  <sheetFormatPr defaultColWidth="9.125" defaultRowHeight="14.25"/>
  <cols>
    <col min="1" max="1" width="3.75" style="1" customWidth="1"/>
    <col min="2" max="2" width="18.375" style="1" customWidth="1"/>
    <col min="3" max="3" width="53.125" style="1" customWidth="1"/>
    <col min="4" max="4" width="13.75" style="1" customWidth="1"/>
    <col min="5" max="5" width="14" style="1" customWidth="1"/>
    <col min="6" max="16384" width="9.125" style="1"/>
  </cols>
  <sheetData>
    <row r="1" spans="2:6" ht="15.75" customHeight="1">
      <c r="C1" s="237"/>
      <c r="D1" s="238"/>
      <c r="E1" s="238"/>
      <c r="F1" s="238"/>
    </row>
    <row r="2" spans="2:6" ht="18.75" customHeight="1">
      <c r="C2" s="238"/>
      <c r="D2" s="238"/>
      <c r="E2" s="238"/>
      <c r="F2" s="238"/>
    </row>
    <row r="3" spans="2:6" ht="30.75" customHeight="1">
      <c r="C3" s="238"/>
      <c r="D3" s="238"/>
      <c r="E3" s="238"/>
      <c r="F3" s="238"/>
    </row>
    <row r="4" spans="2:6" ht="37.5" customHeight="1" thickBot="1">
      <c r="B4" s="250" t="s">
        <v>66</v>
      </c>
      <c r="C4" s="250"/>
      <c r="D4" s="250"/>
      <c r="E4" s="250"/>
      <c r="F4" s="250"/>
    </row>
    <row r="5" spans="2:6" ht="27" customHeight="1">
      <c r="B5" s="18" t="s">
        <v>24</v>
      </c>
      <c r="C5" s="11" t="str">
        <f>TuyenGiap!$C$5</f>
        <v>Không có</v>
      </c>
      <c r="D5" s="10" t="s">
        <v>29</v>
      </c>
      <c r="E5" s="39" t="str">
        <f>TuyenGiap!$E$5</f>
        <v>Không có</v>
      </c>
      <c r="F5" s="13"/>
    </row>
    <row r="6" spans="2:6" ht="27" customHeight="1">
      <c r="B6" s="19" t="s">
        <v>25</v>
      </c>
      <c r="C6" s="4" t="str">
        <f>TuyenGiap!$C$6</f>
        <v>Không có</v>
      </c>
      <c r="D6" s="1" t="s">
        <v>30</v>
      </c>
      <c r="E6" s="14" t="str">
        <f>TuyenGiap!$E$6</f>
        <v>Không có</v>
      </c>
      <c r="F6" s="15"/>
    </row>
    <row r="7" spans="2:6" ht="27" customHeight="1">
      <c r="B7" s="19" t="s">
        <v>26</v>
      </c>
      <c r="C7" s="4" t="str">
        <f>TuyenGiap!$C$7</f>
        <v>Không có</v>
      </c>
      <c r="D7" s="1" t="s">
        <v>31</v>
      </c>
      <c r="E7" s="14" t="str">
        <f>TuyenGiap!$E$7</f>
        <v>Không có</v>
      </c>
      <c r="F7" s="15"/>
    </row>
    <row r="8" spans="2:6" ht="27" customHeight="1">
      <c r="B8" s="19" t="s">
        <v>27</v>
      </c>
      <c r="C8" s="14" t="str">
        <f>TuyenGiap!$C$8</f>
        <v>Không có</v>
      </c>
      <c r="F8" s="15"/>
    </row>
    <row r="9" spans="2:6" ht="27" customHeight="1">
      <c r="B9" s="19" t="s">
        <v>28</v>
      </c>
      <c r="C9" s="14" t="str">
        <f>TuyenGiap!$C$9</f>
        <v>SIÊU ÂM TUYẾN GIÁP</v>
      </c>
      <c r="D9" s="21"/>
      <c r="F9" s="15"/>
    </row>
    <row r="10" spans="2:6" ht="9.75" customHeight="1" thickBot="1">
      <c r="B10" s="16"/>
      <c r="C10" s="3"/>
      <c r="D10" s="3"/>
      <c r="E10" s="3"/>
      <c r="F10" s="17"/>
    </row>
    <row r="11" spans="2:6" ht="37.5" customHeight="1">
      <c r="B11" s="289" t="s">
        <v>12</v>
      </c>
      <c r="C11" s="289"/>
      <c r="D11" s="289"/>
      <c r="E11" s="289"/>
      <c r="F11" s="289"/>
    </row>
    <row r="12" spans="2:6" ht="43.5" customHeight="1">
      <c r="B12" s="22" t="s">
        <v>110</v>
      </c>
      <c r="C12" s="287" t="str">
        <f>TuyenGiap!C12</f>
        <v>Kích thước: bình thường, nhu mô đồng nhất, không có u khối bất thường.</v>
      </c>
      <c r="D12" s="287"/>
      <c r="E12" s="287"/>
      <c r="F12" s="287"/>
    </row>
    <row r="13" spans="2:6" ht="43.5" customHeight="1">
      <c r="B13" s="22" t="s">
        <v>111</v>
      </c>
      <c r="C13" s="287" t="str">
        <f>TuyenGiap!C13</f>
        <v>Kích thước: Bình thường, nhu mô đồng nhất, không có u khối bất thường.</v>
      </c>
      <c r="D13" s="287"/>
      <c r="E13" s="287"/>
      <c r="F13" s="287"/>
    </row>
    <row r="14" spans="2:6" ht="43.5" customHeight="1">
      <c r="B14" s="22" t="s">
        <v>71</v>
      </c>
      <c r="C14" s="287" t="str">
        <f>TuyenGiap!C14</f>
        <v>Kích thước: Bình thường, nhu mô đều, không có khối khu trú bất thường.</v>
      </c>
      <c r="D14" s="287"/>
      <c r="E14" s="287"/>
      <c r="F14" s="287"/>
    </row>
    <row r="15" spans="2:6" ht="43.5" customHeight="1">
      <c r="B15" s="22" t="s">
        <v>89</v>
      </c>
      <c r="C15" s="287" t="str">
        <f>TuyenGiap!C15</f>
        <v>Không thấy hạch to dọc bó mạch cảnh và dọc cơ ức đòn chũm hai bên.</v>
      </c>
      <c r="D15" s="287"/>
      <c r="E15" s="287"/>
      <c r="F15" s="287"/>
    </row>
    <row r="16" spans="2:6" ht="94.5" customHeight="1">
      <c r="B16" s="23" t="s">
        <v>41</v>
      </c>
      <c r="C16" s="290" t="str">
        <f>TuyenGiap!C16</f>
        <v>Hình ảnh siêu âm tuyến giáp hiện tại bình thường</v>
      </c>
      <c r="D16" s="290"/>
      <c r="E16" s="290"/>
      <c r="F16" s="290"/>
    </row>
    <row r="17" spans="2:6" ht="36" customHeight="1">
      <c r="B17" s="6"/>
      <c r="D17" s="8" t="str">
        <f>TuyenGiap!D17</f>
        <v>Ngày 7 tháng 3 năm 2026</v>
      </c>
      <c r="E17" s="30"/>
      <c r="F17" s="30"/>
    </row>
    <row r="18" spans="2:6" ht="36" customHeight="1">
      <c r="B18" s="6"/>
      <c r="C18" s="4"/>
      <c r="D18" s="9" t="s">
        <v>42</v>
      </c>
      <c r="E18" s="30"/>
      <c r="F18" s="30"/>
    </row>
    <row r="19" spans="2:6" ht="36" customHeight="1"/>
    <row r="20" spans="2:6" ht="36" customHeight="1">
      <c r="B20" s="2"/>
    </row>
    <row r="21" spans="2:6" s="5" customFormat="1" ht="36" customHeight="1">
      <c r="B21" s="1"/>
      <c r="C21" s="1"/>
      <c r="D21" s="1"/>
      <c r="E21" s="1"/>
      <c r="F21" s="1"/>
    </row>
    <row r="22" spans="2:6" s="5" customFormat="1" ht="18.75" customHeight="1">
      <c r="B22" s="1"/>
      <c r="C22" s="1"/>
      <c r="D22" s="1" t="str">
        <f>TuyenGiap!D22</f>
        <v>test</v>
      </c>
      <c r="E22" s="1"/>
      <c r="F22" s="1"/>
    </row>
  </sheetData>
  <mergeCells count="8">
    <mergeCell ref="C1:F3"/>
    <mergeCell ref="B4:F4"/>
    <mergeCell ref="B11:F11"/>
    <mergeCell ref="C16:F16"/>
    <mergeCell ref="C12:F12"/>
    <mergeCell ref="C13:F13"/>
    <mergeCell ref="C14:F14"/>
    <mergeCell ref="C15:F15"/>
  </mergeCells>
  <pageMargins left="0.25" right="0.25" top="0.75" bottom="0.75" header="0.3" footer="0.3"/>
  <pageSetup paperSize="9" scale="84" orientation="portrait" horizontalDpi="1200" verticalDpi="120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tabColor theme="2" tint="-9.9978637043366805E-2"/>
    <pageSetUpPr fitToPage="1"/>
  </sheetPr>
  <dimension ref="B1:H22"/>
  <sheetViews>
    <sheetView showGridLines="0" topLeftCell="A10" zoomScaleNormal="100" workbookViewId="0">
      <selection activeCell="C21" sqref="C21"/>
    </sheetView>
  </sheetViews>
  <sheetFormatPr defaultColWidth="9.125" defaultRowHeight="14.25"/>
  <cols>
    <col min="1" max="1" width="3.75" style="1" customWidth="1"/>
    <col min="2" max="2" width="18.375" style="1" customWidth="1"/>
    <col min="3" max="3" width="53.125" style="1" customWidth="1"/>
    <col min="4" max="4" width="13.75" style="1" customWidth="1"/>
    <col min="5" max="16384" width="9.125" style="1"/>
  </cols>
  <sheetData>
    <row r="1" spans="2:8" ht="15.75" customHeight="1">
      <c r="C1" s="237"/>
      <c r="D1" s="238"/>
      <c r="E1" s="238"/>
      <c r="F1" s="238"/>
    </row>
    <row r="2" spans="2:8" ht="18.75" customHeight="1">
      <c r="C2" s="238"/>
      <c r="D2" s="238"/>
      <c r="E2" s="238"/>
      <c r="F2" s="238"/>
    </row>
    <row r="3" spans="2:8" ht="30.75" customHeight="1">
      <c r="C3" s="238"/>
      <c r="D3" s="238"/>
      <c r="E3" s="238"/>
      <c r="F3" s="238"/>
    </row>
    <row r="4" spans="2:8" ht="37.5" customHeight="1" thickBot="1">
      <c r="B4" s="250" t="s">
        <v>80</v>
      </c>
      <c r="C4" s="250"/>
      <c r="D4" s="250"/>
      <c r="E4" s="250"/>
      <c r="F4" s="250"/>
    </row>
    <row r="5" spans="2:8" ht="27" customHeight="1">
      <c r="B5" s="18" t="s">
        <v>24</v>
      </c>
      <c r="C5" s="11" t="str">
        <f>TuyenVu!$C$5</f>
        <v>Không có</v>
      </c>
      <c r="D5" s="10" t="s">
        <v>29</v>
      </c>
      <c r="E5" s="12" t="str">
        <f>TuyenVu!$E$5</f>
        <v>Không có</v>
      </c>
      <c r="F5" s="13"/>
    </row>
    <row r="6" spans="2:8" ht="27" customHeight="1">
      <c r="B6" s="19" t="s">
        <v>25</v>
      </c>
      <c r="C6" s="4" t="str">
        <f>TuyenVu!$C$6</f>
        <v>Không có</v>
      </c>
      <c r="D6" s="1" t="s">
        <v>30</v>
      </c>
      <c r="E6" s="14" t="str">
        <f>TuyenVu!$E$6</f>
        <v>Không có</v>
      </c>
      <c r="F6" s="15"/>
    </row>
    <row r="7" spans="2:8" ht="27" customHeight="1">
      <c r="B7" s="19" t="s">
        <v>26</v>
      </c>
      <c r="C7" s="4" t="str">
        <f>TuyenVu!$C$7</f>
        <v>Không có</v>
      </c>
      <c r="D7" s="1" t="s">
        <v>31</v>
      </c>
      <c r="E7" s="14" t="str">
        <f>TuyenVu!$E$7</f>
        <v>Không có</v>
      </c>
      <c r="F7" s="15"/>
    </row>
    <row r="8" spans="2:8" ht="27" customHeight="1">
      <c r="B8" s="19" t="s">
        <v>27</v>
      </c>
      <c r="C8" s="14" t="str">
        <f>TuyenVu!$C$8</f>
        <v>Không có</v>
      </c>
      <c r="F8" s="15"/>
    </row>
    <row r="9" spans="2:8" ht="27" customHeight="1">
      <c r="B9" s="19" t="s">
        <v>28</v>
      </c>
      <c r="C9" s="14" t="str">
        <f>TuyenVu!$C$9</f>
        <v>SIÊU ÂM TUYẾN VÚ</v>
      </c>
      <c r="D9" s="21" t="str">
        <f>IF(OR(E6="Nam",E6="Male"),"Nhầm form SA Nam/Nữ","")</f>
        <v/>
      </c>
      <c r="F9" s="15"/>
    </row>
    <row r="10" spans="2:8" ht="9.75" customHeight="1" thickBot="1">
      <c r="B10" s="16"/>
      <c r="C10" s="3"/>
      <c r="D10" s="3"/>
      <c r="E10" s="3"/>
      <c r="F10" s="17"/>
    </row>
    <row r="11" spans="2:8" ht="37.5" customHeight="1">
      <c r="B11" s="289" t="s">
        <v>12</v>
      </c>
      <c r="C11" s="289"/>
      <c r="D11" s="289"/>
      <c r="E11" s="289"/>
      <c r="F11" s="289"/>
      <c r="H11" s="20"/>
    </row>
    <row r="12" spans="2:8" ht="66" customHeight="1">
      <c r="B12" s="22" t="s">
        <v>75</v>
      </c>
      <c r="C12" s="287" t="str">
        <f>TuyenVu!$C$12</f>
        <v xml:space="preserve">Mật độ âm đều không thấy khối bất thường. 
Tổ chức ống tuyến bình thường, không thấy giãn ống tuyến. 
Tổ chức phần mềm dưới da bình thường. </v>
      </c>
      <c r="D12" s="287"/>
      <c r="E12" s="287"/>
      <c r="F12" s="287"/>
    </row>
    <row r="13" spans="2:8" ht="79.5" customHeight="1">
      <c r="B13" s="22" t="s">
        <v>109</v>
      </c>
      <c r="C13" s="287" t="str">
        <f>TuyenVu!$C$13</f>
        <v xml:space="preserve">Mật độ âm đều không thấy khối bất thường. 
Tổ chức ống tuyến bình thường, không thấy giãn ống tuyến. 
Tổ chức phần mềm dưới da bình thường. </v>
      </c>
      <c r="D13" s="287"/>
      <c r="E13" s="287"/>
      <c r="F13" s="287"/>
    </row>
    <row r="14" spans="2:8" ht="39.75" customHeight="1">
      <c r="B14" s="22" t="s">
        <v>73</v>
      </c>
      <c r="C14" s="287" t="str">
        <f>TuyenVu!$C$14</f>
        <v>Không thấy hạch vùng hố nách và dọc ngoài cơ ngực lớn hai bên.</v>
      </c>
      <c r="D14" s="287"/>
      <c r="E14" s="287"/>
      <c r="F14" s="287"/>
    </row>
    <row r="15" spans="2:8" ht="83.25" customHeight="1">
      <c r="B15" s="23" t="s">
        <v>41</v>
      </c>
      <c r="C15" s="290" t="str">
        <f>TuyenVu!$C$15</f>
        <v>Hình ảnh siêu âm tuyến vú hiện tại bình thường</v>
      </c>
      <c r="D15" s="290"/>
      <c r="E15" s="290"/>
      <c r="F15" s="290"/>
    </row>
    <row r="16" spans="2:8" ht="36" customHeight="1">
      <c r="B16" s="23"/>
      <c r="D16" s="8" t="str">
        <f>TuyenVu!D16</f>
        <v>Ngày 7 tháng 3 năm 2026</v>
      </c>
      <c r="E16" s="25"/>
      <c r="F16" s="25"/>
    </row>
    <row r="17" spans="2:8" ht="18" customHeight="1">
      <c r="B17" s="6"/>
      <c r="C17" s="4"/>
      <c r="D17" s="9" t="s">
        <v>42</v>
      </c>
      <c r="F17" s="30"/>
    </row>
    <row r="18" spans="2:8" ht="18" customHeight="1">
      <c r="B18" s="6"/>
      <c r="F18" s="30"/>
    </row>
    <row r="19" spans="2:8" ht="18" customHeight="1"/>
    <row r="20" spans="2:8" ht="18" customHeight="1">
      <c r="B20" s="2"/>
      <c r="H20" s="5"/>
    </row>
    <row r="21" spans="2:8" s="5" customFormat="1" ht="18" customHeight="1">
      <c r="B21" s="1"/>
      <c r="C21" s="1"/>
      <c r="D21" s="1" t="str">
        <f>TuyenVu!$D$21</f>
        <v>test</v>
      </c>
      <c r="E21" s="1"/>
      <c r="F21" s="1"/>
    </row>
    <row r="22" spans="2:8" s="5" customFormat="1" ht="18" customHeight="1">
      <c r="B22" s="1"/>
      <c r="C22" s="1"/>
      <c r="D22" s="1"/>
      <c r="E22" s="1"/>
      <c r="F22" s="1"/>
    </row>
  </sheetData>
  <mergeCells count="7">
    <mergeCell ref="C1:F3"/>
    <mergeCell ref="C12:F12"/>
    <mergeCell ref="C13:F13"/>
    <mergeCell ref="C14:F14"/>
    <mergeCell ref="C15:F15"/>
    <mergeCell ref="B4:F4"/>
    <mergeCell ref="B11:F11"/>
  </mergeCells>
  <pageMargins left="0.7" right="0.7" top="0.75" bottom="0.75" header="0.3" footer="0.3"/>
  <pageSetup paperSize="9" scale="77" fitToHeight="0" orientation="portrait" horizontalDpi="1200" verticalDpi="1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4">
    <tabColor theme="2" tint="-9.9978637043366805E-2"/>
    <pageSetUpPr fitToPage="1"/>
  </sheetPr>
  <dimension ref="B1:I22"/>
  <sheetViews>
    <sheetView showGridLines="0" topLeftCell="A13" workbookViewId="0">
      <selection activeCell="J18" sqref="J18"/>
    </sheetView>
  </sheetViews>
  <sheetFormatPr defaultColWidth="9.125" defaultRowHeight="14.25"/>
  <cols>
    <col min="1" max="1" width="3.75" style="1" customWidth="1"/>
    <col min="2" max="2" width="26.75" style="1" customWidth="1"/>
    <col min="3" max="3" width="53.125" style="1" customWidth="1"/>
    <col min="4" max="4" width="13.75" style="1" customWidth="1"/>
    <col min="5" max="16384" width="9.125" style="1"/>
  </cols>
  <sheetData>
    <row r="1" spans="2:9" ht="15.75" customHeight="1">
      <c r="C1" s="237"/>
      <c r="D1" s="237"/>
      <c r="E1" s="237"/>
      <c r="F1" s="237"/>
    </row>
    <row r="2" spans="2:9" ht="18.75" customHeight="1">
      <c r="C2" s="237"/>
      <c r="D2" s="237"/>
      <c r="E2" s="237"/>
      <c r="F2" s="237"/>
    </row>
    <row r="3" spans="2:9" ht="30.75" customHeight="1">
      <c r="C3" s="237"/>
      <c r="D3" s="237"/>
      <c r="E3" s="237"/>
      <c r="F3" s="237"/>
    </row>
    <row r="4" spans="2:9" ht="42.75" customHeight="1" thickBot="1">
      <c r="B4" s="291" t="s">
        <v>81</v>
      </c>
      <c r="C4" s="291"/>
      <c r="D4" s="291"/>
      <c r="E4" s="291"/>
      <c r="F4" s="291"/>
    </row>
    <row r="5" spans="2:9" ht="27" customHeight="1">
      <c r="B5" s="18" t="s">
        <v>24</v>
      </c>
      <c r="C5" s="11" t="str">
        <f>TCPP!$C$5</f>
        <v>Không có</v>
      </c>
      <c r="D5" s="10" t="s">
        <v>29</v>
      </c>
      <c r="E5" s="12" t="str">
        <f>TCPP!$E$5</f>
        <v>Không có</v>
      </c>
      <c r="F5" s="13"/>
    </row>
    <row r="6" spans="2:9" ht="27" customHeight="1">
      <c r="B6" s="19" t="s">
        <v>25</v>
      </c>
      <c r="C6" s="4" t="str">
        <f>TCPP!$C$6</f>
        <v>Không có</v>
      </c>
      <c r="D6" s="1" t="s">
        <v>30</v>
      </c>
      <c r="E6" s="14" t="str">
        <f>TCPP!$E$6</f>
        <v>Không có</v>
      </c>
      <c r="F6" s="15"/>
    </row>
    <row r="7" spans="2:9" ht="27" customHeight="1">
      <c r="B7" s="19" t="s">
        <v>26</v>
      </c>
      <c r="C7" s="4" t="str">
        <f>TCPP!$C$7</f>
        <v>Không có</v>
      </c>
      <c r="D7" s="1" t="s">
        <v>31</v>
      </c>
      <c r="E7" s="14" t="str">
        <f>TCPP!$E$7</f>
        <v>Không có</v>
      </c>
      <c r="F7" s="15"/>
    </row>
    <row r="8" spans="2:9" ht="27" customHeight="1">
      <c r="B8" s="19" t="s">
        <v>27</v>
      </c>
      <c r="C8" s="14" t="str">
        <f>TCPP!$C$8</f>
        <v>Không có</v>
      </c>
      <c r="F8" s="15"/>
    </row>
    <row r="9" spans="2:9" ht="27" customHeight="1">
      <c r="B9" s="19" t="s">
        <v>28</v>
      </c>
      <c r="C9" s="14" t="str">
        <f>TCPP!$C$9</f>
        <v>SIÊU ÂM TC - PP</v>
      </c>
      <c r="D9" s="21" t="str">
        <f>IF(OR(E6="Nam",E6="Male"),"Nhầm form SA Nam/Nữ","")</f>
        <v/>
      </c>
      <c r="F9" s="15"/>
    </row>
    <row r="10" spans="2:9" ht="9.75" customHeight="1" thickBot="1">
      <c r="B10" s="16"/>
      <c r="C10" s="3"/>
      <c r="D10" s="3"/>
      <c r="E10" s="3"/>
      <c r="F10" s="17"/>
    </row>
    <row r="11" spans="2:9" ht="37.5" customHeight="1">
      <c r="B11" s="289" t="s">
        <v>12</v>
      </c>
      <c r="C11" s="289"/>
      <c r="D11" s="289"/>
      <c r="E11" s="289"/>
      <c r="F11" s="289"/>
      <c r="I11" s="20"/>
    </row>
    <row r="12" spans="2:9" ht="75.75" customHeight="1">
      <c r="B12" s="7" t="s">
        <v>84</v>
      </c>
      <c r="C12" s="287" t="str">
        <f>TCPP!$C$12</f>
        <v>Kích thước : Bình thường.
Âm vang cơ tử cung đồng nhất, buồng tử cung không có dịch, không có u khối bất thường.
Niêm mạc tử cung dầy: mm.</v>
      </c>
      <c r="D12" s="287"/>
      <c r="E12" s="287"/>
      <c r="F12" s="287"/>
    </row>
    <row r="13" spans="2:9" ht="56.25" customHeight="1">
      <c r="B13" s="7" t="s">
        <v>86</v>
      </c>
      <c r="C13" s="287" t="str">
        <f>TCPP!$C$13</f>
        <v>Hiện tại không có u khối bất thường.</v>
      </c>
      <c r="D13" s="287"/>
      <c r="E13" s="287"/>
      <c r="F13" s="287"/>
    </row>
    <row r="14" spans="2:9" ht="54.75" customHeight="1">
      <c r="B14" s="7" t="s">
        <v>87</v>
      </c>
      <c r="C14" s="287" t="str">
        <f>TCPP!$C$14</f>
        <v>Hiện tại không có u khối bất thường.</v>
      </c>
      <c r="D14" s="287"/>
      <c r="E14" s="287"/>
      <c r="F14" s="287"/>
    </row>
    <row r="15" spans="2:9" ht="43.5" customHeight="1">
      <c r="B15" s="7" t="s">
        <v>88</v>
      </c>
      <c r="C15" s="287" t="str">
        <f>TCPP!$C$15</f>
        <v>Không có dịch.</v>
      </c>
      <c r="D15" s="287"/>
      <c r="E15" s="287"/>
      <c r="F15" s="287"/>
    </row>
    <row r="16" spans="2:9" ht="99.75" customHeight="1">
      <c r="B16" s="23" t="s">
        <v>41</v>
      </c>
      <c r="C16" s="290" t="str">
        <f>TCPP!$C$16</f>
        <v>Siêu âm TC - PP hiện tại không thấy gì đặc biệt</v>
      </c>
      <c r="D16" s="290"/>
      <c r="E16" s="290"/>
      <c r="F16" s="290"/>
    </row>
    <row r="17" spans="2:9" ht="36" customHeight="1">
      <c r="B17" s="6"/>
      <c r="D17" s="8" t="str">
        <f>TCPP!D17</f>
        <v>Ngày 7 tháng 3 năm 2026</v>
      </c>
      <c r="F17" s="30"/>
    </row>
    <row r="18" spans="2:9" ht="36" customHeight="1">
      <c r="B18" s="6"/>
      <c r="C18" s="4"/>
      <c r="D18" s="9" t="s">
        <v>42</v>
      </c>
      <c r="F18" s="30"/>
    </row>
    <row r="19" spans="2:9" ht="36" customHeight="1"/>
    <row r="20" spans="2:9" ht="36" customHeight="1">
      <c r="B20" s="2"/>
      <c r="I20" s="5"/>
    </row>
    <row r="21" spans="2:9" s="5" customFormat="1" ht="36" customHeight="1">
      <c r="B21" s="1"/>
      <c r="C21" s="1"/>
      <c r="D21" s="1"/>
      <c r="E21" s="1"/>
      <c r="F21" s="1"/>
    </row>
    <row r="22" spans="2:9" s="5" customFormat="1" ht="18.75" customHeight="1">
      <c r="B22" s="1"/>
      <c r="C22" s="1"/>
      <c r="D22" s="24" t="str">
        <f>TCPP!$D$22</f>
        <v>test</v>
      </c>
      <c r="E22" s="1"/>
      <c r="F22" s="1"/>
    </row>
  </sheetData>
  <mergeCells count="8">
    <mergeCell ref="C1:F3"/>
    <mergeCell ref="B4:F4"/>
    <mergeCell ref="B11:F11"/>
    <mergeCell ref="C16:F16"/>
    <mergeCell ref="C12:F12"/>
    <mergeCell ref="C13:F13"/>
    <mergeCell ref="C14:F14"/>
    <mergeCell ref="C15:F15"/>
  </mergeCells>
  <pageMargins left="0.7" right="0.7" top="0.75" bottom="0.75" header="0.3" footer="0.3"/>
  <pageSetup paperSize="9" scale="72" fitToHeight="0" orientation="portrait" horizontalDpi="1200" verticalDpi="1200"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35</vt:i4>
      </vt:variant>
    </vt:vector>
  </HeadingPairs>
  <TitlesOfParts>
    <vt:vector size="51" baseType="lpstr">
      <vt:lpstr>DanhSach</vt:lpstr>
      <vt:lpstr>CaiDat</vt:lpstr>
      <vt:lpstr>HƯỚNG DẪN SỬ DỤNG</vt:lpstr>
      <vt:lpstr>OB_Nam</vt:lpstr>
      <vt:lpstr>OB_Nu</vt:lpstr>
      <vt:lpstr>TuyenGiap</vt:lpstr>
      <vt:lpstr>TuyenVu</vt:lpstr>
      <vt:lpstr>TCPP</vt:lpstr>
      <vt:lpstr>TongHopKQ</vt:lpstr>
      <vt:lpstr>DataBenhLy</vt:lpstr>
      <vt:lpstr>Data</vt:lpstr>
      <vt:lpstr>PRT_OB_Nam</vt:lpstr>
      <vt:lpstr>PRT_OB_Nu</vt:lpstr>
      <vt:lpstr>PRT_TuyenGiap</vt:lpstr>
      <vt:lpstr>PRT_TuyenVu</vt:lpstr>
      <vt:lpstr>PRT_TCPP</vt:lpstr>
      <vt:lpstr>dsBangQuang</vt:lpstr>
      <vt:lpstr>dsBtrungP</vt:lpstr>
      <vt:lpstr>dsBtrungT</vt:lpstr>
      <vt:lpstr>dsDouglas</vt:lpstr>
      <vt:lpstr>dsEoTuyen</vt:lpstr>
      <vt:lpstr>dsGan</vt:lpstr>
      <vt:lpstr>dsKlOB</vt:lpstr>
      <vt:lpstr>dsKlTCPP</vt:lpstr>
      <vt:lpstr>dsKlTG</vt:lpstr>
      <vt:lpstr>dsKlTV</vt:lpstr>
      <vt:lpstr>dsLach</vt:lpstr>
      <vt:lpstr>dsLqTG</vt:lpstr>
      <vt:lpstr>dsLqTV</vt:lpstr>
      <vt:lpstr>dsTC</vt:lpstr>
      <vt:lpstr>dsTCtuthe</vt:lpstr>
      <vt:lpstr>dsTLT</vt:lpstr>
      <vt:lpstr>dsTuiMat</vt:lpstr>
      <vt:lpstr>dsTuy</vt:lpstr>
      <vt:lpstr>dsThamdokhac</vt:lpstr>
      <vt:lpstr>dsThanP</vt:lpstr>
      <vt:lpstr>dsThanT</vt:lpstr>
      <vt:lpstr>dsThuyP</vt:lpstr>
      <vt:lpstr>dsThuyT</vt:lpstr>
      <vt:lpstr>dsVuP</vt:lpstr>
      <vt:lpstr>dsVuT</vt:lpstr>
      <vt:lpstr>OB_Nam!Print_Area</vt:lpstr>
      <vt:lpstr>OB_Nu!Print_Area</vt:lpstr>
      <vt:lpstr>PRT_OB_Nam!Print_Area</vt:lpstr>
      <vt:lpstr>PRT_OB_Nu!Print_Area</vt:lpstr>
      <vt:lpstr>PRT_TCPP!Print_Area</vt:lpstr>
      <vt:lpstr>PRT_TuyenGiap!Print_Area</vt:lpstr>
      <vt:lpstr>PRT_TuyenVu!Print_Area</vt:lpstr>
      <vt:lpstr>TCPP!Print_Area</vt:lpstr>
      <vt:lpstr>TuyenGiap!Print_Area</vt:lpstr>
      <vt:lpstr>TuyenVu!Print_Area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Minh Duc Vu</dc:creator>
  <cp:lastModifiedBy>SMILE o_o</cp:lastModifiedBy>
  <cp:lastPrinted>2026-03-07T04:50:12Z</cp:lastPrinted>
  <dcterms:created xsi:type="dcterms:W3CDTF">2021-07-09T09:32:36Z</dcterms:created>
  <dcterms:modified xsi:type="dcterms:W3CDTF">2026-03-07T05:44:40Z</dcterms:modified>
</cp:coreProperties>
</file>