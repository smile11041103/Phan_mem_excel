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6BB4E05B-9771-4F50-A11A-AD0E1944563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KE HOACH KSK 2025" sheetId="2" r:id="rId1"/>
    <sheet name="Form goc" sheetId="5" r:id="rId2"/>
    <sheet name="Nhap" sheetId="7" r:id="rId3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3" i="2" l="1"/>
  <c r="T10" i="2"/>
  <c r="T9" i="2"/>
  <c r="T23" i="2"/>
</calcChain>
</file>

<file path=xl/sharedStrings.xml><?xml version="1.0" encoding="utf-8"?>
<sst xmlns="http://schemas.openxmlformats.org/spreadsheetml/2006/main" count="538" uniqueCount="222">
  <si>
    <t>STT</t>
  </si>
  <si>
    <t>ĐƠN VỊ KHÁM</t>
  </si>
  <si>
    <t>NGÀY KHÁM</t>
  </si>
  <si>
    <t>SỐ LƯỢNG KHÁM DỰ KIẾN</t>
  </si>
  <si>
    <t>DANH MỤC KHÁM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</si>
  <si>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</si>
  <si>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</si>
  <si>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</si>
  <si>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</si>
  <si>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</si>
  <si>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</si>
  <si>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</si>
  <si>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</si>
  <si>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</si>
  <si>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</si>
  <si>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</si>
  <si>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</si>
  <si>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</si>
  <si>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</si>
  <si>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</si>
  <si>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</si>
  <si>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</si>
  <si>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</si>
  <si>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</si>
  <si>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</si>
  <si>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</si>
  <si>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</si>
  <si>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</si>
  <si>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</si>
  <si>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</si>
  <si>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>XÍ NGHIỆP THỦ CÔNG MỸ NGHỆ XK VÂN ANH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</si>
  <si>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</si>
  <si>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</si>
  <si>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</si>
  <si>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</si>
  <si>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</si>
  <si>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</si>
  <si>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</si>
  <si>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</si>
  <si>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</si>
  <si>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</si>
  <si>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</si>
  <si>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</si>
  <si>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</si>
  <si>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</si>
  <si>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</si>
  <si>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</si>
  <si>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</si>
  <si>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</si>
  <si>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</si>
  <si>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</si>
  <si>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</si>
  <si>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</si>
  <si>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</si>
  <si>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</si>
  <si>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</si>
  <si>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</si>
  <si>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</si>
  <si>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</si>
  <si>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</si>
  <si>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</si>
  <si>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</si>
  <si>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</si>
  <si>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</si>
  <si>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</si>
  <si>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</si>
  <si>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</si>
  <si>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</si>
  <si>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</si>
  <si>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</si>
  <si>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</si>
  <si>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</si>
  <si>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</si>
  <si>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</si>
  <si>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</si>
  <si>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</si>
  <si>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</si>
  <si>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</si>
  <si>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</si>
  <si>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</si>
  <si>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</si>
  <si>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</si>
  <si>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</si>
  <si>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</si>
  <si>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BNN</t>
  </si>
  <si>
    <t>Tuấn</t>
  </si>
  <si>
    <t>BS LĨNH</t>
  </si>
  <si>
    <t>21/06</t>
  </si>
  <si>
    <t>Thành</t>
  </si>
  <si>
    <t>01-3316</t>
  </si>
  <si>
    <t>Tài+ Uyên</t>
  </si>
  <si>
    <t>500-1000|1000-1900</t>
  </si>
  <si>
    <t>Thảo</t>
  </si>
  <si>
    <t>01-1343</t>
  </si>
  <si>
    <t>Thảo, Thành</t>
  </si>
  <si>
    <t>Tài+ Lan</t>
  </si>
  <si>
    <t>Huyền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</si>
  <si>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</si>
  <si>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</si>
  <si>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</si>
  <si>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</si>
  <si>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</si>
  <si>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</si>
  <si>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</si>
  <si>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</si>
  <si>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</si>
  <si>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</si>
  <si>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</si>
  <si>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</si>
  <si>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</si>
  <si>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</si>
  <si>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</si>
  <si>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</si>
  <si>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</si>
  <si>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</si>
  <si>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</si>
  <si>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</si>
  <si>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</si>
  <si>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</si>
  <si>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</si>
  <si>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</si>
  <si>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</si>
  <si>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</si>
  <si>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</si>
  <si>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</si>
  <si>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</si>
  <si>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IN HS</t>
  </si>
  <si>
    <t>GHIM HS</t>
  </si>
  <si>
    <t>TỔNG HỢP GHÉP KẾT QUẢ</t>
  </si>
  <si>
    <t>Lan+Thủy</t>
  </si>
  <si>
    <t>1-500| 1100-1300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</si>
  <si>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</si>
  <si>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</si>
  <si>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</si>
  <si>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</si>
  <si>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</si>
  <si>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</si>
  <si>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</si>
  <si>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</si>
  <si>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1-100</t>
  </si>
  <si>
    <t>700/1848</t>
  </si>
  <si>
    <t>Lan Thủy</t>
  </si>
  <si>
    <t>BNN+ĐK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</si>
  <si>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</si>
  <si>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</si>
  <si>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</si>
  <si>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</si>
  <si>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</si>
  <si>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</si>
  <si>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</si>
  <si>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</si>
  <si>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</si>
  <si>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</si>
  <si>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</si>
  <si>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</si>
  <si>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</si>
  <si>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</si>
  <si>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</si>
  <si>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</si>
  <si>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</si>
  <si>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</si>
  <si>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</si>
  <si>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ĐỌC SOÁT HS ĐK</t>
  </si>
  <si>
    <t>ĐỌC SOÁT HS BNN</t>
  </si>
  <si>
    <t>XẾP TT HS ĐK</t>
  </si>
  <si>
    <t>XẾP TT HS BNN</t>
  </si>
  <si>
    <t>SỬA KQ ĐỌC SOÁT HS ĐK</t>
  </si>
  <si>
    <t>SỬA KQ ĐỌC SOÁT HS BNN</t>
  </si>
  <si>
    <t>KẾT LUẬN PL FILE MỀM ĐK</t>
  </si>
  <si>
    <t>KẾT LUẬN PL FILE MỀM BNN</t>
  </si>
  <si>
    <t>IN ĐUÔI KẾT LUẬN BNN</t>
  </si>
  <si>
    <t>IN ĐUÔI KẾT LUẬN ĐK</t>
  </si>
  <si>
    <t>GHÉP KẾT LUẬN ĐÓNG DẤU ĐK</t>
  </si>
  <si>
    <t>GHÉP KẾT LUẬN ĐÓNG DẤU BNN</t>
  </si>
  <si>
    <t>SỬA KQ ĐỌC SOÁT PHIẾU SIÊU ÂM</t>
  </si>
  <si>
    <t>SỬA KQ ĐỌC SOÁT PHIẾU ĐIỆN TIM</t>
  </si>
  <si>
    <t>ĐỌC SOÁT PHIẾU SIÊU ÂM</t>
  </si>
  <si>
    <t>ĐỌC SOÁT PHIẾU ĐIỆN TIM</t>
  </si>
  <si>
    <t/>
  </si>
  <si>
    <t>CÔNG TY HOYA (HT PK VIỆT PHÁP)</t>
  </si>
  <si>
    <t>09,10,11,12,15,16,18/07/2025</t>
  </si>
  <si>
    <t>07,08-07-2025</t>
  </si>
  <si>
    <t>CÔNG TY TNHH THỰC PHẨM DỊCH VỤ VÀ GIẢI KHÁT</t>
  </si>
  <si>
    <t>08,09-07-2025</t>
  </si>
  <si>
    <t>CÔNG TY CP SXTM LEGROUP</t>
  </si>
  <si>
    <t>13-07-2025</t>
  </si>
  <si>
    <t>CÔNG TY TNHH PEONY</t>
  </si>
  <si>
    <t>17-19/07/2025</t>
  </si>
  <si>
    <t>ĐÃ TKQ</t>
  </si>
  <si>
    <t>Nợ kq độc chất</t>
  </si>
  <si>
    <t>Đã thanh toán 3tr800</t>
  </si>
  <si>
    <t>QUÁN ĂN NGON (Phúc Hưng Thịnh)</t>
  </si>
  <si>
    <t>1 - 1000_x000D_
2600 - 3000</t>
  </si>
  <si>
    <t>Yến + Lan</t>
  </si>
  <si>
    <t>1001 - 2000</t>
  </si>
  <si>
    <t>Trang + Uyên</t>
  </si>
  <si>
    <t>2001 - 2400</t>
  </si>
  <si>
    <t>Vinh + Thương</t>
  </si>
  <si>
    <t>3001 - 4000</t>
  </si>
  <si>
    <t>Tài + Thương</t>
  </si>
  <si>
    <t>4001 - 4700</t>
  </si>
  <si>
    <t>Hoài + Ngọc Anh</t>
  </si>
  <si>
    <t>4800 - 5220</t>
  </si>
  <si>
    <t>Lan + Thành</t>
  </si>
  <si>
    <t>1 - 400</t>
  </si>
  <si>
    <t>Hoài + Tài</t>
  </si>
  <si>
    <t>500 - 900</t>
  </si>
  <si>
    <t>401 - 500_x000D_
1501 - 2000_x000D_
2501 - 3000_x000D_
3501 - 4000_x000D_
4501 - 4900</t>
  </si>
  <si>
    <t>1 - 1000_x000D_
4800 - 5220</t>
  </si>
  <si>
    <t>Lan + Yến + Thành</t>
  </si>
  <si>
    <t>1001 - 2000_x000D_
3101 - 3598</t>
  </si>
  <si>
    <t>Tài + Uyên</t>
  </si>
  <si>
    <t>4200 - 4499</t>
  </si>
  <si>
    <t>1000 - 2000_x000D_
3001 - 4000_x000D_
4500 - 4800</t>
  </si>
  <si>
    <t>1 - 1000_x000D_
3001 - 5000</t>
  </si>
  <si>
    <t>Hoài + Thành</t>
  </si>
  <si>
    <t>1001 - 3000</t>
  </si>
  <si>
    <t>Tài + Lan</t>
  </si>
  <si>
    <t>900 - 1500
2000 - 2500
3000 - 3500
4000 - 4500</t>
  </si>
  <si>
    <t>Số hồ sơ còn lại</t>
  </si>
  <si>
    <t>Hồ sơ còn lại</t>
  </si>
  <si>
    <t xml:space="preserve">2401 - 2599_x000D_
4701 - 4799_x000D_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</si>
</sst>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  <charset val="163"/>
    </font>
    <font>
      <b/>
      <sz val="11"/>
      <color rgb="FFFF0000"/>
      <name val="Times New Roman"/>
      <family val="1"/>
      <charset val="163"/>
    </font>
  </fonts>
  <fills count="10">
    <fill>
      <patternFill patternType="none"/>
    </fill>
    <fill>
      <patternFill patternType="gray125"/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rgb="FF000000"/>
      </patternFill>
    </fill>
  </fills>
  <borders count="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/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3" fontId="5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/>
    <xf numFmtId="14" fontId="5" fillId="4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6" borderId="1" xfId="0" applyFont="1" applyFill="1" applyBorder="1"/>
    <xf numFmtId="0" fontId="5" fillId="7" borderId="1" xfId="0" applyFont="1" applyFill="1" applyBorder="1" applyAlignment="1">
      <alignment horizontal="center" vertical="center"/>
    </xf>
    <xf numFmtId="16" fontId="5" fillId="7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0" xfId="0" applyFont="1"/>
    <xf numFmtId="0" fontId="5" fillId="0" borderId="0" xfId="0" applyFont="1"/>
    <xf numFmtId="0" fontId="5" fillId="6" borderId="16" xfId="0" applyFont="1" applyFill="1" applyBorder="1" applyAlignment="1">
      <alignment vertical="center" wrapText="1"/>
    </xf>
    <xf numFmtId="0" fontId="5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wrapText="1"/>
    </xf>
    <xf numFmtId="0" fontId="6" fillId="0" borderId="2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0" fillId="9" borderId="23" xfId="0" applyFont="1" applyFill="1" applyBorder="1" applyAlignment="1">
      <alignment horizontal="center" vertical="center" wrapText="1"/>
    </xf>
    <xf numFmtId="0" fontId="20" fillId="9" borderId="23" xfId="0" applyFont="1" applyFill="1" applyBorder="1" applyAlignment="1">
      <alignment horizontal="center" vertical="center"/>
    </xf>
    <xf numFmtId="0" fontId="21" fillId="9" borderId="23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6" fillId="7" borderId="15" xfId="0" applyFont="1" applyFill="1" applyBorder="1"/>
    <xf numFmtId="0" fontId="6" fillId="7" borderId="22" xfId="0" applyFont="1" applyFill="1" applyBorder="1"/>
    <xf numFmtId="0" fontId="5" fillId="7" borderId="19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6" fillId="6" borderId="15" xfId="0" applyFont="1" applyFill="1" applyBorder="1"/>
    <xf numFmtId="0" fontId="5" fillId="7" borderId="16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5" fillId="7" borderId="1" xfId="0" applyNumberFormat="1" applyFont="1" applyFill="1" applyBorder="1" applyAlignment="1">
      <alignment horizontal="center" vertical="center" wrapText="1"/>
    </xf>
    <xf numFmtId="0" fontId="5" fillId="7" borderId="17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9" fontId="5" fillId="7" borderId="1" xfId="0" applyNumberFormat="1" applyFont="1" applyFill="1" applyBorder="1" applyAlignment="1">
      <alignment horizontal="center" vertical="center" wrapText="1"/>
    </xf>
    <xf numFmtId="0" fontId="5" fillId="7" borderId="18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vertical="center" wrapText="1"/>
    </xf>
    <xf numFmtId="49" fontId="5" fillId="6" borderId="1" xfId="0" applyNumberFormat="1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vertical="center" wrapText="1"/>
    </xf>
    <xf numFmtId="14" fontId="5" fillId="7" borderId="14" xfId="0" applyNumberFormat="1" applyFont="1" applyFill="1" applyBorder="1" applyAlignment="1">
      <alignment vertical="center" wrapText="1"/>
    </xf>
    <xf numFmtId="0" fontId="6" fillId="0" borderId="0" xfId="0" applyFont="1" applyAlignment="1">
      <alignment horizontal="center"/>
    </xf>
    <xf numFmtId="0" fontId="5" fillId="7" borderId="20" xfId="0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/>
    </xf>
    <xf numFmtId="14" fontId="13" fillId="0" borderId="38" xfId="0" applyNumberFormat="1" applyFont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14" fontId="22" fillId="0" borderId="38" xfId="0" applyNumberFormat="1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49" fontId="17" fillId="0" borderId="23" xfId="0" applyNumberFormat="1" applyFont="1" applyBorder="1" applyAlignment="1">
      <alignment horizontal="center" vertical="center" wrapText="1"/>
    </xf>
    <xf numFmtId="0" fontId="0" fillId="0" borderId="23" xfId="0" applyBorder="1"/>
    <xf numFmtId="0" fontId="16" fillId="0" borderId="0" xfId="0" applyFont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6" fillId="0" borderId="23" xfId="0" applyFont="1" applyBorder="1" applyAlignment="1">
      <alignment vertical="center" wrapText="1"/>
    </xf>
    <xf numFmtId="14" fontId="17" fillId="0" borderId="25" xfId="0" applyNumberFormat="1" applyFont="1" applyBorder="1" applyAlignment="1">
      <alignment vertical="center" wrapText="1"/>
    </xf>
    <xf numFmtId="14" fontId="2" fillId="0" borderId="23" xfId="0" applyNumberFormat="1" applyFont="1" applyBorder="1" applyAlignment="1">
      <alignment vertical="center" wrapText="1"/>
    </xf>
    <xf numFmtId="14" fontId="16" fillId="0" borderId="23" xfId="0" applyNumberFormat="1" applyFont="1" applyBorder="1" applyAlignment="1">
      <alignment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16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  <xf numFmtId="49" fontId="14" fillId="0" borderId="23" xfId="0" applyNumberFormat="1" applyFont="1" applyBorder="1" applyAlignment="1">
      <alignment horizontal="center" vertical="center" wrapText="1"/>
    </xf>
    <xf numFmtId="14" fontId="16" fillId="0" borderId="25" xfId="0" applyNumberFormat="1" applyFont="1" applyBorder="1" applyAlignment="1">
      <alignment vertical="center" wrapText="1"/>
    </xf>
    <xf numFmtId="14" fontId="14" fillId="0" borderId="23" xfId="0" applyNumberFormat="1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18" fillId="0" borderId="6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18" fillId="0" borderId="3" xfId="0" applyFont="1" applyBorder="1"/>
    <xf numFmtId="0" fontId="18" fillId="0" borderId="13" xfId="0" applyFont="1" applyBorder="1"/>
    <xf numFmtId="0" fontId="7" fillId="2" borderId="6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18" fillId="0" borderId="15" xfId="0" applyFont="1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wrapText="1"/>
    </xf>
    <xf numFmtId="0" fontId="18" fillId="0" borderId="15" xfId="0" applyFont="1" applyBorder="1"/>
    <xf numFmtId="0" fontId="19" fillId="0" borderId="6" xfId="0" applyFont="1" applyBorder="1"/>
    <xf numFmtId="0" fontId="3" fillId="0" borderId="0" xfId="0" applyFont="1" applyAlignment="1">
      <alignment horizontal="center" vertical="center"/>
    </xf>
    <xf numFmtId="0" fontId="6" fillId="0" borderId="0" xfId="0" applyFont="1"/>
    <xf numFmtId="0" fontId="5" fillId="2" borderId="16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6" xfId="0" applyFont="1" applyBorder="1" applyAlignment="1">
      <alignment wrapText="1"/>
    </xf>
    <xf numFmtId="0" fontId="5" fillId="2" borderId="2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 wrapText="1"/>
    </xf>
    <xf numFmtId="0" fontId="18" fillId="0" borderId="5" xfId="0" applyFont="1" applyBorder="1"/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26" xfId="0" applyNumberFormat="1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14" fontId="16" fillId="0" borderId="25" xfId="0" applyNumberFormat="1" applyFont="1" applyBorder="1" applyAlignment="1">
      <alignment horizontal="center" vertical="center" wrapText="1"/>
    </xf>
    <xf numFmtId="14" fontId="16" fillId="0" borderId="26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1123950</xdr:colOff>
          <xdr:row>0</xdr:row>
          <xdr:rowOff>66675</xdr:rowOff>
        </xdr:from>
        <xdr:to>
          <xdr:col>6</xdr:col>
          <xdr:colOff>638175</xdr:colOff>
          <xdr:row>1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895350</xdr:colOff>
          <xdr:row>0</xdr:row>
          <xdr:rowOff>95250</xdr:rowOff>
        </xdr:from>
        <xdr:to>
          <xdr:col>7</xdr:col>
          <xdr:colOff>104775</xdr:colOff>
          <xdr:row>1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00"/>
  <sheetViews>
    <sheetView tabSelected="1" zoomScale="71" zoomScaleNormal="7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J4" sqref="BJ4"/>
    </sheetView>
  </sheetViews>
  <sheetFormatPr defaultColWidth="14.42578125" defaultRowHeight="15" customHeight="1" x14ac:dyDescent="0.25"/>
  <cols>
    <col min="1" max="1" width="8.7109375" style="89" customWidth="1"/>
    <col min="2" max="2" width="51.28515625" style="60" customWidth="1"/>
    <col min="3" max="3" width="16.7109375" style="57" customWidth="1"/>
    <col min="4" max="4" width="15.140625" style="52" customWidth="1"/>
    <col min="5" max="5" width="8.7109375" style="56" customWidth="1"/>
    <col min="6" max="14" width="8.7109375" style="52" hidden="1" customWidth="1"/>
    <col min="15" max="19" width="9.140625" style="52" hidden="1" customWidth="1"/>
    <col min="20" max="20" width="12.7109375" style="53" customWidth="1"/>
    <col min="21" max="22" width="10.140625" style="52" hidden="1" customWidth="1"/>
    <col min="23" max="23" width="10.28515625" style="52" hidden="1" customWidth="1"/>
    <col min="24" max="25" width="10.140625" style="52" hidden="1" customWidth="1"/>
    <col min="26" max="27" width="10.85546875" style="52" hidden="1" customWidth="1"/>
    <col min="28" max="29" width="10.140625" style="52" hidden="1" customWidth="1"/>
    <col min="30" max="32" width="11.28515625" style="52" hidden="1" customWidth="1"/>
    <col min="33" max="33" width="10.140625" style="52" hidden="1" customWidth="1"/>
    <col min="34" max="34" width="12.85546875" style="52" hidden="1" customWidth="1"/>
    <col min="35" max="36" width="11" style="52" hidden="1" customWidth="1"/>
    <col min="37" max="38" width="10.140625" style="52" hidden="1" customWidth="1"/>
    <col min="39" max="39" width="12.7109375" style="52" hidden="1" customWidth="1"/>
    <col min="40" max="40" width="14.7109375" style="52" customWidth="1"/>
    <col min="41" max="41" width="11.7109375" style="52" customWidth="1"/>
    <col min="42" max="42" width="10.140625" style="52" customWidth="1"/>
    <col min="43" max="43" width="10.7109375" style="52" customWidth="1"/>
    <col min="44" max="45" width="10.140625" style="52" customWidth="1"/>
    <col min="46" max="46" width="10.5703125" style="52" hidden="1" customWidth="1"/>
    <col min="47" max="49" width="10.140625" style="52" hidden="1" customWidth="1"/>
    <col min="50" max="50" width="11" style="52" hidden="1" customWidth="1"/>
    <col min="51" max="52" width="10.140625" style="52" hidden="1" customWidth="1"/>
    <col min="53" max="53" width="8.7109375" style="52" customWidth="1"/>
    <col min="54" max="16384" width="14.42578125" style="52"/>
  </cols>
  <sheetData>
    <row r="1" spans="1:53" ht="49.5" customHeight="1" thickBot="1" x14ac:dyDescent="0.3">
      <c r="A1" s="128" t="s">
        <v>48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</row>
    <row r="2" spans="1:53" ht="50.45" customHeight="1" thickTop="1" thickBot="1" x14ac:dyDescent="0.3">
      <c r="A2" s="130" t="s">
        <v>0</v>
      </c>
      <c r="B2" s="131" t="s">
        <v>1</v>
      </c>
      <c r="C2" s="116" t="s">
        <v>2</v>
      </c>
      <c r="D2" s="116" t="s">
        <v>49</v>
      </c>
      <c r="E2" s="134" t="s">
        <v>3</v>
      </c>
      <c r="F2" s="118" t="s">
        <v>4</v>
      </c>
      <c r="G2" s="119"/>
      <c r="H2" s="119"/>
      <c r="I2" s="119"/>
      <c r="J2" s="119"/>
      <c r="K2" s="119"/>
      <c r="L2" s="119"/>
      <c r="M2" s="119"/>
      <c r="N2" s="120"/>
      <c r="O2" s="118" t="s">
        <v>50</v>
      </c>
      <c r="P2" s="120"/>
      <c r="Q2" s="118" t="s">
        <v>51</v>
      </c>
      <c r="R2" s="119"/>
      <c r="S2" s="120"/>
      <c r="T2" s="116" t="s">
        <v>52</v>
      </c>
      <c r="U2" s="136" t="s">
        <v>53</v>
      </c>
      <c r="V2" s="137"/>
      <c r="W2" s="118" t="s">
        <v>54</v>
      </c>
      <c r="X2" s="119"/>
      <c r="Y2" s="120"/>
      <c r="Z2" s="118" t="s">
        <v>55</v>
      </c>
      <c r="AA2" s="119"/>
      <c r="AB2" s="119"/>
      <c r="AC2" s="120"/>
      <c r="AD2" s="118" t="s">
        <v>56</v>
      </c>
      <c r="AE2" s="119"/>
      <c r="AF2" s="119"/>
      <c r="AG2" s="120"/>
      <c r="AH2" s="118" t="s">
        <v>57</v>
      </c>
      <c r="AI2" s="119"/>
      <c r="AJ2" s="119"/>
      <c r="AK2" s="119"/>
      <c r="AL2" s="120"/>
      <c r="AM2" s="116" t="s">
        <v>58</v>
      </c>
      <c r="AN2" s="116" t="s">
        <v>59</v>
      </c>
      <c r="AO2" s="116" t="s">
        <v>135</v>
      </c>
      <c r="AP2" s="116" t="s">
        <v>60</v>
      </c>
      <c r="AQ2" s="118" t="s">
        <v>61</v>
      </c>
      <c r="AR2" s="119"/>
      <c r="AS2" s="120"/>
      <c r="AT2" s="118" t="s">
        <v>62</v>
      </c>
      <c r="AU2" s="119"/>
      <c r="AV2" s="120"/>
      <c r="AW2" s="116" t="s">
        <v>63</v>
      </c>
      <c r="AX2" s="118" t="s">
        <v>64</v>
      </c>
      <c r="AY2" s="119"/>
      <c r="AZ2" s="120"/>
      <c r="BA2" s="116" t="s">
        <v>65</v>
      </c>
    </row>
    <row r="3" spans="1:53" ht="67.5" customHeight="1" thickTop="1" thickBot="1" x14ac:dyDescent="0.3">
      <c r="A3" s="123"/>
      <c r="B3" s="132"/>
      <c r="C3" s="133"/>
      <c r="D3" s="117"/>
      <c r="E3" s="135"/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66</v>
      </c>
      <c r="P3" s="4" t="s">
        <v>67</v>
      </c>
      <c r="Q3" s="4" t="s">
        <v>66</v>
      </c>
      <c r="R3" s="4" t="s">
        <v>68</v>
      </c>
      <c r="S3" s="4" t="s">
        <v>67</v>
      </c>
      <c r="T3" s="127"/>
      <c r="U3" s="4" t="s">
        <v>66</v>
      </c>
      <c r="V3" s="4" t="s">
        <v>68</v>
      </c>
      <c r="W3" s="4" t="s">
        <v>69</v>
      </c>
      <c r="X3" s="4" t="s">
        <v>70</v>
      </c>
      <c r="Y3" s="4" t="s">
        <v>67</v>
      </c>
      <c r="Z3" s="4" t="s">
        <v>66</v>
      </c>
      <c r="AA3" s="4" t="s">
        <v>71</v>
      </c>
      <c r="AB3" s="4" t="s">
        <v>72</v>
      </c>
      <c r="AC3" s="4" t="s">
        <v>67</v>
      </c>
      <c r="AD3" s="4" t="s">
        <v>66</v>
      </c>
      <c r="AE3" s="4" t="s">
        <v>71</v>
      </c>
      <c r="AF3" s="4" t="s">
        <v>72</v>
      </c>
      <c r="AG3" s="5" t="s">
        <v>67</v>
      </c>
      <c r="AH3" s="6" t="s">
        <v>66</v>
      </c>
      <c r="AI3" s="7" t="s">
        <v>73</v>
      </c>
      <c r="AJ3" s="8" t="s">
        <v>71</v>
      </c>
      <c r="AK3" s="9" t="s">
        <v>74</v>
      </c>
      <c r="AL3" s="10" t="s">
        <v>67</v>
      </c>
      <c r="AM3" s="117"/>
      <c r="AN3" s="117"/>
      <c r="AO3" s="121"/>
      <c r="AP3" s="117"/>
      <c r="AQ3" s="4" t="s">
        <v>69</v>
      </c>
      <c r="AR3" s="4" t="s">
        <v>75</v>
      </c>
      <c r="AS3" s="4" t="s">
        <v>67</v>
      </c>
      <c r="AT3" s="4" t="s">
        <v>69</v>
      </c>
      <c r="AU3" s="4" t="s">
        <v>76</v>
      </c>
      <c r="AV3" s="4" t="s">
        <v>67</v>
      </c>
      <c r="AW3" s="117"/>
      <c r="AX3" s="4" t="s">
        <v>69</v>
      </c>
      <c r="AY3" s="4" t="s">
        <v>77</v>
      </c>
      <c r="AZ3" s="4" t="s">
        <v>67</v>
      </c>
      <c r="BA3" s="117"/>
    </row>
    <row r="4" spans="1:53" ht="64.900000000000006" customHeight="1" thickTop="1" x14ac:dyDescent="0.25">
      <c r="A4" s="13">
        <v>1</v>
      </c>
      <c r="B4" s="87" t="s">
        <v>78</v>
      </c>
      <c r="C4" s="88">
        <v>45814</v>
      </c>
      <c r="D4" s="88" t="s">
        <v>79</v>
      </c>
      <c r="E4" s="72"/>
      <c r="F4" s="71" t="s">
        <v>14</v>
      </c>
      <c r="G4" s="71" t="s">
        <v>14</v>
      </c>
      <c r="H4" s="71" t="s">
        <v>14</v>
      </c>
      <c r="I4" s="71" t="s">
        <v>14</v>
      </c>
      <c r="J4" s="71" t="s">
        <v>14</v>
      </c>
      <c r="K4" s="71" t="s">
        <v>14</v>
      </c>
      <c r="L4" s="71"/>
      <c r="M4" s="71" t="s">
        <v>14</v>
      </c>
      <c r="N4" s="71"/>
      <c r="O4" s="71"/>
      <c r="P4" s="71"/>
      <c r="Q4" s="71"/>
      <c r="R4" s="71"/>
      <c r="S4" s="71"/>
      <c r="T4" s="72">
        <v>4713</v>
      </c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4"/>
      <c r="AH4" s="72" t="s">
        <v>80</v>
      </c>
      <c r="AI4" s="72" t="s">
        <v>81</v>
      </c>
      <c r="AJ4" s="72" t="s">
        <v>82</v>
      </c>
      <c r="AK4" s="72">
        <v>1700</v>
      </c>
      <c r="AL4" s="75" t="s">
        <v>15</v>
      </c>
      <c r="AM4" s="76" t="s">
        <v>83</v>
      </c>
      <c r="AN4" s="77"/>
      <c r="AO4" s="30" t="s">
        <v>148</v>
      </c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41" t="s">
        <v>188</v>
      </c>
    </row>
    <row r="5" spans="1:53" ht="48" customHeight="1" x14ac:dyDescent="0.25">
      <c r="A5" s="13">
        <v>2</v>
      </c>
      <c r="B5" s="87" t="s">
        <v>16</v>
      </c>
      <c r="C5" s="87" t="s">
        <v>17</v>
      </c>
      <c r="D5" s="87" t="s">
        <v>37</v>
      </c>
      <c r="E5" s="25"/>
      <c r="F5" s="79" t="s">
        <v>14</v>
      </c>
      <c r="G5" s="79" t="s">
        <v>14</v>
      </c>
      <c r="H5" s="79"/>
      <c r="I5" s="79"/>
      <c r="J5" s="79" t="s">
        <v>14</v>
      </c>
      <c r="K5" s="79"/>
      <c r="L5" s="79"/>
      <c r="M5" s="79"/>
      <c r="N5" s="79"/>
      <c r="O5" s="79" t="s">
        <v>83</v>
      </c>
      <c r="P5" s="79"/>
      <c r="Q5" s="79"/>
      <c r="R5" s="79"/>
      <c r="S5" s="79"/>
      <c r="T5" s="25">
        <v>3316</v>
      </c>
      <c r="U5" s="76" t="s">
        <v>85</v>
      </c>
      <c r="V5" s="76" t="s">
        <v>15</v>
      </c>
      <c r="W5" s="25" t="s">
        <v>86</v>
      </c>
      <c r="X5" s="25" t="s">
        <v>15</v>
      </c>
      <c r="Y5" s="25" t="s">
        <v>87</v>
      </c>
      <c r="Z5" s="25" t="s">
        <v>88</v>
      </c>
      <c r="AA5" s="80" t="s">
        <v>89</v>
      </c>
      <c r="AB5" s="25">
        <v>3316</v>
      </c>
      <c r="AC5" s="25" t="s">
        <v>15</v>
      </c>
      <c r="AD5" s="25"/>
      <c r="AE5" s="25"/>
      <c r="AF5" s="25"/>
      <c r="AG5" s="81"/>
      <c r="AH5" s="25" t="s">
        <v>90</v>
      </c>
      <c r="AI5" s="72" t="s">
        <v>81</v>
      </c>
      <c r="AJ5" s="72" t="s">
        <v>91</v>
      </c>
      <c r="AK5" s="82">
        <v>900</v>
      </c>
      <c r="AL5" s="72" t="s">
        <v>15</v>
      </c>
      <c r="AM5" s="23" t="s">
        <v>138</v>
      </c>
      <c r="AN5" s="54" t="s">
        <v>149</v>
      </c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4"/>
    </row>
    <row r="6" spans="1:53" ht="47.45" customHeight="1" x14ac:dyDescent="0.25">
      <c r="A6" s="12">
        <v>3</v>
      </c>
      <c r="B6" s="78" t="s">
        <v>18</v>
      </c>
      <c r="C6" s="78" t="s">
        <v>17</v>
      </c>
      <c r="D6" s="78" t="s">
        <v>37</v>
      </c>
      <c r="E6" s="25"/>
      <c r="F6" s="79" t="s">
        <v>14</v>
      </c>
      <c r="G6" s="79" t="s">
        <v>14</v>
      </c>
      <c r="H6" s="79" t="s">
        <v>14</v>
      </c>
      <c r="I6" s="79"/>
      <c r="J6" s="79" t="s">
        <v>14</v>
      </c>
      <c r="K6" s="79" t="s">
        <v>14</v>
      </c>
      <c r="L6" s="79"/>
      <c r="M6" s="79" t="s">
        <v>14</v>
      </c>
      <c r="N6" s="79"/>
      <c r="O6" s="79" t="s">
        <v>83</v>
      </c>
      <c r="P6" s="79"/>
      <c r="Q6" s="79"/>
      <c r="R6" s="79"/>
      <c r="S6" s="79"/>
      <c r="T6" s="25">
        <v>1343</v>
      </c>
      <c r="U6" s="25" t="s">
        <v>85</v>
      </c>
      <c r="V6" s="25" t="s">
        <v>15</v>
      </c>
      <c r="W6" s="25"/>
      <c r="X6" s="25"/>
      <c r="Y6" s="25"/>
      <c r="Z6" s="25" t="s">
        <v>92</v>
      </c>
      <c r="AA6" s="80" t="s">
        <v>93</v>
      </c>
      <c r="AB6" s="25">
        <v>1343</v>
      </c>
      <c r="AC6" s="25" t="s">
        <v>15</v>
      </c>
      <c r="AD6" s="25" t="s">
        <v>94</v>
      </c>
      <c r="AE6" s="25"/>
      <c r="AF6" s="83">
        <v>0.7</v>
      </c>
      <c r="AG6" s="25"/>
      <c r="AH6" s="72" t="s">
        <v>95</v>
      </c>
      <c r="AI6" s="84"/>
      <c r="AJ6" s="84" t="s">
        <v>93</v>
      </c>
      <c r="AK6" s="25">
        <v>1343</v>
      </c>
      <c r="AL6" s="23" t="s">
        <v>15</v>
      </c>
      <c r="AM6" s="20" t="s">
        <v>96</v>
      </c>
      <c r="AN6" s="20" t="s">
        <v>150</v>
      </c>
      <c r="AO6" s="20"/>
      <c r="AP6" s="23" t="s">
        <v>104</v>
      </c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4"/>
    </row>
    <row r="7" spans="1:53" ht="45.6" customHeight="1" x14ac:dyDescent="0.25">
      <c r="A7" s="12">
        <v>4</v>
      </c>
      <c r="B7" s="25" t="s">
        <v>19</v>
      </c>
      <c r="C7" s="81" t="s">
        <v>20</v>
      </c>
      <c r="D7" s="85" t="s">
        <v>37</v>
      </c>
      <c r="E7" s="90"/>
      <c r="F7" s="79" t="s">
        <v>14</v>
      </c>
      <c r="G7" s="79"/>
      <c r="H7" s="79"/>
      <c r="I7" s="79"/>
      <c r="J7" s="79"/>
      <c r="K7" s="79" t="s">
        <v>14</v>
      </c>
      <c r="L7" s="79" t="s">
        <v>14</v>
      </c>
      <c r="M7" s="79" t="s">
        <v>14</v>
      </c>
      <c r="N7" s="79"/>
      <c r="O7" s="79" t="s">
        <v>83</v>
      </c>
      <c r="P7" s="79"/>
      <c r="Q7" s="79"/>
      <c r="R7" s="79"/>
      <c r="S7" s="79"/>
      <c r="T7" s="25">
        <v>327</v>
      </c>
      <c r="U7" s="25" t="s">
        <v>85</v>
      </c>
      <c r="V7" s="25" t="s">
        <v>15</v>
      </c>
      <c r="W7" s="25" t="s">
        <v>86</v>
      </c>
      <c r="X7" s="25" t="s">
        <v>15</v>
      </c>
      <c r="Y7" s="25" t="s">
        <v>87</v>
      </c>
      <c r="Z7" s="25" t="s">
        <v>92</v>
      </c>
      <c r="AA7" s="25"/>
      <c r="AB7" s="25">
        <v>327</v>
      </c>
      <c r="AC7" s="25" t="s">
        <v>15</v>
      </c>
      <c r="AD7" s="23"/>
      <c r="AE7" s="23"/>
      <c r="AF7" s="23"/>
      <c r="AG7" s="23"/>
      <c r="AH7" s="43" t="s">
        <v>133</v>
      </c>
      <c r="AI7" s="23"/>
      <c r="AJ7" s="23"/>
      <c r="AK7" s="42"/>
      <c r="AL7" s="23" t="s">
        <v>15</v>
      </c>
      <c r="AM7" s="23" t="s">
        <v>103</v>
      </c>
      <c r="AN7" s="23" t="s">
        <v>149</v>
      </c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4"/>
    </row>
    <row r="8" spans="1:53" ht="30.75" customHeight="1" x14ac:dyDescent="0.25">
      <c r="A8" s="12">
        <v>5</v>
      </c>
      <c r="B8" s="25" t="s">
        <v>21</v>
      </c>
      <c r="C8" s="81" t="s">
        <v>20</v>
      </c>
      <c r="D8" s="85" t="s">
        <v>37</v>
      </c>
      <c r="E8" s="90" t="s">
        <v>22</v>
      </c>
      <c r="F8" s="79" t="s">
        <v>14</v>
      </c>
      <c r="G8" s="79" t="s">
        <v>14</v>
      </c>
      <c r="H8" s="79"/>
      <c r="I8" s="79"/>
      <c r="J8" s="79"/>
      <c r="K8" s="79" t="s">
        <v>14</v>
      </c>
      <c r="L8" s="79" t="s">
        <v>14</v>
      </c>
      <c r="M8" s="79" t="s">
        <v>14</v>
      </c>
      <c r="N8" s="79"/>
      <c r="O8" s="79" t="s">
        <v>83</v>
      </c>
      <c r="P8" s="79"/>
      <c r="Q8" s="79"/>
      <c r="R8" s="79"/>
      <c r="S8" s="79"/>
      <c r="T8" s="25">
        <v>208</v>
      </c>
      <c r="U8" s="25" t="s">
        <v>85</v>
      </c>
      <c r="V8" s="25" t="s">
        <v>15</v>
      </c>
      <c r="W8" s="25" t="s">
        <v>86</v>
      </c>
      <c r="X8" s="25" t="s">
        <v>15</v>
      </c>
      <c r="Y8" s="25" t="s">
        <v>87</v>
      </c>
      <c r="Z8" s="20" t="s">
        <v>92</v>
      </c>
      <c r="AA8" s="25"/>
      <c r="AB8" s="25">
        <v>192</v>
      </c>
      <c r="AC8" s="25" t="s">
        <v>15</v>
      </c>
      <c r="AD8" s="25"/>
      <c r="AE8" s="23"/>
      <c r="AF8" s="23"/>
      <c r="AG8" s="23"/>
      <c r="AH8" s="23" t="s">
        <v>141</v>
      </c>
      <c r="AI8" s="41" t="s">
        <v>142</v>
      </c>
      <c r="AJ8" s="41">
        <v>192</v>
      </c>
      <c r="AK8" s="23">
        <v>192</v>
      </c>
      <c r="AL8" s="23" t="s">
        <v>15</v>
      </c>
      <c r="AM8" s="23" t="s">
        <v>103</v>
      </c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</row>
    <row r="9" spans="1:53" ht="43.5" customHeight="1" x14ac:dyDescent="0.25">
      <c r="A9" s="13">
        <v>6</v>
      </c>
      <c r="B9" s="13" t="s">
        <v>23</v>
      </c>
      <c r="C9" s="13" t="s">
        <v>24</v>
      </c>
      <c r="D9" s="11"/>
      <c r="E9" s="12" t="s">
        <v>25</v>
      </c>
      <c r="F9" s="15" t="s">
        <v>14</v>
      </c>
      <c r="G9" s="15" t="s">
        <v>14</v>
      </c>
      <c r="H9" s="15" t="s">
        <v>14</v>
      </c>
      <c r="I9" s="15"/>
      <c r="J9" s="15" t="s">
        <v>14</v>
      </c>
      <c r="K9" s="15"/>
      <c r="L9" s="15" t="s">
        <v>14</v>
      </c>
      <c r="M9" s="15" t="s">
        <v>14</v>
      </c>
      <c r="N9" s="15"/>
      <c r="O9" s="15" t="s">
        <v>83</v>
      </c>
      <c r="P9" s="15"/>
      <c r="Q9" s="15"/>
      <c r="R9" s="15"/>
      <c r="S9" s="15"/>
      <c r="T9" s="17">
        <f>107+160+107+97+178+139+347+271+179+285+95+38</f>
        <v>2003</v>
      </c>
      <c r="U9" s="3"/>
      <c r="V9" s="3"/>
      <c r="W9" s="3"/>
      <c r="X9" s="3"/>
      <c r="Y9" s="3"/>
      <c r="Z9" s="22" t="s">
        <v>97</v>
      </c>
      <c r="AA9" s="3"/>
      <c r="AB9" s="31">
        <v>400</v>
      </c>
      <c r="AC9" s="12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2"/>
    </row>
    <row r="10" spans="1:53" ht="43.5" customHeight="1" x14ac:dyDescent="0.25">
      <c r="A10" s="12">
        <v>7</v>
      </c>
      <c r="B10" s="12" t="s">
        <v>26</v>
      </c>
      <c r="C10" s="12" t="s">
        <v>27</v>
      </c>
      <c r="D10" s="12"/>
      <c r="E10" s="12">
        <v>8299</v>
      </c>
      <c r="F10" s="15" t="s">
        <v>14</v>
      </c>
      <c r="G10" s="15" t="s">
        <v>14</v>
      </c>
      <c r="H10" s="15" t="s">
        <v>14</v>
      </c>
      <c r="I10" s="15"/>
      <c r="J10" s="15" t="s">
        <v>14</v>
      </c>
      <c r="K10" s="15"/>
      <c r="L10" s="15"/>
      <c r="M10" s="15"/>
      <c r="N10" s="15"/>
      <c r="O10" s="15" t="s">
        <v>83</v>
      </c>
      <c r="P10" s="15"/>
      <c r="Q10" s="21" t="s">
        <v>85</v>
      </c>
      <c r="R10" s="15" t="s">
        <v>15</v>
      </c>
      <c r="S10" s="15"/>
      <c r="T10" s="17">
        <f>398+564+120+178+279+309+335+183+327+434+342+288+279+225</f>
        <v>4261</v>
      </c>
      <c r="U10" s="14" t="s">
        <v>85</v>
      </c>
      <c r="V10" s="14" t="s">
        <v>15</v>
      </c>
      <c r="W10" s="18"/>
      <c r="X10" s="18"/>
      <c r="Y10" s="18"/>
      <c r="Z10" s="14" t="s">
        <v>98</v>
      </c>
      <c r="AA10" s="14" t="s">
        <v>99</v>
      </c>
      <c r="AB10" s="12" t="s">
        <v>140</v>
      </c>
      <c r="AC10" s="14" t="s">
        <v>15</v>
      </c>
      <c r="AD10" s="26"/>
      <c r="AE10" s="26"/>
      <c r="AF10" s="26"/>
      <c r="AG10" s="26"/>
      <c r="AH10" s="27" t="s">
        <v>100</v>
      </c>
      <c r="AI10" s="28" t="s">
        <v>81</v>
      </c>
      <c r="AJ10" s="25" t="s">
        <v>101</v>
      </c>
      <c r="AK10" s="26"/>
      <c r="AL10" s="29" t="s">
        <v>102</v>
      </c>
      <c r="AM10" s="22" t="s">
        <v>103</v>
      </c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2"/>
    </row>
    <row r="11" spans="1:53" ht="30.75" customHeight="1" x14ac:dyDescent="0.25">
      <c r="A11" s="12">
        <v>8</v>
      </c>
      <c r="B11" s="25" t="s">
        <v>28</v>
      </c>
      <c r="C11" s="25" t="s">
        <v>29</v>
      </c>
      <c r="D11" s="25" t="s">
        <v>45</v>
      </c>
      <c r="E11" s="25">
        <v>81</v>
      </c>
      <c r="F11" s="79" t="s">
        <v>14</v>
      </c>
      <c r="G11" s="79" t="s">
        <v>14</v>
      </c>
      <c r="H11" s="79" t="s">
        <v>14</v>
      </c>
      <c r="I11" s="79"/>
      <c r="J11" s="79" t="s">
        <v>14</v>
      </c>
      <c r="K11" s="79" t="s">
        <v>14</v>
      </c>
      <c r="L11" s="79" t="s">
        <v>14</v>
      </c>
      <c r="M11" s="79"/>
      <c r="N11" s="79"/>
      <c r="O11" s="79" t="s">
        <v>83</v>
      </c>
      <c r="P11" s="79"/>
      <c r="Q11" s="79"/>
      <c r="R11" s="79"/>
      <c r="S11" s="79"/>
      <c r="T11" s="25">
        <v>77</v>
      </c>
      <c r="U11" s="25" t="s">
        <v>85</v>
      </c>
      <c r="V11" s="25" t="s">
        <v>15</v>
      </c>
      <c r="W11" s="25" t="s">
        <v>86</v>
      </c>
      <c r="X11" s="25" t="s">
        <v>15</v>
      </c>
      <c r="Y11" s="25" t="s">
        <v>87</v>
      </c>
      <c r="Z11" s="25" t="s">
        <v>96</v>
      </c>
      <c r="AA11" s="25"/>
      <c r="AB11" s="25">
        <v>77</v>
      </c>
      <c r="AC11" s="25" t="s">
        <v>15</v>
      </c>
      <c r="AD11" s="25"/>
      <c r="AE11" s="25"/>
      <c r="AF11" s="25"/>
      <c r="AG11" s="25"/>
      <c r="AH11" s="25" t="s">
        <v>104</v>
      </c>
      <c r="AI11" s="25"/>
      <c r="AJ11" s="25"/>
      <c r="AK11" s="25"/>
      <c r="AL11" s="25"/>
      <c r="AM11" s="25"/>
      <c r="AN11" s="25" t="s">
        <v>105</v>
      </c>
      <c r="AO11" s="25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4"/>
    </row>
    <row r="12" spans="1:53" ht="30.75" customHeight="1" x14ac:dyDescent="0.25">
      <c r="A12" s="12">
        <v>9</v>
      </c>
      <c r="B12" s="12" t="s">
        <v>30</v>
      </c>
      <c r="C12" s="12" t="s">
        <v>29</v>
      </c>
      <c r="D12" s="12" t="s">
        <v>45</v>
      </c>
      <c r="E12" s="12">
        <v>78</v>
      </c>
      <c r="F12" s="15" t="s">
        <v>14</v>
      </c>
      <c r="G12" s="15"/>
      <c r="H12" s="15"/>
      <c r="I12" s="15"/>
      <c r="J12" s="15"/>
      <c r="K12" s="15" t="s">
        <v>14</v>
      </c>
      <c r="L12" s="15" t="s">
        <v>14</v>
      </c>
      <c r="M12" s="15" t="s">
        <v>14</v>
      </c>
      <c r="N12" s="15"/>
      <c r="O12" s="15"/>
      <c r="P12" s="15"/>
      <c r="Q12" s="15"/>
      <c r="R12" s="15"/>
      <c r="S12" s="15"/>
      <c r="T12" s="12">
        <v>78</v>
      </c>
      <c r="U12" s="12" t="s">
        <v>85</v>
      </c>
      <c r="V12" s="12" t="s">
        <v>15</v>
      </c>
      <c r="W12" s="12"/>
      <c r="X12" s="12"/>
      <c r="Y12" s="12"/>
      <c r="Z12" s="12" t="s">
        <v>96</v>
      </c>
      <c r="AA12" s="16" t="s">
        <v>106</v>
      </c>
      <c r="AB12" s="12">
        <v>81</v>
      </c>
      <c r="AC12" s="12" t="s">
        <v>15</v>
      </c>
      <c r="AD12" s="12"/>
      <c r="AE12" s="12"/>
      <c r="AF12" s="12"/>
      <c r="AG12" s="12"/>
      <c r="AH12" s="12" t="s">
        <v>104</v>
      </c>
      <c r="AI12" s="12"/>
      <c r="AJ12" s="12"/>
      <c r="AK12" s="12"/>
      <c r="AL12" s="12"/>
      <c r="AM12" s="12"/>
      <c r="AN12" s="12" t="s">
        <v>105</v>
      </c>
      <c r="AO12" s="25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12" t="s">
        <v>108</v>
      </c>
    </row>
    <row r="13" spans="1:53" ht="31.9" customHeight="1" x14ac:dyDescent="0.25">
      <c r="A13" s="12">
        <v>10</v>
      </c>
      <c r="B13" s="12" t="s">
        <v>31</v>
      </c>
      <c r="C13" s="12" t="s">
        <v>29</v>
      </c>
      <c r="D13" s="12"/>
      <c r="E13" s="12">
        <v>16</v>
      </c>
      <c r="F13" s="15" t="s">
        <v>14</v>
      </c>
      <c r="G13" s="15" t="s">
        <v>14</v>
      </c>
      <c r="H13" s="15" t="s">
        <v>14</v>
      </c>
      <c r="I13" s="15" t="s">
        <v>14</v>
      </c>
      <c r="J13" s="15" t="s">
        <v>14</v>
      </c>
      <c r="K13" s="15"/>
      <c r="L13" s="15"/>
      <c r="M13" s="15"/>
      <c r="N13" s="15"/>
      <c r="O13" s="15"/>
      <c r="P13" s="15"/>
      <c r="Q13" s="15"/>
      <c r="R13" s="15"/>
      <c r="S13" s="15"/>
      <c r="T13" s="12">
        <v>16</v>
      </c>
      <c r="U13" s="12" t="s">
        <v>85</v>
      </c>
      <c r="V13" s="12" t="s">
        <v>15</v>
      </c>
      <c r="W13" s="12" t="s">
        <v>104</v>
      </c>
      <c r="X13" s="12" t="s">
        <v>15</v>
      </c>
      <c r="Y13" s="12" t="s">
        <v>107</v>
      </c>
      <c r="Z13" s="12" t="s">
        <v>104</v>
      </c>
      <c r="AA13" s="16" t="s">
        <v>106</v>
      </c>
      <c r="AB13" s="12">
        <v>81</v>
      </c>
      <c r="AC13" s="12" t="s">
        <v>15</v>
      </c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 t="s">
        <v>108</v>
      </c>
    </row>
    <row r="14" spans="1:53" ht="37.15" customHeight="1" x14ac:dyDescent="0.25">
      <c r="A14" s="12">
        <v>11</v>
      </c>
      <c r="B14" s="25" t="s">
        <v>32</v>
      </c>
      <c r="C14" s="25" t="s">
        <v>33</v>
      </c>
      <c r="D14" s="25" t="s">
        <v>109</v>
      </c>
      <c r="E14" s="25">
        <v>379</v>
      </c>
      <c r="F14" s="79" t="s">
        <v>14</v>
      </c>
      <c r="G14" s="79" t="s">
        <v>14</v>
      </c>
      <c r="H14" s="79" t="s">
        <v>14</v>
      </c>
      <c r="I14" s="79"/>
      <c r="J14" s="79" t="s">
        <v>14</v>
      </c>
      <c r="K14" s="79"/>
      <c r="L14" s="79"/>
      <c r="M14" s="79"/>
      <c r="N14" s="79"/>
      <c r="O14" s="79"/>
      <c r="P14" s="79"/>
      <c r="Q14" s="79"/>
      <c r="R14" s="79"/>
      <c r="S14" s="79"/>
      <c r="T14" s="25">
        <v>367</v>
      </c>
      <c r="U14" s="25" t="s">
        <v>85</v>
      </c>
      <c r="V14" s="25" t="s">
        <v>15</v>
      </c>
      <c r="W14" s="25"/>
      <c r="X14" s="25"/>
      <c r="Y14" s="25"/>
      <c r="Z14" s="25" t="s">
        <v>110</v>
      </c>
      <c r="AA14" s="25" t="s">
        <v>111</v>
      </c>
      <c r="AB14" s="25">
        <v>367</v>
      </c>
      <c r="AC14" s="25" t="s">
        <v>15</v>
      </c>
      <c r="AD14" s="25"/>
      <c r="AE14" s="25"/>
      <c r="AF14" s="25"/>
      <c r="AG14" s="25"/>
      <c r="AH14" s="25" t="s">
        <v>112</v>
      </c>
      <c r="AI14" s="25" t="s">
        <v>84</v>
      </c>
      <c r="AJ14" s="25" t="s">
        <v>113</v>
      </c>
      <c r="AK14" s="23">
        <v>378</v>
      </c>
      <c r="AL14" s="23" t="s">
        <v>15</v>
      </c>
      <c r="AM14" s="20" t="s">
        <v>103</v>
      </c>
      <c r="AN14" s="23" t="s">
        <v>149</v>
      </c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4"/>
    </row>
    <row r="15" spans="1:53" ht="39" customHeight="1" x14ac:dyDescent="0.25">
      <c r="A15" s="122">
        <v>12</v>
      </c>
      <c r="B15" s="122" t="s">
        <v>34</v>
      </c>
      <c r="C15" s="122" t="s">
        <v>35</v>
      </c>
      <c r="D15" s="122" t="s">
        <v>114</v>
      </c>
      <c r="E15" s="12">
        <v>1350</v>
      </c>
      <c r="F15" s="15" t="s">
        <v>14</v>
      </c>
      <c r="G15" s="15" t="s">
        <v>14</v>
      </c>
      <c r="H15" s="15"/>
      <c r="I15" s="15"/>
      <c r="J15" s="15" t="s">
        <v>14</v>
      </c>
      <c r="K15" s="15" t="s">
        <v>14</v>
      </c>
      <c r="L15" s="15" t="s">
        <v>14</v>
      </c>
      <c r="M15" s="15" t="s">
        <v>14</v>
      </c>
      <c r="N15" s="15"/>
      <c r="O15" s="15" t="s">
        <v>104</v>
      </c>
      <c r="P15" s="15"/>
      <c r="Q15" s="15"/>
      <c r="R15" s="15"/>
      <c r="S15" s="15"/>
      <c r="T15" s="12">
        <v>1135</v>
      </c>
      <c r="U15" s="12" t="s">
        <v>85</v>
      </c>
      <c r="V15" s="12" t="s">
        <v>15</v>
      </c>
      <c r="W15" s="12"/>
      <c r="X15" s="12"/>
      <c r="Y15" s="12"/>
      <c r="Z15" s="12" t="s">
        <v>96</v>
      </c>
      <c r="AA15" s="23"/>
      <c r="AB15" s="23"/>
      <c r="AC15" s="12" t="s">
        <v>15</v>
      </c>
      <c r="AD15" s="23"/>
      <c r="AE15" s="23"/>
      <c r="AF15" s="23"/>
      <c r="AG15" s="23"/>
      <c r="AH15" s="23" t="s">
        <v>129</v>
      </c>
      <c r="AI15" s="23" t="s">
        <v>84</v>
      </c>
      <c r="AJ15" s="23" t="s">
        <v>130</v>
      </c>
      <c r="AK15" s="23">
        <v>800</v>
      </c>
      <c r="AL15" s="23" t="s">
        <v>15</v>
      </c>
      <c r="AM15" s="23" t="s">
        <v>133</v>
      </c>
      <c r="AN15" s="44" t="s">
        <v>137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2"/>
    </row>
    <row r="16" spans="1:53" ht="36" customHeight="1" x14ac:dyDescent="0.25">
      <c r="A16" s="123"/>
      <c r="B16" s="124"/>
      <c r="C16" s="125"/>
      <c r="D16" s="126"/>
      <c r="E16" s="12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2"/>
      <c r="U16" s="12"/>
      <c r="V16" s="12"/>
      <c r="W16" s="12"/>
      <c r="X16" s="12"/>
      <c r="Y16" s="12"/>
      <c r="Z16" s="12" t="s">
        <v>92</v>
      </c>
      <c r="AA16" s="23"/>
      <c r="AB16" s="23"/>
      <c r="AC16" s="12" t="s">
        <v>15</v>
      </c>
      <c r="AD16" s="23"/>
      <c r="AE16" s="23"/>
      <c r="AF16" s="23"/>
      <c r="AG16" s="23"/>
      <c r="AH16" s="23" t="s">
        <v>131</v>
      </c>
      <c r="AI16" s="23" t="s">
        <v>84</v>
      </c>
      <c r="AJ16" s="23" t="s">
        <v>132</v>
      </c>
      <c r="AK16" s="23">
        <v>600</v>
      </c>
      <c r="AL16" s="23" t="s">
        <v>15</v>
      </c>
      <c r="AM16" s="23" t="s">
        <v>133</v>
      </c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2"/>
    </row>
    <row r="17" spans="1:53" ht="30.75" customHeight="1" x14ac:dyDescent="0.25">
      <c r="A17" s="12">
        <v>13</v>
      </c>
      <c r="B17" s="12" t="s">
        <v>115</v>
      </c>
      <c r="C17" s="19">
        <v>45828</v>
      </c>
      <c r="D17" s="12" t="s">
        <v>40</v>
      </c>
      <c r="E17" s="12">
        <v>81</v>
      </c>
      <c r="F17" s="15"/>
      <c r="G17" s="15"/>
      <c r="H17" s="15"/>
      <c r="I17" s="15"/>
      <c r="J17" s="15"/>
      <c r="K17" s="15" t="s">
        <v>14</v>
      </c>
      <c r="L17" s="15" t="s">
        <v>14</v>
      </c>
      <c r="M17" s="15" t="s">
        <v>14</v>
      </c>
      <c r="N17" s="15"/>
      <c r="O17" s="15" t="s">
        <v>104</v>
      </c>
      <c r="P17" s="15"/>
      <c r="Q17" s="15"/>
      <c r="R17" s="15"/>
      <c r="S17" s="15"/>
      <c r="T17" s="12">
        <v>81</v>
      </c>
      <c r="U17" s="12"/>
      <c r="V17" s="12"/>
      <c r="W17" s="12"/>
      <c r="X17" s="12"/>
      <c r="Y17" s="12"/>
      <c r="Z17" s="12"/>
      <c r="AA17" s="12"/>
      <c r="AB17" s="12"/>
      <c r="AC17" s="12"/>
      <c r="AD17" s="12" t="s">
        <v>110</v>
      </c>
      <c r="AE17" s="12"/>
      <c r="AF17" s="12">
        <v>81</v>
      </c>
      <c r="AG17" s="12" t="s">
        <v>15</v>
      </c>
      <c r="AH17" s="12" t="s">
        <v>110</v>
      </c>
      <c r="AI17" s="12"/>
      <c r="AJ17" s="12"/>
      <c r="AK17" s="23"/>
      <c r="AL17" s="23" t="s">
        <v>15</v>
      </c>
      <c r="AM17" s="23"/>
      <c r="AN17" s="25" t="s">
        <v>105</v>
      </c>
      <c r="AO17" s="25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12" t="s">
        <v>108</v>
      </c>
    </row>
    <row r="18" spans="1:53" ht="30.75" customHeight="1" x14ac:dyDescent="0.25">
      <c r="A18" s="12">
        <v>14</v>
      </c>
      <c r="B18" s="12" t="s">
        <v>116</v>
      </c>
      <c r="C18" s="19">
        <v>45829</v>
      </c>
      <c r="D18" s="12" t="s">
        <v>117</v>
      </c>
      <c r="E18" s="12">
        <v>81</v>
      </c>
      <c r="F18" s="15"/>
      <c r="G18" s="15"/>
      <c r="H18" s="15"/>
      <c r="I18" s="15"/>
      <c r="J18" s="15"/>
      <c r="K18" s="15" t="s">
        <v>14</v>
      </c>
      <c r="L18" s="15" t="s">
        <v>14</v>
      </c>
      <c r="M18" s="15" t="s">
        <v>14</v>
      </c>
      <c r="N18" s="15"/>
      <c r="O18" s="15" t="s">
        <v>104</v>
      </c>
      <c r="P18" s="15"/>
      <c r="Q18" s="15"/>
      <c r="R18" s="15"/>
      <c r="S18" s="15"/>
      <c r="T18" s="12">
        <v>81</v>
      </c>
      <c r="U18" s="12"/>
      <c r="V18" s="12"/>
      <c r="W18" s="12"/>
      <c r="X18" s="12"/>
      <c r="Y18" s="12"/>
      <c r="Z18" s="12"/>
      <c r="AA18" s="12"/>
      <c r="AB18" s="12"/>
      <c r="AC18" s="12"/>
      <c r="AD18" s="12" t="s">
        <v>110</v>
      </c>
      <c r="AE18" s="12"/>
      <c r="AF18" s="12">
        <v>81</v>
      </c>
      <c r="AG18" s="12" t="s">
        <v>15</v>
      </c>
      <c r="AH18" s="12" t="s">
        <v>110</v>
      </c>
      <c r="AI18" s="12"/>
      <c r="AJ18" s="12"/>
      <c r="AK18" s="23"/>
      <c r="AL18" s="23" t="s">
        <v>15</v>
      </c>
      <c r="AM18" s="23"/>
      <c r="AN18" s="25" t="s">
        <v>105</v>
      </c>
      <c r="AO18" s="25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12" t="s">
        <v>108</v>
      </c>
    </row>
    <row r="19" spans="1:53" ht="40.5" customHeight="1" x14ac:dyDescent="0.25">
      <c r="A19" s="12">
        <v>15</v>
      </c>
      <c r="B19" s="25" t="s">
        <v>36</v>
      </c>
      <c r="C19" s="25" t="s">
        <v>37</v>
      </c>
      <c r="D19" s="25"/>
      <c r="E19" s="25" t="s">
        <v>38</v>
      </c>
      <c r="F19" s="79" t="s">
        <v>14</v>
      </c>
      <c r="G19" s="79" t="s">
        <v>14</v>
      </c>
      <c r="H19" s="79" t="s">
        <v>14</v>
      </c>
      <c r="I19" s="79"/>
      <c r="J19" s="79"/>
      <c r="K19" s="79" t="s">
        <v>14</v>
      </c>
      <c r="L19" s="79" t="s">
        <v>14</v>
      </c>
      <c r="M19" s="79" t="s">
        <v>14</v>
      </c>
      <c r="N19" s="79"/>
      <c r="O19" s="79" t="s">
        <v>104</v>
      </c>
      <c r="P19" s="79"/>
      <c r="Q19" s="79"/>
      <c r="R19" s="79"/>
      <c r="S19" s="79"/>
      <c r="T19" s="25">
        <v>198</v>
      </c>
      <c r="U19" s="25" t="s">
        <v>85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 t="s">
        <v>151</v>
      </c>
      <c r="AI19" s="23"/>
      <c r="AJ19" s="23"/>
      <c r="AK19" s="23"/>
      <c r="AL19" s="23"/>
      <c r="AM19" s="23" t="s">
        <v>151</v>
      </c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 t="s">
        <v>189</v>
      </c>
    </row>
    <row r="20" spans="1:53" ht="30.75" customHeight="1" x14ac:dyDescent="0.25">
      <c r="A20" s="25">
        <v>16</v>
      </c>
      <c r="B20" s="25" t="s">
        <v>39</v>
      </c>
      <c r="C20" s="25" t="s">
        <v>40</v>
      </c>
      <c r="D20" s="25"/>
      <c r="E20" s="25" t="s">
        <v>41</v>
      </c>
      <c r="F20" s="79" t="s">
        <v>14</v>
      </c>
      <c r="G20" s="79" t="s">
        <v>14</v>
      </c>
      <c r="H20" s="79" t="s">
        <v>14</v>
      </c>
      <c r="I20" s="79"/>
      <c r="J20" s="79"/>
      <c r="K20" s="79"/>
      <c r="L20" s="79"/>
      <c r="M20" s="79"/>
      <c r="N20" s="79"/>
      <c r="O20" s="79" t="s">
        <v>104</v>
      </c>
      <c r="P20" s="24"/>
      <c r="Q20" s="24"/>
      <c r="R20" s="24"/>
      <c r="S20" s="24"/>
      <c r="T20" s="23">
        <v>69</v>
      </c>
      <c r="U20" s="23"/>
      <c r="V20" s="23"/>
      <c r="W20" s="23"/>
      <c r="X20" s="23"/>
      <c r="Y20" s="23"/>
      <c r="Z20" s="23"/>
      <c r="AA20" s="23"/>
      <c r="AB20" s="23"/>
      <c r="AC20" s="86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4"/>
    </row>
    <row r="21" spans="1:53" ht="30.75" customHeight="1" x14ac:dyDescent="0.25">
      <c r="A21" s="25">
        <v>17</v>
      </c>
      <c r="B21" s="25" t="s">
        <v>42</v>
      </c>
      <c r="C21" s="25" t="s">
        <v>43</v>
      </c>
      <c r="D21" s="25"/>
      <c r="E21" s="25">
        <v>80</v>
      </c>
      <c r="F21" s="79" t="s">
        <v>14</v>
      </c>
      <c r="G21" s="79"/>
      <c r="H21" s="79"/>
      <c r="I21" s="79"/>
      <c r="J21" s="79"/>
      <c r="K21" s="79"/>
      <c r="L21" s="79"/>
      <c r="M21" s="79"/>
      <c r="N21" s="79"/>
      <c r="O21" s="79" t="s">
        <v>136</v>
      </c>
      <c r="P21" s="24"/>
      <c r="Q21" s="24"/>
      <c r="R21" s="24"/>
      <c r="S21" s="24"/>
      <c r="T21" s="23">
        <v>80</v>
      </c>
      <c r="U21" s="23"/>
      <c r="V21" s="23"/>
      <c r="W21" s="23" t="s">
        <v>134</v>
      </c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 t="s">
        <v>134</v>
      </c>
      <c r="AO21" s="23"/>
      <c r="AP21" s="23"/>
      <c r="AQ21" s="23"/>
      <c r="AR21" s="23"/>
      <c r="AS21" s="23"/>
      <c r="AT21" s="23" t="s">
        <v>134</v>
      </c>
      <c r="AU21" s="23"/>
      <c r="AV21" s="23"/>
      <c r="AW21" s="23"/>
      <c r="AX21" s="23"/>
      <c r="AY21" s="23"/>
      <c r="AZ21" s="23"/>
      <c r="BA21" s="24" t="s">
        <v>190</v>
      </c>
    </row>
    <row r="22" spans="1:53" ht="30.75" customHeight="1" x14ac:dyDescent="0.25">
      <c r="A22" s="12">
        <v>18</v>
      </c>
      <c r="B22" s="13" t="s">
        <v>44</v>
      </c>
      <c r="C22" s="12" t="s">
        <v>45</v>
      </c>
      <c r="D22" s="12"/>
      <c r="E22" s="12">
        <v>360</v>
      </c>
      <c r="F22" s="15" t="s">
        <v>14</v>
      </c>
      <c r="G22" s="15"/>
      <c r="H22" s="15"/>
      <c r="I22" s="15"/>
      <c r="J22" s="15"/>
      <c r="K22" s="15"/>
      <c r="L22" s="15"/>
      <c r="M22" s="15"/>
      <c r="N22" s="15"/>
      <c r="O22" s="15" t="s">
        <v>104</v>
      </c>
      <c r="P22" s="24"/>
      <c r="Q22" s="24"/>
      <c r="R22" s="24"/>
      <c r="S22" s="24"/>
      <c r="T22" s="23">
        <v>342</v>
      </c>
      <c r="U22" s="23" t="s">
        <v>85</v>
      </c>
      <c r="V22" s="23"/>
      <c r="W22" s="23"/>
      <c r="X22" s="23"/>
      <c r="Y22" s="23"/>
      <c r="Z22" s="23" t="s">
        <v>133</v>
      </c>
      <c r="AA22" s="23" t="s">
        <v>139</v>
      </c>
      <c r="AB22" s="23">
        <v>100</v>
      </c>
      <c r="AC22" s="23" t="s">
        <v>15</v>
      </c>
      <c r="AD22" s="23"/>
      <c r="AE22" s="23"/>
      <c r="AF22" s="23"/>
      <c r="AG22" s="23"/>
      <c r="AH22" s="23" t="s">
        <v>151</v>
      </c>
      <c r="AI22" s="23"/>
      <c r="AJ22" s="23"/>
      <c r="AK22" s="23"/>
      <c r="AL22" s="23"/>
      <c r="AM22" s="23" t="s">
        <v>151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2"/>
    </row>
    <row r="23" spans="1:53" ht="30.75" customHeight="1" x14ac:dyDescent="0.25">
      <c r="A23" s="12">
        <v>20</v>
      </c>
      <c r="B23" s="12" t="s">
        <v>46</v>
      </c>
      <c r="C23" s="12" t="s">
        <v>47</v>
      </c>
      <c r="D23" s="12"/>
      <c r="E23" s="12">
        <v>284</v>
      </c>
      <c r="F23" s="15"/>
      <c r="G23" s="15"/>
      <c r="H23" s="15"/>
      <c r="I23" s="15"/>
      <c r="J23" s="15"/>
      <c r="K23" s="15" t="s">
        <v>14</v>
      </c>
      <c r="L23" s="15" t="s">
        <v>14</v>
      </c>
      <c r="M23" s="15" t="s">
        <v>14</v>
      </c>
      <c r="N23" s="15"/>
      <c r="O23" s="15" t="s">
        <v>83</v>
      </c>
      <c r="P23" s="24"/>
      <c r="Q23" s="24"/>
      <c r="R23" s="24"/>
      <c r="S23" s="24"/>
      <c r="T23" s="23">
        <f>138+135</f>
        <v>273</v>
      </c>
      <c r="U23" s="1"/>
      <c r="V23" s="1"/>
      <c r="W23" s="1"/>
      <c r="X23" s="1"/>
      <c r="Y23" s="1"/>
      <c r="Z23" s="1"/>
      <c r="AA23" s="1"/>
      <c r="AB23" s="1"/>
      <c r="AC23" s="32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2"/>
    </row>
    <row r="24" spans="1:53" ht="30.75" customHeight="1" x14ac:dyDescent="0.25">
      <c r="A24" s="25">
        <v>21</v>
      </c>
      <c r="B24" s="25" t="s">
        <v>118</v>
      </c>
      <c r="C24" s="25" t="s">
        <v>114</v>
      </c>
      <c r="D24" s="25"/>
      <c r="E24" s="25">
        <v>250</v>
      </c>
      <c r="F24" s="79"/>
      <c r="G24" s="79"/>
      <c r="H24" s="79"/>
      <c r="I24" s="79"/>
      <c r="J24" s="79"/>
      <c r="K24" s="79"/>
      <c r="L24" s="79"/>
      <c r="M24" s="79"/>
      <c r="N24" s="79"/>
      <c r="O24" s="79" t="s">
        <v>83</v>
      </c>
      <c r="P24" s="24"/>
      <c r="Q24" s="24"/>
      <c r="R24" s="24"/>
      <c r="S24" s="24"/>
      <c r="T24" s="23">
        <v>235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4"/>
    </row>
    <row r="25" spans="1:53" ht="30.75" customHeight="1" x14ac:dyDescent="0.25">
      <c r="A25" s="12">
        <v>22</v>
      </c>
      <c r="B25" s="12" t="s">
        <v>119</v>
      </c>
      <c r="C25" s="12" t="s">
        <v>120</v>
      </c>
      <c r="D25" s="19">
        <v>45876</v>
      </c>
      <c r="E25" s="12">
        <v>423</v>
      </c>
      <c r="F25" s="15" t="s">
        <v>14</v>
      </c>
      <c r="G25" s="15" t="s">
        <v>14</v>
      </c>
      <c r="H25" s="15"/>
      <c r="I25" s="15"/>
      <c r="J25" s="15" t="s">
        <v>14</v>
      </c>
      <c r="K25" s="15" t="s">
        <v>14</v>
      </c>
      <c r="L25" s="15" t="s">
        <v>14</v>
      </c>
      <c r="M25" s="15" t="s">
        <v>14</v>
      </c>
      <c r="N25" s="15" t="s">
        <v>14</v>
      </c>
      <c r="O25" s="15" t="s">
        <v>83</v>
      </c>
      <c r="P25" s="24"/>
      <c r="Q25" s="24"/>
      <c r="R25" s="24"/>
      <c r="S25" s="24"/>
      <c r="T25" s="23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2"/>
    </row>
    <row r="26" spans="1:53" ht="30.75" customHeight="1" x14ac:dyDescent="0.25">
      <c r="A26" s="12">
        <v>23</v>
      </c>
      <c r="B26" s="23" t="s">
        <v>152</v>
      </c>
      <c r="C26" s="23" t="s">
        <v>120</v>
      </c>
      <c r="D26" s="23"/>
      <c r="E26" s="23">
        <v>96</v>
      </c>
      <c r="F26" s="24" t="s">
        <v>14</v>
      </c>
      <c r="G26" s="24" t="s">
        <v>14</v>
      </c>
      <c r="H26" s="24"/>
      <c r="I26" s="24"/>
      <c r="J26" s="24" t="s">
        <v>14</v>
      </c>
      <c r="K26" s="24"/>
      <c r="L26" s="24"/>
      <c r="M26" s="24"/>
      <c r="N26" s="24"/>
      <c r="O26" s="24"/>
      <c r="P26" s="24"/>
      <c r="Q26" s="24"/>
      <c r="R26" s="24"/>
      <c r="S26" s="24"/>
      <c r="T26" s="23">
        <v>87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2"/>
    </row>
    <row r="27" spans="1:53" ht="30.75" customHeight="1" x14ac:dyDescent="0.25">
      <c r="A27" s="12">
        <v>24</v>
      </c>
      <c r="B27" s="23" t="s">
        <v>153</v>
      </c>
      <c r="C27" s="23" t="s">
        <v>154</v>
      </c>
      <c r="D27" s="23"/>
      <c r="E27" s="23">
        <v>47</v>
      </c>
      <c r="F27" s="24" t="s">
        <v>14</v>
      </c>
      <c r="G27" s="24" t="s">
        <v>14</v>
      </c>
      <c r="H27" s="24" t="s">
        <v>14</v>
      </c>
      <c r="I27" s="24"/>
      <c r="J27" s="24"/>
      <c r="K27" s="24"/>
      <c r="L27" s="24"/>
      <c r="M27" s="24"/>
      <c r="N27" s="24"/>
      <c r="O27" s="24"/>
      <c r="P27" s="2"/>
      <c r="Q27" s="2"/>
      <c r="R27" s="2"/>
      <c r="S27" s="2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2"/>
    </row>
    <row r="28" spans="1:53" ht="30.75" customHeight="1" x14ac:dyDescent="0.25">
      <c r="A28" s="12">
        <v>25</v>
      </c>
      <c r="B28" s="23" t="s">
        <v>155</v>
      </c>
      <c r="C28" s="23" t="s">
        <v>156</v>
      </c>
      <c r="D28" s="23"/>
      <c r="E28" s="23">
        <v>40</v>
      </c>
      <c r="F28" s="24" t="s">
        <v>14</v>
      </c>
      <c r="G28" s="24" t="s">
        <v>14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3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2"/>
    </row>
    <row r="29" spans="1:53" ht="30.75" customHeight="1" x14ac:dyDescent="0.25">
      <c r="A29" s="12">
        <v>26</v>
      </c>
      <c r="B29" s="23" t="s">
        <v>157</v>
      </c>
      <c r="C29" s="45">
        <v>45784</v>
      </c>
      <c r="D29" s="23"/>
      <c r="E29" s="23">
        <v>160</v>
      </c>
      <c r="F29" s="24" t="s">
        <v>14</v>
      </c>
      <c r="G29" s="24"/>
      <c r="H29" s="24" t="s">
        <v>14</v>
      </c>
      <c r="I29" s="24"/>
      <c r="J29" s="24"/>
      <c r="K29" s="24" t="s">
        <v>14</v>
      </c>
      <c r="L29" s="24" t="s">
        <v>14</v>
      </c>
      <c r="M29" s="24" t="s">
        <v>14</v>
      </c>
      <c r="N29" s="24"/>
      <c r="O29" s="24"/>
      <c r="P29" s="24"/>
      <c r="Q29" s="24"/>
      <c r="R29" s="24"/>
      <c r="S29" s="24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2"/>
    </row>
    <row r="30" spans="1:53" ht="30.75" customHeight="1" x14ac:dyDescent="0.25">
      <c r="A30" s="12">
        <v>27</v>
      </c>
      <c r="B30" s="23" t="s">
        <v>158</v>
      </c>
      <c r="C30" s="45">
        <v>45815</v>
      </c>
      <c r="D30" s="23"/>
      <c r="E30" s="23">
        <v>40</v>
      </c>
      <c r="F30" s="24"/>
      <c r="G30" s="24" t="s">
        <v>14</v>
      </c>
      <c r="H30" s="24"/>
      <c r="I30" s="24"/>
      <c r="J30" s="24"/>
      <c r="K30" s="24" t="s">
        <v>14</v>
      </c>
      <c r="L30" s="24" t="s">
        <v>14</v>
      </c>
      <c r="M30" s="24" t="s">
        <v>14</v>
      </c>
      <c r="N30" s="24"/>
      <c r="O30" s="24"/>
      <c r="P30" s="24"/>
      <c r="Q30" s="24"/>
      <c r="R30" s="24"/>
      <c r="S30" s="24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2"/>
    </row>
    <row r="31" spans="1:53" ht="33.950000000000003" customHeight="1" x14ac:dyDescent="0.25">
      <c r="A31" s="12">
        <v>28</v>
      </c>
      <c r="B31" s="23" t="s">
        <v>159</v>
      </c>
      <c r="C31" s="45">
        <v>45998</v>
      </c>
      <c r="D31" s="23"/>
      <c r="E31" s="23">
        <v>190</v>
      </c>
      <c r="F31" s="24" t="s">
        <v>14</v>
      </c>
      <c r="G31" s="24" t="s">
        <v>14</v>
      </c>
      <c r="H31" s="24"/>
      <c r="I31" s="24"/>
      <c r="J31" s="24"/>
      <c r="K31" s="24" t="s">
        <v>14</v>
      </c>
      <c r="L31" s="24" t="s">
        <v>14</v>
      </c>
      <c r="M31" s="24" t="s">
        <v>14</v>
      </c>
      <c r="N31" s="24"/>
      <c r="O31" s="24"/>
      <c r="P31" s="24"/>
      <c r="Q31" s="24"/>
      <c r="R31" s="24"/>
      <c r="S31" s="24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2"/>
    </row>
    <row r="32" spans="1:53" ht="33.950000000000003" customHeight="1" x14ac:dyDescent="0.25">
      <c r="A32" s="13">
        <v>29</v>
      </c>
      <c r="B32" s="48" t="s">
        <v>160</v>
      </c>
      <c r="C32" s="48" t="s">
        <v>161</v>
      </c>
      <c r="D32" s="48"/>
      <c r="E32" s="48">
        <v>50</v>
      </c>
      <c r="F32" s="49" t="s">
        <v>14</v>
      </c>
      <c r="G32" s="49" t="s">
        <v>14</v>
      </c>
      <c r="H32" s="49"/>
      <c r="I32" s="49"/>
      <c r="J32" s="49" t="s">
        <v>14</v>
      </c>
      <c r="K32" s="49"/>
      <c r="L32" s="49"/>
      <c r="M32" s="49"/>
      <c r="N32" s="49"/>
      <c r="O32" s="49"/>
      <c r="P32" s="49"/>
      <c r="Q32" s="49"/>
      <c r="R32" s="49"/>
      <c r="S32" s="49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1"/>
    </row>
    <row r="33" spans="1:53" s="59" customFormat="1" ht="33.950000000000003" customHeight="1" x14ac:dyDescent="0.25">
      <c r="A33" s="12">
        <v>30</v>
      </c>
      <c r="B33" s="69" t="s">
        <v>179</v>
      </c>
      <c r="C33" s="69" t="s">
        <v>180</v>
      </c>
      <c r="D33" s="70"/>
      <c r="E33" s="91">
        <v>1100</v>
      </c>
      <c r="F33" s="58"/>
      <c r="G33" s="58"/>
      <c r="H33" s="58"/>
      <c r="I33" s="58"/>
      <c r="J33" s="58"/>
      <c r="K33" s="58" t="s">
        <v>14</v>
      </c>
      <c r="L33" s="58"/>
      <c r="M33" s="58" t="s">
        <v>14</v>
      </c>
      <c r="N33" s="58"/>
      <c r="O33" s="58"/>
      <c r="P33" s="58"/>
      <c r="Q33" s="58"/>
      <c r="R33" s="58"/>
      <c r="S33" s="58"/>
      <c r="T33" s="91">
        <f>176+163+232</f>
        <v>571</v>
      </c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</row>
    <row r="34" spans="1:53" s="59" customFormat="1" ht="33.950000000000003" customHeight="1" x14ac:dyDescent="0.25">
      <c r="A34" s="13">
        <v>31</v>
      </c>
      <c r="B34" s="61" t="s">
        <v>191</v>
      </c>
      <c r="C34" s="62" t="s">
        <v>181</v>
      </c>
      <c r="D34" s="63"/>
      <c r="E34" s="62">
        <v>130</v>
      </c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91">
        <v>106</v>
      </c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</row>
    <row r="35" spans="1:53" s="59" customFormat="1" ht="33.950000000000003" customHeight="1" x14ac:dyDescent="0.25">
      <c r="A35" s="12">
        <v>32</v>
      </c>
      <c r="B35" s="64" t="s">
        <v>159</v>
      </c>
      <c r="C35" s="65">
        <v>45850</v>
      </c>
      <c r="D35" s="64"/>
      <c r="E35" s="64">
        <v>190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91">
        <v>206</v>
      </c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</row>
    <row r="36" spans="1:53" s="59" customFormat="1" ht="33.950000000000003" customHeight="1" x14ac:dyDescent="0.25">
      <c r="A36" s="13">
        <v>33</v>
      </c>
      <c r="B36" s="61" t="s">
        <v>182</v>
      </c>
      <c r="C36" s="62" t="s">
        <v>183</v>
      </c>
      <c r="D36" s="63"/>
      <c r="E36" s="62">
        <v>120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5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</row>
    <row r="37" spans="1:53" s="59" customFormat="1" ht="33.950000000000003" customHeight="1" x14ac:dyDescent="0.25">
      <c r="A37" s="12">
        <v>34</v>
      </c>
      <c r="B37" s="61" t="s">
        <v>184</v>
      </c>
      <c r="C37" s="62" t="s">
        <v>185</v>
      </c>
      <c r="D37" s="63"/>
      <c r="E37" s="62">
        <v>610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91">
        <v>562</v>
      </c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</row>
    <row r="38" spans="1:53" s="59" customFormat="1" ht="33.950000000000003" customHeight="1" x14ac:dyDescent="0.25">
      <c r="A38" s="13">
        <v>35</v>
      </c>
      <c r="B38" s="61" t="s">
        <v>186</v>
      </c>
      <c r="C38" s="62" t="s">
        <v>187</v>
      </c>
      <c r="D38" s="63"/>
      <c r="E38" s="62">
        <v>2290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</row>
    <row r="39" spans="1:53" s="59" customFormat="1" ht="33.950000000000003" customHeight="1" x14ac:dyDescent="0.25">
      <c r="A39" s="12">
        <v>36</v>
      </c>
      <c r="B39" s="68"/>
      <c r="C39" s="66"/>
      <c r="D39" s="67"/>
      <c r="E39" s="66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5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</row>
    <row r="40" spans="1:53" s="59" customFormat="1" ht="33.950000000000003" customHeight="1" x14ac:dyDescent="0.25">
      <c r="A40" s="13">
        <v>37</v>
      </c>
      <c r="B40" s="35"/>
      <c r="C40" s="35"/>
      <c r="D40" s="58"/>
      <c r="E40" s="55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5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</row>
    <row r="41" spans="1:53" s="59" customFormat="1" ht="33.950000000000003" customHeight="1" x14ac:dyDescent="0.25">
      <c r="A41" s="12">
        <v>38</v>
      </c>
      <c r="B41" s="35"/>
      <c r="C41" s="35"/>
      <c r="D41" s="58"/>
      <c r="E41" s="55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5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</row>
    <row r="42" spans="1:53" s="59" customFormat="1" ht="33.950000000000003" customHeight="1" x14ac:dyDescent="0.25">
      <c r="A42" s="13">
        <v>39</v>
      </c>
      <c r="B42" s="35"/>
      <c r="C42" s="35"/>
      <c r="D42" s="58"/>
      <c r="E42" s="55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5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</row>
    <row r="43" spans="1:53" s="59" customFormat="1" ht="33.950000000000003" customHeight="1" x14ac:dyDescent="0.25">
      <c r="A43" s="12">
        <v>40</v>
      </c>
      <c r="B43" s="35"/>
      <c r="C43" s="35"/>
      <c r="D43" s="58"/>
      <c r="E43" s="55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5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</row>
    <row r="44" spans="1:53" s="59" customFormat="1" ht="33.950000000000003" customHeight="1" x14ac:dyDescent="0.25">
      <c r="A44" s="13">
        <v>41</v>
      </c>
      <c r="B44" s="35"/>
      <c r="C44" s="35"/>
      <c r="D44" s="58"/>
      <c r="E44" s="55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5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</row>
    <row r="45" spans="1:53" s="59" customFormat="1" ht="33.950000000000003" customHeight="1" x14ac:dyDescent="0.25">
      <c r="A45" s="12">
        <v>42</v>
      </c>
      <c r="B45" s="35"/>
      <c r="C45" s="35"/>
      <c r="D45" s="58"/>
      <c r="E45" s="55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5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</row>
    <row r="46" spans="1:53" s="59" customFormat="1" ht="33.950000000000003" customHeight="1" x14ac:dyDescent="0.25">
      <c r="A46" s="13">
        <v>43</v>
      </c>
      <c r="B46" s="35"/>
      <c r="C46" s="35"/>
      <c r="D46" s="58"/>
      <c r="E46" s="55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5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</row>
    <row r="47" spans="1:53" s="59" customFormat="1" ht="33.950000000000003" customHeight="1" x14ac:dyDescent="0.25">
      <c r="A47" s="12">
        <v>44</v>
      </c>
      <c r="B47" s="35"/>
      <c r="C47" s="35"/>
      <c r="D47" s="58"/>
      <c r="E47" s="55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5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</row>
    <row r="48" spans="1:53" s="59" customFormat="1" ht="33.950000000000003" customHeight="1" x14ac:dyDescent="0.25">
      <c r="A48" s="13">
        <v>45</v>
      </c>
      <c r="B48" s="60"/>
      <c r="C48" s="60"/>
      <c r="E48" s="56"/>
      <c r="T48" s="56"/>
    </row>
    <row r="49" spans="1:20" s="59" customFormat="1" ht="33.950000000000003" customHeight="1" x14ac:dyDescent="0.25">
      <c r="A49" s="12">
        <v>46</v>
      </c>
      <c r="B49" s="60"/>
      <c r="C49" s="60"/>
      <c r="E49" s="56"/>
      <c r="T49" s="56"/>
    </row>
    <row r="50" spans="1:20" s="59" customFormat="1" ht="33.950000000000003" customHeight="1" x14ac:dyDescent="0.25">
      <c r="A50" s="13">
        <v>47</v>
      </c>
      <c r="B50" s="60"/>
      <c r="C50" s="60"/>
      <c r="E50" s="56"/>
      <c r="T50" s="56"/>
    </row>
    <row r="51" spans="1:20" s="59" customFormat="1" ht="33.950000000000003" customHeight="1" x14ac:dyDescent="0.25">
      <c r="A51" s="12">
        <v>48</v>
      </c>
      <c r="B51" s="60"/>
      <c r="C51" s="60"/>
      <c r="E51" s="56"/>
      <c r="T51" s="56"/>
    </row>
    <row r="52" spans="1:20" s="59" customFormat="1" ht="33.950000000000003" customHeight="1" x14ac:dyDescent="0.25">
      <c r="A52" s="13">
        <v>49</v>
      </c>
      <c r="B52" s="60"/>
      <c r="C52" s="60"/>
      <c r="E52" s="56"/>
      <c r="T52" s="56"/>
    </row>
    <row r="53" spans="1:20" s="59" customFormat="1" ht="33.950000000000003" customHeight="1" x14ac:dyDescent="0.25">
      <c r="A53" s="12">
        <v>50</v>
      </c>
      <c r="B53" s="60"/>
      <c r="C53" s="60"/>
      <c r="E53" s="56"/>
      <c r="T53" s="56"/>
    </row>
    <row r="54" spans="1:20" s="59" customFormat="1" ht="33.950000000000003" customHeight="1" x14ac:dyDescent="0.25">
      <c r="A54" s="13">
        <v>51</v>
      </c>
      <c r="B54" s="60"/>
      <c r="C54" s="60"/>
      <c r="E54" s="56"/>
      <c r="T54" s="56"/>
    </row>
    <row r="55" spans="1:20" s="59" customFormat="1" ht="33.950000000000003" customHeight="1" x14ac:dyDescent="0.25">
      <c r="A55" s="12">
        <v>52</v>
      </c>
      <c r="B55" s="60"/>
      <c r="C55" s="60"/>
      <c r="E55" s="56"/>
      <c r="T55" s="56"/>
    </row>
    <row r="56" spans="1:20" s="59" customFormat="1" ht="33.950000000000003" customHeight="1" x14ac:dyDescent="0.25">
      <c r="A56" s="13">
        <v>53</v>
      </c>
      <c r="B56" s="60"/>
      <c r="C56" s="60"/>
      <c r="E56" s="56"/>
      <c r="T56" s="56"/>
    </row>
    <row r="57" spans="1:20" s="59" customFormat="1" ht="33.950000000000003" customHeight="1" x14ac:dyDescent="0.25">
      <c r="A57" s="12">
        <v>54</v>
      </c>
      <c r="B57" s="60"/>
      <c r="C57" s="60"/>
      <c r="E57" s="56"/>
      <c r="T57" s="56"/>
    </row>
    <row r="58" spans="1:20" s="59" customFormat="1" ht="33.950000000000003" customHeight="1" x14ac:dyDescent="0.25">
      <c r="A58" s="13">
        <v>55</v>
      </c>
      <c r="B58" s="60"/>
      <c r="C58" s="60"/>
      <c r="E58" s="56"/>
      <c r="T58" s="56"/>
    </row>
    <row r="59" spans="1:20" s="59" customFormat="1" ht="33.950000000000003" customHeight="1" x14ac:dyDescent="0.25">
      <c r="A59" s="12">
        <v>56</v>
      </c>
      <c r="B59" s="60"/>
      <c r="C59" s="60"/>
      <c r="E59" s="56"/>
      <c r="T59" s="56"/>
    </row>
    <row r="60" spans="1:20" s="59" customFormat="1" ht="33.950000000000003" customHeight="1" x14ac:dyDescent="0.25">
      <c r="A60" s="13">
        <v>57</v>
      </c>
      <c r="B60" s="60"/>
      <c r="C60" s="60"/>
      <c r="E60" s="56"/>
      <c r="T60" s="56"/>
    </row>
    <row r="61" spans="1:20" s="59" customFormat="1" ht="33.950000000000003" customHeight="1" x14ac:dyDescent="0.25">
      <c r="A61" s="12">
        <v>58</v>
      </c>
      <c r="B61" s="60"/>
      <c r="C61" s="60"/>
      <c r="E61" s="56"/>
      <c r="T61" s="56"/>
    </row>
    <row r="62" spans="1:20" s="59" customFormat="1" ht="33.950000000000003" customHeight="1" x14ac:dyDescent="0.25">
      <c r="A62" s="13">
        <v>59</v>
      </c>
      <c r="B62" s="60"/>
      <c r="C62" s="60"/>
      <c r="E62" s="56"/>
      <c r="T62" s="56"/>
    </row>
    <row r="63" spans="1:20" s="59" customFormat="1" ht="33.950000000000003" customHeight="1" x14ac:dyDescent="0.25">
      <c r="A63" s="12">
        <v>60</v>
      </c>
      <c r="B63" s="60"/>
      <c r="C63" s="60"/>
      <c r="E63" s="56"/>
      <c r="T63" s="56"/>
    </row>
    <row r="64" spans="1:20" s="59" customFormat="1" ht="33.950000000000003" customHeight="1" x14ac:dyDescent="0.25">
      <c r="A64" s="13">
        <v>61</v>
      </c>
      <c r="B64" s="60"/>
      <c r="C64" s="60"/>
      <c r="E64" s="56"/>
      <c r="T64" s="56"/>
    </row>
    <row r="65" spans="1:20" s="59" customFormat="1" ht="33.950000000000003" customHeight="1" x14ac:dyDescent="0.25">
      <c r="A65" s="12">
        <v>62</v>
      </c>
      <c r="B65" s="60"/>
      <c r="C65" s="60"/>
      <c r="E65" s="56"/>
      <c r="T65" s="56"/>
    </row>
    <row r="66" spans="1:20" s="59" customFormat="1" ht="33.950000000000003" customHeight="1" x14ac:dyDescent="0.25">
      <c r="A66" s="13">
        <v>63</v>
      </c>
      <c r="B66" s="60"/>
      <c r="C66" s="60"/>
      <c r="E66" s="56"/>
      <c r="T66" s="56"/>
    </row>
    <row r="67" spans="1:20" s="59" customFormat="1" ht="33.950000000000003" customHeight="1" x14ac:dyDescent="0.25">
      <c r="A67" s="12">
        <v>64</v>
      </c>
      <c r="B67" s="60"/>
      <c r="C67" s="60"/>
      <c r="E67" s="56"/>
      <c r="T67" s="56"/>
    </row>
    <row r="68" spans="1:20" s="59" customFormat="1" ht="33.950000000000003" customHeight="1" x14ac:dyDescent="0.25">
      <c r="B68" s="60"/>
      <c r="C68" s="60"/>
      <c r="E68" s="56"/>
      <c r="T68" s="56"/>
    </row>
    <row r="69" spans="1:20" s="59" customFormat="1" ht="33.950000000000003" customHeight="1" x14ac:dyDescent="0.25">
      <c r="B69" s="60"/>
      <c r="C69" s="60"/>
      <c r="E69" s="56"/>
      <c r="T69" s="56"/>
    </row>
    <row r="70" spans="1:20" s="59" customFormat="1" ht="33.950000000000003" customHeight="1" x14ac:dyDescent="0.25">
      <c r="B70" s="60"/>
      <c r="C70" s="60"/>
      <c r="E70" s="56"/>
      <c r="T70" s="56"/>
    </row>
    <row r="71" spans="1:20" s="59" customFormat="1" ht="33.950000000000003" customHeight="1" x14ac:dyDescent="0.25">
      <c r="B71" s="60"/>
      <c r="C71" s="60"/>
      <c r="E71" s="56"/>
      <c r="T71" s="56"/>
    </row>
    <row r="72" spans="1:20" s="59" customFormat="1" ht="33.950000000000003" customHeight="1" x14ac:dyDescent="0.25">
      <c r="B72" s="60"/>
      <c r="C72" s="60"/>
      <c r="E72" s="56"/>
      <c r="T72" s="56"/>
    </row>
    <row r="73" spans="1:20" s="59" customFormat="1" ht="33.950000000000003" customHeight="1" x14ac:dyDescent="0.25">
      <c r="B73" s="60"/>
      <c r="C73" s="60"/>
      <c r="E73" s="56"/>
      <c r="T73" s="56"/>
    </row>
    <row r="74" spans="1:20" s="59" customFormat="1" ht="33.950000000000003" customHeight="1" x14ac:dyDescent="0.25">
      <c r="B74" s="60"/>
      <c r="C74" s="60"/>
      <c r="E74" s="56"/>
      <c r="T74" s="56"/>
    </row>
    <row r="75" spans="1:20" s="59" customFormat="1" ht="33.950000000000003" customHeight="1" x14ac:dyDescent="0.25">
      <c r="B75" s="60"/>
      <c r="C75" s="60"/>
      <c r="E75" s="56"/>
      <c r="T75" s="56"/>
    </row>
    <row r="76" spans="1:20" s="59" customFormat="1" ht="33.950000000000003" customHeight="1" x14ac:dyDescent="0.25">
      <c r="B76" s="60"/>
      <c r="C76" s="60"/>
      <c r="E76" s="56"/>
      <c r="T76" s="56"/>
    </row>
    <row r="77" spans="1:20" s="59" customFormat="1" ht="33.950000000000003" customHeight="1" x14ac:dyDescent="0.25">
      <c r="B77" s="60"/>
      <c r="C77" s="60"/>
      <c r="E77" s="56"/>
      <c r="T77" s="56"/>
    </row>
    <row r="78" spans="1:20" s="59" customFormat="1" ht="33.950000000000003" customHeight="1" x14ac:dyDescent="0.25">
      <c r="B78" s="60"/>
      <c r="C78" s="60"/>
      <c r="E78" s="56"/>
      <c r="T78" s="56"/>
    </row>
    <row r="79" spans="1:20" s="59" customFormat="1" ht="33.950000000000003" customHeight="1" x14ac:dyDescent="0.25">
      <c r="B79" s="60"/>
      <c r="C79" s="60"/>
      <c r="E79" s="56"/>
      <c r="T79" s="56"/>
    </row>
    <row r="80" spans="1:20" s="59" customFormat="1" ht="33.950000000000003" customHeight="1" x14ac:dyDescent="0.25">
      <c r="B80" s="60"/>
      <c r="C80" s="60"/>
      <c r="E80" s="56"/>
      <c r="T80" s="56"/>
    </row>
    <row r="81" spans="2:20" s="59" customFormat="1" ht="33.950000000000003" customHeight="1" x14ac:dyDescent="0.25">
      <c r="B81" s="60"/>
      <c r="C81" s="60"/>
      <c r="E81" s="56"/>
      <c r="T81" s="56"/>
    </row>
    <row r="82" spans="2:20" s="59" customFormat="1" ht="33.950000000000003" customHeight="1" x14ac:dyDescent="0.25">
      <c r="B82" s="60"/>
      <c r="C82" s="60"/>
      <c r="E82" s="56"/>
      <c r="T82" s="56"/>
    </row>
    <row r="83" spans="2:20" s="59" customFormat="1" ht="33.950000000000003" customHeight="1" x14ac:dyDescent="0.25">
      <c r="B83" s="60"/>
      <c r="C83" s="60"/>
      <c r="E83" s="56"/>
      <c r="T83" s="56"/>
    </row>
    <row r="84" spans="2:20" s="59" customFormat="1" ht="33.950000000000003" customHeight="1" x14ac:dyDescent="0.25">
      <c r="B84" s="60"/>
      <c r="C84" s="60"/>
      <c r="E84" s="56"/>
      <c r="T84" s="56"/>
    </row>
    <row r="85" spans="2:20" s="59" customFormat="1" ht="33.950000000000003" customHeight="1" x14ac:dyDescent="0.25">
      <c r="B85" s="60"/>
      <c r="C85" s="60"/>
      <c r="E85" s="56"/>
      <c r="T85" s="56"/>
    </row>
    <row r="86" spans="2:20" s="59" customFormat="1" ht="33.950000000000003" customHeight="1" x14ac:dyDescent="0.25">
      <c r="B86" s="60"/>
      <c r="C86" s="60"/>
      <c r="E86" s="56"/>
      <c r="T86" s="56"/>
    </row>
    <row r="87" spans="2:20" s="59" customFormat="1" ht="33.950000000000003" customHeight="1" x14ac:dyDescent="0.25">
      <c r="B87" s="60"/>
      <c r="C87" s="60"/>
      <c r="E87" s="56"/>
      <c r="T87" s="56"/>
    </row>
    <row r="88" spans="2:20" s="59" customFormat="1" ht="33.950000000000003" customHeight="1" x14ac:dyDescent="0.25">
      <c r="B88" s="60"/>
      <c r="C88" s="60"/>
      <c r="E88" s="56"/>
      <c r="T88" s="56"/>
    </row>
    <row r="89" spans="2:20" s="59" customFormat="1" ht="33.950000000000003" customHeight="1" x14ac:dyDescent="0.25">
      <c r="B89" s="60"/>
      <c r="C89" s="60"/>
      <c r="E89" s="56"/>
      <c r="T89" s="56"/>
    </row>
    <row r="90" spans="2:20" s="59" customFormat="1" ht="33.950000000000003" customHeight="1" x14ac:dyDescent="0.25">
      <c r="B90" s="60"/>
      <c r="C90" s="60"/>
      <c r="E90" s="56"/>
      <c r="T90" s="56"/>
    </row>
    <row r="91" spans="2:20" s="59" customFormat="1" ht="33.950000000000003" customHeight="1" x14ac:dyDescent="0.25">
      <c r="B91" s="60"/>
      <c r="C91" s="60"/>
      <c r="E91" s="56"/>
      <c r="T91" s="56"/>
    </row>
    <row r="92" spans="2:20" s="59" customFormat="1" ht="33.950000000000003" customHeight="1" x14ac:dyDescent="0.25">
      <c r="B92" s="60"/>
      <c r="C92" s="60"/>
      <c r="E92" s="56"/>
      <c r="T92" s="56"/>
    </row>
    <row r="93" spans="2:20" s="59" customFormat="1" ht="33.950000000000003" customHeight="1" x14ac:dyDescent="0.25">
      <c r="B93" s="60"/>
      <c r="C93" s="60"/>
      <c r="E93" s="56"/>
      <c r="T93" s="56"/>
    </row>
    <row r="94" spans="2:20" s="59" customFormat="1" ht="33.950000000000003" customHeight="1" x14ac:dyDescent="0.25">
      <c r="B94" s="60"/>
      <c r="C94" s="60"/>
      <c r="E94" s="56"/>
      <c r="T94" s="56"/>
    </row>
    <row r="95" spans="2:20" s="59" customFormat="1" ht="33.950000000000003" customHeight="1" x14ac:dyDescent="0.25">
      <c r="B95" s="60"/>
      <c r="C95" s="60"/>
      <c r="E95" s="56"/>
      <c r="T95" s="56"/>
    </row>
    <row r="96" spans="2:20" s="59" customFormat="1" ht="33.950000000000003" customHeight="1" x14ac:dyDescent="0.25">
      <c r="B96" s="60"/>
      <c r="C96" s="60"/>
      <c r="E96" s="56"/>
      <c r="T96" s="56"/>
    </row>
    <row r="97" spans="2:20" s="59" customFormat="1" ht="33.950000000000003" customHeight="1" x14ac:dyDescent="0.25">
      <c r="B97" s="60"/>
      <c r="C97" s="60"/>
      <c r="E97" s="56"/>
      <c r="T97" s="56"/>
    </row>
    <row r="98" spans="2:20" s="59" customFormat="1" ht="33.950000000000003" customHeight="1" x14ac:dyDescent="0.25">
      <c r="B98" s="60"/>
      <c r="C98" s="60"/>
      <c r="E98" s="56"/>
      <c r="T98" s="56"/>
    </row>
    <row r="99" spans="2:20" s="59" customFormat="1" ht="33.950000000000003" customHeight="1" x14ac:dyDescent="0.25">
      <c r="B99" s="60"/>
      <c r="C99" s="60"/>
      <c r="E99" s="56"/>
      <c r="T99" s="56"/>
    </row>
    <row r="100" spans="2:20" s="59" customFormat="1" ht="33.950000000000003" customHeight="1" x14ac:dyDescent="0.25">
      <c r="B100" s="60"/>
      <c r="C100" s="60"/>
      <c r="E100" s="56"/>
      <c r="T100" s="56"/>
    </row>
    <row r="101" spans="2:20" s="59" customFormat="1" ht="14.25" customHeight="1" x14ac:dyDescent="0.25">
      <c r="B101" s="60"/>
      <c r="C101" s="60"/>
      <c r="E101" s="56"/>
      <c r="T101" s="56"/>
    </row>
    <row r="102" spans="2:20" s="59" customFormat="1" ht="14.25" customHeight="1" x14ac:dyDescent="0.25">
      <c r="B102" s="60"/>
      <c r="C102" s="60"/>
      <c r="E102" s="56"/>
      <c r="T102" s="56"/>
    </row>
    <row r="103" spans="2:20" s="59" customFormat="1" ht="14.25" customHeight="1" x14ac:dyDescent="0.25">
      <c r="B103" s="60"/>
      <c r="C103" s="60"/>
      <c r="E103" s="56"/>
      <c r="T103" s="56"/>
    </row>
    <row r="104" spans="2:20" s="59" customFormat="1" ht="14.25" customHeight="1" x14ac:dyDescent="0.25">
      <c r="B104" s="60"/>
      <c r="C104" s="60"/>
      <c r="E104" s="56"/>
      <c r="T104" s="56"/>
    </row>
    <row r="105" spans="2:20" s="59" customFormat="1" ht="14.25" customHeight="1" x14ac:dyDescent="0.25">
      <c r="B105" s="60"/>
      <c r="C105" s="60"/>
      <c r="E105" s="56"/>
      <c r="T105" s="56"/>
    </row>
    <row r="106" spans="2:20" s="59" customFormat="1" ht="14.25" customHeight="1" x14ac:dyDescent="0.25">
      <c r="B106" s="60"/>
      <c r="C106" s="60"/>
      <c r="E106" s="56"/>
      <c r="T106" s="56"/>
    </row>
    <row r="107" spans="2:20" s="59" customFormat="1" ht="14.25" customHeight="1" x14ac:dyDescent="0.25">
      <c r="B107" s="60"/>
      <c r="C107" s="60"/>
      <c r="E107" s="56"/>
      <c r="T107" s="56"/>
    </row>
    <row r="108" spans="2:20" s="59" customFormat="1" ht="14.25" customHeight="1" x14ac:dyDescent="0.25">
      <c r="B108" s="60"/>
      <c r="C108" s="60"/>
      <c r="E108" s="56"/>
      <c r="T108" s="56"/>
    </row>
    <row r="109" spans="2:20" s="59" customFormat="1" ht="14.25" customHeight="1" x14ac:dyDescent="0.25">
      <c r="B109" s="60"/>
      <c r="C109" s="60"/>
      <c r="E109" s="56"/>
      <c r="T109" s="56"/>
    </row>
    <row r="110" spans="2:20" ht="14.25" customHeight="1" x14ac:dyDescent="0.25"/>
    <row r="111" spans="2:20" ht="14.25" customHeight="1" x14ac:dyDescent="0.25"/>
    <row r="112" spans="2:20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8"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X2:AZ2"/>
    <mergeCell ref="BA2:BA3"/>
    <mergeCell ref="O2:P2"/>
    <mergeCell ref="AW2:AW3"/>
    <mergeCell ref="AT2:AV2"/>
    <mergeCell ref="AO2:AO3"/>
    <mergeCell ref="A15:A16"/>
    <mergeCell ref="B15:B16"/>
    <mergeCell ref="C15:C16"/>
    <mergeCell ref="D15:D16"/>
    <mergeCell ref="Q2:S2"/>
    <mergeCell ref="T2:T3"/>
    <mergeCell ref="AN2:AN3"/>
    <mergeCell ref="AP2:AP3"/>
    <mergeCell ref="AQ2:AS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70"/>
  <sheetViews>
    <sheetView zoomScale="115" zoomScaleNormal="115" workbookViewId="0">
      <selection activeCell="H9" sqref="H9"/>
    </sheetView>
  </sheetViews>
  <sheetFormatPr defaultRowHeight="15" x14ac:dyDescent="0.25"/>
  <cols>
    <col min="1" max="1" width="35.7109375" customWidth="1"/>
    <col min="2" max="2" width="27.28515625" customWidth="1"/>
    <col min="3" max="3" width="17.85546875" customWidth="1"/>
    <col min="4" max="4" width="12.140625" customWidth="1"/>
    <col min="5" max="5" width="22" customWidth="1"/>
    <col min="6" max="6" width="20.28515625" customWidth="1"/>
    <col min="7" max="7" width="23.42578125" customWidth="1"/>
    <col min="8" max="8" width="17.42578125" customWidth="1"/>
    <col min="9" max="9" width="22.85546875" customWidth="1"/>
  </cols>
  <sheetData>
    <row r="1" spans="1:13" ht="30" x14ac:dyDescent="0.25">
      <c r="A1" s="36" t="s">
        <v>143</v>
      </c>
      <c r="B1" s="37" t="s">
        <v>144</v>
      </c>
      <c r="C1" s="37" t="s">
        <v>145</v>
      </c>
      <c r="D1" s="37" t="s">
        <v>146</v>
      </c>
      <c r="E1" s="38" t="s">
        <v>147</v>
      </c>
      <c r="F1" s="33"/>
      <c r="G1" s="34"/>
      <c r="H1" s="34"/>
      <c r="I1" s="34"/>
      <c r="J1" s="34"/>
      <c r="K1" s="34"/>
      <c r="L1" s="34"/>
      <c r="M1" s="34"/>
    </row>
    <row r="2" spans="1:13" ht="15.75" thickBot="1" x14ac:dyDescent="0.3">
      <c r="A2" s="98"/>
      <c r="B2" s="97"/>
      <c r="C2" s="92"/>
      <c r="D2" s="93"/>
      <c r="E2" s="94"/>
      <c r="F2" s="34"/>
      <c r="G2" s="34"/>
      <c r="H2" s="34"/>
      <c r="I2" s="34"/>
      <c r="J2" s="34"/>
      <c r="K2" s="34"/>
      <c r="L2" s="34"/>
      <c r="M2" s="95"/>
    </row>
    <row r="3" spans="1:13" x14ac:dyDescent="0.25">
      <c r="A3" s="96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95"/>
    </row>
    <row r="4" spans="1:13" x14ac:dyDescent="0.25">
      <c r="A4" s="96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95"/>
    </row>
    <row r="5" spans="1:13" ht="28.5" x14ac:dyDescent="0.25">
      <c r="A5" s="39" t="s">
        <v>0</v>
      </c>
      <c r="B5" s="152" t="s">
        <v>121</v>
      </c>
      <c r="C5" s="153"/>
      <c r="D5" s="35" t="s">
        <v>122</v>
      </c>
      <c r="E5" s="35" t="s">
        <v>123</v>
      </c>
      <c r="F5" s="35" t="s">
        <v>124</v>
      </c>
      <c r="G5" s="35" t="s">
        <v>66</v>
      </c>
      <c r="H5" s="35" t="s">
        <v>125</v>
      </c>
      <c r="I5" s="35" t="s">
        <v>219</v>
      </c>
      <c r="J5" s="34"/>
      <c r="K5" s="34"/>
      <c r="L5" s="34"/>
      <c r="M5" s="95"/>
    </row>
    <row r="6" spans="1:13" x14ac:dyDescent="0.25">
      <c r="A6" s="145">
        <v>1</v>
      </c>
      <c r="B6" s="141" t="s">
        <v>126</v>
      </c>
      <c r="C6" s="142"/>
      <c r="D6" s="105"/>
      <c r="E6" s="99"/>
      <c r="F6" s="46"/>
      <c r="G6" s="46"/>
      <c r="H6" s="46"/>
      <c r="I6" s="46"/>
      <c r="J6" s="34"/>
      <c r="K6" s="34"/>
      <c r="L6" s="34"/>
      <c r="M6" s="95"/>
    </row>
    <row r="7" spans="1:13" x14ac:dyDescent="0.25">
      <c r="A7" s="146"/>
      <c r="B7" s="143"/>
      <c r="C7" s="144"/>
      <c r="D7" s="40"/>
      <c r="E7" s="40"/>
      <c r="F7" s="40"/>
      <c r="G7" s="40"/>
      <c r="H7" s="102"/>
      <c r="I7" s="40"/>
      <c r="J7" s="34"/>
      <c r="K7" s="34"/>
      <c r="L7" s="34"/>
      <c r="M7" s="34"/>
    </row>
    <row r="8" spans="1:13" x14ac:dyDescent="0.25">
      <c r="A8" s="140">
        <v>2</v>
      </c>
      <c r="B8" s="147" t="s">
        <v>127</v>
      </c>
      <c r="C8" s="151"/>
      <c r="D8" s="40"/>
      <c r="E8" s="40"/>
      <c r="F8" s="40"/>
      <c r="G8" s="40"/>
      <c r="H8" s="102"/>
      <c r="I8" s="40"/>
      <c r="J8" s="103"/>
      <c r="K8" s="103"/>
      <c r="L8" s="103"/>
      <c r="M8" s="103"/>
    </row>
    <row r="9" spans="1:13" x14ac:dyDescent="0.25">
      <c r="A9" s="140"/>
      <c r="B9" s="147"/>
      <c r="C9" s="151"/>
      <c r="D9" s="40"/>
      <c r="E9" s="40"/>
      <c r="F9" s="40"/>
      <c r="G9" s="40"/>
      <c r="H9" s="102"/>
      <c r="I9" s="40"/>
      <c r="J9" s="34"/>
      <c r="K9" s="34"/>
      <c r="L9" s="34"/>
      <c r="M9" s="34"/>
    </row>
    <row r="10" spans="1:13" x14ac:dyDescent="0.25">
      <c r="A10" s="145">
        <v>3</v>
      </c>
      <c r="B10" s="141" t="s">
        <v>164</v>
      </c>
      <c r="C10" s="142"/>
      <c r="D10" s="40"/>
      <c r="E10" s="40"/>
      <c r="F10" s="40"/>
      <c r="G10" s="40"/>
      <c r="H10" s="102"/>
      <c r="I10" s="40"/>
      <c r="J10" s="34"/>
      <c r="K10" s="34"/>
      <c r="L10" s="34"/>
      <c r="M10" s="34"/>
    </row>
    <row r="11" spans="1:13" x14ac:dyDescent="0.25">
      <c r="A11" s="146"/>
      <c r="B11" s="149"/>
      <c r="C11" s="150"/>
      <c r="D11" s="40"/>
      <c r="E11" s="40"/>
      <c r="G11" s="40"/>
      <c r="H11" s="40"/>
      <c r="I11" s="40"/>
      <c r="J11" s="34"/>
      <c r="K11" s="34"/>
      <c r="L11" s="34"/>
      <c r="M11" s="34"/>
    </row>
    <row r="12" spans="1:13" x14ac:dyDescent="0.25">
      <c r="A12" s="140">
        <v>4</v>
      </c>
      <c r="B12" s="141" t="s">
        <v>165</v>
      </c>
      <c r="C12" s="142"/>
      <c r="D12" s="40"/>
      <c r="E12" s="40"/>
      <c r="F12" s="40"/>
      <c r="G12" s="40"/>
      <c r="H12" s="40"/>
      <c r="I12" s="40"/>
      <c r="J12" s="34"/>
      <c r="K12" s="34"/>
      <c r="L12" s="34"/>
      <c r="M12" s="34"/>
    </row>
    <row r="13" spans="1:13" x14ac:dyDescent="0.25">
      <c r="A13" s="140"/>
      <c r="B13" s="149"/>
      <c r="C13" s="150"/>
      <c r="D13" s="47"/>
      <c r="E13" s="47"/>
      <c r="F13" s="47"/>
      <c r="G13" s="47"/>
      <c r="H13" s="47"/>
      <c r="I13" s="47"/>
      <c r="J13" s="34"/>
      <c r="K13" s="34"/>
      <c r="L13" s="34"/>
      <c r="M13" s="34"/>
    </row>
    <row r="14" spans="1:13" x14ac:dyDescent="0.25">
      <c r="A14" s="145">
        <v>5</v>
      </c>
      <c r="B14" s="147" t="s">
        <v>55</v>
      </c>
      <c r="C14" s="151"/>
      <c r="D14" s="47"/>
      <c r="E14" s="47"/>
      <c r="F14" s="47"/>
      <c r="G14" s="47"/>
      <c r="H14" s="47"/>
      <c r="I14" s="47"/>
      <c r="J14" s="34"/>
      <c r="K14" s="34"/>
      <c r="L14" s="34"/>
      <c r="M14" s="34"/>
    </row>
    <row r="15" spans="1:13" x14ac:dyDescent="0.25">
      <c r="A15" s="146"/>
      <c r="B15" s="151"/>
      <c r="C15" s="151"/>
      <c r="D15" s="47"/>
      <c r="E15" s="47"/>
      <c r="F15" s="47"/>
      <c r="G15" s="47"/>
      <c r="H15" s="47"/>
      <c r="I15" s="47"/>
      <c r="J15" s="34"/>
      <c r="K15" s="34"/>
      <c r="L15" s="34"/>
      <c r="M15" s="34"/>
    </row>
    <row r="16" spans="1:13" x14ac:dyDescent="0.25">
      <c r="A16" s="140">
        <v>6</v>
      </c>
      <c r="B16" s="147" t="s">
        <v>56</v>
      </c>
      <c r="C16" s="151"/>
      <c r="D16" s="102"/>
      <c r="E16" s="47"/>
      <c r="F16" s="47"/>
      <c r="G16" s="47"/>
      <c r="H16" s="47"/>
      <c r="I16" s="47"/>
      <c r="J16" s="34"/>
      <c r="K16" s="34"/>
      <c r="L16" s="34"/>
      <c r="M16" s="34"/>
    </row>
    <row r="17" spans="1:13" x14ac:dyDescent="0.25">
      <c r="A17" s="140"/>
      <c r="B17" s="151"/>
      <c r="C17" s="151"/>
      <c r="D17" s="106"/>
      <c r="E17" s="47"/>
      <c r="F17" s="47"/>
      <c r="G17" s="47"/>
      <c r="H17" s="104"/>
      <c r="I17" s="104"/>
      <c r="J17" s="34"/>
      <c r="K17" s="34"/>
      <c r="L17" s="34"/>
      <c r="M17" s="34"/>
    </row>
    <row r="18" spans="1:13" x14ac:dyDescent="0.25">
      <c r="A18" s="148">
        <v>7</v>
      </c>
      <c r="B18" s="149" t="s">
        <v>162</v>
      </c>
      <c r="C18" s="150"/>
      <c r="D18" s="102"/>
      <c r="E18" s="47"/>
      <c r="F18" s="47"/>
      <c r="G18" s="47"/>
      <c r="H18" s="47"/>
      <c r="I18" s="47"/>
      <c r="J18" s="34"/>
      <c r="K18" s="34"/>
      <c r="L18" s="34"/>
      <c r="M18" s="34"/>
    </row>
    <row r="19" spans="1:13" x14ac:dyDescent="0.25">
      <c r="A19" s="146"/>
      <c r="B19" s="143"/>
      <c r="C19" s="144"/>
      <c r="D19" s="107"/>
      <c r="E19" s="47"/>
      <c r="F19" s="47"/>
      <c r="G19" s="47"/>
      <c r="H19" s="104"/>
      <c r="I19" s="104"/>
      <c r="J19" s="34"/>
      <c r="K19" s="34"/>
      <c r="L19" s="34"/>
      <c r="M19" s="34"/>
    </row>
    <row r="20" spans="1:13" x14ac:dyDescent="0.25">
      <c r="A20" s="140">
        <v>8</v>
      </c>
      <c r="B20" s="147" t="s">
        <v>163</v>
      </c>
      <c r="C20" s="151"/>
      <c r="D20" s="107"/>
      <c r="E20" s="47"/>
      <c r="F20" s="47"/>
      <c r="G20" s="47"/>
      <c r="H20" s="104"/>
      <c r="I20" s="104"/>
      <c r="J20" s="34"/>
      <c r="K20" s="34"/>
      <c r="L20" s="34"/>
      <c r="M20" s="34"/>
    </row>
    <row r="21" spans="1:13" x14ac:dyDescent="0.25">
      <c r="A21" s="140"/>
      <c r="B21" s="147"/>
      <c r="C21" s="151"/>
      <c r="D21" s="107"/>
      <c r="E21" s="47"/>
      <c r="F21" s="47"/>
      <c r="G21" s="47"/>
      <c r="H21" s="104"/>
      <c r="I21" s="104"/>
      <c r="J21" s="34"/>
      <c r="K21" s="34"/>
      <c r="L21" s="34"/>
      <c r="M21" s="34"/>
    </row>
    <row r="22" spans="1:13" x14ac:dyDescent="0.25">
      <c r="A22" s="145">
        <v>9</v>
      </c>
      <c r="B22" s="141" t="s">
        <v>176</v>
      </c>
      <c r="C22" s="142"/>
      <c r="D22" s="107"/>
      <c r="E22" s="47"/>
      <c r="F22" s="47"/>
      <c r="G22" s="47"/>
      <c r="H22" s="104"/>
      <c r="I22" s="47"/>
      <c r="J22" s="34"/>
      <c r="K22" s="34"/>
      <c r="L22" s="34"/>
      <c r="M22" s="34"/>
    </row>
    <row r="23" spans="1:13" x14ac:dyDescent="0.25">
      <c r="A23" s="148"/>
      <c r="B23" s="149"/>
      <c r="C23" s="150"/>
      <c r="D23" s="107"/>
      <c r="E23" s="47"/>
      <c r="F23" s="47"/>
      <c r="G23" s="47"/>
      <c r="H23" s="104"/>
      <c r="I23" s="47"/>
      <c r="J23" s="34"/>
      <c r="K23" s="34"/>
      <c r="L23" s="34"/>
      <c r="M23" s="34"/>
    </row>
    <row r="24" spans="1:13" x14ac:dyDescent="0.25">
      <c r="A24" s="140">
        <v>10</v>
      </c>
      <c r="B24" s="141" t="s">
        <v>177</v>
      </c>
      <c r="C24" s="142"/>
      <c r="D24" s="107"/>
      <c r="E24" s="47"/>
      <c r="F24" s="47"/>
      <c r="G24" s="47"/>
      <c r="H24" s="47"/>
      <c r="I24" s="47"/>
      <c r="J24" s="34"/>
      <c r="K24" s="34"/>
      <c r="L24" s="34"/>
      <c r="M24" s="34"/>
    </row>
    <row r="25" spans="1:13" x14ac:dyDescent="0.25">
      <c r="A25" s="140"/>
      <c r="B25" s="143"/>
      <c r="C25" s="144"/>
      <c r="D25" s="47"/>
      <c r="E25" s="47"/>
      <c r="F25" s="47"/>
      <c r="G25" s="47"/>
      <c r="H25" s="47"/>
      <c r="I25" s="47"/>
      <c r="J25" s="34"/>
      <c r="K25" s="34"/>
      <c r="L25" s="34"/>
      <c r="M25" s="34"/>
    </row>
    <row r="26" spans="1:13" ht="15" customHeight="1" x14ac:dyDescent="0.25">
      <c r="A26" s="145">
        <v>11</v>
      </c>
      <c r="B26" s="141" t="s">
        <v>166</v>
      </c>
      <c r="C26" s="142"/>
      <c r="D26" s="47"/>
      <c r="E26" s="47"/>
      <c r="F26" s="47"/>
      <c r="G26" s="47"/>
      <c r="H26" s="47"/>
      <c r="I26" s="47"/>
      <c r="J26" s="34"/>
      <c r="K26" s="34"/>
      <c r="L26" s="34"/>
      <c r="M26" s="34"/>
    </row>
    <row r="27" spans="1:13" x14ac:dyDescent="0.25">
      <c r="A27" s="146"/>
      <c r="B27" s="143"/>
      <c r="C27" s="144"/>
      <c r="D27" s="47"/>
      <c r="E27" s="47"/>
      <c r="F27" s="47"/>
      <c r="G27" s="47"/>
      <c r="H27" s="47"/>
      <c r="I27" s="47"/>
      <c r="J27" s="34"/>
      <c r="K27" s="34"/>
      <c r="L27" s="34"/>
      <c r="M27" s="34"/>
    </row>
    <row r="28" spans="1:13" x14ac:dyDescent="0.25">
      <c r="A28" s="140">
        <v>12</v>
      </c>
      <c r="B28" s="141" t="s">
        <v>167</v>
      </c>
      <c r="C28" s="142"/>
      <c r="D28" s="47"/>
      <c r="E28" s="47"/>
      <c r="F28" s="47"/>
      <c r="G28" s="47"/>
      <c r="H28" s="47"/>
      <c r="I28" s="47"/>
      <c r="J28" s="34"/>
      <c r="K28" s="34"/>
      <c r="L28" s="34"/>
      <c r="M28" s="34"/>
    </row>
    <row r="29" spans="1:13" x14ac:dyDescent="0.25">
      <c r="A29" s="140"/>
      <c r="B29" s="143"/>
      <c r="C29" s="144"/>
      <c r="D29" s="47"/>
      <c r="E29" s="47"/>
      <c r="F29" s="47"/>
      <c r="G29" s="47"/>
      <c r="H29" s="47"/>
      <c r="I29" s="47"/>
      <c r="J29" s="34"/>
      <c r="K29" s="34"/>
      <c r="L29" s="34"/>
      <c r="M29" s="34"/>
    </row>
    <row r="30" spans="1:13" x14ac:dyDescent="0.25">
      <c r="A30" s="145">
        <v>13</v>
      </c>
      <c r="B30" s="141" t="s">
        <v>174</v>
      </c>
      <c r="C30" s="142"/>
      <c r="D30" s="47"/>
      <c r="E30" s="47"/>
      <c r="F30" s="47"/>
      <c r="G30" s="47"/>
      <c r="H30" s="47"/>
      <c r="I30" s="47"/>
      <c r="J30" s="34"/>
      <c r="K30" s="34"/>
      <c r="L30" s="34"/>
      <c r="M30" s="34"/>
    </row>
    <row r="31" spans="1:13" x14ac:dyDescent="0.25">
      <c r="A31" s="146"/>
      <c r="B31" s="143"/>
      <c r="C31" s="144"/>
      <c r="D31" s="47"/>
      <c r="E31" s="47"/>
      <c r="F31" s="47"/>
      <c r="G31" s="47"/>
      <c r="H31" s="47"/>
      <c r="I31" s="47"/>
      <c r="J31" s="34"/>
      <c r="K31" s="34"/>
      <c r="L31" s="34"/>
      <c r="M31" s="34"/>
    </row>
    <row r="32" spans="1:13" x14ac:dyDescent="0.25">
      <c r="A32" s="140">
        <v>14</v>
      </c>
      <c r="B32" s="141" t="s">
        <v>175</v>
      </c>
      <c r="C32" s="142"/>
      <c r="D32" s="47"/>
      <c r="E32" s="47"/>
      <c r="F32" s="47"/>
      <c r="G32" s="47"/>
      <c r="H32" s="47"/>
      <c r="I32" s="47"/>
      <c r="J32" s="34"/>
      <c r="K32" s="34"/>
      <c r="L32" s="34"/>
      <c r="M32" s="34"/>
    </row>
    <row r="33" spans="1:13" x14ac:dyDescent="0.25">
      <c r="A33" s="140"/>
      <c r="B33" s="143"/>
      <c r="C33" s="144"/>
      <c r="D33" s="47"/>
      <c r="E33" s="47"/>
      <c r="F33" s="47"/>
      <c r="G33" s="47"/>
      <c r="H33" s="47"/>
      <c r="I33" s="47"/>
      <c r="J33" s="34"/>
      <c r="K33" s="34"/>
      <c r="L33" s="34"/>
      <c r="M33" s="34"/>
    </row>
    <row r="34" spans="1:13" x14ac:dyDescent="0.25">
      <c r="A34" s="145">
        <v>15</v>
      </c>
      <c r="B34" s="141" t="s">
        <v>128</v>
      </c>
      <c r="C34" s="142"/>
      <c r="D34" s="47"/>
      <c r="E34" s="47"/>
      <c r="F34" s="47"/>
      <c r="G34" s="47"/>
      <c r="H34" s="47"/>
      <c r="I34" s="47"/>
      <c r="J34" s="34"/>
      <c r="K34" s="34"/>
      <c r="L34" s="34"/>
      <c r="M34" s="34"/>
    </row>
    <row r="35" spans="1:13" x14ac:dyDescent="0.25">
      <c r="A35" s="146"/>
      <c r="B35" s="143"/>
      <c r="C35" s="144"/>
      <c r="D35" s="47"/>
      <c r="E35" s="47"/>
      <c r="F35" s="47"/>
      <c r="G35" s="47"/>
      <c r="H35" s="47"/>
      <c r="I35" s="47"/>
      <c r="J35" s="34"/>
      <c r="K35" s="34"/>
      <c r="L35" s="34"/>
      <c r="M35" s="34"/>
    </row>
    <row r="36" spans="1:13" x14ac:dyDescent="0.25">
      <c r="A36" s="140">
        <v>16</v>
      </c>
      <c r="B36" s="141" t="s">
        <v>168</v>
      </c>
      <c r="C36" s="142"/>
      <c r="D36" s="47"/>
      <c r="E36" s="47"/>
      <c r="F36" s="47"/>
      <c r="G36" s="47"/>
      <c r="H36" s="47"/>
      <c r="I36" s="47"/>
      <c r="J36" s="34"/>
      <c r="K36" s="34"/>
      <c r="L36" s="34"/>
      <c r="M36" s="34"/>
    </row>
    <row r="37" spans="1:13" x14ac:dyDescent="0.25">
      <c r="A37" s="140"/>
      <c r="B37" s="143"/>
      <c r="C37" s="144"/>
      <c r="D37" s="47"/>
      <c r="E37" s="47"/>
      <c r="F37" s="47"/>
      <c r="G37" s="47"/>
      <c r="H37" s="47"/>
      <c r="I37" s="47"/>
      <c r="J37" s="34"/>
      <c r="K37" s="34"/>
      <c r="L37" s="34"/>
      <c r="M37" s="34"/>
    </row>
    <row r="38" spans="1:13" x14ac:dyDescent="0.25">
      <c r="A38" s="145">
        <v>17</v>
      </c>
      <c r="B38" s="141" t="s">
        <v>169</v>
      </c>
      <c r="C38" s="142"/>
      <c r="D38" s="47"/>
      <c r="E38" s="47"/>
      <c r="F38" s="47"/>
      <c r="G38" s="47"/>
      <c r="H38" s="47"/>
      <c r="I38" s="47"/>
      <c r="J38" s="34"/>
      <c r="K38" s="34"/>
      <c r="L38" s="34"/>
      <c r="M38" s="34"/>
    </row>
    <row r="39" spans="1:13" x14ac:dyDescent="0.25">
      <c r="A39" s="146"/>
      <c r="B39" s="143"/>
      <c r="C39" s="144"/>
      <c r="D39" s="47"/>
      <c r="E39" s="47"/>
      <c r="F39" s="47"/>
      <c r="G39" s="47"/>
      <c r="H39" s="47"/>
      <c r="I39" s="47"/>
      <c r="J39" s="34"/>
      <c r="K39" s="34"/>
      <c r="L39" s="34"/>
      <c r="M39" s="34"/>
    </row>
    <row r="40" spans="1:13" x14ac:dyDescent="0.25">
      <c r="A40" s="140">
        <v>18</v>
      </c>
      <c r="B40" s="141" t="s">
        <v>171</v>
      </c>
      <c r="C40" s="142"/>
      <c r="D40" s="47"/>
      <c r="E40" s="47"/>
      <c r="F40" s="47"/>
      <c r="G40" s="47"/>
      <c r="H40" s="47"/>
      <c r="I40" s="47"/>
      <c r="J40" s="34"/>
      <c r="K40" s="34"/>
      <c r="L40" s="34"/>
      <c r="M40" s="34"/>
    </row>
    <row r="41" spans="1:13" x14ac:dyDescent="0.25">
      <c r="A41" s="140"/>
      <c r="B41" s="143"/>
      <c r="C41" s="144"/>
      <c r="D41" s="47"/>
      <c r="E41" s="47"/>
      <c r="F41" s="47"/>
      <c r="G41" s="47"/>
      <c r="H41" s="47"/>
      <c r="I41" s="47"/>
      <c r="J41" s="34"/>
      <c r="K41" s="34"/>
      <c r="L41" s="34"/>
      <c r="M41" s="34"/>
    </row>
    <row r="42" spans="1:13" x14ac:dyDescent="0.25">
      <c r="A42" s="145">
        <v>19</v>
      </c>
      <c r="B42" s="141" t="s">
        <v>170</v>
      </c>
      <c r="C42" s="142"/>
      <c r="D42" s="47"/>
      <c r="E42" s="47"/>
      <c r="F42" s="47"/>
      <c r="G42" s="47"/>
      <c r="H42" s="47"/>
      <c r="I42" s="47"/>
      <c r="J42" s="34"/>
      <c r="K42" s="34"/>
      <c r="L42" s="34"/>
      <c r="M42" s="34"/>
    </row>
    <row r="43" spans="1:13" x14ac:dyDescent="0.25">
      <c r="A43" s="146"/>
      <c r="B43" s="143"/>
      <c r="C43" s="144"/>
      <c r="D43" s="47"/>
      <c r="E43" s="47"/>
      <c r="F43" s="47"/>
      <c r="G43" s="47"/>
      <c r="H43" s="47"/>
      <c r="I43" s="47"/>
      <c r="J43" s="34"/>
      <c r="K43" s="34"/>
      <c r="L43" s="34"/>
      <c r="M43" s="34"/>
    </row>
    <row r="44" spans="1:13" x14ac:dyDescent="0.25">
      <c r="A44" s="140">
        <v>20</v>
      </c>
      <c r="B44" s="141" t="s">
        <v>172</v>
      </c>
      <c r="C44" s="142"/>
      <c r="D44" s="47"/>
      <c r="E44" s="47"/>
      <c r="F44" s="47"/>
      <c r="G44" s="47"/>
      <c r="H44" s="47"/>
      <c r="I44" s="47"/>
      <c r="J44" s="34"/>
      <c r="K44" s="34"/>
      <c r="L44" s="34"/>
      <c r="M44" s="34"/>
    </row>
    <row r="45" spans="1:13" x14ac:dyDescent="0.25">
      <c r="A45" s="140"/>
      <c r="B45" s="143"/>
      <c r="C45" s="144"/>
      <c r="D45" s="47"/>
      <c r="E45" s="47"/>
      <c r="F45" s="47"/>
      <c r="G45" s="47"/>
      <c r="H45" s="47"/>
      <c r="I45" s="47"/>
      <c r="J45" s="34"/>
      <c r="K45" s="34"/>
      <c r="L45" s="34"/>
      <c r="M45" s="34"/>
    </row>
    <row r="46" spans="1:13" x14ac:dyDescent="0.25">
      <c r="A46" s="145">
        <v>21</v>
      </c>
      <c r="B46" s="141" t="s">
        <v>173</v>
      </c>
      <c r="C46" s="142"/>
      <c r="D46" s="47"/>
      <c r="E46" s="47"/>
      <c r="F46" s="47"/>
      <c r="G46" s="47"/>
      <c r="H46" s="47"/>
      <c r="I46" s="47"/>
      <c r="J46" s="34"/>
      <c r="K46" s="34"/>
      <c r="L46" s="34"/>
      <c r="M46" s="34"/>
    </row>
    <row r="47" spans="1:13" x14ac:dyDescent="0.25">
      <c r="A47" s="146"/>
      <c r="B47" s="143"/>
      <c r="C47" s="144"/>
      <c r="D47" s="47"/>
      <c r="E47" s="47"/>
      <c r="F47" s="47"/>
      <c r="G47" s="47"/>
      <c r="H47" s="47"/>
      <c r="I47" s="47"/>
      <c r="J47" s="34"/>
      <c r="K47" s="34"/>
      <c r="L47" s="34"/>
      <c r="M47" s="34"/>
    </row>
    <row r="48" spans="1:13" x14ac:dyDescent="0.25">
      <c r="A48" s="140">
        <v>22</v>
      </c>
      <c r="B48" s="141" t="s">
        <v>63</v>
      </c>
      <c r="C48" s="142"/>
      <c r="D48" s="47"/>
      <c r="E48" s="47"/>
      <c r="F48" s="47"/>
      <c r="G48" s="47"/>
      <c r="H48" s="47"/>
      <c r="I48" s="47"/>
      <c r="J48" s="34"/>
      <c r="K48" s="34"/>
      <c r="L48" s="34"/>
      <c r="M48" s="34"/>
    </row>
    <row r="49" spans="1:13" x14ac:dyDescent="0.25">
      <c r="A49" s="140"/>
      <c r="B49" s="143"/>
      <c r="C49" s="144"/>
      <c r="D49" s="47"/>
      <c r="E49" s="47"/>
      <c r="F49" s="47"/>
      <c r="G49" s="47"/>
      <c r="H49" s="47"/>
      <c r="I49" s="47"/>
      <c r="J49" s="34"/>
      <c r="K49" s="34"/>
      <c r="L49" s="34"/>
      <c r="M49" s="34"/>
    </row>
    <row r="50" spans="1:13" x14ac:dyDescent="0.25">
      <c r="A50" s="145">
        <v>23</v>
      </c>
      <c r="B50" s="141" t="s">
        <v>64</v>
      </c>
      <c r="C50" s="142"/>
      <c r="D50" s="47"/>
      <c r="E50" s="47"/>
      <c r="F50" s="47"/>
      <c r="G50" s="47"/>
      <c r="H50" s="47"/>
      <c r="I50" s="47"/>
      <c r="J50" s="34"/>
      <c r="K50" s="34"/>
      <c r="L50" s="34"/>
      <c r="M50" s="34"/>
    </row>
    <row r="51" spans="1:13" x14ac:dyDescent="0.25">
      <c r="A51" s="146"/>
      <c r="B51" s="143"/>
      <c r="C51" s="144"/>
      <c r="D51" s="47"/>
      <c r="E51" s="47"/>
      <c r="F51" s="47"/>
      <c r="G51" s="47"/>
      <c r="H51" s="47"/>
      <c r="I51" s="47"/>
      <c r="J51" s="34"/>
      <c r="K51" s="34"/>
      <c r="L51" s="34"/>
      <c r="M51" s="34"/>
    </row>
    <row r="52" spans="1:13" x14ac:dyDescent="0.25">
      <c r="A52" s="140">
        <v>24</v>
      </c>
      <c r="B52" s="147" t="s">
        <v>65</v>
      </c>
      <c r="C52" s="147"/>
      <c r="D52" s="47"/>
      <c r="E52" s="47"/>
      <c r="F52" s="47"/>
      <c r="G52" s="47"/>
      <c r="H52" s="47"/>
      <c r="I52" s="47"/>
      <c r="J52" s="34"/>
      <c r="K52" s="34"/>
      <c r="L52" s="34"/>
      <c r="M52" s="34"/>
    </row>
    <row r="53" spans="1:13" x14ac:dyDescent="0.25">
      <c r="A53" s="140"/>
      <c r="B53" s="147"/>
      <c r="C53" s="147"/>
      <c r="D53" s="47"/>
      <c r="E53" s="47"/>
      <c r="F53" s="47"/>
      <c r="G53" s="47"/>
      <c r="H53" s="47"/>
      <c r="I53" s="47"/>
      <c r="J53" s="34"/>
      <c r="K53" s="34"/>
      <c r="L53" s="34"/>
      <c r="M53" s="34"/>
    </row>
    <row r="54" spans="1:13" x14ac:dyDescent="0.25">
      <c r="A54" s="138"/>
      <c r="B54" s="139"/>
      <c r="C54" s="139"/>
      <c r="D54" s="101"/>
      <c r="E54" s="101"/>
      <c r="F54" s="101"/>
      <c r="G54" s="101"/>
      <c r="H54" s="101"/>
      <c r="I54" s="101"/>
      <c r="J54" s="34"/>
      <c r="K54" s="34"/>
      <c r="L54" s="34"/>
      <c r="M54" s="34"/>
    </row>
    <row r="55" spans="1:13" x14ac:dyDescent="0.25">
      <c r="A55" s="138"/>
      <c r="B55" s="139"/>
      <c r="C55" s="139"/>
      <c r="J55" s="34"/>
      <c r="K55" s="34"/>
      <c r="L55" s="34"/>
      <c r="M55" s="3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</sheetData>
  <mergeCells count="51">
    <mergeCell ref="B6:C7"/>
    <mergeCell ref="A6:A7"/>
    <mergeCell ref="B5:C5"/>
    <mergeCell ref="A14:A15"/>
    <mergeCell ref="B14:C15"/>
    <mergeCell ref="A10:A11"/>
    <mergeCell ref="B10:C11"/>
    <mergeCell ref="A12:A13"/>
    <mergeCell ref="B12:C13"/>
    <mergeCell ref="A8:A9"/>
    <mergeCell ref="B8:C9"/>
    <mergeCell ref="A16:A17"/>
    <mergeCell ref="B16:C17"/>
    <mergeCell ref="B24:C25"/>
    <mergeCell ref="B40:C41"/>
    <mergeCell ref="A40:A41"/>
    <mergeCell ref="A26:A27"/>
    <mergeCell ref="B26:C27"/>
    <mergeCell ref="A30:A31"/>
    <mergeCell ref="B30:C31"/>
    <mergeCell ref="A34:A35"/>
    <mergeCell ref="B34:C35"/>
    <mergeCell ref="B28:C29"/>
    <mergeCell ref="A28:A29"/>
    <mergeCell ref="B32:C33"/>
    <mergeCell ref="A32:A33"/>
    <mergeCell ref="A24:A25"/>
    <mergeCell ref="A36:A37"/>
    <mergeCell ref="B36:C37"/>
    <mergeCell ref="B38:C39"/>
    <mergeCell ref="A38:A39"/>
    <mergeCell ref="A18:A19"/>
    <mergeCell ref="B18:C19"/>
    <mergeCell ref="A20:A21"/>
    <mergeCell ref="B20:C21"/>
    <mergeCell ref="A22:A23"/>
    <mergeCell ref="B22:C23"/>
    <mergeCell ref="A42:A43"/>
    <mergeCell ref="B42:C43"/>
    <mergeCell ref="A44:A45"/>
    <mergeCell ref="B44:C45"/>
    <mergeCell ref="A46:A47"/>
    <mergeCell ref="B46:C47"/>
    <mergeCell ref="A54:A55"/>
    <mergeCell ref="B54:C55"/>
    <mergeCell ref="A48:A49"/>
    <mergeCell ref="B48:C49"/>
    <mergeCell ref="A50:A51"/>
    <mergeCell ref="B50:C51"/>
    <mergeCell ref="A52:A53"/>
    <mergeCell ref="B52:C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67"/>
  <sheetViews>
    <sheetView zoomScaleNormal="100" workbookViewId="0">
      <selection activeCell="J10" sqref="J10"/>
    </sheetView>
  </sheetViews>
  <sheetFormatPr defaultRowHeight="15" x14ac:dyDescent="0.25"/>
  <cols>
    <col min="1" max="1" width="35.7109375" customWidth="1"/>
    <col min="2" max="2" width="27.28515625" customWidth="1"/>
    <col min="3" max="3" width="17.85546875" customWidth="1"/>
    <col min="4" max="4" width="12.140625" customWidth="1"/>
    <col min="5" max="5" width="22" customWidth="1"/>
    <col min="6" max="6" width="20.28515625" customWidth="1"/>
    <col min="7" max="7" width="23.42578125" customWidth="1"/>
    <col min="8" max="8" width="17.42578125" customWidth="1"/>
    <col min="9" max="9" width="22.85546875" customWidth="1"/>
  </cols>
  <sheetData>
    <row r="1" spans="1:13" ht="30" x14ac:dyDescent="0.25">
      <c r="A1" s="36" t="s">
        <v>143</v>
      </c>
      <c r="B1" s="37" t="s">
        <v>144</v>
      </c>
      <c r="C1" s="37" t="s">
        <v>145</v>
      </c>
      <c r="D1" s="37" t="s">
        <v>146</v>
      </c>
      <c r="E1" s="38" t="s">
        <v>147</v>
      </c>
      <c r="F1" s="33"/>
      <c r="G1" s="34"/>
      <c r="H1" s="34"/>
      <c r="I1" s="34"/>
      <c r="J1" s="34"/>
      <c r="K1" s="34"/>
      <c r="L1" s="34"/>
      <c r="M1" s="34"/>
    </row>
    <row r="2" spans="1:13" ht="29.25" thickBot="1" x14ac:dyDescent="0.3">
      <c r="A2" s="98" t="s">
        <v>78</v>
      </c>
      <c r="B2" s="97">
        <v>45814</v>
      </c>
      <c r="C2" s="92">
        <v>45829</v>
      </c>
      <c r="D2" s="93"/>
      <c r="E2" s="94">
        <v>4713</v>
      </c>
      <c r="F2" s="34"/>
      <c r="G2" s="34"/>
      <c r="H2" s="34"/>
      <c r="I2" s="34"/>
      <c r="J2" s="34"/>
      <c r="K2" s="34"/>
      <c r="L2" s="34"/>
      <c r="M2" s="95"/>
    </row>
    <row r="3" spans="1:13" x14ac:dyDescent="0.25">
      <c r="A3" s="96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95"/>
    </row>
    <row r="4" spans="1:13" x14ac:dyDescent="0.25">
      <c r="A4" s="96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95"/>
    </row>
    <row r="5" spans="1:13" ht="28.5" x14ac:dyDescent="0.25">
      <c r="A5" s="39" t="s">
        <v>0</v>
      </c>
      <c r="B5" s="152" t="s">
        <v>121</v>
      </c>
      <c r="C5" s="153"/>
      <c r="D5" s="35" t="s">
        <v>122</v>
      </c>
      <c r="E5" s="35" t="s">
        <v>123</v>
      </c>
      <c r="F5" s="35" t="s">
        <v>124</v>
      </c>
      <c r="G5" s="35" t="s">
        <v>66</v>
      </c>
      <c r="H5" s="35" t="s">
        <v>125</v>
      </c>
      <c r="I5" s="35" t="s">
        <v>220</v>
      </c>
      <c r="J5" s="34"/>
      <c r="K5" s="34"/>
      <c r="L5" s="34"/>
      <c r="M5" s="95"/>
    </row>
    <row r="6" spans="1:13" x14ac:dyDescent="0.25">
      <c r="A6" s="145">
        <v>1</v>
      </c>
      <c r="B6" s="141" t="s">
        <v>126</v>
      </c>
      <c r="C6" s="142"/>
      <c r="D6" s="105"/>
      <c r="E6" s="99"/>
      <c r="F6" s="46"/>
      <c r="G6" s="46"/>
      <c r="H6" s="46"/>
      <c r="I6" s="46"/>
      <c r="J6" s="34"/>
      <c r="K6" s="34"/>
      <c r="L6" s="34"/>
      <c r="M6" s="95"/>
    </row>
    <row r="7" spans="1:13" x14ac:dyDescent="0.25">
      <c r="A7" s="146"/>
      <c r="B7" s="143"/>
      <c r="C7" s="144"/>
      <c r="D7" s="40"/>
      <c r="E7" s="40"/>
      <c r="F7" s="40"/>
      <c r="G7" s="40"/>
      <c r="H7" s="108"/>
      <c r="I7" s="40"/>
      <c r="J7" s="34"/>
      <c r="K7" s="34"/>
      <c r="L7" s="34"/>
      <c r="M7" s="34"/>
    </row>
    <row r="8" spans="1:13" x14ac:dyDescent="0.25">
      <c r="A8" s="140">
        <v>2</v>
      </c>
      <c r="B8" s="147" t="s">
        <v>127</v>
      </c>
      <c r="C8" s="151"/>
      <c r="D8" s="114"/>
      <c r="E8" s="112"/>
      <c r="F8" s="40"/>
      <c r="G8" s="40"/>
      <c r="H8" s="108"/>
      <c r="I8" s="115"/>
      <c r="J8" s="109"/>
      <c r="K8" s="109"/>
      <c r="L8" s="109"/>
      <c r="M8" s="109"/>
    </row>
    <row r="9" spans="1:13" x14ac:dyDescent="0.25">
      <c r="A9" s="140"/>
      <c r="B9" s="147"/>
      <c r="C9" s="151"/>
      <c r="D9" s="40"/>
      <c r="E9" s="40"/>
      <c r="F9" s="40"/>
      <c r="G9" s="40"/>
      <c r="H9" s="108"/>
      <c r="I9" s="40"/>
      <c r="J9" s="34"/>
      <c r="K9" s="34"/>
      <c r="L9" s="34"/>
      <c r="M9" s="34"/>
    </row>
    <row r="10" spans="1:13" x14ac:dyDescent="0.25">
      <c r="A10" s="145">
        <v>3</v>
      </c>
      <c r="B10" s="141" t="s">
        <v>164</v>
      </c>
      <c r="C10" s="142"/>
      <c r="D10" s="40"/>
      <c r="E10" s="40"/>
      <c r="F10" s="40"/>
      <c r="G10" s="40"/>
      <c r="H10" s="108"/>
      <c r="I10" s="40"/>
      <c r="J10" s="34"/>
      <c r="K10" s="34"/>
      <c r="L10" s="34"/>
      <c r="M10" s="34"/>
    </row>
    <row r="11" spans="1:13" x14ac:dyDescent="0.25">
      <c r="A11" s="146"/>
      <c r="B11" s="149"/>
      <c r="C11" s="150"/>
      <c r="D11" s="40"/>
      <c r="E11" s="40"/>
      <c r="G11" s="40"/>
      <c r="H11" s="40"/>
      <c r="I11" s="40"/>
      <c r="J11" s="34"/>
      <c r="K11" s="34"/>
      <c r="L11" s="34"/>
      <c r="M11" s="34"/>
    </row>
    <row r="12" spans="1:13" ht="15.75" customHeight="1" x14ac:dyDescent="0.25">
      <c r="A12" s="140">
        <v>4</v>
      </c>
      <c r="B12" s="141" t="s">
        <v>165</v>
      </c>
      <c r="C12" s="142"/>
      <c r="D12" s="40"/>
      <c r="E12" s="40"/>
      <c r="F12" s="40"/>
      <c r="G12" s="40"/>
      <c r="H12" s="40"/>
      <c r="I12" s="40"/>
      <c r="J12" s="34"/>
      <c r="K12" s="34"/>
      <c r="L12" s="34"/>
      <c r="M12" s="34"/>
    </row>
    <row r="13" spans="1:13" x14ac:dyDescent="0.25">
      <c r="A13" s="140"/>
      <c r="B13" s="149"/>
      <c r="C13" s="150"/>
      <c r="D13" s="47"/>
      <c r="E13" s="47"/>
      <c r="F13" s="47"/>
      <c r="G13" s="47"/>
      <c r="H13" s="47"/>
      <c r="I13" s="47"/>
      <c r="J13" s="34"/>
      <c r="K13" s="34"/>
      <c r="L13" s="34"/>
      <c r="M13" s="34"/>
    </row>
    <row r="14" spans="1:13" x14ac:dyDescent="0.25">
      <c r="A14" s="145">
        <v>5</v>
      </c>
      <c r="B14" s="147" t="s">
        <v>55</v>
      </c>
      <c r="C14" s="151"/>
      <c r="D14" s="113"/>
      <c r="E14" s="110"/>
      <c r="F14" s="47"/>
      <c r="G14" s="47"/>
      <c r="H14" s="47"/>
      <c r="I14" s="47"/>
      <c r="J14" s="34"/>
      <c r="K14" s="34"/>
      <c r="L14" s="34"/>
      <c r="M14" s="34"/>
    </row>
    <row r="15" spans="1:13" x14ac:dyDescent="0.25">
      <c r="A15" s="148"/>
      <c r="B15" s="147"/>
      <c r="C15" s="151"/>
      <c r="D15" s="107"/>
      <c r="E15" s="110"/>
      <c r="F15" s="47"/>
      <c r="G15" s="47"/>
      <c r="H15" s="47"/>
      <c r="I15" s="104"/>
      <c r="J15" s="34"/>
      <c r="K15" s="34"/>
      <c r="L15" s="34"/>
      <c r="M15" s="34"/>
    </row>
    <row r="16" spans="1:13" x14ac:dyDescent="0.25">
      <c r="A16" s="140">
        <v>6</v>
      </c>
      <c r="B16" s="147" t="s">
        <v>56</v>
      </c>
      <c r="C16" s="151"/>
      <c r="D16" s="108"/>
      <c r="E16" s="47"/>
      <c r="F16" s="47"/>
      <c r="G16" s="47"/>
      <c r="H16" s="47"/>
      <c r="I16" s="47"/>
      <c r="J16" s="34"/>
      <c r="K16" s="34"/>
      <c r="L16" s="34"/>
      <c r="M16" s="34"/>
    </row>
    <row r="17" spans="1:13" x14ac:dyDescent="0.25">
      <c r="A17" s="140"/>
      <c r="B17" s="151"/>
      <c r="C17" s="151"/>
      <c r="D17" s="100"/>
      <c r="E17" s="100"/>
      <c r="F17" s="100"/>
      <c r="G17" s="100"/>
      <c r="H17" s="100"/>
      <c r="I17" s="104"/>
      <c r="J17" s="34"/>
      <c r="K17" s="34"/>
      <c r="L17" s="34"/>
      <c r="M17" s="34"/>
    </row>
    <row r="18" spans="1:13" ht="30" customHeight="1" x14ac:dyDescent="0.25">
      <c r="A18" s="145">
        <v>7</v>
      </c>
      <c r="B18" s="147" t="s">
        <v>162</v>
      </c>
      <c r="C18" s="151"/>
      <c r="D18" s="154">
        <v>45837</v>
      </c>
      <c r="E18" s="47" t="s">
        <v>192</v>
      </c>
      <c r="F18" s="47">
        <v>1401</v>
      </c>
      <c r="G18" s="47" t="s">
        <v>193</v>
      </c>
      <c r="H18" s="157" t="s">
        <v>14</v>
      </c>
      <c r="I18" s="157" t="s">
        <v>221</v>
      </c>
      <c r="J18" s="34"/>
      <c r="K18" s="34"/>
      <c r="L18" s="34"/>
      <c r="M18" s="34"/>
    </row>
    <row r="19" spans="1:13" ht="15" customHeight="1" x14ac:dyDescent="0.25">
      <c r="A19" s="148"/>
      <c r="B19" s="147"/>
      <c r="C19" s="151"/>
      <c r="D19" s="155"/>
      <c r="E19" s="47" t="s">
        <v>194</v>
      </c>
      <c r="F19" s="47">
        <v>1000</v>
      </c>
      <c r="G19" s="47" t="s">
        <v>195</v>
      </c>
      <c r="H19" s="158"/>
      <c r="I19" s="158"/>
      <c r="J19" s="34"/>
      <c r="K19" s="34"/>
      <c r="L19" s="34"/>
      <c r="M19" s="34"/>
    </row>
    <row r="20" spans="1:13" x14ac:dyDescent="0.25">
      <c r="A20" s="148"/>
      <c r="B20" s="147"/>
      <c r="C20" s="151"/>
      <c r="D20" s="155"/>
      <c r="E20" s="47" t="s">
        <v>196</v>
      </c>
      <c r="F20" s="47">
        <v>400</v>
      </c>
      <c r="G20" s="47" t="s">
        <v>197</v>
      </c>
      <c r="H20" s="158"/>
      <c r="I20" s="158"/>
      <c r="J20" s="34"/>
      <c r="K20" s="34"/>
      <c r="L20" s="34"/>
      <c r="M20" s="34"/>
    </row>
    <row r="21" spans="1:13" x14ac:dyDescent="0.25">
      <c r="A21" s="148"/>
      <c r="B21" s="147"/>
      <c r="C21" s="151"/>
      <c r="D21" s="155"/>
      <c r="E21" s="47" t="s">
        <v>198</v>
      </c>
      <c r="F21" s="47">
        <v>1000</v>
      </c>
      <c r="G21" s="47" t="s">
        <v>199</v>
      </c>
      <c r="H21" s="158"/>
      <c r="I21" s="158"/>
      <c r="J21" s="34"/>
      <c r="K21" s="34"/>
      <c r="L21" s="34"/>
      <c r="M21" s="34"/>
    </row>
    <row r="22" spans="1:13" x14ac:dyDescent="0.25">
      <c r="A22" s="148"/>
      <c r="B22" s="147"/>
      <c r="C22" s="151"/>
      <c r="D22" s="155"/>
      <c r="E22" s="47" t="s">
        <v>200</v>
      </c>
      <c r="F22" s="47">
        <v>700</v>
      </c>
      <c r="G22" s="47" t="s">
        <v>201</v>
      </c>
      <c r="H22" s="158"/>
      <c r="I22" s="158"/>
      <c r="J22" s="34"/>
      <c r="K22" s="34"/>
      <c r="L22" s="34"/>
      <c r="M22" s="34"/>
    </row>
    <row r="23" spans="1:13" x14ac:dyDescent="0.25">
      <c r="A23" s="148"/>
      <c r="B23" s="147"/>
      <c r="C23" s="151"/>
      <c r="D23" s="156"/>
      <c r="E23" s="47" t="s">
        <v>202</v>
      </c>
      <c r="F23" s="47">
        <v>421</v>
      </c>
      <c r="G23" s="47" t="s">
        <v>203</v>
      </c>
      <c r="H23" s="159"/>
      <c r="I23" s="158"/>
      <c r="J23" s="34"/>
      <c r="K23" s="34"/>
      <c r="L23" s="34"/>
      <c r="M23" s="34"/>
    </row>
    <row r="24" spans="1:13" x14ac:dyDescent="0.25">
      <c r="A24" s="146"/>
      <c r="B24" s="151"/>
      <c r="C24" s="151"/>
      <c r="D24" s="111"/>
      <c r="E24" s="47"/>
      <c r="F24" s="47"/>
      <c r="G24" s="47"/>
      <c r="H24" s="104"/>
      <c r="I24" s="104"/>
      <c r="J24" s="34"/>
      <c r="K24" s="34"/>
      <c r="L24" s="34"/>
      <c r="M24" s="34"/>
    </row>
    <row r="25" spans="1:13" x14ac:dyDescent="0.25">
      <c r="A25" s="140">
        <v>8</v>
      </c>
      <c r="B25" s="147" t="s">
        <v>163</v>
      </c>
      <c r="C25" s="151"/>
      <c r="D25" s="160">
        <v>45839</v>
      </c>
      <c r="E25" s="47" t="s">
        <v>204</v>
      </c>
      <c r="F25" s="47">
        <v>400</v>
      </c>
      <c r="G25" s="47" t="s">
        <v>205</v>
      </c>
      <c r="H25" s="157" t="s">
        <v>14</v>
      </c>
      <c r="I25" s="104"/>
      <c r="J25" s="34"/>
      <c r="K25" s="34"/>
      <c r="L25" s="34"/>
      <c r="M25" s="34"/>
    </row>
    <row r="26" spans="1:13" x14ac:dyDescent="0.25">
      <c r="A26" s="140"/>
      <c r="B26" s="147"/>
      <c r="C26" s="151"/>
      <c r="D26" s="161"/>
      <c r="E26" s="47" t="s">
        <v>206</v>
      </c>
      <c r="F26" s="47">
        <v>401</v>
      </c>
      <c r="G26" s="47" t="s">
        <v>203</v>
      </c>
      <c r="H26" s="158"/>
      <c r="I26" s="104"/>
      <c r="J26" s="34"/>
      <c r="K26" s="34"/>
      <c r="L26" s="34"/>
      <c r="M26" s="34"/>
    </row>
    <row r="27" spans="1:13" ht="15" customHeight="1" x14ac:dyDescent="0.25">
      <c r="A27" s="140"/>
      <c r="B27" s="147"/>
      <c r="C27" s="151"/>
      <c r="D27" s="160">
        <v>45840</v>
      </c>
      <c r="E27" s="47" t="s">
        <v>218</v>
      </c>
      <c r="F27" s="47">
        <v>42604</v>
      </c>
      <c r="G27" s="47" t="s">
        <v>203</v>
      </c>
      <c r="H27" s="158"/>
      <c r="I27" s="104"/>
      <c r="J27" s="34"/>
      <c r="K27" s="34"/>
      <c r="L27" s="34"/>
      <c r="M27" s="34"/>
    </row>
    <row r="28" spans="1:13" ht="75" x14ac:dyDescent="0.25">
      <c r="A28" s="140"/>
      <c r="B28" s="147"/>
      <c r="C28" s="151"/>
      <c r="D28" s="161"/>
      <c r="E28" s="47" t="s">
        <v>207</v>
      </c>
      <c r="F28" s="47">
        <v>2000</v>
      </c>
      <c r="G28" s="47" t="s">
        <v>205</v>
      </c>
      <c r="H28" s="159"/>
      <c r="I28" s="47"/>
      <c r="J28" s="34"/>
      <c r="K28" s="34"/>
      <c r="L28" s="34"/>
      <c r="M28" s="34"/>
    </row>
    <row r="29" spans="1:13" ht="15" customHeight="1" x14ac:dyDescent="0.25">
      <c r="A29" s="140"/>
      <c r="B29" s="151"/>
      <c r="C29" s="151"/>
      <c r="D29" s="100"/>
      <c r="E29" s="100"/>
      <c r="F29" s="100"/>
      <c r="G29" s="100"/>
      <c r="H29" s="104"/>
      <c r="I29" s="47" t="s">
        <v>178</v>
      </c>
      <c r="J29" s="34"/>
      <c r="K29" s="34"/>
      <c r="L29" s="34"/>
      <c r="M29" s="34"/>
    </row>
    <row r="30" spans="1:13" ht="30" x14ac:dyDescent="0.25">
      <c r="A30" s="145">
        <v>9</v>
      </c>
      <c r="B30" s="141" t="s">
        <v>176</v>
      </c>
      <c r="C30" s="142"/>
      <c r="D30" s="160">
        <v>45838</v>
      </c>
      <c r="E30" s="47" t="s">
        <v>208</v>
      </c>
      <c r="F30" s="47">
        <v>1421</v>
      </c>
      <c r="G30" s="47" t="s">
        <v>209</v>
      </c>
      <c r="H30" s="157" t="s">
        <v>14</v>
      </c>
      <c r="I30" s="47" t="s">
        <v>178</v>
      </c>
      <c r="J30" s="34"/>
      <c r="K30" s="34"/>
      <c r="L30" s="34"/>
      <c r="M30" s="34"/>
    </row>
    <row r="31" spans="1:13" ht="30" x14ac:dyDescent="0.25">
      <c r="A31" s="148"/>
      <c r="B31" s="149"/>
      <c r="C31" s="150"/>
      <c r="D31" s="161"/>
      <c r="E31" s="47" t="s">
        <v>210</v>
      </c>
      <c r="F31" s="47">
        <v>1498</v>
      </c>
      <c r="G31" s="47" t="s">
        <v>211</v>
      </c>
      <c r="H31" s="158"/>
      <c r="I31" s="47" t="s">
        <v>178</v>
      </c>
      <c r="J31" s="34"/>
      <c r="K31" s="34"/>
      <c r="L31" s="34"/>
      <c r="M31" s="34"/>
    </row>
    <row r="32" spans="1:13" x14ac:dyDescent="0.25">
      <c r="A32" s="148"/>
      <c r="B32" s="149"/>
      <c r="C32" s="150"/>
      <c r="D32" s="160">
        <v>45839</v>
      </c>
      <c r="E32" s="47" t="s">
        <v>212</v>
      </c>
      <c r="F32" s="47">
        <v>300</v>
      </c>
      <c r="G32" s="47" t="s">
        <v>205</v>
      </c>
      <c r="H32" s="158"/>
      <c r="I32" s="47" t="s">
        <v>178</v>
      </c>
      <c r="J32" s="34"/>
      <c r="K32" s="34"/>
      <c r="L32" s="34"/>
      <c r="M32" s="34"/>
    </row>
    <row r="33" spans="1:13" ht="45" x14ac:dyDescent="0.25">
      <c r="A33" s="148"/>
      <c r="B33" s="149"/>
      <c r="C33" s="150"/>
      <c r="D33" s="161"/>
      <c r="E33" s="47" t="s">
        <v>213</v>
      </c>
      <c r="F33" s="47">
        <v>2302</v>
      </c>
      <c r="G33" s="47" t="s">
        <v>203</v>
      </c>
      <c r="H33" s="159"/>
      <c r="I33" s="47"/>
      <c r="J33" s="34"/>
      <c r="K33" s="34"/>
      <c r="L33" s="34"/>
      <c r="M33" s="34"/>
    </row>
    <row r="34" spans="1:13" x14ac:dyDescent="0.25">
      <c r="A34" s="146"/>
      <c r="B34" s="143"/>
      <c r="C34" s="144"/>
      <c r="D34" s="104"/>
      <c r="E34" s="47"/>
      <c r="F34" s="47"/>
      <c r="G34" s="47"/>
      <c r="H34" s="104"/>
      <c r="I34" s="47" t="s">
        <v>178</v>
      </c>
      <c r="J34" s="34"/>
      <c r="K34" s="34"/>
      <c r="L34" s="34"/>
      <c r="M34" s="34"/>
    </row>
    <row r="35" spans="1:13" ht="30" x14ac:dyDescent="0.25">
      <c r="A35" s="140">
        <v>10</v>
      </c>
      <c r="B35" s="141" t="s">
        <v>177</v>
      </c>
      <c r="C35" s="142"/>
      <c r="D35" s="160">
        <v>45842</v>
      </c>
      <c r="E35" s="47" t="s">
        <v>214</v>
      </c>
      <c r="F35" s="47">
        <v>3000</v>
      </c>
      <c r="G35" s="47" t="s">
        <v>215</v>
      </c>
      <c r="H35" s="47"/>
      <c r="I35" s="47" t="s">
        <v>178</v>
      </c>
      <c r="J35" s="34"/>
      <c r="K35" s="34"/>
      <c r="L35" s="34"/>
      <c r="M35" s="34"/>
    </row>
    <row r="36" spans="1:13" x14ac:dyDescent="0.25">
      <c r="A36" s="140"/>
      <c r="B36" s="149"/>
      <c r="C36" s="150"/>
      <c r="D36" s="161"/>
      <c r="E36" s="47" t="s">
        <v>216</v>
      </c>
      <c r="F36" s="47">
        <v>2000</v>
      </c>
      <c r="G36" s="47" t="s">
        <v>217</v>
      </c>
      <c r="H36" s="47"/>
      <c r="I36" s="47"/>
      <c r="J36" s="34"/>
      <c r="K36" s="34"/>
      <c r="L36" s="34"/>
      <c r="M36" s="34"/>
    </row>
    <row r="37" spans="1:13" x14ac:dyDescent="0.25">
      <c r="A37" s="140"/>
      <c r="B37" s="143"/>
      <c r="C37" s="144"/>
      <c r="D37" s="47"/>
      <c r="E37" s="47"/>
      <c r="F37" s="47"/>
      <c r="G37" s="47"/>
      <c r="H37" s="47"/>
      <c r="I37" s="47"/>
      <c r="J37" s="34"/>
      <c r="K37" s="34"/>
      <c r="L37" s="34"/>
      <c r="M37" s="34"/>
    </row>
    <row r="38" spans="1:13" x14ac:dyDescent="0.25">
      <c r="A38" s="145">
        <v>11</v>
      </c>
      <c r="B38" s="141" t="s">
        <v>166</v>
      </c>
      <c r="C38" s="142"/>
      <c r="D38" s="47"/>
      <c r="E38" s="47"/>
      <c r="F38" s="47"/>
      <c r="G38" s="47"/>
      <c r="H38" s="47"/>
      <c r="I38" s="47"/>
      <c r="J38" s="34"/>
      <c r="K38" s="34"/>
      <c r="L38" s="34"/>
      <c r="M38" s="34"/>
    </row>
    <row r="39" spans="1:13" x14ac:dyDescent="0.25">
      <c r="A39" s="146"/>
      <c r="B39" s="143"/>
      <c r="C39" s="144"/>
      <c r="D39" s="47"/>
      <c r="E39" s="47"/>
      <c r="F39" s="47"/>
      <c r="G39" s="47"/>
      <c r="H39" s="47"/>
      <c r="I39" s="47"/>
      <c r="J39" s="34"/>
      <c r="K39" s="34"/>
      <c r="L39" s="34"/>
      <c r="M39" s="34"/>
    </row>
    <row r="40" spans="1:13" x14ac:dyDescent="0.25">
      <c r="A40" s="140">
        <v>12</v>
      </c>
      <c r="B40" s="141" t="s">
        <v>167</v>
      </c>
      <c r="C40" s="142"/>
      <c r="D40" s="47"/>
      <c r="E40" s="47"/>
      <c r="F40" s="47"/>
      <c r="G40" s="47"/>
      <c r="H40" s="47"/>
      <c r="I40" s="47"/>
      <c r="J40" s="34"/>
      <c r="K40" s="34"/>
      <c r="L40" s="34"/>
      <c r="M40" s="34"/>
    </row>
    <row r="41" spans="1:13" x14ac:dyDescent="0.25">
      <c r="A41" s="140"/>
      <c r="B41" s="143"/>
      <c r="C41" s="144"/>
      <c r="D41" s="47"/>
      <c r="E41" s="47"/>
      <c r="F41" s="47"/>
      <c r="G41" s="47"/>
      <c r="H41" s="47"/>
      <c r="I41" s="47"/>
      <c r="J41" s="34"/>
      <c r="K41" s="34"/>
      <c r="L41" s="34"/>
      <c r="M41" s="34"/>
    </row>
    <row r="42" spans="1:13" x14ac:dyDescent="0.25">
      <c r="A42" s="145">
        <v>13</v>
      </c>
      <c r="B42" s="141" t="s">
        <v>174</v>
      </c>
      <c r="C42" s="142"/>
      <c r="D42" s="47"/>
      <c r="E42" s="47"/>
      <c r="F42" s="47"/>
      <c r="G42" s="47"/>
      <c r="H42" s="47"/>
      <c r="I42" s="47"/>
      <c r="J42" s="34"/>
      <c r="K42" s="34"/>
      <c r="L42" s="34"/>
      <c r="M42" s="34"/>
    </row>
    <row r="43" spans="1:13" x14ac:dyDescent="0.25">
      <c r="A43" s="146"/>
      <c r="B43" s="143"/>
      <c r="C43" s="144"/>
      <c r="D43" s="47"/>
      <c r="E43" s="47"/>
      <c r="F43" s="47"/>
      <c r="G43" s="47"/>
      <c r="H43" s="47"/>
      <c r="I43" s="47"/>
      <c r="J43" s="34"/>
      <c r="K43" s="34"/>
      <c r="L43" s="34"/>
      <c r="M43" s="34"/>
    </row>
    <row r="44" spans="1:13" x14ac:dyDescent="0.25">
      <c r="A44" s="140">
        <v>14</v>
      </c>
      <c r="B44" s="141" t="s">
        <v>175</v>
      </c>
      <c r="C44" s="142"/>
      <c r="D44" s="47"/>
      <c r="E44" s="47"/>
      <c r="F44" s="47"/>
      <c r="G44" s="47"/>
      <c r="H44" s="47"/>
      <c r="I44" s="47"/>
      <c r="J44" s="34"/>
      <c r="K44" s="34"/>
      <c r="L44" s="34"/>
      <c r="M44" s="34"/>
    </row>
    <row r="45" spans="1:13" x14ac:dyDescent="0.25">
      <c r="A45" s="140"/>
      <c r="B45" s="143"/>
      <c r="C45" s="144"/>
      <c r="D45" s="47"/>
      <c r="E45" s="47"/>
      <c r="F45" s="47"/>
      <c r="G45" s="47"/>
      <c r="H45" s="47"/>
      <c r="I45" s="47"/>
      <c r="J45" s="34"/>
      <c r="K45" s="34"/>
      <c r="L45" s="34"/>
      <c r="M45" s="34"/>
    </row>
    <row r="46" spans="1:13" x14ac:dyDescent="0.25">
      <c r="A46" s="145">
        <v>15</v>
      </c>
      <c r="B46" s="141" t="s">
        <v>128</v>
      </c>
      <c r="C46" s="142"/>
      <c r="D46" s="47"/>
      <c r="E46" s="47"/>
      <c r="F46" s="47"/>
      <c r="G46" s="47"/>
      <c r="H46" s="47"/>
      <c r="I46" s="47"/>
      <c r="J46" s="34"/>
      <c r="K46" s="34"/>
      <c r="L46" s="34"/>
      <c r="M46" s="34"/>
    </row>
    <row r="47" spans="1:13" x14ac:dyDescent="0.25">
      <c r="A47" s="146"/>
      <c r="B47" s="143"/>
      <c r="C47" s="144"/>
      <c r="D47" s="47"/>
      <c r="E47" s="47"/>
      <c r="F47" s="47"/>
      <c r="G47" s="47"/>
      <c r="H47" s="47"/>
      <c r="I47" s="47"/>
      <c r="J47" s="34"/>
      <c r="K47" s="34"/>
      <c r="L47" s="34"/>
      <c r="M47" s="34"/>
    </row>
    <row r="48" spans="1:13" x14ac:dyDescent="0.25">
      <c r="A48" s="140">
        <v>16</v>
      </c>
      <c r="B48" s="141" t="s">
        <v>168</v>
      </c>
      <c r="C48" s="142"/>
      <c r="D48" s="47"/>
      <c r="E48" s="47"/>
      <c r="F48" s="47"/>
      <c r="G48" s="47"/>
      <c r="H48" s="47"/>
      <c r="I48" s="47"/>
      <c r="J48" s="34"/>
      <c r="K48" s="34"/>
      <c r="L48" s="34"/>
      <c r="M48" s="34"/>
    </row>
    <row r="49" spans="1:13" x14ac:dyDescent="0.25">
      <c r="A49" s="140"/>
      <c r="B49" s="143"/>
      <c r="C49" s="144"/>
      <c r="D49" s="47"/>
      <c r="E49" s="47"/>
      <c r="F49" s="47"/>
      <c r="G49" s="47"/>
      <c r="H49" s="47"/>
      <c r="I49" s="47"/>
      <c r="J49" s="34"/>
      <c r="K49" s="34"/>
      <c r="L49" s="34"/>
      <c r="M49" s="34"/>
    </row>
    <row r="50" spans="1:13" x14ac:dyDescent="0.25">
      <c r="A50" s="145">
        <v>17</v>
      </c>
      <c r="B50" s="141" t="s">
        <v>169</v>
      </c>
      <c r="C50" s="142"/>
      <c r="D50" s="47"/>
      <c r="E50" s="47"/>
      <c r="F50" s="47"/>
      <c r="G50" s="47"/>
      <c r="H50" s="47"/>
      <c r="I50" s="47"/>
      <c r="J50" s="34"/>
      <c r="K50" s="34"/>
      <c r="L50" s="34"/>
      <c r="M50" s="34"/>
    </row>
    <row r="51" spans="1:13" x14ac:dyDescent="0.25">
      <c r="A51" s="146"/>
      <c r="B51" s="143"/>
      <c r="C51" s="144"/>
      <c r="D51" s="47"/>
      <c r="E51" s="47"/>
      <c r="F51" s="47"/>
      <c r="G51" s="47"/>
      <c r="H51" s="47"/>
      <c r="I51" s="47"/>
      <c r="J51" s="34"/>
      <c r="K51" s="34"/>
      <c r="L51" s="34"/>
      <c r="M51" s="34"/>
    </row>
    <row r="52" spans="1:13" x14ac:dyDescent="0.25">
      <c r="A52" s="140">
        <v>18</v>
      </c>
      <c r="B52" s="141" t="s">
        <v>171</v>
      </c>
      <c r="C52" s="142"/>
      <c r="D52" s="47"/>
      <c r="E52" s="47"/>
      <c r="F52" s="47"/>
      <c r="G52" s="47"/>
      <c r="H52" s="47"/>
      <c r="I52" s="47"/>
      <c r="J52" s="34"/>
      <c r="K52" s="34"/>
      <c r="L52" s="34"/>
      <c r="M52" s="34"/>
    </row>
    <row r="53" spans="1:13" x14ac:dyDescent="0.25">
      <c r="A53" s="140"/>
      <c r="B53" s="143"/>
      <c r="C53" s="144"/>
      <c r="D53" s="47"/>
      <c r="E53" s="47"/>
      <c r="F53" s="47"/>
      <c r="G53" s="47"/>
      <c r="H53" s="47"/>
      <c r="I53" s="47"/>
      <c r="J53" s="34"/>
      <c r="K53" s="34"/>
      <c r="L53" s="34"/>
      <c r="M53" s="34"/>
    </row>
    <row r="54" spans="1:13" x14ac:dyDescent="0.25">
      <c r="A54" s="145">
        <v>19</v>
      </c>
      <c r="B54" s="141" t="s">
        <v>170</v>
      </c>
      <c r="C54" s="142"/>
      <c r="D54" s="47"/>
      <c r="E54" s="47"/>
      <c r="F54" s="47"/>
      <c r="G54" s="47"/>
      <c r="H54" s="47"/>
      <c r="I54" s="47"/>
      <c r="J54" s="34"/>
      <c r="K54" s="34"/>
      <c r="L54" s="34"/>
      <c r="M54" s="34"/>
    </row>
    <row r="55" spans="1:13" x14ac:dyDescent="0.25">
      <c r="A55" s="146"/>
      <c r="B55" s="143"/>
      <c r="C55" s="144"/>
      <c r="D55" s="47"/>
      <c r="E55" s="47"/>
      <c r="F55" s="47"/>
      <c r="G55" s="47"/>
      <c r="H55" s="47"/>
      <c r="I55" s="47"/>
      <c r="J55" s="34"/>
      <c r="K55" s="34"/>
      <c r="L55" s="34"/>
      <c r="M55" s="34"/>
    </row>
    <row r="56" spans="1:13" x14ac:dyDescent="0.25">
      <c r="A56" s="140">
        <v>20</v>
      </c>
      <c r="B56" s="141" t="s">
        <v>172</v>
      </c>
      <c r="C56" s="142"/>
      <c r="D56" s="47"/>
      <c r="E56" s="47"/>
      <c r="F56" s="47"/>
      <c r="G56" s="47"/>
      <c r="H56" s="47"/>
      <c r="I56" s="47"/>
      <c r="J56" s="34"/>
      <c r="K56" s="34"/>
      <c r="L56" s="34"/>
      <c r="M56" s="34"/>
    </row>
    <row r="57" spans="1:13" x14ac:dyDescent="0.25">
      <c r="A57" s="140"/>
      <c r="B57" s="143"/>
      <c r="C57" s="144"/>
      <c r="D57" s="47"/>
      <c r="E57" s="47"/>
      <c r="F57" s="47"/>
      <c r="G57" s="47"/>
      <c r="H57" s="47"/>
      <c r="I57" s="47"/>
      <c r="J57" s="34"/>
      <c r="K57" s="34"/>
      <c r="L57" s="34"/>
      <c r="M57" s="34"/>
    </row>
    <row r="58" spans="1:13" x14ac:dyDescent="0.25">
      <c r="A58" s="145">
        <v>21</v>
      </c>
      <c r="B58" s="141" t="s">
        <v>173</v>
      </c>
      <c r="C58" s="142"/>
      <c r="D58" s="47"/>
      <c r="E58" s="47"/>
      <c r="F58" s="47"/>
      <c r="G58" s="47"/>
      <c r="H58" s="47"/>
      <c r="I58" s="47"/>
      <c r="J58" s="34"/>
      <c r="K58" s="34"/>
      <c r="L58" s="34"/>
      <c r="M58" s="34"/>
    </row>
    <row r="59" spans="1:13" x14ac:dyDescent="0.25">
      <c r="A59" s="146"/>
      <c r="B59" s="143"/>
      <c r="C59" s="144"/>
      <c r="D59" s="47"/>
      <c r="E59" s="47"/>
      <c r="F59" s="47"/>
      <c r="G59" s="47"/>
      <c r="H59" s="47"/>
      <c r="I59" s="47"/>
      <c r="J59" s="34"/>
      <c r="K59" s="34"/>
      <c r="L59" s="34"/>
      <c r="M59" s="34"/>
    </row>
    <row r="60" spans="1:13" x14ac:dyDescent="0.25">
      <c r="A60" s="140">
        <v>22</v>
      </c>
      <c r="B60" s="141" t="s">
        <v>63</v>
      </c>
      <c r="C60" s="142"/>
      <c r="D60" s="47"/>
      <c r="E60" s="47"/>
      <c r="F60" s="47"/>
      <c r="G60" s="47"/>
      <c r="H60" s="47"/>
      <c r="I60" s="47"/>
      <c r="J60" s="34"/>
      <c r="K60" s="34"/>
      <c r="L60" s="34"/>
      <c r="M60" s="34"/>
    </row>
    <row r="61" spans="1:13" x14ac:dyDescent="0.25">
      <c r="A61" s="140"/>
      <c r="B61" s="143"/>
      <c r="C61" s="144"/>
      <c r="D61" s="47"/>
      <c r="E61" s="47"/>
      <c r="F61" s="47"/>
      <c r="G61" s="47"/>
      <c r="H61" s="47"/>
      <c r="I61" s="47"/>
      <c r="J61" s="34"/>
      <c r="K61" s="34"/>
      <c r="L61" s="34"/>
      <c r="M61" s="34"/>
    </row>
    <row r="62" spans="1:13" x14ac:dyDescent="0.25">
      <c r="A62" s="145">
        <v>23</v>
      </c>
      <c r="B62" s="141" t="s">
        <v>64</v>
      </c>
      <c r="C62" s="142"/>
      <c r="D62" s="47"/>
      <c r="E62" s="47"/>
      <c r="F62" s="47"/>
      <c r="G62" s="47"/>
      <c r="H62" s="47"/>
      <c r="I62" s="47"/>
      <c r="J62" s="34"/>
      <c r="K62" s="34"/>
      <c r="L62" s="34"/>
      <c r="M62" s="34"/>
    </row>
    <row r="63" spans="1:13" x14ac:dyDescent="0.25">
      <c r="A63" s="146"/>
      <c r="B63" s="143"/>
      <c r="C63" s="144"/>
      <c r="D63" s="47"/>
      <c r="E63" s="47"/>
      <c r="F63" s="47"/>
      <c r="G63" s="47"/>
      <c r="H63" s="47"/>
      <c r="I63" s="47"/>
      <c r="J63" s="34"/>
      <c r="K63" s="34"/>
      <c r="L63" s="34"/>
      <c r="M63" s="34"/>
    </row>
    <row r="64" spans="1:13" x14ac:dyDescent="0.25">
      <c r="A64" s="140">
        <v>24</v>
      </c>
      <c r="B64" s="147" t="s">
        <v>65</v>
      </c>
      <c r="C64" s="147"/>
      <c r="D64" s="47"/>
      <c r="E64" s="47"/>
      <c r="F64" s="47"/>
      <c r="G64" s="47"/>
      <c r="H64" s="47"/>
      <c r="I64" s="47"/>
      <c r="J64" s="34"/>
      <c r="K64" s="34"/>
      <c r="L64" s="34"/>
      <c r="M64" s="34"/>
    </row>
    <row r="65" spans="1:13" x14ac:dyDescent="0.25">
      <c r="A65" s="140"/>
      <c r="B65" s="147"/>
      <c r="C65" s="147"/>
      <c r="D65" s="47"/>
      <c r="E65" s="47"/>
      <c r="F65" s="47"/>
      <c r="G65" s="47"/>
      <c r="H65" s="47"/>
      <c r="I65" s="47"/>
      <c r="J65" s="34"/>
      <c r="K65" s="34"/>
      <c r="L65" s="34"/>
      <c r="M65" s="34"/>
    </row>
    <row r="66" spans="1:13" x14ac:dyDescent="0.25">
      <c r="A66" s="138"/>
      <c r="B66" s="139"/>
      <c r="C66" s="139"/>
      <c r="D66" s="101"/>
      <c r="E66" s="101"/>
      <c r="F66" s="101"/>
      <c r="G66" s="101"/>
      <c r="H66" s="101"/>
      <c r="I66" s="101"/>
      <c r="J66" s="34"/>
      <c r="K66" s="34"/>
      <c r="L66" s="34"/>
      <c r="M66" s="34"/>
    </row>
    <row r="67" spans="1:13" x14ac:dyDescent="0.25">
      <c r="A67" s="138"/>
      <c r="B67" s="139"/>
      <c r="C67" s="139"/>
      <c r="J67" s="34"/>
      <c r="K67" s="34"/>
      <c r="L67" s="34"/>
      <c r="M67" s="34"/>
    </row>
  </sheetData>
  <mergeCells count="61">
    <mergeCell ref="I18:I23"/>
    <mergeCell ref="A62:A63"/>
    <mergeCell ref="B62:C63"/>
    <mergeCell ref="A64:A65"/>
    <mergeCell ref="B64:C65"/>
    <mergeCell ref="D25:D26"/>
    <mergeCell ref="H25:H28"/>
    <mergeCell ref="D27:D28"/>
    <mergeCell ref="D30:D31"/>
    <mergeCell ref="H30:H33"/>
    <mergeCell ref="D32:D33"/>
    <mergeCell ref="D35:D36"/>
    <mergeCell ref="B52:C53"/>
    <mergeCell ref="A54:A55"/>
    <mergeCell ref="B54:C55"/>
    <mergeCell ref="A56:A57"/>
    <mergeCell ref="A66:A67"/>
    <mergeCell ref="B66:C67"/>
    <mergeCell ref="B42:C43"/>
    <mergeCell ref="A44:A45"/>
    <mergeCell ref="B44:C45"/>
    <mergeCell ref="A46:A47"/>
    <mergeCell ref="B46:C47"/>
    <mergeCell ref="A60:A61"/>
    <mergeCell ref="B60:C61"/>
    <mergeCell ref="A48:A49"/>
    <mergeCell ref="B48:C49"/>
    <mergeCell ref="A58:A59"/>
    <mergeCell ref="B58:C59"/>
    <mergeCell ref="A50:A51"/>
    <mergeCell ref="B50:C51"/>
    <mergeCell ref="A52:A53"/>
    <mergeCell ref="A35:A37"/>
    <mergeCell ref="B35:C37"/>
    <mergeCell ref="B5:C5"/>
    <mergeCell ref="A6:A7"/>
    <mergeCell ref="B6:C7"/>
    <mergeCell ref="A8:A9"/>
    <mergeCell ref="B8:C9"/>
    <mergeCell ref="A10:A11"/>
    <mergeCell ref="B10:C11"/>
    <mergeCell ref="A12:A13"/>
    <mergeCell ref="B12:C13"/>
    <mergeCell ref="A14:A15"/>
    <mergeCell ref="B14:C15"/>
    <mergeCell ref="B56:C57"/>
    <mergeCell ref="D18:D23"/>
    <mergeCell ref="H18:H23"/>
    <mergeCell ref="A16:A17"/>
    <mergeCell ref="B16:C17"/>
    <mergeCell ref="A38:A39"/>
    <mergeCell ref="B38:C39"/>
    <mergeCell ref="A42:A43"/>
    <mergeCell ref="A40:A41"/>
    <mergeCell ref="B40:C41"/>
    <mergeCell ref="A18:A24"/>
    <mergeCell ref="B18:C24"/>
    <mergeCell ref="A25:A29"/>
    <mergeCell ref="B25:C29"/>
    <mergeCell ref="A30:A34"/>
    <mergeCell ref="B30:C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ThisWorkbook.OpenForm">
                <anchor>
                  <from>
                    <xdr:col>5</xdr:col>
                    <xdr:colOff>1123950</xdr:colOff>
                    <xdr:row>0</xdr:row>
                    <xdr:rowOff>66675</xdr:rowOff>
                  </from>
                  <to>
                    <xdr:col>6</xdr:col>
                    <xdr:colOff>638175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honFile">
                <anchor>
                  <from>
                    <xdr:col>6</xdr:col>
                    <xdr:colOff>895350</xdr:colOff>
                    <xdr:row>0</xdr:row>
                    <xdr:rowOff>95250</xdr:rowOff>
                  </from>
                  <to>
                    <xdr:col>7</xdr:col>
                    <xdr:colOff>104775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 HOACH KSK 2025</vt:lpstr>
      <vt:lpstr>Form goc</vt:lpstr>
      <vt:lpstr>Nhap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2025-08-05T02:00:08Z</dcterms:modified>
</cp:coreProperties>
</file>