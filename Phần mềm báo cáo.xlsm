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2E858DFF-D237-4D2D-909A-BE01C62AC37E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KE HOACH KSK 06-2025" sheetId="2" r:id="rId1"/>
    <sheet name="Form goc" sheetId="5" r:id="rId2"/>
    <sheet name="BAO CAO CONG VIEC" sheetId="4" r:id="rId3"/>
    <sheet name="Nhap" sheetId="7" r:id="rId4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hAXiq5FJOq0Ahly9tfFigRzqglmV7W4/NKucWWpN5U="/>
    </ext>
  </extLst>
</workbook>
</file>

<file path=xl/calcChain.xml><?xml version="1.0" encoding="utf-8"?>
<calcChain xmlns="http://schemas.openxmlformats.org/spreadsheetml/2006/main">
  <c r="T39" i="2" l="1"/>
  <c r="T22" i="2"/>
  <c r="T18" i="2"/>
</calcChain>
</file>

<file path=xl/sharedStrings.xml><?xml version="1.0" encoding="utf-8"?>
<sst xmlns="http://schemas.openxmlformats.org/spreadsheetml/2006/main" count="551" uniqueCount="212">
  <si>
    <t>STT</t>
  </si>
  <si>
    <t>ĐƠN VỊ KHÁM</t>
  </si>
  <si>
    <t>NGÀY KHÁM</t>
  </si>
  <si>
    <t>SỐ LƯỢNG KHÁM DỰ KIẾN</t>
  </si>
  <si>
    <t>DANH MỤC KHÁM</t>
  </si>
  <si>
    <t>Lâm sàng</t>
  </si>
  <si>
    <t>Xét nghiệm</t>
  </si>
  <si>
    <t>Siêu âm</t>
  </si>
  <si>
    <t>Điện tim</t>
  </si>
  <si>
    <t>X quang</t>
  </si>
  <si>
    <t>LS BNN</t>
  </si>
  <si>
    <t>Hô hấp</t>
  </si>
  <si>
    <t>Thính lực</t>
  </si>
  <si>
    <t>Ph da</t>
  </si>
  <si>
    <t>X</t>
  </si>
  <si>
    <t>ĐX</t>
  </si>
  <si>
    <t xml:space="preserve">CÔNG TY TNHH SKY DRAGON VIỆT NAM </t>
  </si>
  <si>
    <t>10-12/06/2025</t>
  </si>
  <si>
    <t>CÔNG TY APATIT LÀO CAI</t>
  </si>
  <si>
    <t>CÔNG TY CỔ PHẦN GIÀY NGỌC HÀ</t>
  </si>
  <si>
    <t>14/06/2025</t>
  </si>
  <si>
    <t>CÔNG TY SUPERIOR EMS VIỆT NAM</t>
  </si>
  <si>
    <t>193 (105 NỮ)</t>
  </si>
  <si>
    <t>HỆ THỐNG CTY CP CHĂN NUÔI CP VIỆT NAM</t>
  </si>
  <si>
    <t>16-28/06/2025</t>
  </si>
  <si>
    <t>2901 (1800 NAM, 1101 NỮ)</t>
  </si>
  <si>
    <t>CÔNG TY CP DI CHUYỂN XANH VÀ THÔNG MINH GSM</t>
  </si>
  <si>
    <t>16-22/07/2025</t>
  </si>
  <si>
    <t>CÔNG TY TNHH HAID HẢI DƯƠNG</t>
  </si>
  <si>
    <t>18/06/2025</t>
  </si>
  <si>
    <t>XÍ NGHIỆP THỦ CÔNG MỸ NGHỆ XK VÂN ANH</t>
  </si>
  <si>
    <t>CÔNG TY CCL DESIGN VIỆT NAM</t>
  </si>
  <si>
    <t>CÔNG TY CP QUỐC TẾ PHONG PHÚ</t>
  </si>
  <si>
    <t>19/06/2025</t>
  </si>
  <si>
    <t>CÔNG TY TNHH GFT UNIQUE VIỆT NAM</t>
  </si>
  <si>
    <t>20,21/06/2025</t>
  </si>
  <si>
    <t>CÔNG TY CP SẢN XUẤT VÀ THƯƠNG MẠI PHỤ LIỆU NGHÀNH MAY TAM NIÊN</t>
  </si>
  <si>
    <t>22/06/2025</t>
  </si>
  <si>
    <t>210 (50 NAM, 160 NỮ)</t>
  </si>
  <si>
    <t>CÔNG TY TNHH VẬT LIỆU ĐẶC BIỆT GIAI ĐỨC VN</t>
  </si>
  <si>
    <t>25/06/2025</t>
  </si>
  <si>
    <t>70 ( 55 NỮ)</t>
  </si>
  <si>
    <t>TRƯỜNG MN LÁ PHONG XANH</t>
  </si>
  <si>
    <t>25/6/2025</t>
  </si>
  <si>
    <t>CÔNG TY TNHH MOVE VINA</t>
  </si>
  <si>
    <t>26/06/2025</t>
  </si>
  <si>
    <t>CÔNG TY CP BÓNG ĐÈN PHÍCH NƯỚC RẠNG ĐÔNG</t>
  </si>
  <si>
    <t>27,28/06/2025</t>
  </si>
  <si>
    <t>BẢNG PHÂN CÔNG THEO DÕI TIẾN ĐỘ CÔNG VIỆC KHÁM SỨC KHỎE 2025</t>
  </si>
  <si>
    <t>NGÀY TRẢ FILE NHẬP KẾT LUẬN</t>
  </si>
  <si>
    <t>IN HS ĐK+ HS BNN</t>
  </si>
  <si>
    <t>GHÉP CODE</t>
  </si>
  <si>
    <t>HỒ SƠ KHÁM THỰC TẾ</t>
  </si>
  <si>
    <t>XẾP TT HS</t>
  </si>
  <si>
    <t>PHÂN LOẠI THỂ LỰC</t>
  </si>
  <si>
    <t>NHẬP SƠ BỘ HS ĐK</t>
  </si>
  <si>
    <t>NHẬP SƠ BỘ HS BNN</t>
  </si>
  <si>
    <t>ĐỌC SOÁT HS</t>
  </si>
  <si>
    <t xml:space="preserve">SỬA KQ ĐỌC SOÁT, GHÉP KQ CLS </t>
  </si>
  <si>
    <t>KẾT LUẬN</t>
  </si>
  <si>
    <t>IN ĐUÔI KẾT LUẬN</t>
  </si>
  <si>
    <t>GHÉP KẾT LUẬN</t>
  </si>
  <si>
    <t>ĐÓNG DẤU KL-GIÁP LAI</t>
  </si>
  <si>
    <t>IN KẾT QUẢ CÁ NHÂN</t>
  </si>
  <si>
    <t>ĐÓNG PHONG BÌ KQCN</t>
  </si>
  <si>
    <t>BÀN GIAO HS TRẢ KẾT QUẢ</t>
  </si>
  <si>
    <t>Người thực hiện</t>
  </si>
  <si>
    <t>Thời hạn</t>
  </si>
  <si>
    <t>Số HS</t>
  </si>
  <si>
    <t>Người thực hiện/TTHS</t>
  </si>
  <si>
    <t>HS đã PL</t>
  </si>
  <si>
    <t>TTHS</t>
  </si>
  <si>
    <t>SL đã nhập</t>
  </si>
  <si>
    <t>ĐK/BNN</t>
  </si>
  <si>
    <t>HS đã soát</t>
  </si>
  <si>
    <t>HS đã soát ghép</t>
  </si>
  <si>
    <t>HS đã đóng dấu</t>
  </si>
  <si>
    <t>Phong bì đã đóng</t>
  </si>
  <si>
    <t>DOANH NGHIỆP CHẾ XUẤT NITORI VIỆT NAM</t>
  </si>
  <si>
    <t>21/06/2025</t>
  </si>
  <si>
    <t>Huyền+Lan</t>
  </si>
  <si>
    <t>ĐK</t>
  </si>
  <si>
    <t>1-599|1500-1900</t>
  </si>
  <si>
    <t>Hào</t>
  </si>
  <si>
    <t>Thủy + Thảo</t>
  </si>
  <si>
    <t>600-1199</t>
  </si>
  <si>
    <t>Thủy + Tài</t>
  </si>
  <si>
    <t>BNN</t>
  </si>
  <si>
    <t>2600-4000</t>
  </si>
  <si>
    <t xml:space="preserve">Tài+Lan </t>
  </si>
  <si>
    <t>4601-5000</t>
  </si>
  <si>
    <t>Uyên+Đăng</t>
  </si>
  <si>
    <t>401-4600</t>
  </si>
  <si>
    <t>Thủy+Tài</t>
  </si>
  <si>
    <t>2600-2700
3400-4000</t>
  </si>
  <si>
    <t>Tuấn</t>
  </si>
  <si>
    <t>BS LĨNH</t>
  </si>
  <si>
    <t>21/06</t>
  </si>
  <si>
    <t>Thành</t>
  </si>
  <si>
    <t>01-3316</t>
  </si>
  <si>
    <t>Tài+ Uyên</t>
  </si>
  <si>
    <t>500-1000|1000-1900</t>
  </si>
  <si>
    <t>Thành+Thủy</t>
  </si>
  <si>
    <t>0-500|1000-1500|2000-2100</t>
  </si>
  <si>
    <t>Uyên+Thành</t>
  </si>
  <si>
    <t>2100-3733</t>
  </si>
  <si>
    <t>Thảo</t>
  </si>
  <si>
    <t>01-1343</t>
  </si>
  <si>
    <t>Thảo, Thành</t>
  </si>
  <si>
    <t>Tài+ Lan</t>
  </si>
  <si>
    <t>Huyền</t>
  </si>
  <si>
    <t xml:space="preserve">Ngọc Anh
300+600 </t>
  </si>
  <si>
    <t>22/06</t>
  </si>
  <si>
    <t>Thủy +Tài
BNN</t>
  </si>
  <si>
    <t>01-300/401-600/601-700/700-746/801-1338/</t>
  </si>
  <si>
    <t>Tài</t>
  </si>
  <si>
    <t>Lan</t>
  </si>
  <si>
    <t>01-700</t>
  </si>
  <si>
    <t xml:space="preserve"> Hoài+Lan</t>
  </si>
  <si>
    <t>6565-7112</t>
  </si>
  <si>
    <t>25/06</t>
  </si>
  <si>
    <t>Thủy+Lan</t>
  </si>
  <si>
    <t>A Định</t>
  </si>
  <si>
    <t>BS KẾT</t>
  </si>
  <si>
    <t>01-81</t>
  </si>
  <si>
    <t>20/06</t>
  </si>
  <si>
    <t>Đã trả KQ</t>
  </si>
  <si>
    <t>27/06/2027</t>
  </si>
  <si>
    <t>Hoài</t>
  </si>
  <si>
    <t>01-367</t>
  </si>
  <si>
    <t>Hoài+Lan</t>
  </si>
  <si>
    <t>1-378</t>
  </si>
  <si>
    <t>28/06/2025</t>
  </si>
  <si>
    <t>CÔNG TY TNHH VINA ITO</t>
  </si>
  <si>
    <t>CÔNG TY TNHH CLARK MATERIAL HANDLING VIỆT NAM</t>
  </si>
  <si>
    <t>25/06/2026</t>
  </si>
  <si>
    <t>CÔNG TY TNHH MK VINA</t>
  </si>
  <si>
    <t>CÔNG TY NISHOKU TECHNOLOGI</t>
  </si>
  <si>
    <t>30/06/2025</t>
  </si>
  <si>
    <t>Nội dung công việc</t>
  </si>
  <si>
    <t>Ngày nhận việc</t>
  </si>
  <si>
    <t>Mã HS</t>
  </si>
  <si>
    <t>Số lượng HS hoàn thành</t>
  </si>
  <si>
    <t>Đã hoàn thành
(X)</t>
  </si>
  <si>
    <t>Chưa hoàn thành/Lý do</t>
  </si>
  <si>
    <t>IN HS</t>
  </si>
  <si>
    <t>GHIM HS</t>
  </si>
  <si>
    <t xml:space="preserve"> </t>
  </si>
  <si>
    <t>ĐỌC SOÁT HS ĐK-BNN</t>
  </si>
  <si>
    <t>SỬA KQ ĐỌC SOÁT HS</t>
  </si>
  <si>
    <t>TỔNG HỢP GHÉP KẾT QUẢ</t>
  </si>
  <si>
    <t>KẾT LUẬN FILE MỀM</t>
  </si>
  <si>
    <t>GHÉP KẾT LUẬN ĐÓNG DẤU</t>
  </si>
  <si>
    <t>Lan+ Thủy</t>
  </si>
  <si>
    <t>Lan+Thủy</t>
  </si>
  <si>
    <t>1-500| 1100-1300</t>
  </si>
  <si>
    <t>Thành Uyên</t>
  </si>
  <si>
    <t>Thành+Uyên</t>
  </si>
  <si>
    <t>600-1000|1300</t>
  </si>
  <si>
    <t>Uyên</t>
  </si>
  <si>
    <t>Trang</t>
  </si>
  <si>
    <t>ĐÓNG DẤU CK</t>
  </si>
  <si>
    <t>Hương</t>
  </si>
  <si>
    <t>Huyền+BS Tỉnh</t>
  </si>
  <si>
    <t>Uyên + Thành</t>
  </si>
  <si>
    <t>28/06</t>
  </si>
  <si>
    <t>1-100</t>
  </si>
  <si>
    <t>700/1848</t>
  </si>
  <si>
    <t>Thủy Lan đóng dấu BNN
800hs</t>
  </si>
  <si>
    <t>Lan Thủy</t>
  </si>
  <si>
    <t>BNN+ĐK</t>
  </si>
  <si>
    <t>701-1370</t>
  </si>
  <si>
    <t>500-1000
1500-1900</t>
  </si>
  <si>
    <t>Tên công ty</t>
  </si>
  <si>
    <t>Ngày khám</t>
  </si>
  <si>
    <t>Ngày kết thúc</t>
  </si>
  <si>
    <t>Số lượng dự kiến</t>
  </si>
  <si>
    <t>Số lượng thực tế</t>
  </si>
  <si>
    <t>Thủy+ Lan đóng dấu BNN
1200hs</t>
  </si>
  <si>
    <t>Sủa phiếu siêu âm, phụ khoa: Huyền</t>
  </si>
  <si>
    <t>Huyền-BS Tỉnh đã KL xong</t>
  </si>
  <si>
    <t>Huyền-BS Tỉnh đã KL xong ĐK</t>
  </si>
  <si>
    <t>Hoài+Trang</t>
  </si>
  <si>
    <t>CÔNG TY TNHH NHUẬN DẬT</t>
  </si>
  <si>
    <t>CÔNG TY TNHH TM&amp;DV TALAD THAI</t>
  </si>
  <si>
    <t>27/6-10/7</t>
  </si>
  <si>
    <t>CÔNG TY CP SX DƯỢC PHẨM TAKARAI</t>
  </si>
  <si>
    <t>30/06</t>
  </si>
  <si>
    <t>CÔNG TY TNHH THÀNH NGHĨA</t>
  </si>
  <si>
    <t>CÔNG TY CP Ô TÔ HUYNDAI HƯNG YÊN</t>
  </si>
  <si>
    <t>CÔNG TY CP THĂNG LONG TALIMEX</t>
  </si>
  <si>
    <t>CÔNG TY CP DỊCH VỤ QUỐC TẾ HÀ THÀNH</t>
  </si>
  <si>
    <t>1-2/07/2025</t>
  </si>
  <si>
    <t>ĐỌC SOÁT HS ĐK</t>
  </si>
  <si>
    <t>ĐỌC SOÁT HS BNN</t>
  </si>
  <si>
    <t>XẾP TT HS ĐK</t>
  </si>
  <si>
    <t>XẾP TT HS BNN</t>
  </si>
  <si>
    <t>SỬA KQ ĐỌC SOÁT HS ĐK</t>
  </si>
  <si>
    <t>SỬA KQ ĐỌC SOÁT HS BNN</t>
  </si>
  <si>
    <t>KẾT LUẬN PL FILE MỀM ĐK</t>
  </si>
  <si>
    <t>KẾT LUẬN PL FILE MỀM BNN</t>
  </si>
  <si>
    <t>IN ĐUÔI KẾT LUẬN BNN</t>
  </si>
  <si>
    <t>IN ĐUÔI KẾT LUẬN ĐK</t>
  </si>
  <si>
    <t>GHÉP KẾT LUẬN ĐÓNG DẤU ĐK</t>
  </si>
  <si>
    <t>GHÉP KẾT LUẬN ĐÓNG DẤU BNN</t>
  </si>
  <si>
    <t>SỬA KQ ĐỌC SOÁT PHIẾU SIÊU ÂM</t>
  </si>
  <si>
    <t>SỬA KQ ĐỌC SOÁT PHIẾU ĐIỆN TIM</t>
  </si>
  <si>
    <t>ĐỌC SOÁT PHIẾU SIÊU ÂM</t>
  </si>
  <si>
    <t>ĐỌC SOÁT PHIẾU ĐIỆN TIM</t>
  </si>
  <si>
    <t/>
  </si>
  <si>
    <t>1</t>
  </si>
  <si>
    <t>copy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</si>
</sst>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26"/>
      <color theme="1"/>
      <name val="Times New Roman"/>
      <family val="1"/>
    </font>
    <font>
      <sz val="1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  <charset val="163"/>
    </font>
    <font>
      <sz val="11"/>
      <color rgb="FF000000"/>
      <name val="Calibri"/>
      <family val="2"/>
    </font>
    <font>
      <sz val="11"/>
      <color theme="1"/>
      <name val="Calibri"/>
      <family val="2"/>
      <charset val="163"/>
    </font>
    <font>
      <sz val="11"/>
      <name val="Calibri"/>
      <family val="2"/>
      <charset val="163"/>
    </font>
  </fonts>
  <fills count="11">
    <fill>
      <patternFill patternType="none"/>
    </fill>
    <fill>
      <patternFill patternType="gray125"/>
    </fill>
    <fill>
      <patternFill patternType="solid">
        <fgColor rgb="FF66FF66"/>
        <bgColor rgb="FF66FF66"/>
      </patternFill>
    </fill>
    <fill>
      <patternFill patternType="solid">
        <fgColor rgb="FF00FFCC"/>
        <bgColor rgb="FF00FFCC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E2EFD9"/>
      </patternFill>
    </fill>
  </fills>
  <borders count="6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1">
    <xf numFmtId="0" fontId="0" fillId="0" borderId="0" xfId="0"/>
    <xf numFmtId="0" fontId="6" fillId="0" borderId="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5" xfId="0" applyFont="1" applyBorder="1"/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7" fillId="4" borderId="19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7" fillId="4" borderId="19" xfId="0" applyFont="1" applyFill="1" applyBorder="1"/>
    <xf numFmtId="0" fontId="6" fillId="4" borderId="19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 wrapText="1"/>
    </xf>
    <xf numFmtId="0" fontId="6" fillId="4" borderId="21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 wrapText="1"/>
    </xf>
    <xf numFmtId="49" fontId="6" fillId="4" borderId="5" xfId="0" applyNumberFormat="1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9" fontId="6" fillId="4" borderId="5" xfId="0" applyNumberFormat="1" applyFont="1" applyFill="1" applyBorder="1" applyAlignment="1">
      <alignment horizontal="center" vertical="center" wrapText="1"/>
    </xf>
    <xf numFmtId="0" fontId="6" fillId="4" borderId="25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vertical="center" wrapText="1"/>
    </xf>
    <xf numFmtId="0" fontId="7" fillId="4" borderId="26" xfId="0" applyFont="1" applyFill="1" applyBorder="1" applyAlignment="1">
      <alignment horizontal="center" vertical="center" wrapText="1"/>
    </xf>
    <xf numFmtId="3" fontId="6" fillId="4" borderId="5" xfId="0" applyNumberFormat="1" applyFont="1" applyFill="1" applyBorder="1" applyAlignment="1">
      <alignment horizontal="center" vertical="center" wrapText="1"/>
    </xf>
    <xf numFmtId="0" fontId="7" fillId="4" borderId="5" xfId="0" applyFont="1" applyFill="1" applyBorder="1"/>
    <xf numFmtId="14" fontId="6" fillId="4" borderId="5" xfId="0" applyNumberFormat="1" applyFont="1" applyFill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6" fillId="0" borderId="38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/>
    </xf>
    <xf numFmtId="0" fontId="11" fillId="0" borderId="5" xfId="0" applyFont="1" applyBorder="1" applyAlignment="1">
      <alignment wrapText="1"/>
    </xf>
    <xf numFmtId="0" fontId="11" fillId="0" borderId="5" xfId="0" applyFont="1" applyBorder="1"/>
    <xf numFmtId="0" fontId="11" fillId="0" borderId="38" xfId="0" applyFont="1" applyBorder="1"/>
    <xf numFmtId="0" fontId="7" fillId="0" borderId="42" xfId="0" applyFont="1" applyBorder="1" applyAlignment="1">
      <alignment horizontal="center" vertical="center"/>
    </xf>
    <xf numFmtId="0" fontId="11" fillId="0" borderId="45" xfId="0" applyFont="1" applyBorder="1" applyAlignment="1">
      <alignment wrapText="1"/>
    </xf>
    <xf numFmtId="0" fontId="11" fillId="0" borderId="45" xfId="0" applyFont="1" applyBorder="1"/>
    <xf numFmtId="0" fontId="11" fillId="0" borderId="46" xfId="0" applyFont="1" applyBorder="1"/>
    <xf numFmtId="0" fontId="6" fillId="6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 wrapText="1"/>
    </xf>
    <xf numFmtId="0" fontId="7" fillId="0" borderId="19" xfId="0" applyFont="1" applyBorder="1"/>
    <xf numFmtId="0" fontId="7" fillId="7" borderId="5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/>
    <xf numFmtId="0" fontId="6" fillId="8" borderId="5" xfId="0" applyFont="1" applyFill="1" applyBorder="1" applyAlignment="1">
      <alignment horizontal="center" vertical="center"/>
    </xf>
    <xf numFmtId="16" fontId="6" fillId="8" borderId="5" xfId="0" applyNumberFormat="1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13" fillId="9" borderId="19" xfId="0" applyFont="1" applyFill="1" applyBorder="1" applyAlignment="1">
      <alignment horizontal="center" vertical="center" wrapText="1"/>
    </xf>
    <xf numFmtId="0" fontId="13" fillId="7" borderId="19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16" fontId="6" fillId="0" borderId="5" xfId="0" applyNumberFormat="1" applyFont="1" applyBorder="1" applyAlignment="1">
      <alignment horizontal="center" vertical="center"/>
    </xf>
    <xf numFmtId="0" fontId="6" fillId="7" borderId="24" xfId="0" applyFont="1" applyFill="1" applyBorder="1" applyAlignment="1">
      <alignment horizontal="center" vertical="center" wrapText="1"/>
    </xf>
    <xf numFmtId="0" fontId="7" fillId="9" borderId="5" xfId="0" applyFont="1" applyFill="1" applyBorder="1"/>
    <xf numFmtId="0" fontId="7" fillId="9" borderId="5" xfId="0" applyFont="1" applyFill="1" applyBorder="1" applyAlignment="1">
      <alignment horizontal="center" vertical="center"/>
    </xf>
    <xf numFmtId="49" fontId="6" fillId="0" borderId="5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6" fillId="0" borderId="47" xfId="0" applyFont="1" applyBorder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16" fillId="0" borderId="58" xfId="0" applyFont="1" applyBorder="1" applyAlignment="1">
      <alignment horizontal="center" vertical="center" wrapText="1"/>
    </xf>
    <xf numFmtId="0" fontId="16" fillId="0" borderId="59" xfId="0" applyFont="1" applyBorder="1" applyAlignment="1">
      <alignment horizontal="center" vertical="center" wrapText="1"/>
    </xf>
    <xf numFmtId="0" fontId="16" fillId="0" borderId="60" xfId="0" applyFont="1" applyBorder="1" applyAlignment="1">
      <alignment horizontal="center" vertical="center" wrapText="1"/>
    </xf>
    <xf numFmtId="0" fontId="6" fillId="0" borderId="61" xfId="0" applyFont="1" applyBorder="1" applyAlignment="1">
      <alignment horizontal="center" vertical="center" wrapText="1"/>
    </xf>
    <xf numFmtId="14" fontId="6" fillId="0" borderId="62" xfId="0" applyNumberFormat="1" applyFont="1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17" fillId="0" borderId="47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7" fillId="4" borderId="28" xfId="0" applyFont="1" applyFill="1" applyBorder="1"/>
    <xf numFmtId="0" fontId="6" fillId="4" borderId="24" xfId="0" applyFont="1" applyFill="1" applyBorder="1" applyAlignment="1">
      <alignment horizontal="center" vertical="center"/>
    </xf>
    <xf numFmtId="0" fontId="6" fillId="0" borderId="19" xfId="0" applyFont="1" applyBorder="1" applyAlignment="1">
      <alignment horizontal="center" vertical="center" wrapText="1"/>
    </xf>
    <xf numFmtId="0" fontId="6" fillId="4" borderId="41" xfId="0" applyFont="1" applyFill="1" applyBorder="1" applyAlignment="1">
      <alignment horizontal="center" vertical="center"/>
    </xf>
    <xf numFmtId="14" fontId="6" fillId="4" borderId="23" xfId="0" applyNumberFormat="1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6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/>
    </xf>
    <xf numFmtId="49" fontId="6" fillId="10" borderId="5" xfId="0" applyNumberFormat="1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4" fontId="6" fillId="7" borderId="5" xfId="0" applyNumberFormat="1" applyFont="1" applyFill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20" fillId="0" borderId="47" xfId="0" applyFont="1" applyBorder="1" applyAlignment="1">
      <alignment horizontal="center" vertical="center" wrapText="1"/>
    </xf>
    <xf numFmtId="0" fontId="19" fillId="0" borderId="47" xfId="0" applyFont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4" xfId="0" applyFont="1" applyBorder="1"/>
    <xf numFmtId="0" fontId="5" fillId="0" borderId="3" xfId="0" applyFont="1" applyBorder="1"/>
    <xf numFmtId="0" fontId="6" fillId="4" borderId="21" xfId="0" applyFont="1" applyFill="1" applyBorder="1" applyAlignment="1">
      <alignment horizontal="center" vertical="center" wrapText="1"/>
    </xf>
    <xf numFmtId="0" fontId="5" fillId="0" borderId="23" xfId="0" applyFont="1" applyBorder="1"/>
    <xf numFmtId="0" fontId="6" fillId="4" borderId="23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/>
    <xf numFmtId="0" fontId="6" fillId="2" borderId="21" xfId="0" applyFont="1" applyFill="1" applyBorder="1" applyAlignment="1">
      <alignment horizontal="center" vertical="center" wrapText="1"/>
    </xf>
    <xf numFmtId="0" fontId="5" fillId="0" borderId="19" xfId="0" applyFont="1" applyBorder="1"/>
    <xf numFmtId="0" fontId="6" fillId="2" borderId="27" xfId="0" applyFont="1" applyFill="1" applyBorder="1" applyAlignment="1">
      <alignment horizontal="center" vertical="center" wrapText="1"/>
    </xf>
    <xf numFmtId="0" fontId="5" fillId="0" borderId="28" xfId="0" applyFont="1" applyBorder="1"/>
    <xf numFmtId="0" fontId="8" fillId="2" borderId="6" xfId="0" applyFont="1" applyFill="1" applyBorder="1" applyAlignment="1">
      <alignment horizontal="center" vertical="center" wrapText="1"/>
    </xf>
    <xf numFmtId="0" fontId="5" fillId="0" borderId="10" xfId="0" applyFont="1" applyBorder="1"/>
    <xf numFmtId="0" fontId="6" fillId="2" borderId="6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 wrapText="1"/>
    </xf>
    <xf numFmtId="0" fontId="5" fillId="0" borderId="7" xfId="0" applyFont="1" applyBorder="1"/>
    <xf numFmtId="0" fontId="5" fillId="0" borderId="17" xfId="0" applyFont="1" applyBorder="1"/>
    <xf numFmtId="0" fontId="8" fillId="2" borderId="8" xfId="0" applyFont="1" applyFill="1" applyBorder="1" applyAlignment="1">
      <alignment horizontal="center" vertical="center" wrapText="1"/>
    </xf>
    <xf numFmtId="0" fontId="5" fillId="0" borderId="9" xfId="0" applyFont="1" applyBorder="1"/>
    <xf numFmtId="14" fontId="6" fillId="4" borderId="18" xfId="0" applyNumberFormat="1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3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7" fillId="0" borderId="49" xfId="0" applyFont="1" applyBorder="1" applyAlignment="1">
      <alignment horizontal="center" vertical="center" wrapText="1"/>
    </xf>
    <xf numFmtId="0" fontId="7" fillId="0" borderId="50" xfId="0" applyFont="1" applyBorder="1" applyAlignment="1">
      <alignment horizontal="center" vertical="center" wrapText="1"/>
    </xf>
    <xf numFmtId="0" fontId="10" fillId="0" borderId="51" xfId="0" applyFont="1" applyBorder="1" applyAlignment="1">
      <alignment horizontal="center" vertical="center" wrapText="1"/>
    </xf>
    <xf numFmtId="0" fontId="10" fillId="0" borderId="52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10" fillId="0" borderId="56" xfId="0" applyFont="1" applyBorder="1" applyAlignment="1">
      <alignment horizontal="center" vertical="center" wrapText="1"/>
    </xf>
    <xf numFmtId="0" fontId="10" fillId="0" borderId="53" xfId="0" applyFont="1" applyBorder="1" applyAlignment="1">
      <alignment horizontal="center" vertical="center" wrapText="1"/>
    </xf>
    <xf numFmtId="0" fontId="10" fillId="0" borderId="54" xfId="0" applyFont="1" applyBorder="1" applyAlignment="1">
      <alignment horizontal="center" vertical="center" wrapText="1"/>
    </xf>
    <xf numFmtId="0" fontId="17" fillId="0" borderId="47" xfId="0" applyFont="1" applyBorder="1" applyAlignment="1">
      <alignment horizontal="center" vertical="center" wrapText="1"/>
    </xf>
    <xf numFmtId="0" fontId="10" fillId="0" borderId="47" xfId="0" applyFont="1" applyBorder="1" applyAlignment="1">
      <alignment horizontal="center" vertical="center" wrapText="1"/>
    </xf>
    <xf numFmtId="0" fontId="5" fillId="0" borderId="47" xfId="0" applyFont="1" applyBorder="1" applyAlignment="1">
      <alignment horizontal="center" vertical="center" wrapText="1"/>
    </xf>
    <xf numFmtId="0" fontId="6" fillId="0" borderId="48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34" xfId="0" applyFont="1" applyBorder="1" applyAlignment="1">
      <alignment horizontal="center" vertical="center" wrapText="1"/>
    </xf>
    <xf numFmtId="0" fontId="5" fillId="0" borderId="36" xfId="0" applyFont="1" applyBorder="1"/>
    <xf numFmtId="0" fontId="12" fillId="0" borderId="29" xfId="0" applyFont="1" applyBorder="1" applyAlignment="1">
      <alignment horizontal="left" vertical="center" wrapText="1"/>
    </xf>
    <xf numFmtId="0" fontId="5" fillId="0" borderId="30" xfId="0" applyFont="1" applyBorder="1"/>
    <xf numFmtId="0" fontId="5" fillId="0" borderId="31" xfId="0" applyFont="1" applyBorder="1"/>
    <xf numFmtId="0" fontId="6" fillId="0" borderId="27" xfId="0" applyFont="1" applyBorder="1" applyAlignment="1">
      <alignment horizontal="center" vertical="center" wrapText="1"/>
    </xf>
    <xf numFmtId="0" fontId="5" fillId="0" borderId="33" xfId="0" applyFont="1" applyBorder="1"/>
    <xf numFmtId="0" fontId="5" fillId="0" borderId="24" xfId="0" applyFont="1" applyBorder="1"/>
    <xf numFmtId="0" fontId="10" fillId="0" borderId="2" xfId="0" applyFont="1" applyBorder="1" applyAlignment="1">
      <alignment horizontal="left" vertical="center" wrapText="1"/>
    </xf>
    <xf numFmtId="0" fontId="7" fillId="0" borderId="32" xfId="0" applyFont="1" applyBorder="1" applyAlignment="1">
      <alignment horizontal="center" vertical="center"/>
    </xf>
    <xf numFmtId="0" fontId="5" fillId="0" borderId="39" xfId="0" applyFont="1" applyBorder="1"/>
    <xf numFmtId="0" fontId="5" fillId="0" borderId="35" xfId="0" applyFont="1" applyBorder="1"/>
    <xf numFmtId="0" fontId="6" fillId="0" borderId="32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left" vertical="center" wrapText="1"/>
    </xf>
    <xf numFmtId="0" fontId="5" fillId="0" borderId="40" xfId="0" applyFont="1" applyBorder="1"/>
    <xf numFmtId="0" fontId="5" fillId="0" borderId="41" xfId="0" applyFont="1" applyBorder="1"/>
    <xf numFmtId="0" fontId="10" fillId="0" borderId="43" xfId="0" applyFont="1" applyBorder="1" applyAlignment="1">
      <alignment horizontal="left" vertical="center" wrapText="1"/>
    </xf>
    <xf numFmtId="0" fontId="5" fillId="0" borderId="44" xfId="0" applyFont="1" applyBorder="1"/>
    <xf numFmtId="0" fontId="7" fillId="0" borderId="64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20" fillId="0" borderId="47" xfId="0" applyFont="1" applyBorder="1" applyAlignment="1">
      <alignment horizontal="center" vertical="center" wrapText="1"/>
    </xf>
    <xf numFmtId="0" fontId="11" fillId="0" borderId="47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7" fillId="0" borderId="47" xfId="0" applyFont="1" applyBorder="1" applyAlignment="1">
      <alignment horizontal="center" vertical="center" wrapText="1"/>
    </xf>
    <xf numFmtId="14" fontId="17" fillId="0" borderId="47" xfId="0" applyNumberFormat="1" applyFont="1" applyBorder="1" applyAlignment="1">
      <alignment horizontal="center" vertical="center" wrapText="1"/>
    </xf>
    <xf numFmtId="16" fontId="17" fillId="0" borderId="47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190501</xdr:rowOff>
        </xdr:from>
        <xdr:to>
          <xdr:col>6</xdr:col>
          <xdr:colOff>1457325</xdr:colOff>
          <xdr:row>1</xdr:row>
          <xdr:rowOff>190501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Báo cáo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228600</xdr:rowOff>
        </xdr:from>
        <xdr:to>
          <xdr:col>7</xdr:col>
          <xdr:colOff>990600</xdr:colOff>
          <xdr:row>1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Chọn file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1017"/>
  <sheetViews>
    <sheetView zoomScale="70" zoomScaleNormal="70" workbookViewId="0">
      <pane xSplit="3" ySplit="3" topLeftCell="D16" activePane="bottomRight" state="frozen"/>
      <selection pane="topRight" activeCell="D1" sqref="D1"/>
      <selection pane="bottomLeft" activeCell="A4" sqref="A4"/>
      <selection pane="bottomRight" activeCell="W26" sqref="W26:W27"/>
    </sheetView>
  </sheetViews>
  <sheetFormatPr defaultColWidth="14.42578125" defaultRowHeight="15" customHeight="1" x14ac:dyDescent="0.25"/>
  <cols>
    <col min="1" max="1" width="8.7109375" customWidth="1"/>
    <col min="2" max="2" width="51.28515625" customWidth="1"/>
    <col min="3" max="3" width="16.7109375" customWidth="1"/>
    <col min="4" max="4" width="15.140625" customWidth="1"/>
    <col min="5" max="14" width="8.7109375" customWidth="1"/>
    <col min="15" max="19" width="9.140625" customWidth="1"/>
    <col min="20" max="20" width="12.7109375" customWidth="1"/>
    <col min="21" max="22" width="10.140625" customWidth="1"/>
    <col min="23" max="23" width="10.28515625" customWidth="1"/>
    <col min="24" max="25" width="10.140625" customWidth="1"/>
    <col min="26" max="27" width="10.85546875" customWidth="1"/>
    <col min="28" max="29" width="10.140625" customWidth="1"/>
    <col min="30" max="32" width="11.28515625" customWidth="1"/>
    <col min="33" max="33" width="10.140625" customWidth="1"/>
    <col min="34" max="34" width="12.85546875" customWidth="1"/>
    <col min="35" max="36" width="11" customWidth="1"/>
    <col min="37" max="38" width="10.140625" customWidth="1"/>
    <col min="39" max="39" width="12.7109375" customWidth="1"/>
    <col min="40" max="40" width="14.7109375" customWidth="1"/>
    <col min="41" max="41" width="11.7109375" customWidth="1"/>
    <col min="42" max="42" width="10.140625" customWidth="1"/>
    <col min="43" max="43" width="10.7109375" customWidth="1"/>
    <col min="44" max="45" width="10.140625" customWidth="1"/>
    <col min="46" max="46" width="10.5703125" customWidth="1"/>
    <col min="47" max="49" width="10.140625" customWidth="1"/>
    <col min="50" max="50" width="11" customWidth="1"/>
    <col min="51" max="52" width="10.140625" customWidth="1"/>
    <col min="53" max="53" width="8.7109375" customWidth="1"/>
  </cols>
  <sheetData>
    <row r="1" spans="1:53" ht="49.5" customHeight="1" thickBot="1" x14ac:dyDescent="0.3">
      <c r="A1" s="100" t="s">
        <v>48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1"/>
      <c r="AU1" s="101"/>
      <c r="AV1" s="101"/>
      <c r="AW1" s="101"/>
      <c r="AX1" s="101"/>
      <c r="AY1" s="101"/>
      <c r="AZ1" s="101"/>
      <c r="BA1" s="101"/>
    </row>
    <row r="2" spans="1:53" ht="50.45" customHeight="1" thickTop="1" thickBot="1" x14ac:dyDescent="0.3">
      <c r="A2" s="102" t="s">
        <v>0</v>
      </c>
      <c r="B2" s="104" t="s">
        <v>1</v>
      </c>
      <c r="C2" s="106" t="s">
        <v>2</v>
      </c>
      <c r="D2" s="106" t="s">
        <v>49</v>
      </c>
      <c r="E2" s="108" t="s">
        <v>3</v>
      </c>
      <c r="F2" s="109" t="s">
        <v>4</v>
      </c>
      <c r="G2" s="110"/>
      <c r="H2" s="110"/>
      <c r="I2" s="110"/>
      <c r="J2" s="110"/>
      <c r="K2" s="110"/>
      <c r="L2" s="110"/>
      <c r="M2" s="110"/>
      <c r="N2" s="111"/>
      <c r="O2" s="109" t="s">
        <v>50</v>
      </c>
      <c r="P2" s="111"/>
      <c r="Q2" s="109" t="s">
        <v>51</v>
      </c>
      <c r="R2" s="110"/>
      <c r="S2" s="111"/>
      <c r="T2" s="106" t="s">
        <v>52</v>
      </c>
      <c r="U2" s="112" t="s">
        <v>53</v>
      </c>
      <c r="V2" s="113"/>
      <c r="W2" s="109" t="s">
        <v>54</v>
      </c>
      <c r="X2" s="110"/>
      <c r="Y2" s="111"/>
      <c r="Z2" s="109" t="s">
        <v>55</v>
      </c>
      <c r="AA2" s="110"/>
      <c r="AB2" s="110"/>
      <c r="AC2" s="111"/>
      <c r="AD2" s="109" t="s">
        <v>56</v>
      </c>
      <c r="AE2" s="110"/>
      <c r="AF2" s="110"/>
      <c r="AG2" s="111"/>
      <c r="AH2" s="109" t="s">
        <v>57</v>
      </c>
      <c r="AI2" s="110"/>
      <c r="AJ2" s="110"/>
      <c r="AK2" s="110"/>
      <c r="AL2" s="111"/>
      <c r="AM2" s="106" t="s">
        <v>58</v>
      </c>
      <c r="AN2" s="106" t="s">
        <v>59</v>
      </c>
      <c r="AO2" s="106" t="s">
        <v>161</v>
      </c>
      <c r="AP2" s="106" t="s">
        <v>60</v>
      </c>
      <c r="AQ2" s="109" t="s">
        <v>61</v>
      </c>
      <c r="AR2" s="110"/>
      <c r="AS2" s="111"/>
      <c r="AT2" s="109" t="s">
        <v>62</v>
      </c>
      <c r="AU2" s="110"/>
      <c r="AV2" s="111"/>
      <c r="AW2" s="106" t="s">
        <v>63</v>
      </c>
      <c r="AX2" s="109" t="s">
        <v>64</v>
      </c>
      <c r="AY2" s="110"/>
      <c r="AZ2" s="111"/>
      <c r="BA2" s="106" t="s">
        <v>65</v>
      </c>
    </row>
    <row r="3" spans="1:53" ht="67.5" customHeight="1" thickTop="1" thickBot="1" x14ac:dyDescent="0.3">
      <c r="A3" s="103"/>
      <c r="B3" s="105"/>
      <c r="C3" s="107"/>
      <c r="D3" s="107"/>
      <c r="E3" s="107"/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N3" s="4" t="s">
        <v>13</v>
      </c>
      <c r="O3" s="4" t="s">
        <v>66</v>
      </c>
      <c r="P3" s="4" t="s">
        <v>67</v>
      </c>
      <c r="Q3" s="4" t="s">
        <v>66</v>
      </c>
      <c r="R3" s="4" t="s">
        <v>68</v>
      </c>
      <c r="S3" s="4" t="s">
        <v>67</v>
      </c>
      <c r="T3" s="107"/>
      <c r="U3" s="4" t="s">
        <v>66</v>
      </c>
      <c r="V3" s="4" t="s">
        <v>68</v>
      </c>
      <c r="W3" s="4" t="s">
        <v>69</v>
      </c>
      <c r="X3" s="4" t="s">
        <v>70</v>
      </c>
      <c r="Y3" s="4" t="s">
        <v>67</v>
      </c>
      <c r="Z3" s="4" t="s">
        <v>66</v>
      </c>
      <c r="AA3" s="4" t="s">
        <v>71</v>
      </c>
      <c r="AB3" s="4" t="s">
        <v>72</v>
      </c>
      <c r="AC3" s="4" t="s">
        <v>67</v>
      </c>
      <c r="AD3" s="4" t="s">
        <v>66</v>
      </c>
      <c r="AE3" s="4" t="s">
        <v>71</v>
      </c>
      <c r="AF3" s="4" t="s">
        <v>72</v>
      </c>
      <c r="AG3" s="5" t="s">
        <v>67</v>
      </c>
      <c r="AH3" s="6" t="s">
        <v>66</v>
      </c>
      <c r="AI3" s="7" t="s">
        <v>73</v>
      </c>
      <c r="AJ3" s="8" t="s">
        <v>71</v>
      </c>
      <c r="AK3" s="9" t="s">
        <v>74</v>
      </c>
      <c r="AL3" s="10" t="s">
        <v>67</v>
      </c>
      <c r="AM3" s="107"/>
      <c r="AN3" s="107"/>
      <c r="AO3" s="115"/>
      <c r="AP3" s="107"/>
      <c r="AQ3" s="4" t="s">
        <v>69</v>
      </c>
      <c r="AR3" s="4" t="s">
        <v>75</v>
      </c>
      <c r="AS3" s="4" t="s">
        <v>67</v>
      </c>
      <c r="AT3" s="4" t="s">
        <v>69</v>
      </c>
      <c r="AU3" s="4" t="s">
        <v>76</v>
      </c>
      <c r="AV3" s="4" t="s">
        <v>67</v>
      </c>
      <c r="AW3" s="107"/>
      <c r="AX3" s="4" t="s">
        <v>69</v>
      </c>
      <c r="AY3" s="4" t="s">
        <v>77</v>
      </c>
      <c r="AZ3" s="4" t="s">
        <v>67</v>
      </c>
      <c r="BA3" s="107"/>
    </row>
    <row r="4" spans="1:53" ht="64.900000000000006" customHeight="1" thickTop="1" x14ac:dyDescent="0.25">
      <c r="A4" s="96">
        <v>1</v>
      </c>
      <c r="B4" s="96" t="s">
        <v>78</v>
      </c>
      <c r="C4" s="114">
        <v>45814</v>
      </c>
      <c r="D4" s="114" t="s">
        <v>79</v>
      </c>
      <c r="E4" s="11"/>
      <c r="F4" s="11" t="s">
        <v>14</v>
      </c>
      <c r="G4" s="11" t="s">
        <v>14</v>
      </c>
      <c r="H4" s="11" t="s">
        <v>14</v>
      </c>
      <c r="I4" s="11" t="s">
        <v>14</v>
      </c>
      <c r="J4" s="11" t="s">
        <v>14</v>
      </c>
      <c r="K4" s="11" t="s">
        <v>14</v>
      </c>
      <c r="L4" s="11"/>
      <c r="M4" s="11" t="s">
        <v>14</v>
      </c>
      <c r="N4" s="11"/>
      <c r="O4" s="11"/>
      <c r="P4" s="11"/>
      <c r="Q4" s="11"/>
      <c r="R4" s="11"/>
      <c r="S4" s="11"/>
      <c r="T4" s="12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74"/>
      <c r="AH4" s="12" t="s">
        <v>80</v>
      </c>
      <c r="AI4" s="12" t="s">
        <v>81</v>
      </c>
      <c r="AJ4" s="12" t="s">
        <v>82</v>
      </c>
      <c r="AK4" s="12">
        <v>1700</v>
      </c>
      <c r="AL4" s="75" t="s">
        <v>15</v>
      </c>
      <c r="AM4" s="14" t="s">
        <v>83</v>
      </c>
      <c r="AN4" s="43"/>
      <c r="AO4" s="51" t="s">
        <v>178</v>
      </c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76"/>
    </row>
    <row r="5" spans="1:53" ht="60.6" customHeight="1" x14ac:dyDescent="0.25">
      <c r="A5" s="97"/>
      <c r="B5" s="97"/>
      <c r="C5" s="97"/>
      <c r="D5" s="97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2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74"/>
      <c r="AH5" s="15" t="s">
        <v>84</v>
      </c>
      <c r="AI5" s="15" t="s">
        <v>81</v>
      </c>
      <c r="AJ5" s="15" t="s">
        <v>85</v>
      </c>
      <c r="AK5" s="15">
        <v>1400</v>
      </c>
      <c r="AL5" s="75" t="s">
        <v>15</v>
      </c>
      <c r="AM5" s="12" t="s">
        <v>179</v>
      </c>
      <c r="AN5" s="43"/>
      <c r="AO5" s="50" t="s">
        <v>168</v>
      </c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76"/>
    </row>
    <row r="6" spans="1:53" ht="50.25" customHeight="1" x14ac:dyDescent="0.25">
      <c r="A6" s="97"/>
      <c r="B6" s="97"/>
      <c r="C6" s="97"/>
      <c r="D6" s="97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2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74"/>
      <c r="AH6" s="15" t="s">
        <v>86</v>
      </c>
      <c r="AI6" s="15" t="s">
        <v>87</v>
      </c>
      <c r="AJ6" s="15" t="s">
        <v>88</v>
      </c>
      <c r="AK6" s="15">
        <v>700</v>
      </c>
      <c r="AL6" s="75" t="s">
        <v>15</v>
      </c>
      <c r="AM6" s="14" t="s">
        <v>83</v>
      </c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76"/>
    </row>
    <row r="7" spans="1:53" ht="50.25" customHeight="1" x14ac:dyDescent="0.25">
      <c r="A7" s="97"/>
      <c r="B7" s="97"/>
      <c r="C7" s="97"/>
      <c r="D7" s="97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2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74"/>
      <c r="AH7" s="15" t="s">
        <v>89</v>
      </c>
      <c r="AI7" s="15" t="s">
        <v>87</v>
      </c>
      <c r="AJ7" s="15" t="s">
        <v>90</v>
      </c>
      <c r="AK7" s="15">
        <v>500</v>
      </c>
      <c r="AL7" s="75" t="s">
        <v>15</v>
      </c>
      <c r="AM7" s="14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76"/>
    </row>
    <row r="8" spans="1:53" ht="50.25" customHeight="1" x14ac:dyDescent="0.25">
      <c r="A8" s="97"/>
      <c r="B8" s="97"/>
      <c r="C8" s="97"/>
      <c r="D8" s="10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2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74"/>
      <c r="AH8" s="15" t="s">
        <v>91</v>
      </c>
      <c r="AI8" s="16" t="s">
        <v>87</v>
      </c>
      <c r="AJ8" s="16" t="s">
        <v>92</v>
      </c>
      <c r="AK8" s="16">
        <v>600</v>
      </c>
      <c r="AL8" s="77" t="s">
        <v>15</v>
      </c>
      <c r="AM8" s="14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76"/>
    </row>
    <row r="9" spans="1:53" ht="50.25" customHeight="1" x14ac:dyDescent="0.25">
      <c r="A9" s="103"/>
      <c r="B9" s="103"/>
      <c r="C9" s="103"/>
      <c r="D9" s="78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2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74"/>
      <c r="AH9" s="15" t="s">
        <v>93</v>
      </c>
      <c r="AI9" s="15" t="s">
        <v>87</v>
      </c>
      <c r="AJ9" s="15" t="s">
        <v>94</v>
      </c>
      <c r="AK9" s="15">
        <v>700</v>
      </c>
      <c r="AL9" s="17" t="s">
        <v>15</v>
      </c>
      <c r="AM9" s="75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76"/>
    </row>
    <row r="10" spans="1:53" ht="48" customHeight="1" x14ac:dyDescent="0.25">
      <c r="A10" s="96">
        <v>2</v>
      </c>
      <c r="B10" s="96" t="s">
        <v>16</v>
      </c>
      <c r="C10" s="96" t="s">
        <v>17</v>
      </c>
      <c r="D10" s="96" t="s">
        <v>37</v>
      </c>
      <c r="E10" s="18"/>
      <c r="F10" s="18" t="s">
        <v>14</v>
      </c>
      <c r="G10" s="18" t="s">
        <v>14</v>
      </c>
      <c r="H10" s="18"/>
      <c r="I10" s="18"/>
      <c r="J10" s="18" t="s">
        <v>14</v>
      </c>
      <c r="K10" s="18"/>
      <c r="L10" s="18"/>
      <c r="M10" s="18"/>
      <c r="N10" s="18"/>
      <c r="O10" s="18" t="s">
        <v>83</v>
      </c>
      <c r="P10" s="18"/>
      <c r="Q10" s="18"/>
      <c r="R10" s="18"/>
      <c r="S10" s="18"/>
      <c r="T10" s="15">
        <v>3316</v>
      </c>
      <c r="U10" s="14" t="s">
        <v>95</v>
      </c>
      <c r="V10" s="14" t="s">
        <v>15</v>
      </c>
      <c r="W10" s="15" t="s">
        <v>96</v>
      </c>
      <c r="X10" s="15" t="s">
        <v>15</v>
      </c>
      <c r="Y10" s="15" t="s">
        <v>97</v>
      </c>
      <c r="Z10" s="15" t="s">
        <v>98</v>
      </c>
      <c r="AA10" s="19" t="s">
        <v>99</v>
      </c>
      <c r="AB10" s="15">
        <v>3316</v>
      </c>
      <c r="AC10" s="15" t="s">
        <v>15</v>
      </c>
      <c r="AD10" s="15"/>
      <c r="AE10" s="15"/>
      <c r="AF10" s="15"/>
      <c r="AG10" s="20"/>
      <c r="AH10" s="15" t="s">
        <v>100</v>
      </c>
      <c r="AI10" s="12" t="s">
        <v>81</v>
      </c>
      <c r="AJ10" s="12" t="s">
        <v>101</v>
      </c>
      <c r="AK10" s="79">
        <v>900</v>
      </c>
      <c r="AL10" s="12" t="s">
        <v>15</v>
      </c>
      <c r="AM10" s="42" t="s">
        <v>164</v>
      </c>
      <c r="AN10" s="116" t="s">
        <v>180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2"/>
    </row>
    <row r="11" spans="1:53" ht="48" customHeight="1" x14ac:dyDescent="0.25">
      <c r="A11" s="97"/>
      <c r="B11" s="97"/>
      <c r="C11" s="97"/>
      <c r="D11" s="97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5"/>
      <c r="U11" s="14"/>
      <c r="V11" s="14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20"/>
      <c r="AH11" s="15" t="s">
        <v>102</v>
      </c>
      <c r="AI11" s="15" t="s">
        <v>81</v>
      </c>
      <c r="AJ11" s="15" t="s">
        <v>103</v>
      </c>
      <c r="AK11" s="79">
        <v>1100</v>
      </c>
      <c r="AL11" s="15" t="s">
        <v>15</v>
      </c>
      <c r="AM11" s="42" t="s">
        <v>164</v>
      </c>
      <c r="AN11" s="117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2"/>
    </row>
    <row r="12" spans="1:53" ht="48" customHeight="1" x14ac:dyDescent="0.25">
      <c r="A12" s="97"/>
      <c r="B12" s="97"/>
      <c r="C12" s="97"/>
      <c r="D12" s="97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5"/>
      <c r="U12" s="14"/>
      <c r="V12" s="14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20"/>
      <c r="AH12" s="15" t="s">
        <v>100</v>
      </c>
      <c r="AI12" s="15" t="s">
        <v>81</v>
      </c>
      <c r="AJ12" s="15" t="s">
        <v>172</v>
      </c>
      <c r="AK12" s="79"/>
      <c r="AL12" s="15" t="s">
        <v>15</v>
      </c>
      <c r="AM12" s="42" t="s">
        <v>164</v>
      </c>
      <c r="AN12" s="117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2"/>
    </row>
    <row r="13" spans="1:53" ht="48" customHeight="1" x14ac:dyDescent="0.25">
      <c r="A13" s="97"/>
      <c r="B13" s="97"/>
      <c r="C13" s="103"/>
      <c r="D13" s="103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5"/>
      <c r="U13" s="14"/>
      <c r="V13" s="14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20"/>
      <c r="AH13" s="15" t="s">
        <v>104</v>
      </c>
      <c r="AI13" s="15" t="s">
        <v>81</v>
      </c>
      <c r="AJ13" s="17" t="s">
        <v>105</v>
      </c>
      <c r="AK13" s="54"/>
      <c r="AL13" s="42" t="s">
        <v>15</v>
      </c>
      <c r="AM13" s="42" t="s">
        <v>156</v>
      </c>
      <c r="AN13" s="118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2"/>
    </row>
    <row r="14" spans="1:53" ht="47.45" customHeight="1" x14ac:dyDescent="0.25">
      <c r="A14" s="15">
        <v>3</v>
      </c>
      <c r="B14" s="96" t="s">
        <v>18</v>
      </c>
      <c r="C14" s="96" t="s">
        <v>17</v>
      </c>
      <c r="D14" s="96" t="s">
        <v>37</v>
      </c>
      <c r="E14" s="18"/>
      <c r="F14" s="18" t="s">
        <v>14</v>
      </c>
      <c r="G14" s="18" t="s">
        <v>14</v>
      </c>
      <c r="H14" s="18" t="s">
        <v>14</v>
      </c>
      <c r="I14" s="18"/>
      <c r="J14" s="18" t="s">
        <v>14</v>
      </c>
      <c r="K14" s="18" t="s">
        <v>14</v>
      </c>
      <c r="L14" s="18"/>
      <c r="M14" s="18" t="s">
        <v>14</v>
      </c>
      <c r="N14" s="18"/>
      <c r="O14" s="18" t="s">
        <v>83</v>
      </c>
      <c r="P14" s="18"/>
      <c r="Q14" s="18"/>
      <c r="R14" s="18"/>
      <c r="S14" s="18"/>
      <c r="T14" s="15">
        <v>1343</v>
      </c>
      <c r="U14" s="15" t="s">
        <v>95</v>
      </c>
      <c r="V14" s="15" t="s">
        <v>15</v>
      </c>
      <c r="W14" s="15"/>
      <c r="X14" s="15"/>
      <c r="Y14" s="15"/>
      <c r="Z14" s="15" t="s">
        <v>106</v>
      </c>
      <c r="AA14" s="19" t="s">
        <v>107</v>
      </c>
      <c r="AB14" s="15">
        <v>1343</v>
      </c>
      <c r="AC14" s="15" t="s">
        <v>15</v>
      </c>
      <c r="AD14" s="15" t="s">
        <v>108</v>
      </c>
      <c r="AE14" s="15"/>
      <c r="AF14" s="21">
        <v>0.7</v>
      </c>
      <c r="AG14" s="15"/>
      <c r="AH14" s="12" t="s">
        <v>109</v>
      </c>
      <c r="AI14" s="73"/>
      <c r="AJ14" s="73" t="s">
        <v>107</v>
      </c>
      <c r="AK14" s="15">
        <v>1343</v>
      </c>
      <c r="AL14" s="42" t="s">
        <v>15</v>
      </c>
      <c r="AM14" s="38" t="s">
        <v>110</v>
      </c>
      <c r="AN14" s="38" t="s">
        <v>181</v>
      </c>
      <c r="AO14" s="38"/>
      <c r="AP14" s="42" t="s">
        <v>122</v>
      </c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2"/>
    </row>
    <row r="15" spans="1:53" ht="39" customHeight="1" x14ac:dyDescent="0.25">
      <c r="A15" s="15"/>
      <c r="B15" s="103"/>
      <c r="C15" s="103"/>
      <c r="D15" s="97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 t="s">
        <v>111</v>
      </c>
      <c r="AE15" s="15"/>
      <c r="AF15" s="15">
        <v>200</v>
      </c>
      <c r="AG15" s="15" t="s">
        <v>112</v>
      </c>
      <c r="AH15" s="22" t="s">
        <v>113</v>
      </c>
      <c r="AI15" s="15" t="s">
        <v>87</v>
      </c>
      <c r="AJ15" s="23" t="s">
        <v>114</v>
      </c>
      <c r="AK15" s="81">
        <v>1113</v>
      </c>
      <c r="AL15" s="42" t="s">
        <v>15</v>
      </c>
      <c r="AM15" s="42" t="s">
        <v>153</v>
      </c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2"/>
    </row>
    <row r="16" spans="1:53" ht="45.6" customHeight="1" x14ac:dyDescent="0.25">
      <c r="A16" s="15">
        <v>4</v>
      </c>
      <c r="B16" s="15" t="s">
        <v>19</v>
      </c>
      <c r="C16" s="20" t="s">
        <v>20</v>
      </c>
      <c r="D16" s="23" t="s">
        <v>37</v>
      </c>
      <c r="E16" s="24"/>
      <c r="F16" s="18" t="s">
        <v>14</v>
      </c>
      <c r="G16" s="18"/>
      <c r="H16" s="18"/>
      <c r="I16" s="18"/>
      <c r="J16" s="18"/>
      <c r="K16" s="18" t="s">
        <v>14</v>
      </c>
      <c r="L16" s="18" t="s">
        <v>14</v>
      </c>
      <c r="M16" s="18" t="s">
        <v>14</v>
      </c>
      <c r="N16" s="18"/>
      <c r="O16" s="18" t="s">
        <v>83</v>
      </c>
      <c r="P16" s="18"/>
      <c r="Q16" s="18"/>
      <c r="R16" s="18"/>
      <c r="S16" s="18"/>
      <c r="T16" s="15">
        <v>327</v>
      </c>
      <c r="U16" s="15" t="s">
        <v>95</v>
      </c>
      <c r="V16" s="15" t="s">
        <v>15</v>
      </c>
      <c r="W16" s="15" t="s">
        <v>96</v>
      </c>
      <c r="X16" s="15" t="s">
        <v>15</v>
      </c>
      <c r="Y16" s="15" t="s">
        <v>97</v>
      </c>
      <c r="Z16" s="15" t="s">
        <v>106</v>
      </c>
      <c r="AA16" s="15"/>
      <c r="AB16" s="15">
        <v>327</v>
      </c>
      <c r="AC16" s="15" t="s">
        <v>15</v>
      </c>
      <c r="AD16" s="42"/>
      <c r="AE16" s="42"/>
      <c r="AF16" s="42"/>
      <c r="AG16" s="42"/>
      <c r="AH16" s="82" t="s">
        <v>159</v>
      </c>
      <c r="AI16" s="42"/>
      <c r="AJ16" s="42"/>
      <c r="AK16" s="81"/>
      <c r="AL16" s="42" t="s">
        <v>15</v>
      </c>
      <c r="AM16" s="42" t="s">
        <v>121</v>
      </c>
      <c r="AN16" s="42" t="s">
        <v>180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2"/>
    </row>
    <row r="17" spans="1:53" ht="30.75" customHeight="1" x14ac:dyDescent="0.25">
      <c r="A17" s="15">
        <v>5</v>
      </c>
      <c r="B17" s="15" t="s">
        <v>21</v>
      </c>
      <c r="C17" s="20" t="s">
        <v>20</v>
      </c>
      <c r="D17" s="23" t="s">
        <v>37</v>
      </c>
      <c r="E17" s="24" t="s">
        <v>22</v>
      </c>
      <c r="F17" s="18" t="s">
        <v>14</v>
      </c>
      <c r="G17" s="18" t="s">
        <v>14</v>
      </c>
      <c r="H17" s="18"/>
      <c r="I17" s="18"/>
      <c r="J17" s="18"/>
      <c r="K17" s="18" t="s">
        <v>14</v>
      </c>
      <c r="L17" s="18" t="s">
        <v>14</v>
      </c>
      <c r="M17" s="18" t="s">
        <v>14</v>
      </c>
      <c r="N17" s="18"/>
      <c r="O17" s="18" t="s">
        <v>83</v>
      </c>
      <c r="P17" s="18"/>
      <c r="Q17" s="18"/>
      <c r="R17" s="18"/>
      <c r="S17" s="18"/>
      <c r="T17" s="15">
        <v>208</v>
      </c>
      <c r="U17" s="15" t="s">
        <v>95</v>
      </c>
      <c r="V17" s="15" t="s">
        <v>15</v>
      </c>
      <c r="W17" s="15" t="s">
        <v>96</v>
      </c>
      <c r="X17" s="15" t="s">
        <v>15</v>
      </c>
      <c r="Y17" s="15" t="s">
        <v>97</v>
      </c>
      <c r="Z17" s="38" t="s">
        <v>106</v>
      </c>
      <c r="AA17" s="15"/>
      <c r="AB17" s="15">
        <v>192</v>
      </c>
      <c r="AC17" s="15" t="s">
        <v>15</v>
      </c>
      <c r="AD17" s="15"/>
      <c r="AE17" s="42"/>
      <c r="AF17" s="42"/>
      <c r="AG17" s="42"/>
      <c r="AH17" s="42" t="s">
        <v>169</v>
      </c>
      <c r="AI17" s="80" t="s">
        <v>170</v>
      </c>
      <c r="AJ17" s="80">
        <v>192</v>
      </c>
      <c r="AK17" s="42">
        <v>192</v>
      </c>
      <c r="AL17" s="42" t="s">
        <v>15</v>
      </c>
      <c r="AM17" s="42" t="s">
        <v>121</v>
      </c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2"/>
    </row>
    <row r="18" spans="1:53" ht="43.5" customHeight="1" x14ac:dyDescent="0.25">
      <c r="A18" s="96">
        <v>6</v>
      </c>
      <c r="B18" s="96" t="s">
        <v>23</v>
      </c>
      <c r="C18" s="96" t="s">
        <v>24</v>
      </c>
      <c r="D18" s="12"/>
      <c r="E18" s="18" t="s">
        <v>25</v>
      </c>
      <c r="F18" s="18" t="s">
        <v>14</v>
      </c>
      <c r="G18" s="18" t="s">
        <v>14</v>
      </c>
      <c r="H18" s="18" t="s">
        <v>14</v>
      </c>
      <c r="I18" s="18"/>
      <c r="J18" s="18" t="s">
        <v>14</v>
      </c>
      <c r="K18" s="18"/>
      <c r="L18" s="18" t="s">
        <v>14</v>
      </c>
      <c r="M18" s="18" t="s">
        <v>14</v>
      </c>
      <c r="N18" s="18"/>
      <c r="O18" s="18" t="s">
        <v>83</v>
      </c>
      <c r="P18" s="18"/>
      <c r="Q18" s="18"/>
      <c r="R18" s="18"/>
      <c r="S18" s="18"/>
      <c r="T18" s="25">
        <f>107+160+107+97+178+139+347+271+179+285+95</f>
        <v>1965</v>
      </c>
      <c r="U18" s="3"/>
      <c r="V18" s="3"/>
      <c r="W18" s="3"/>
      <c r="X18" s="3"/>
      <c r="Y18" s="3"/>
      <c r="Z18" s="41" t="s">
        <v>115</v>
      </c>
      <c r="AA18" s="3"/>
      <c r="AB18" s="52">
        <v>400</v>
      </c>
      <c r="AC18" s="15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2"/>
    </row>
    <row r="19" spans="1:53" ht="43.5" customHeight="1" x14ac:dyDescent="0.25">
      <c r="A19" s="98"/>
      <c r="B19" s="98"/>
      <c r="C19" s="98"/>
      <c r="D19" s="12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25"/>
      <c r="U19" s="3"/>
      <c r="V19" s="3"/>
      <c r="W19" s="3"/>
      <c r="X19" s="3"/>
      <c r="Y19" s="3"/>
      <c r="Z19" s="41" t="s">
        <v>115</v>
      </c>
      <c r="AA19" s="3"/>
      <c r="AB19" s="52">
        <v>278</v>
      </c>
      <c r="AC19" s="15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2"/>
    </row>
    <row r="20" spans="1:53" ht="43.5" customHeight="1" x14ac:dyDescent="0.25">
      <c r="A20" s="99"/>
      <c r="B20" s="99"/>
      <c r="C20" s="99"/>
      <c r="D20" s="12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25"/>
      <c r="U20" s="3"/>
      <c r="V20" s="3"/>
      <c r="W20" s="3"/>
      <c r="X20" s="3"/>
      <c r="Y20" s="3"/>
      <c r="Z20" s="83" t="s">
        <v>115</v>
      </c>
      <c r="AA20" s="3"/>
      <c r="AB20" s="40"/>
      <c r="AC20" s="84" t="s">
        <v>165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2"/>
    </row>
    <row r="21" spans="1:53" ht="43.5" customHeight="1" x14ac:dyDescent="0.25">
      <c r="A21" s="12"/>
      <c r="B21" s="12"/>
      <c r="C21" s="12"/>
      <c r="D21" s="12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25"/>
      <c r="U21" s="3"/>
      <c r="V21" s="3"/>
      <c r="W21" s="3"/>
      <c r="X21" s="3"/>
      <c r="Y21" s="3"/>
      <c r="Z21" s="83"/>
      <c r="AA21" s="55"/>
      <c r="AB21" s="56"/>
      <c r="AC21" s="84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2"/>
    </row>
    <row r="22" spans="1:53" ht="43.5" customHeight="1" x14ac:dyDescent="0.25">
      <c r="A22" s="15">
        <v>7</v>
      </c>
      <c r="B22" s="15" t="s">
        <v>26</v>
      </c>
      <c r="C22" s="15" t="s">
        <v>27</v>
      </c>
      <c r="D22" s="15"/>
      <c r="E22" s="18">
        <v>8299</v>
      </c>
      <c r="F22" s="18" t="s">
        <v>14</v>
      </c>
      <c r="G22" s="18" t="s">
        <v>14</v>
      </c>
      <c r="H22" s="18" t="s">
        <v>14</v>
      </c>
      <c r="I22" s="18"/>
      <c r="J22" s="18" t="s">
        <v>14</v>
      </c>
      <c r="K22" s="18"/>
      <c r="L22" s="18"/>
      <c r="M22" s="18"/>
      <c r="N22" s="18"/>
      <c r="O22" s="18" t="s">
        <v>83</v>
      </c>
      <c r="P22" s="18"/>
      <c r="Q22" s="39" t="s">
        <v>95</v>
      </c>
      <c r="R22" s="18" t="s">
        <v>15</v>
      </c>
      <c r="S22" s="18"/>
      <c r="T22" s="25">
        <f>398+564+120+178+279+309</f>
        <v>1848</v>
      </c>
      <c r="U22" s="17" t="s">
        <v>95</v>
      </c>
      <c r="V22" s="17" t="s">
        <v>15</v>
      </c>
      <c r="W22" s="26"/>
      <c r="X22" s="26"/>
      <c r="Y22" s="26"/>
      <c r="Z22" s="17" t="s">
        <v>116</v>
      </c>
      <c r="AA22" s="17" t="s">
        <v>117</v>
      </c>
      <c r="AB22" s="15" t="s">
        <v>167</v>
      </c>
      <c r="AC22" s="17" t="s">
        <v>15</v>
      </c>
      <c r="AD22" s="46"/>
      <c r="AE22" s="46"/>
      <c r="AF22" s="46"/>
      <c r="AG22" s="46"/>
      <c r="AH22" s="47" t="s">
        <v>118</v>
      </c>
      <c r="AI22" s="48" t="s">
        <v>81</v>
      </c>
      <c r="AJ22" s="45" t="s">
        <v>119</v>
      </c>
      <c r="AK22" s="46"/>
      <c r="AL22" s="49" t="s">
        <v>120</v>
      </c>
      <c r="AM22" s="41" t="s">
        <v>121</v>
      </c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2"/>
    </row>
    <row r="23" spans="1:53" ht="43.5" customHeight="1" x14ac:dyDescent="0.25">
      <c r="A23" s="15"/>
      <c r="B23" s="15"/>
      <c r="C23" s="15"/>
      <c r="D23" s="15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39"/>
      <c r="R23" s="18"/>
      <c r="S23" s="18"/>
      <c r="T23" s="25"/>
      <c r="U23" s="17"/>
      <c r="V23" s="17"/>
      <c r="W23" s="26"/>
      <c r="X23" s="26"/>
      <c r="Y23" s="26"/>
      <c r="Z23" s="49" t="s">
        <v>106</v>
      </c>
      <c r="AA23" s="49" t="s">
        <v>171</v>
      </c>
      <c r="AB23" s="49">
        <v>670</v>
      </c>
      <c r="AC23" s="49" t="s">
        <v>15</v>
      </c>
      <c r="AD23" s="3"/>
      <c r="AE23" s="3"/>
      <c r="AF23" s="3"/>
      <c r="AG23" s="3"/>
      <c r="AH23" s="52"/>
      <c r="AI23" s="53"/>
      <c r="AJ23" s="1"/>
      <c r="AK23" s="3"/>
      <c r="AL23" s="52"/>
      <c r="AM23" s="52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2"/>
    </row>
    <row r="24" spans="1:53" ht="43.5" customHeight="1" x14ac:dyDescent="0.25">
      <c r="A24" s="15"/>
      <c r="B24" s="15"/>
      <c r="C24" s="15"/>
      <c r="D24" s="15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39"/>
      <c r="R24" s="18"/>
      <c r="S24" s="18"/>
      <c r="T24" s="25"/>
      <c r="U24" s="17"/>
      <c r="V24" s="17"/>
      <c r="W24" s="26"/>
      <c r="X24" s="26"/>
      <c r="Y24" s="26"/>
      <c r="Z24" s="49" t="s">
        <v>106</v>
      </c>
      <c r="AA24" s="49"/>
      <c r="AB24" s="49">
        <v>150</v>
      </c>
      <c r="AC24" s="49" t="s">
        <v>15</v>
      </c>
      <c r="AD24" s="3"/>
      <c r="AE24" s="3"/>
      <c r="AF24" s="3"/>
      <c r="AG24" s="3"/>
      <c r="AH24" s="52"/>
      <c r="AI24" s="53"/>
      <c r="AJ24" s="1"/>
      <c r="AK24" s="3"/>
      <c r="AL24" s="52"/>
      <c r="AM24" s="52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2"/>
    </row>
    <row r="25" spans="1:53" ht="43.5" customHeight="1" x14ac:dyDescent="0.25">
      <c r="A25" s="15"/>
      <c r="B25" s="15"/>
      <c r="C25" s="15"/>
      <c r="D25" s="15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39"/>
      <c r="R25" s="18"/>
      <c r="S25" s="18"/>
      <c r="T25" s="25"/>
      <c r="U25" s="17"/>
      <c r="V25" s="17"/>
      <c r="W25" s="26"/>
      <c r="X25" s="26"/>
      <c r="Y25" s="26"/>
      <c r="Z25" s="49"/>
      <c r="AA25" s="49"/>
      <c r="AB25" s="49"/>
      <c r="AC25" s="49"/>
      <c r="AD25" s="3"/>
      <c r="AE25" s="3"/>
      <c r="AF25" s="3"/>
      <c r="AG25" s="3"/>
      <c r="AH25" s="52"/>
      <c r="AI25" s="53"/>
      <c r="AJ25" s="1"/>
      <c r="AK25" s="3"/>
      <c r="AL25" s="52"/>
      <c r="AM25" s="52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2"/>
    </row>
    <row r="26" spans="1:53" ht="30.75" customHeight="1" x14ac:dyDescent="0.25">
      <c r="A26" s="15">
        <v>8</v>
      </c>
      <c r="B26" s="15" t="s">
        <v>28</v>
      </c>
      <c r="C26" s="15" t="s">
        <v>29</v>
      </c>
      <c r="D26" s="15" t="s">
        <v>45</v>
      </c>
      <c r="E26" s="18">
        <v>81</v>
      </c>
      <c r="F26" s="18" t="s">
        <v>14</v>
      </c>
      <c r="G26" s="18" t="s">
        <v>14</v>
      </c>
      <c r="H26" s="18" t="s">
        <v>14</v>
      </c>
      <c r="I26" s="18"/>
      <c r="J26" s="18" t="s">
        <v>14</v>
      </c>
      <c r="K26" s="18" t="s">
        <v>14</v>
      </c>
      <c r="L26" s="18" t="s">
        <v>14</v>
      </c>
      <c r="M26" s="18"/>
      <c r="N26" s="18"/>
      <c r="O26" s="18" t="s">
        <v>83</v>
      </c>
      <c r="P26" s="18"/>
      <c r="Q26" s="18"/>
      <c r="R26" s="18"/>
      <c r="S26" s="18"/>
      <c r="T26" s="15">
        <v>77</v>
      </c>
      <c r="U26" s="15" t="s">
        <v>95</v>
      </c>
      <c r="V26" s="15" t="s">
        <v>15</v>
      </c>
      <c r="W26" s="15" t="s">
        <v>96</v>
      </c>
      <c r="X26" s="15" t="s">
        <v>15</v>
      </c>
      <c r="Y26" s="15" t="s">
        <v>97</v>
      </c>
      <c r="Z26" s="15" t="s">
        <v>110</v>
      </c>
      <c r="AA26" s="15"/>
      <c r="AB26" s="15">
        <v>77</v>
      </c>
      <c r="AC26" s="15" t="s">
        <v>15</v>
      </c>
      <c r="AD26" s="15"/>
      <c r="AE26" s="15"/>
      <c r="AF26" s="15"/>
      <c r="AG26" s="15"/>
      <c r="AH26" s="15" t="s">
        <v>122</v>
      </c>
      <c r="AI26" s="15"/>
      <c r="AJ26" s="15"/>
      <c r="AK26" s="15"/>
      <c r="AL26" s="15"/>
      <c r="AM26" s="15"/>
      <c r="AN26" s="15" t="s">
        <v>123</v>
      </c>
      <c r="AO26" s="15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2"/>
    </row>
    <row r="27" spans="1:53" ht="30.75" customHeight="1" x14ac:dyDescent="0.25">
      <c r="A27" s="15">
        <v>9</v>
      </c>
      <c r="B27" s="15" t="s">
        <v>30</v>
      </c>
      <c r="C27" s="15" t="s">
        <v>29</v>
      </c>
      <c r="D27" s="15" t="s">
        <v>45</v>
      </c>
      <c r="E27" s="18">
        <v>78</v>
      </c>
      <c r="F27" s="18" t="s">
        <v>14</v>
      </c>
      <c r="G27" s="18"/>
      <c r="H27" s="18"/>
      <c r="I27" s="18"/>
      <c r="J27" s="18"/>
      <c r="K27" s="18" t="s">
        <v>14</v>
      </c>
      <c r="L27" s="18" t="s">
        <v>14</v>
      </c>
      <c r="M27" s="18" t="s">
        <v>14</v>
      </c>
      <c r="N27" s="18"/>
      <c r="O27" s="18"/>
      <c r="P27" s="18"/>
      <c r="Q27" s="18"/>
      <c r="R27" s="18"/>
      <c r="S27" s="18"/>
      <c r="T27" s="15">
        <v>78</v>
      </c>
      <c r="U27" s="15" t="s">
        <v>95</v>
      </c>
      <c r="V27" s="15" t="s">
        <v>15</v>
      </c>
      <c r="W27" s="15"/>
      <c r="X27" s="15"/>
      <c r="Y27" s="15"/>
      <c r="Z27" s="15" t="s">
        <v>110</v>
      </c>
      <c r="AA27" s="19" t="s">
        <v>124</v>
      </c>
      <c r="AB27" s="15">
        <v>81</v>
      </c>
      <c r="AC27" s="15" t="s">
        <v>15</v>
      </c>
      <c r="AD27" s="15"/>
      <c r="AE27" s="15"/>
      <c r="AF27" s="15"/>
      <c r="AG27" s="15"/>
      <c r="AH27" s="15" t="s">
        <v>122</v>
      </c>
      <c r="AI27" s="15"/>
      <c r="AJ27" s="15"/>
      <c r="AK27" s="15"/>
      <c r="AL27" s="15"/>
      <c r="AM27" s="15"/>
      <c r="AN27" s="15" t="s">
        <v>123</v>
      </c>
      <c r="AO27" s="45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15" t="s">
        <v>126</v>
      </c>
    </row>
    <row r="28" spans="1:53" ht="31.9" customHeight="1" x14ac:dyDescent="0.25">
      <c r="A28" s="15">
        <v>10</v>
      </c>
      <c r="B28" s="15" t="s">
        <v>31</v>
      </c>
      <c r="C28" s="15" t="s">
        <v>29</v>
      </c>
      <c r="D28" s="15"/>
      <c r="E28" s="18">
        <v>16</v>
      </c>
      <c r="F28" s="18" t="s">
        <v>14</v>
      </c>
      <c r="G28" s="18" t="s">
        <v>14</v>
      </c>
      <c r="H28" s="18" t="s">
        <v>14</v>
      </c>
      <c r="I28" s="18" t="s">
        <v>14</v>
      </c>
      <c r="J28" s="18" t="s">
        <v>14</v>
      </c>
      <c r="K28" s="18"/>
      <c r="L28" s="18"/>
      <c r="M28" s="18"/>
      <c r="N28" s="18"/>
      <c r="O28" s="18"/>
      <c r="P28" s="18"/>
      <c r="Q28" s="18"/>
      <c r="R28" s="18"/>
      <c r="S28" s="18"/>
      <c r="T28" s="15">
        <v>16</v>
      </c>
      <c r="U28" s="15" t="s">
        <v>95</v>
      </c>
      <c r="V28" s="15" t="s">
        <v>15</v>
      </c>
      <c r="W28" s="15" t="s">
        <v>122</v>
      </c>
      <c r="X28" s="15" t="s">
        <v>15</v>
      </c>
      <c r="Y28" s="15" t="s">
        <v>125</v>
      </c>
      <c r="Z28" s="15" t="s">
        <v>122</v>
      </c>
      <c r="AA28" s="19" t="s">
        <v>124</v>
      </c>
      <c r="AB28" s="15">
        <v>81</v>
      </c>
      <c r="AC28" s="15" t="s">
        <v>15</v>
      </c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 t="s">
        <v>126</v>
      </c>
    </row>
    <row r="29" spans="1:53" ht="37.15" customHeight="1" x14ac:dyDescent="0.25">
      <c r="A29" s="15">
        <v>11</v>
      </c>
      <c r="B29" s="15" t="s">
        <v>32</v>
      </c>
      <c r="C29" s="15" t="s">
        <v>33</v>
      </c>
      <c r="D29" s="15" t="s">
        <v>127</v>
      </c>
      <c r="E29" s="18">
        <v>379</v>
      </c>
      <c r="F29" s="18" t="s">
        <v>14</v>
      </c>
      <c r="G29" s="18" t="s">
        <v>14</v>
      </c>
      <c r="H29" s="18" t="s">
        <v>14</v>
      </c>
      <c r="I29" s="18"/>
      <c r="J29" s="18" t="s">
        <v>14</v>
      </c>
      <c r="K29" s="18"/>
      <c r="L29" s="18"/>
      <c r="M29" s="18"/>
      <c r="N29" s="18"/>
      <c r="O29" s="18"/>
      <c r="P29" s="18"/>
      <c r="Q29" s="18"/>
      <c r="R29" s="18"/>
      <c r="S29" s="18"/>
      <c r="T29" s="15">
        <v>367</v>
      </c>
      <c r="U29" s="15" t="s">
        <v>95</v>
      </c>
      <c r="V29" s="15" t="s">
        <v>15</v>
      </c>
      <c r="W29" s="15"/>
      <c r="X29" s="15"/>
      <c r="Y29" s="15"/>
      <c r="Z29" s="15" t="s">
        <v>128</v>
      </c>
      <c r="AA29" s="15" t="s">
        <v>129</v>
      </c>
      <c r="AB29" s="15">
        <v>367</v>
      </c>
      <c r="AC29" s="15" t="s">
        <v>15</v>
      </c>
      <c r="AD29" s="15"/>
      <c r="AE29" s="15"/>
      <c r="AF29" s="15"/>
      <c r="AG29" s="15"/>
      <c r="AH29" s="15" t="s">
        <v>130</v>
      </c>
      <c r="AI29" s="15" t="s">
        <v>87</v>
      </c>
      <c r="AJ29" s="15" t="s">
        <v>131</v>
      </c>
      <c r="AK29" s="42">
        <v>378</v>
      </c>
      <c r="AL29" s="42" t="s">
        <v>15</v>
      </c>
      <c r="AM29" s="38" t="s">
        <v>121</v>
      </c>
      <c r="AN29" s="42" t="s">
        <v>180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2"/>
    </row>
    <row r="30" spans="1:53" ht="39" customHeight="1" x14ac:dyDescent="0.25">
      <c r="A30" s="96">
        <v>12</v>
      </c>
      <c r="B30" s="96" t="s">
        <v>34</v>
      </c>
      <c r="C30" s="96" t="s">
        <v>35</v>
      </c>
      <c r="D30" s="96" t="s">
        <v>132</v>
      </c>
      <c r="E30" s="18">
        <v>1350</v>
      </c>
      <c r="F30" s="18" t="s">
        <v>14</v>
      </c>
      <c r="G30" s="18" t="s">
        <v>14</v>
      </c>
      <c r="H30" s="18"/>
      <c r="I30" s="18"/>
      <c r="J30" s="18" t="s">
        <v>14</v>
      </c>
      <c r="K30" s="18" t="s">
        <v>14</v>
      </c>
      <c r="L30" s="18" t="s">
        <v>14</v>
      </c>
      <c r="M30" s="18" t="s">
        <v>14</v>
      </c>
      <c r="N30" s="18"/>
      <c r="O30" s="18" t="s">
        <v>122</v>
      </c>
      <c r="P30" s="18"/>
      <c r="Q30" s="18"/>
      <c r="R30" s="18"/>
      <c r="S30" s="18"/>
      <c r="T30" s="15">
        <v>1135</v>
      </c>
      <c r="U30" s="15" t="s">
        <v>95</v>
      </c>
      <c r="V30" s="15" t="s">
        <v>15</v>
      </c>
      <c r="W30" s="15"/>
      <c r="X30" s="15"/>
      <c r="Y30" s="15"/>
      <c r="Z30" s="15" t="s">
        <v>110</v>
      </c>
      <c r="AA30" s="42"/>
      <c r="AB30" s="42"/>
      <c r="AC30" s="15" t="s">
        <v>15</v>
      </c>
      <c r="AD30" s="42"/>
      <c r="AE30" s="42"/>
      <c r="AF30" s="42"/>
      <c r="AG30" s="42"/>
      <c r="AH30" s="42" t="s">
        <v>154</v>
      </c>
      <c r="AI30" s="42" t="s">
        <v>87</v>
      </c>
      <c r="AJ30" s="42" t="s">
        <v>155</v>
      </c>
      <c r="AK30" s="42">
        <v>800</v>
      </c>
      <c r="AL30" s="42" t="s">
        <v>15</v>
      </c>
      <c r="AM30" s="42" t="s">
        <v>159</v>
      </c>
      <c r="AN30" s="85" t="s">
        <v>163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2"/>
    </row>
    <row r="31" spans="1:53" ht="36" customHeight="1" x14ac:dyDescent="0.25">
      <c r="A31" s="103"/>
      <c r="B31" s="103"/>
      <c r="C31" s="103"/>
      <c r="D31" s="103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5"/>
      <c r="U31" s="15"/>
      <c r="V31" s="15"/>
      <c r="W31" s="15"/>
      <c r="X31" s="15"/>
      <c r="Y31" s="15"/>
      <c r="Z31" s="15" t="s">
        <v>106</v>
      </c>
      <c r="AA31" s="42"/>
      <c r="AB31" s="42"/>
      <c r="AC31" s="15" t="s">
        <v>15</v>
      </c>
      <c r="AD31" s="42"/>
      <c r="AE31" s="42"/>
      <c r="AF31" s="42"/>
      <c r="AG31" s="42"/>
      <c r="AH31" s="42" t="s">
        <v>157</v>
      </c>
      <c r="AI31" s="42" t="s">
        <v>87</v>
      </c>
      <c r="AJ31" s="42" t="s">
        <v>158</v>
      </c>
      <c r="AK31" s="42">
        <v>600</v>
      </c>
      <c r="AL31" s="42" t="s">
        <v>15</v>
      </c>
      <c r="AM31" s="42" t="s">
        <v>159</v>
      </c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2"/>
    </row>
    <row r="32" spans="1:53" ht="30.75" customHeight="1" x14ac:dyDescent="0.25">
      <c r="A32" s="15">
        <v>13</v>
      </c>
      <c r="B32" s="15" t="s">
        <v>133</v>
      </c>
      <c r="C32" s="27">
        <v>45828</v>
      </c>
      <c r="D32" s="15" t="s">
        <v>40</v>
      </c>
      <c r="E32" s="18">
        <v>81</v>
      </c>
      <c r="F32" s="18"/>
      <c r="G32" s="18"/>
      <c r="H32" s="18"/>
      <c r="I32" s="18"/>
      <c r="J32" s="18"/>
      <c r="K32" s="18" t="s">
        <v>14</v>
      </c>
      <c r="L32" s="18" t="s">
        <v>14</v>
      </c>
      <c r="M32" s="18" t="s">
        <v>14</v>
      </c>
      <c r="N32" s="18"/>
      <c r="O32" s="18" t="s">
        <v>122</v>
      </c>
      <c r="P32" s="18"/>
      <c r="Q32" s="18"/>
      <c r="R32" s="18"/>
      <c r="S32" s="18"/>
      <c r="T32" s="15">
        <v>81</v>
      </c>
      <c r="U32" s="15"/>
      <c r="V32" s="15"/>
      <c r="W32" s="15"/>
      <c r="X32" s="15"/>
      <c r="Y32" s="15"/>
      <c r="Z32" s="15"/>
      <c r="AA32" s="15"/>
      <c r="AB32" s="15"/>
      <c r="AC32" s="15"/>
      <c r="AD32" s="15" t="s">
        <v>128</v>
      </c>
      <c r="AE32" s="15"/>
      <c r="AF32" s="15">
        <v>81</v>
      </c>
      <c r="AG32" s="15" t="s">
        <v>15</v>
      </c>
      <c r="AH32" s="15" t="s">
        <v>128</v>
      </c>
      <c r="AI32" s="15"/>
      <c r="AJ32" s="15"/>
      <c r="AK32" s="42"/>
      <c r="AL32" s="42" t="s">
        <v>15</v>
      </c>
      <c r="AM32" s="42"/>
      <c r="AN32" s="45" t="s">
        <v>123</v>
      </c>
      <c r="AO32" s="45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15" t="s">
        <v>126</v>
      </c>
    </row>
    <row r="33" spans="1:53" ht="30.75" customHeight="1" x14ac:dyDescent="0.25">
      <c r="A33" s="15">
        <v>14</v>
      </c>
      <c r="B33" s="15" t="s">
        <v>134</v>
      </c>
      <c r="C33" s="27">
        <v>45829</v>
      </c>
      <c r="D33" s="15" t="s">
        <v>135</v>
      </c>
      <c r="E33" s="18">
        <v>81</v>
      </c>
      <c r="F33" s="18"/>
      <c r="G33" s="18"/>
      <c r="H33" s="18"/>
      <c r="I33" s="18"/>
      <c r="J33" s="18"/>
      <c r="K33" s="18" t="s">
        <v>14</v>
      </c>
      <c r="L33" s="18" t="s">
        <v>14</v>
      </c>
      <c r="M33" s="18" t="s">
        <v>14</v>
      </c>
      <c r="N33" s="18"/>
      <c r="O33" s="18" t="s">
        <v>122</v>
      </c>
      <c r="P33" s="18"/>
      <c r="Q33" s="18"/>
      <c r="R33" s="18"/>
      <c r="S33" s="18"/>
      <c r="T33" s="15">
        <v>81</v>
      </c>
      <c r="U33" s="15"/>
      <c r="V33" s="15"/>
      <c r="W33" s="15"/>
      <c r="X33" s="15"/>
      <c r="Y33" s="15"/>
      <c r="Z33" s="15"/>
      <c r="AA33" s="15"/>
      <c r="AB33" s="15"/>
      <c r="AC33" s="15"/>
      <c r="AD33" s="15" t="s">
        <v>128</v>
      </c>
      <c r="AE33" s="15"/>
      <c r="AF33" s="15">
        <v>81</v>
      </c>
      <c r="AG33" s="15" t="s">
        <v>15</v>
      </c>
      <c r="AH33" s="15" t="s">
        <v>128</v>
      </c>
      <c r="AI33" s="15"/>
      <c r="AJ33" s="15"/>
      <c r="AK33" s="42"/>
      <c r="AL33" s="42" t="s">
        <v>15</v>
      </c>
      <c r="AM33" s="42"/>
      <c r="AN33" s="45" t="s">
        <v>123</v>
      </c>
      <c r="AO33" s="45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15" t="s">
        <v>126</v>
      </c>
    </row>
    <row r="34" spans="1:53" ht="40.5" customHeight="1" x14ac:dyDescent="0.25">
      <c r="A34" s="15">
        <v>15</v>
      </c>
      <c r="B34" s="15" t="s">
        <v>36</v>
      </c>
      <c r="C34" s="15" t="s">
        <v>37</v>
      </c>
      <c r="D34" s="15"/>
      <c r="E34" s="18" t="s">
        <v>38</v>
      </c>
      <c r="F34" s="18" t="s">
        <v>14</v>
      </c>
      <c r="G34" s="18" t="s">
        <v>14</v>
      </c>
      <c r="H34" s="18" t="s">
        <v>14</v>
      </c>
      <c r="I34" s="18"/>
      <c r="J34" s="18"/>
      <c r="K34" s="18" t="s">
        <v>14</v>
      </c>
      <c r="L34" s="18" t="s">
        <v>14</v>
      </c>
      <c r="M34" s="18" t="s">
        <v>14</v>
      </c>
      <c r="N34" s="18"/>
      <c r="O34" s="18" t="s">
        <v>122</v>
      </c>
      <c r="P34" s="18"/>
      <c r="Q34" s="18"/>
      <c r="R34" s="18"/>
      <c r="S34" s="18"/>
      <c r="T34" s="15">
        <v>198</v>
      </c>
      <c r="U34" s="15" t="s">
        <v>95</v>
      </c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 t="s">
        <v>182</v>
      </c>
      <c r="AI34" s="42"/>
      <c r="AJ34" s="42"/>
      <c r="AK34" s="42"/>
      <c r="AL34" s="42"/>
      <c r="AM34" s="42" t="s">
        <v>182</v>
      </c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2"/>
    </row>
    <row r="35" spans="1:53" ht="30.75" customHeight="1" x14ac:dyDescent="0.25">
      <c r="A35" s="15">
        <v>16</v>
      </c>
      <c r="B35" s="15" t="s">
        <v>39</v>
      </c>
      <c r="C35" s="15" t="s">
        <v>40</v>
      </c>
      <c r="D35" s="15"/>
      <c r="E35" s="18" t="s">
        <v>41</v>
      </c>
      <c r="F35" s="18" t="s">
        <v>14</v>
      </c>
      <c r="G35" s="18" t="s">
        <v>14</v>
      </c>
      <c r="H35" s="18" t="s">
        <v>14</v>
      </c>
      <c r="I35" s="18"/>
      <c r="J35" s="18"/>
      <c r="K35" s="18"/>
      <c r="L35" s="18"/>
      <c r="M35" s="18"/>
      <c r="N35" s="18"/>
      <c r="O35" s="18" t="s">
        <v>122</v>
      </c>
      <c r="P35" s="44"/>
      <c r="Q35" s="44"/>
      <c r="R35" s="44"/>
      <c r="S35" s="44"/>
      <c r="T35" s="42">
        <v>69</v>
      </c>
      <c r="U35" s="1"/>
      <c r="V35" s="1"/>
      <c r="W35" s="1"/>
      <c r="X35" s="1"/>
      <c r="Y35" s="1"/>
      <c r="Z35" s="1"/>
      <c r="AA35" s="1"/>
      <c r="AB35" s="1"/>
      <c r="AC35" s="57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2"/>
    </row>
    <row r="36" spans="1:53" ht="30.75" customHeight="1" x14ac:dyDescent="0.25">
      <c r="A36" s="15">
        <v>17</v>
      </c>
      <c r="B36" s="15" t="s">
        <v>42</v>
      </c>
      <c r="C36" s="15" t="s">
        <v>43</v>
      </c>
      <c r="D36" s="15"/>
      <c r="E36" s="18">
        <v>80</v>
      </c>
      <c r="F36" s="18" t="s">
        <v>14</v>
      </c>
      <c r="G36" s="18"/>
      <c r="H36" s="18"/>
      <c r="I36" s="18"/>
      <c r="J36" s="18"/>
      <c r="K36" s="18"/>
      <c r="L36" s="18"/>
      <c r="M36" s="18"/>
      <c r="N36" s="18"/>
      <c r="O36" s="18" t="s">
        <v>162</v>
      </c>
      <c r="P36" s="44"/>
      <c r="Q36" s="44"/>
      <c r="R36" s="44"/>
      <c r="S36" s="44"/>
      <c r="T36" s="42">
        <v>80</v>
      </c>
      <c r="U36" s="42"/>
      <c r="V36" s="42"/>
      <c r="W36" s="42" t="s">
        <v>160</v>
      </c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 t="s">
        <v>160</v>
      </c>
      <c r="AO36" s="42"/>
      <c r="AP36" s="42"/>
      <c r="AQ36" s="42"/>
      <c r="AR36" s="42"/>
      <c r="AS36" s="42"/>
      <c r="AT36" s="42" t="s">
        <v>160</v>
      </c>
      <c r="AU36" s="42"/>
      <c r="AV36" s="42"/>
      <c r="AW36" s="42"/>
      <c r="AX36" s="42"/>
      <c r="AY36" s="42"/>
      <c r="AZ36" s="42"/>
      <c r="BA36" s="2"/>
    </row>
    <row r="37" spans="1:53" ht="30.75" customHeight="1" x14ac:dyDescent="0.25">
      <c r="A37" s="15">
        <v>18</v>
      </c>
      <c r="B37" s="96" t="s">
        <v>44</v>
      </c>
      <c r="C37" s="15" t="s">
        <v>45</v>
      </c>
      <c r="D37" s="15"/>
      <c r="E37" s="18">
        <v>360</v>
      </c>
      <c r="F37" s="18" t="s">
        <v>14</v>
      </c>
      <c r="G37" s="18"/>
      <c r="H37" s="18"/>
      <c r="I37" s="18"/>
      <c r="J37" s="18"/>
      <c r="K37" s="18"/>
      <c r="L37" s="18"/>
      <c r="M37" s="18"/>
      <c r="N37" s="18"/>
      <c r="O37" s="18" t="s">
        <v>122</v>
      </c>
      <c r="P37" s="44"/>
      <c r="Q37" s="44"/>
      <c r="R37" s="44"/>
      <c r="S37" s="44"/>
      <c r="T37" s="42">
        <v>342</v>
      </c>
      <c r="U37" s="42" t="s">
        <v>95</v>
      </c>
      <c r="V37" s="42"/>
      <c r="W37" s="42"/>
      <c r="X37" s="42"/>
      <c r="Y37" s="42"/>
      <c r="Z37" s="42" t="s">
        <v>159</v>
      </c>
      <c r="AA37" s="42" t="s">
        <v>166</v>
      </c>
      <c r="AB37" s="42">
        <v>100</v>
      </c>
      <c r="AC37" s="42" t="s">
        <v>15</v>
      </c>
      <c r="AD37" s="42"/>
      <c r="AE37" s="42"/>
      <c r="AF37" s="42"/>
      <c r="AG37" s="42"/>
      <c r="AH37" s="42" t="s">
        <v>182</v>
      </c>
      <c r="AI37" s="42"/>
      <c r="AJ37" s="42"/>
      <c r="AK37" s="42"/>
      <c r="AL37" s="42"/>
      <c r="AM37" s="42" t="s">
        <v>182</v>
      </c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2"/>
    </row>
    <row r="38" spans="1:53" ht="30.75" customHeight="1" x14ac:dyDescent="0.25">
      <c r="A38" s="15">
        <v>19</v>
      </c>
      <c r="B38" s="99"/>
      <c r="C38" s="15"/>
      <c r="D38" s="15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44"/>
      <c r="Q38" s="44"/>
      <c r="R38" s="44"/>
      <c r="S38" s="44"/>
      <c r="T38" s="42"/>
      <c r="U38" s="42"/>
      <c r="V38" s="42"/>
      <c r="W38" s="42"/>
      <c r="X38" s="42"/>
      <c r="Y38" s="42"/>
      <c r="Z38" s="42" t="s">
        <v>159</v>
      </c>
      <c r="AA38" s="42">
        <v>242</v>
      </c>
      <c r="AB38" s="42">
        <v>242</v>
      </c>
      <c r="AC38" s="42" t="s">
        <v>15</v>
      </c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2"/>
    </row>
    <row r="39" spans="1:53" ht="30.75" customHeight="1" x14ac:dyDescent="0.25">
      <c r="A39" s="15">
        <v>20</v>
      </c>
      <c r="B39" s="15" t="s">
        <v>46</v>
      </c>
      <c r="C39" s="15" t="s">
        <v>47</v>
      </c>
      <c r="D39" s="15"/>
      <c r="E39" s="18">
        <v>284</v>
      </c>
      <c r="F39" s="18"/>
      <c r="G39" s="18"/>
      <c r="H39" s="18"/>
      <c r="I39" s="18"/>
      <c r="J39" s="18"/>
      <c r="K39" s="18" t="s">
        <v>14</v>
      </c>
      <c r="L39" s="18" t="s">
        <v>14</v>
      </c>
      <c r="M39" s="18" t="s">
        <v>14</v>
      </c>
      <c r="N39" s="18"/>
      <c r="O39" s="18" t="s">
        <v>83</v>
      </c>
      <c r="P39" s="44"/>
      <c r="Q39" s="44"/>
      <c r="R39" s="44"/>
      <c r="S39" s="44"/>
      <c r="T39" s="42">
        <f>138+135</f>
        <v>273</v>
      </c>
      <c r="U39" s="1"/>
      <c r="V39" s="1"/>
      <c r="W39" s="1"/>
      <c r="X39" s="1"/>
      <c r="Y39" s="1"/>
      <c r="Z39" s="1"/>
      <c r="AA39" s="1"/>
      <c r="AB39" s="1"/>
      <c r="AC39" s="57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2"/>
    </row>
    <row r="40" spans="1:53" ht="30.75" customHeight="1" x14ac:dyDescent="0.25">
      <c r="A40" s="15">
        <v>21</v>
      </c>
      <c r="B40" s="15" t="s">
        <v>136</v>
      </c>
      <c r="C40" s="15" t="s">
        <v>132</v>
      </c>
      <c r="D40" s="15"/>
      <c r="E40" s="18">
        <v>250</v>
      </c>
      <c r="F40" s="18"/>
      <c r="G40" s="18"/>
      <c r="H40" s="18"/>
      <c r="I40" s="18"/>
      <c r="J40" s="18"/>
      <c r="K40" s="18"/>
      <c r="L40" s="18"/>
      <c r="M40" s="18"/>
      <c r="N40" s="18"/>
      <c r="O40" s="18" t="s">
        <v>83</v>
      </c>
      <c r="P40" s="44"/>
      <c r="Q40" s="44"/>
      <c r="R40" s="44"/>
      <c r="S40" s="44"/>
      <c r="T40" s="42">
        <v>235</v>
      </c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2"/>
    </row>
    <row r="41" spans="1:53" ht="30.75" customHeight="1" x14ac:dyDescent="0.25">
      <c r="A41" s="15">
        <v>22</v>
      </c>
      <c r="B41" s="15" t="s">
        <v>137</v>
      </c>
      <c r="C41" s="15" t="s">
        <v>138</v>
      </c>
      <c r="D41" s="27">
        <v>45876</v>
      </c>
      <c r="E41" s="18">
        <v>423</v>
      </c>
      <c r="F41" s="18" t="s">
        <v>14</v>
      </c>
      <c r="G41" s="18" t="s">
        <v>14</v>
      </c>
      <c r="H41" s="18"/>
      <c r="I41" s="18"/>
      <c r="J41" s="18" t="s">
        <v>14</v>
      </c>
      <c r="K41" s="18" t="s">
        <v>14</v>
      </c>
      <c r="L41" s="18" t="s">
        <v>14</v>
      </c>
      <c r="M41" s="18" t="s">
        <v>14</v>
      </c>
      <c r="N41" s="18" t="s">
        <v>14</v>
      </c>
      <c r="O41" s="18" t="s">
        <v>83</v>
      </c>
      <c r="P41" s="44"/>
      <c r="Q41" s="44"/>
      <c r="R41" s="44"/>
      <c r="S41" s="44"/>
      <c r="T41" s="42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2"/>
    </row>
    <row r="42" spans="1:53" ht="30.75" customHeight="1" x14ac:dyDescent="0.25">
      <c r="A42" s="15">
        <v>23</v>
      </c>
      <c r="B42" s="42" t="s">
        <v>183</v>
      </c>
      <c r="C42" s="42" t="s">
        <v>138</v>
      </c>
      <c r="D42" s="42"/>
      <c r="E42" s="44">
        <v>96</v>
      </c>
      <c r="F42" s="44" t="s">
        <v>14</v>
      </c>
      <c r="G42" s="44" t="s">
        <v>14</v>
      </c>
      <c r="H42" s="44"/>
      <c r="I42" s="44"/>
      <c r="J42" s="44" t="s">
        <v>14</v>
      </c>
      <c r="K42" s="44"/>
      <c r="L42" s="44"/>
      <c r="M42" s="44"/>
      <c r="N42" s="44"/>
      <c r="O42" s="44"/>
      <c r="P42" s="44"/>
      <c r="Q42" s="44"/>
      <c r="R42" s="44"/>
      <c r="S42" s="44"/>
      <c r="T42" s="42">
        <v>87</v>
      </c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2"/>
    </row>
    <row r="43" spans="1:53" ht="30.75" customHeight="1" x14ac:dyDescent="0.25">
      <c r="A43" s="15">
        <v>24</v>
      </c>
      <c r="B43" s="42" t="s">
        <v>184</v>
      </c>
      <c r="C43" s="42" t="s">
        <v>185</v>
      </c>
      <c r="D43" s="42"/>
      <c r="E43" s="44">
        <v>47</v>
      </c>
      <c r="F43" s="44" t="s">
        <v>14</v>
      </c>
      <c r="G43" s="44" t="s">
        <v>14</v>
      </c>
      <c r="H43" s="44" t="s">
        <v>14</v>
      </c>
      <c r="I43" s="44"/>
      <c r="J43" s="44"/>
      <c r="K43" s="44"/>
      <c r="L43" s="44"/>
      <c r="M43" s="44"/>
      <c r="N43" s="44"/>
      <c r="O43" s="44"/>
      <c r="P43" s="2"/>
      <c r="Q43" s="2"/>
      <c r="R43" s="2"/>
      <c r="S43" s="2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2"/>
    </row>
    <row r="44" spans="1:53" ht="30.75" customHeight="1" x14ac:dyDescent="0.25">
      <c r="A44" s="15">
        <v>25</v>
      </c>
      <c r="B44" s="42" t="s">
        <v>186</v>
      </c>
      <c r="C44" s="42" t="s">
        <v>187</v>
      </c>
      <c r="D44" s="42"/>
      <c r="E44" s="44">
        <v>40</v>
      </c>
      <c r="F44" s="44" t="s">
        <v>14</v>
      </c>
      <c r="G44" s="44" t="s">
        <v>14</v>
      </c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2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2"/>
    </row>
    <row r="45" spans="1:53" ht="30.75" customHeight="1" x14ac:dyDescent="0.25">
      <c r="A45" s="15">
        <v>26</v>
      </c>
      <c r="B45" s="42" t="s">
        <v>188</v>
      </c>
      <c r="C45" s="86">
        <v>45784</v>
      </c>
      <c r="D45" s="42"/>
      <c r="E45" s="44">
        <v>160</v>
      </c>
      <c r="F45" s="44" t="s">
        <v>14</v>
      </c>
      <c r="G45" s="44"/>
      <c r="H45" s="44" t="s">
        <v>14</v>
      </c>
      <c r="I45" s="44"/>
      <c r="J45" s="44"/>
      <c r="K45" s="44" t="s">
        <v>14</v>
      </c>
      <c r="L45" s="44" t="s">
        <v>14</v>
      </c>
      <c r="M45" s="44" t="s">
        <v>14</v>
      </c>
      <c r="N45" s="44"/>
      <c r="O45" s="44"/>
      <c r="P45" s="44"/>
      <c r="Q45" s="44"/>
      <c r="R45" s="44"/>
      <c r="S45" s="44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2"/>
    </row>
    <row r="46" spans="1:53" ht="30.75" customHeight="1" x14ac:dyDescent="0.25">
      <c r="A46" s="15">
        <v>27</v>
      </c>
      <c r="B46" s="42" t="s">
        <v>189</v>
      </c>
      <c r="C46" s="86">
        <v>45815</v>
      </c>
      <c r="D46" s="42"/>
      <c r="E46" s="44">
        <v>40</v>
      </c>
      <c r="F46" s="44"/>
      <c r="G46" s="44" t="s">
        <v>14</v>
      </c>
      <c r="H46" s="44"/>
      <c r="I46" s="44"/>
      <c r="J46" s="44"/>
      <c r="K46" s="44" t="s">
        <v>14</v>
      </c>
      <c r="L46" s="44" t="s">
        <v>14</v>
      </c>
      <c r="M46" s="44" t="s">
        <v>14</v>
      </c>
      <c r="N46" s="44"/>
      <c r="O46" s="44"/>
      <c r="P46" s="44"/>
      <c r="Q46" s="44"/>
      <c r="R46" s="44"/>
      <c r="S46" s="44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2"/>
    </row>
    <row r="47" spans="1:53" ht="30.75" customHeight="1" x14ac:dyDescent="0.25">
      <c r="A47" s="15">
        <v>28</v>
      </c>
      <c r="B47" s="42" t="s">
        <v>190</v>
      </c>
      <c r="C47" s="86">
        <v>45998</v>
      </c>
      <c r="D47" s="42"/>
      <c r="E47" s="44">
        <v>190</v>
      </c>
      <c r="F47" s="44" t="s">
        <v>14</v>
      </c>
      <c r="G47" s="44" t="s">
        <v>14</v>
      </c>
      <c r="H47" s="44"/>
      <c r="I47" s="44"/>
      <c r="J47" s="44"/>
      <c r="K47" s="44" t="s">
        <v>14</v>
      </c>
      <c r="L47" s="44" t="s">
        <v>14</v>
      </c>
      <c r="M47" s="44" t="s">
        <v>14</v>
      </c>
      <c r="N47" s="44"/>
      <c r="O47" s="44"/>
      <c r="P47" s="44"/>
      <c r="Q47" s="44"/>
      <c r="R47" s="44"/>
      <c r="S47" s="44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2"/>
    </row>
    <row r="48" spans="1:53" ht="30.75" customHeight="1" x14ac:dyDescent="0.25">
      <c r="A48" s="15">
        <v>29</v>
      </c>
      <c r="B48" s="42" t="s">
        <v>191</v>
      </c>
      <c r="C48" s="42" t="s">
        <v>192</v>
      </c>
      <c r="D48" s="42"/>
      <c r="E48" s="44">
        <v>50</v>
      </c>
      <c r="F48" s="44" t="s">
        <v>14</v>
      </c>
      <c r="G48" s="44" t="s">
        <v>14</v>
      </c>
      <c r="H48" s="44"/>
      <c r="I48" s="44"/>
      <c r="J48" s="44" t="s">
        <v>14</v>
      </c>
      <c r="K48" s="44"/>
      <c r="L48" s="44"/>
      <c r="M48" s="44"/>
      <c r="N48" s="44"/>
      <c r="O48" s="44"/>
      <c r="P48" s="44"/>
      <c r="Q48" s="44"/>
      <c r="R48" s="44"/>
      <c r="S48" s="44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2"/>
    </row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</sheetData>
  <mergeCells count="44">
    <mergeCell ref="A30:A31"/>
    <mergeCell ref="B30:B31"/>
    <mergeCell ref="C30:C31"/>
    <mergeCell ref="D30:D31"/>
    <mergeCell ref="B37:B38"/>
    <mergeCell ref="A18:A20"/>
    <mergeCell ref="AQ2:AS2"/>
    <mergeCell ref="AW2:AW3"/>
    <mergeCell ref="AT2:AV2"/>
    <mergeCell ref="B4:B9"/>
    <mergeCell ref="C4:C9"/>
    <mergeCell ref="D4:D8"/>
    <mergeCell ref="A10:A13"/>
    <mergeCell ref="D10:D13"/>
    <mergeCell ref="A4:A9"/>
    <mergeCell ref="AO2:AO3"/>
    <mergeCell ref="AN10:AN13"/>
    <mergeCell ref="B10:B13"/>
    <mergeCell ref="C10:C13"/>
    <mergeCell ref="B14:B15"/>
    <mergeCell ref="C14:C15"/>
    <mergeCell ref="AX2:AZ2"/>
    <mergeCell ref="BA2:BA3"/>
    <mergeCell ref="O2:P2"/>
    <mergeCell ref="Q2:S2"/>
    <mergeCell ref="T2:T3"/>
    <mergeCell ref="AN2:AN3"/>
    <mergeCell ref="AP2:AP3"/>
    <mergeCell ref="D14:D15"/>
    <mergeCell ref="B18:B20"/>
    <mergeCell ref="C18:C20"/>
    <mergeCell ref="A1:BA1"/>
    <mergeCell ref="A2:A3"/>
    <mergeCell ref="B2:B3"/>
    <mergeCell ref="C2:C3"/>
    <mergeCell ref="D2:D3"/>
    <mergeCell ref="E2:E3"/>
    <mergeCell ref="F2:N2"/>
    <mergeCell ref="AD2:AG2"/>
    <mergeCell ref="AH2:AL2"/>
    <mergeCell ref="U2:V2"/>
    <mergeCell ref="W2:Y2"/>
    <mergeCell ref="Z2:AC2"/>
    <mergeCell ref="AM2:AM3"/>
  </mergeCell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DAA5-2A82-4A7C-8490-526F135C651C}">
  <sheetPr codeName="Sheet4"/>
  <dimension ref="A1:M68"/>
  <sheetViews>
    <sheetView topLeftCell="A29" zoomScale="115" zoomScaleNormal="115" workbookViewId="0">
      <selection activeCell="B59" sqref="B59"/>
    </sheetView>
  </sheetViews>
  <sheetFormatPr defaultRowHeight="15" x14ac:dyDescent="0.25"/>
  <cols>
    <col min="1" max="1" width="35.7109375" style="59" customWidth="1"/>
    <col min="2" max="2" width="27.28515625" style="59" customWidth="1"/>
    <col min="3" max="3" width="17.85546875" style="59" customWidth="1"/>
    <col min="4" max="4" width="12.140625" style="59" customWidth="1"/>
    <col min="5" max="5" width="22" style="59" customWidth="1"/>
    <col min="6" max="6" width="20.28515625" style="59" customWidth="1"/>
    <col min="7" max="7" width="23.42578125" style="59" customWidth="1"/>
    <col min="8" max="8" width="17.42578125" style="59" customWidth="1"/>
    <col min="9" max="9" width="22.85546875" style="59" customWidth="1"/>
    <col min="10" max="16384" width="9.140625" style="59"/>
  </cols>
  <sheetData>
    <row r="1" spans="1:13" ht="84.75" customHeight="1" x14ac:dyDescent="0.25">
      <c r="A1" s="63" t="s">
        <v>173</v>
      </c>
      <c r="B1" s="64" t="s">
        <v>174</v>
      </c>
      <c r="C1" s="64" t="s">
        <v>175</v>
      </c>
      <c r="D1" s="64" t="s">
        <v>176</v>
      </c>
      <c r="E1" s="65" t="s">
        <v>177</v>
      </c>
      <c r="F1" s="58"/>
    </row>
    <row r="2" spans="1:13" ht="50.25" customHeight="1" thickBot="1" x14ac:dyDescent="0.3">
      <c r="A2" s="66"/>
      <c r="B2" s="67"/>
      <c r="C2" s="68"/>
      <c r="D2" s="68"/>
      <c r="E2" s="69"/>
      <c r="M2" s="62"/>
    </row>
    <row r="3" spans="1:13" x14ac:dyDescent="0.25">
      <c r="A3" s="60"/>
      <c r="M3" s="62"/>
    </row>
    <row r="4" spans="1:13" x14ac:dyDescent="0.25">
      <c r="A4" s="60"/>
      <c r="M4" s="62"/>
    </row>
    <row r="5" spans="1:13" ht="34.5" customHeight="1" x14ac:dyDescent="0.25">
      <c r="A5" s="70" t="s">
        <v>0</v>
      </c>
      <c r="B5" s="130" t="s">
        <v>139</v>
      </c>
      <c r="C5" s="131"/>
      <c r="D5" s="61" t="s">
        <v>140</v>
      </c>
      <c r="E5" s="61" t="s">
        <v>141</v>
      </c>
      <c r="F5" s="61" t="s">
        <v>142</v>
      </c>
      <c r="G5" s="61" t="s">
        <v>66</v>
      </c>
      <c r="H5" s="61" t="s">
        <v>143</v>
      </c>
      <c r="I5" s="61" t="s">
        <v>144</v>
      </c>
      <c r="M5" s="62"/>
    </row>
    <row r="6" spans="1:13" x14ac:dyDescent="0.25">
      <c r="A6" s="119">
        <v>1</v>
      </c>
      <c r="B6" s="121" t="s">
        <v>145</v>
      </c>
      <c r="C6" s="122"/>
      <c r="D6" s="88"/>
      <c r="E6" s="88"/>
      <c r="F6" s="88"/>
      <c r="G6" s="88"/>
      <c r="H6" s="88"/>
      <c r="I6" s="88"/>
      <c r="M6" s="62"/>
    </row>
    <row r="7" spans="1:13" ht="15.75" customHeight="1" x14ac:dyDescent="0.25">
      <c r="A7" s="120"/>
      <c r="B7" s="125"/>
      <c r="C7" s="126"/>
      <c r="D7" s="71"/>
      <c r="E7" s="71"/>
      <c r="F7" s="71"/>
      <c r="G7" s="71"/>
      <c r="H7" s="71"/>
      <c r="I7" s="71"/>
    </row>
    <row r="8" spans="1:13" s="72" customFormat="1" x14ac:dyDescent="0.25">
      <c r="A8" s="127">
        <v>2</v>
      </c>
      <c r="B8" s="128" t="s">
        <v>146</v>
      </c>
      <c r="C8" s="129"/>
      <c r="D8" s="71"/>
      <c r="E8" s="71"/>
      <c r="F8" s="71"/>
      <c r="G8" s="71"/>
      <c r="H8" s="87"/>
      <c r="I8" s="71"/>
    </row>
    <row r="9" spans="1:13" x14ac:dyDescent="0.25">
      <c r="A9" s="127"/>
      <c r="B9" s="128"/>
      <c r="C9" s="129"/>
      <c r="D9" s="71"/>
      <c r="E9" s="71"/>
      <c r="F9" s="71"/>
      <c r="G9" s="71"/>
      <c r="H9" s="87"/>
      <c r="I9" s="71"/>
    </row>
    <row r="10" spans="1:13" x14ac:dyDescent="0.25">
      <c r="A10" s="119">
        <v>3</v>
      </c>
      <c r="B10" s="121" t="s">
        <v>195</v>
      </c>
      <c r="C10" s="122"/>
      <c r="D10" s="71"/>
      <c r="E10" s="71"/>
      <c r="F10" s="71"/>
      <c r="G10" s="71"/>
      <c r="H10" s="87"/>
      <c r="I10" s="71"/>
    </row>
    <row r="11" spans="1:13" x14ac:dyDescent="0.25">
      <c r="A11" s="120"/>
      <c r="B11" s="123"/>
      <c r="C11" s="124"/>
      <c r="D11" s="71"/>
      <c r="E11" s="71"/>
      <c r="F11" s="71"/>
      <c r="G11" s="71"/>
      <c r="H11" s="87"/>
      <c r="I11" s="71"/>
    </row>
    <row r="12" spans="1:13" x14ac:dyDescent="0.25">
      <c r="A12" s="127">
        <v>4</v>
      </c>
      <c r="B12" s="121" t="s">
        <v>196</v>
      </c>
      <c r="C12" s="122"/>
      <c r="D12" s="71"/>
      <c r="E12" s="71"/>
      <c r="F12" s="71"/>
      <c r="G12" s="71"/>
      <c r="H12" s="71"/>
      <c r="I12" s="71"/>
    </row>
    <row r="13" spans="1:13" x14ac:dyDescent="0.25">
      <c r="A13" s="127"/>
      <c r="B13" s="123"/>
      <c r="C13" s="124"/>
      <c r="D13" s="71"/>
      <c r="E13" s="71"/>
      <c r="F13" s="71"/>
      <c r="G13" s="71"/>
      <c r="H13" s="71"/>
      <c r="I13" s="71"/>
    </row>
    <row r="14" spans="1:13" x14ac:dyDescent="0.25">
      <c r="A14" s="119">
        <v>5</v>
      </c>
      <c r="B14" s="128" t="s">
        <v>55</v>
      </c>
      <c r="C14" s="129"/>
      <c r="D14" s="89"/>
      <c r="E14" s="89"/>
      <c r="F14" s="89"/>
      <c r="G14" s="89"/>
      <c r="H14" s="89"/>
      <c r="I14" s="89"/>
    </row>
    <row r="15" spans="1:13" x14ac:dyDescent="0.25">
      <c r="A15" s="120"/>
      <c r="B15" s="129"/>
      <c r="C15" s="129"/>
      <c r="D15" s="89"/>
      <c r="E15" s="89"/>
      <c r="F15" s="89"/>
      <c r="G15" s="89"/>
      <c r="H15" s="89"/>
      <c r="I15" s="89"/>
    </row>
    <row r="16" spans="1:13" x14ac:dyDescent="0.25">
      <c r="A16" s="127">
        <v>6</v>
      </c>
      <c r="B16" s="128" t="s">
        <v>56</v>
      </c>
      <c r="C16" s="129"/>
      <c r="D16" s="89"/>
      <c r="E16" s="89"/>
      <c r="F16" s="89"/>
      <c r="G16" s="89"/>
      <c r="H16" s="89"/>
      <c r="I16" s="89"/>
    </row>
    <row r="17" spans="1:9" x14ac:dyDescent="0.25">
      <c r="A17" s="127"/>
      <c r="B17" s="129"/>
      <c r="C17" s="129"/>
      <c r="D17" s="87"/>
      <c r="E17" s="89"/>
      <c r="F17" s="89"/>
      <c r="G17" s="89"/>
      <c r="H17" s="89"/>
      <c r="I17" s="89"/>
    </row>
    <row r="18" spans="1:9" x14ac:dyDescent="0.25">
      <c r="A18" s="119">
        <v>7</v>
      </c>
      <c r="B18" s="128" t="s">
        <v>193</v>
      </c>
      <c r="C18" s="129"/>
      <c r="D18" s="87"/>
      <c r="E18" s="89"/>
      <c r="F18" s="89"/>
      <c r="G18" s="89"/>
      <c r="H18" s="89"/>
      <c r="I18" s="89"/>
    </row>
    <row r="19" spans="1:9" x14ac:dyDescent="0.25">
      <c r="A19" s="120"/>
      <c r="B19" s="129"/>
      <c r="C19" s="129"/>
      <c r="D19" s="87"/>
      <c r="E19" s="89"/>
      <c r="F19" s="89"/>
      <c r="G19" s="89"/>
      <c r="H19" s="89"/>
      <c r="I19" s="89"/>
    </row>
    <row r="20" spans="1:9" x14ac:dyDescent="0.25">
      <c r="A20" s="127">
        <v>8</v>
      </c>
      <c r="B20" s="128" t="s">
        <v>194</v>
      </c>
      <c r="C20" s="129"/>
      <c r="D20" s="89"/>
      <c r="E20" s="89"/>
      <c r="F20" s="89"/>
      <c r="G20" s="89"/>
      <c r="H20" s="89"/>
      <c r="I20" s="89"/>
    </row>
    <row r="21" spans="1:9" x14ac:dyDescent="0.25">
      <c r="A21" s="127"/>
      <c r="B21" s="129"/>
      <c r="C21" s="129"/>
      <c r="D21" s="89"/>
      <c r="E21" s="89"/>
      <c r="F21" s="89"/>
      <c r="G21" s="89"/>
      <c r="H21" s="89"/>
      <c r="I21" s="89"/>
    </row>
    <row r="22" spans="1:9" x14ac:dyDescent="0.25">
      <c r="A22" s="119">
        <v>9</v>
      </c>
      <c r="B22" s="121" t="s">
        <v>207</v>
      </c>
      <c r="C22" s="122"/>
      <c r="D22" s="89"/>
      <c r="E22" s="89"/>
      <c r="F22" s="89"/>
      <c r="G22" s="89"/>
      <c r="H22" s="89"/>
      <c r="I22" s="89"/>
    </row>
    <row r="23" spans="1:9" x14ac:dyDescent="0.25">
      <c r="A23" s="120"/>
      <c r="B23" s="125"/>
      <c r="C23" s="126"/>
      <c r="D23" s="89"/>
      <c r="E23" s="89"/>
      <c r="F23" s="89"/>
      <c r="G23" s="89"/>
      <c r="H23" s="89"/>
      <c r="I23" s="89"/>
    </row>
    <row r="24" spans="1:9" x14ac:dyDescent="0.25">
      <c r="A24" s="127">
        <v>10</v>
      </c>
      <c r="B24" s="121" t="s">
        <v>208</v>
      </c>
      <c r="C24" s="122"/>
      <c r="D24" s="89"/>
      <c r="E24" s="89"/>
      <c r="F24" s="89"/>
      <c r="G24" s="89"/>
      <c r="H24" s="89"/>
      <c r="I24" s="89"/>
    </row>
    <row r="25" spans="1:9" x14ac:dyDescent="0.25">
      <c r="A25" s="127"/>
      <c r="B25" s="125"/>
      <c r="C25" s="126"/>
      <c r="D25" s="89"/>
      <c r="E25" s="89"/>
      <c r="F25" s="89"/>
      <c r="G25" s="89"/>
      <c r="H25" s="89"/>
      <c r="I25" s="89"/>
    </row>
    <row r="26" spans="1:9" x14ac:dyDescent="0.25">
      <c r="A26" s="119">
        <v>11</v>
      </c>
      <c r="B26" s="121" t="s">
        <v>197</v>
      </c>
      <c r="C26" s="122"/>
      <c r="D26" s="89"/>
      <c r="E26" s="89"/>
      <c r="F26" s="89"/>
      <c r="G26" s="89"/>
      <c r="H26" s="89"/>
      <c r="I26" s="89"/>
    </row>
    <row r="27" spans="1:9" x14ac:dyDescent="0.25">
      <c r="A27" s="120"/>
      <c r="B27" s="125"/>
      <c r="C27" s="126"/>
      <c r="D27" s="89"/>
      <c r="E27" s="89"/>
      <c r="F27" s="89"/>
      <c r="G27" s="89"/>
      <c r="H27" s="89"/>
      <c r="I27" s="89"/>
    </row>
    <row r="28" spans="1:9" x14ac:dyDescent="0.25">
      <c r="A28" s="127">
        <v>12</v>
      </c>
      <c r="B28" s="121" t="s">
        <v>198</v>
      </c>
      <c r="C28" s="122"/>
      <c r="D28" s="89"/>
      <c r="E28" s="89"/>
      <c r="F28" s="89"/>
      <c r="G28" s="89"/>
      <c r="H28" s="89"/>
      <c r="I28" s="89"/>
    </row>
    <row r="29" spans="1:9" x14ac:dyDescent="0.25">
      <c r="A29" s="127"/>
      <c r="B29" s="125"/>
      <c r="C29" s="126"/>
      <c r="D29" s="89"/>
      <c r="E29" s="89"/>
      <c r="F29" s="89"/>
      <c r="G29" s="89"/>
      <c r="H29" s="89"/>
      <c r="I29" s="89"/>
    </row>
    <row r="30" spans="1:9" x14ac:dyDescent="0.25">
      <c r="A30" s="119">
        <v>13</v>
      </c>
      <c r="B30" s="121" t="s">
        <v>205</v>
      </c>
      <c r="C30" s="122"/>
      <c r="D30" s="89"/>
      <c r="E30" s="89"/>
      <c r="F30" s="89"/>
      <c r="G30" s="89"/>
      <c r="H30" s="89"/>
      <c r="I30" s="89"/>
    </row>
    <row r="31" spans="1:9" x14ac:dyDescent="0.25">
      <c r="A31" s="120"/>
      <c r="B31" s="125"/>
      <c r="C31" s="126"/>
      <c r="D31" s="89"/>
      <c r="E31" s="89"/>
      <c r="F31" s="89"/>
      <c r="G31" s="89"/>
      <c r="H31" s="89"/>
      <c r="I31" s="89"/>
    </row>
    <row r="32" spans="1:9" x14ac:dyDescent="0.25">
      <c r="A32" s="127">
        <v>14</v>
      </c>
      <c r="B32" s="121" t="s">
        <v>206</v>
      </c>
      <c r="C32" s="122"/>
      <c r="D32" s="89"/>
      <c r="E32" s="89"/>
      <c r="F32" s="89"/>
      <c r="G32" s="89"/>
      <c r="H32" s="89"/>
      <c r="I32" s="89"/>
    </row>
    <row r="33" spans="1:9" x14ac:dyDescent="0.25">
      <c r="A33" s="127"/>
      <c r="B33" s="125"/>
      <c r="C33" s="126"/>
      <c r="D33" s="89"/>
      <c r="E33" s="89"/>
      <c r="F33" s="89"/>
      <c r="G33" s="89"/>
      <c r="H33" s="89"/>
      <c r="I33" s="89"/>
    </row>
    <row r="34" spans="1:9" x14ac:dyDescent="0.25">
      <c r="A34" s="119">
        <v>15</v>
      </c>
      <c r="B34" s="121" t="s">
        <v>150</v>
      </c>
      <c r="C34" s="122"/>
      <c r="D34" s="89"/>
      <c r="E34" s="89"/>
      <c r="F34" s="89"/>
      <c r="G34" s="89"/>
      <c r="H34" s="89"/>
      <c r="I34" s="89"/>
    </row>
    <row r="35" spans="1:9" x14ac:dyDescent="0.25">
      <c r="A35" s="120"/>
      <c r="B35" s="125"/>
      <c r="C35" s="126"/>
      <c r="D35" s="89"/>
      <c r="E35" s="89"/>
      <c r="F35" s="89"/>
      <c r="G35" s="89"/>
      <c r="H35" s="89"/>
      <c r="I35" s="89"/>
    </row>
    <row r="36" spans="1:9" x14ac:dyDescent="0.25">
      <c r="A36" s="127">
        <v>16</v>
      </c>
      <c r="B36" s="121" t="s">
        <v>199</v>
      </c>
      <c r="C36" s="122"/>
      <c r="D36" s="89"/>
      <c r="E36" s="89"/>
      <c r="F36" s="89"/>
      <c r="G36" s="89"/>
      <c r="H36" s="89"/>
      <c r="I36" s="89"/>
    </row>
    <row r="37" spans="1:9" x14ac:dyDescent="0.25">
      <c r="A37" s="127"/>
      <c r="B37" s="125"/>
      <c r="C37" s="126"/>
      <c r="D37" s="89"/>
      <c r="E37" s="89"/>
      <c r="F37" s="89"/>
      <c r="G37" s="89"/>
      <c r="H37" s="89"/>
      <c r="I37" s="89"/>
    </row>
    <row r="38" spans="1:9" x14ac:dyDescent="0.25">
      <c r="A38" s="119">
        <v>17</v>
      </c>
      <c r="B38" s="121" t="s">
        <v>200</v>
      </c>
      <c r="C38" s="122"/>
      <c r="D38" s="89"/>
      <c r="E38" s="89"/>
      <c r="F38" s="89"/>
      <c r="G38" s="89"/>
      <c r="H38" s="89"/>
      <c r="I38" s="89"/>
    </row>
    <row r="39" spans="1:9" x14ac:dyDescent="0.25">
      <c r="A39" s="120"/>
      <c r="B39" s="125"/>
      <c r="C39" s="126"/>
      <c r="D39" s="89"/>
      <c r="E39" s="89"/>
      <c r="F39" s="89"/>
      <c r="G39" s="89"/>
      <c r="H39" s="89"/>
      <c r="I39" s="89"/>
    </row>
    <row r="40" spans="1:9" x14ac:dyDescent="0.25">
      <c r="A40" s="127">
        <v>18</v>
      </c>
      <c r="B40" s="121" t="s">
        <v>202</v>
      </c>
      <c r="C40" s="122"/>
      <c r="D40" s="89"/>
      <c r="E40" s="89"/>
      <c r="F40" s="89"/>
      <c r="G40" s="89"/>
      <c r="H40" s="89"/>
      <c r="I40" s="89"/>
    </row>
    <row r="41" spans="1:9" x14ac:dyDescent="0.25">
      <c r="A41" s="127"/>
      <c r="B41" s="125"/>
      <c r="C41" s="126"/>
      <c r="D41" s="89"/>
      <c r="E41" s="89"/>
      <c r="F41" s="89"/>
      <c r="G41" s="89"/>
      <c r="H41" s="89"/>
      <c r="I41" s="89"/>
    </row>
    <row r="42" spans="1:9" x14ac:dyDescent="0.25">
      <c r="A42" s="119">
        <v>19</v>
      </c>
      <c r="B42" s="121" t="s">
        <v>201</v>
      </c>
      <c r="C42" s="122"/>
      <c r="D42" s="89"/>
      <c r="E42" s="89"/>
      <c r="F42" s="89"/>
      <c r="G42" s="89"/>
      <c r="H42" s="89"/>
      <c r="I42" s="89"/>
    </row>
    <row r="43" spans="1:9" ht="15.75" customHeight="1" x14ac:dyDescent="0.25">
      <c r="A43" s="120"/>
      <c r="B43" s="125"/>
      <c r="C43" s="126"/>
      <c r="D43" s="89"/>
      <c r="E43" s="89"/>
      <c r="F43" s="89"/>
      <c r="G43" s="89"/>
      <c r="H43" s="89"/>
      <c r="I43" s="89"/>
    </row>
    <row r="44" spans="1:9" ht="15.75" customHeight="1" x14ac:dyDescent="0.25">
      <c r="A44" s="127">
        <v>20</v>
      </c>
      <c r="B44" s="121" t="s">
        <v>203</v>
      </c>
      <c r="C44" s="122"/>
      <c r="D44" s="89"/>
      <c r="E44" s="89"/>
      <c r="F44" s="89"/>
      <c r="G44" s="89"/>
      <c r="H44" s="89"/>
      <c r="I44" s="89"/>
    </row>
    <row r="45" spans="1:9" ht="15.75" customHeight="1" x14ac:dyDescent="0.25">
      <c r="A45" s="127"/>
      <c r="B45" s="125"/>
      <c r="C45" s="126"/>
      <c r="D45" s="89"/>
      <c r="E45" s="89"/>
      <c r="F45" s="89"/>
      <c r="G45" s="89"/>
      <c r="H45" s="89"/>
      <c r="I45" s="89"/>
    </row>
    <row r="46" spans="1:9" ht="15.75" customHeight="1" x14ac:dyDescent="0.25">
      <c r="A46" s="119">
        <v>21</v>
      </c>
      <c r="B46" s="121" t="s">
        <v>204</v>
      </c>
      <c r="C46" s="122"/>
      <c r="D46" s="89"/>
      <c r="E46" s="89"/>
      <c r="F46" s="89"/>
      <c r="G46" s="89"/>
      <c r="H46" s="89"/>
      <c r="I46" s="89"/>
    </row>
    <row r="47" spans="1:9" x14ac:dyDescent="0.25">
      <c r="A47" s="120"/>
      <c r="B47" s="125"/>
      <c r="C47" s="126"/>
      <c r="D47" s="89"/>
      <c r="E47" s="89"/>
      <c r="F47" s="89"/>
      <c r="G47" s="89"/>
      <c r="H47" s="89"/>
      <c r="I47" s="89"/>
    </row>
    <row r="48" spans="1:9" x14ac:dyDescent="0.25">
      <c r="A48" s="127">
        <v>22</v>
      </c>
      <c r="B48" s="121" t="s">
        <v>63</v>
      </c>
      <c r="C48" s="122"/>
      <c r="D48" s="89"/>
      <c r="E48" s="89"/>
      <c r="F48" s="89"/>
      <c r="G48" s="89"/>
      <c r="H48" s="89"/>
      <c r="I48" s="89"/>
    </row>
    <row r="49" spans="1:9" x14ac:dyDescent="0.25">
      <c r="A49" s="127"/>
      <c r="B49" s="125"/>
      <c r="C49" s="126"/>
      <c r="D49" s="89"/>
      <c r="E49" s="89"/>
      <c r="F49" s="89"/>
      <c r="G49" s="89"/>
      <c r="H49" s="89"/>
      <c r="I49" s="89"/>
    </row>
    <row r="50" spans="1:9" x14ac:dyDescent="0.25">
      <c r="A50" s="119">
        <v>23</v>
      </c>
      <c r="B50" s="121" t="s">
        <v>64</v>
      </c>
      <c r="C50" s="122"/>
      <c r="D50" s="89"/>
      <c r="E50" s="89"/>
      <c r="F50" s="89"/>
      <c r="G50" s="89"/>
      <c r="H50" s="89"/>
      <c r="I50" s="89"/>
    </row>
    <row r="51" spans="1:9" x14ac:dyDescent="0.25">
      <c r="A51" s="120"/>
      <c r="B51" s="125"/>
      <c r="C51" s="126"/>
      <c r="D51" s="89"/>
      <c r="E51" s="89"/>
      <c r="F51" s="89"/>
      <c r="G51" s="89"/>
      <c r="H51" s="89"/>
      <c r="I51" s="89"/>
    </row>
    <row r="52" spans="1:9" x14ac:dyDescent="0.25">
      <c r="A52" s="127">
        <v>24</v>
      </c>
      <c r="B52" s="128" t="s">
        <v>65</v>
      </c>
      <c r="C52" s="128"/>
      <c r="D52" s="89"/>
      <c r="E52" s="89"/>
      <c r="F52" s="89"/>
      <c r="G52" s="89"/>
      <c r="H52" s="89"/>
      <c r="I52" s="89"/>
    </row>
    <row r="53" spans="1:9" x14ac:dyDescent="0.25">
      <c r="A53" s="127"/>
      <c r="B53" s="128"/>
      <c r="C53" s="128"/>
      <c r="D53" s="89"/>
      <c r="E53" s="89"/>
      <c r="F53" s="89"/>
      <c r="G53" s="89"/>
      <c r="H53" s="89"/>
      <c r="I53" s="89"/>
    </row>
    <row r="65" s="59" customFormat="1" x14ac:dyDescent="0.25"/>
    <row r="66" s="59" customFormat="1" x14ac:dyDescent="0.25"/>
    <row r="67" s="59" customFormat="1" x14ac:dyDescent="0.25"/>
    <row r="68" s="59" customFormat="1" x14ac:dyDescent="0.25"/>
  </sheetData>
  <mergeCells count="49">
    <mergeCell ref="A48:A49"/>
    <mergeCell ref="B48:C49"/>
    <mergeCell ref="B50:C51"/>
    <mergeCell ref="A50:A51"/>
    <mergeCell ref="B52:C53"/>
    <mergeCell ref="A52:A53"/>
    <mergeCell ref="A38:A39"/>
    <mergeCell ref="B38:C39"/>
    <mergeCell ref="A42:A43"/>
    <mergeCell ref="B42:C43"/>
    <mergeCell ref="A46:A47"/>
    <mergeCell ref="B46:C47"/>
    <mergeCell ref="B40:C41"/>
    <mergeCell ref="A40:A41"/>
    <mergeCell ref="B44:C45"/>
    <mergeCell ref="A44:A45"/>
    <mergeCell ref="A28:A29"/>
    <mergeCell ref="B28:C29"/>
    <mergeCell ref="B34:C35"/>
    <mergeCell ref="A34:A35"/>
    <mergeCell ref="A14:A15"/>
    <mergeCell ref="B14:C15"/>
    <mergeCell ref="A16:A17"/>
    <mergeCell ref="B16:C17"/>
    <mergeCell ref="A20:A21"/>
    <mergeCell ref="B20:C21"/>
    <mergeCell ref="B18:C19"/>
    <mergeCell ref="A18:A19"/>
    <mergeCell ref="A8:A9"/>
    <mergeCell ref="B8:C9"/>
    <mergeCell ref="B6:C7"/>
    <mergeCell ref="A6:A7"/>
    <mergeCell ref="B5:C5"/>
    <mergeCell ref="A10:A11"/>
    <mergeCell ref="B10:C11"/>
    <mergeCell ref="B26:C27"/>
    <mergeCell ref="A26:A27"/>
    <mergeCell ref="B36:C37"/>
    <mergeCell ref="A36:A37"/>
    <mergeCell ref="A30:A31"/>
    <mergeCell ref="B30:C31"/>
    <mergeCell ref="B32:C33"/>
    <mergeCell ref="A32:A33"/>
    <mergeCell ref="A22:A23"/>
    <mergeCell ref="B22:C23"/>
    <mergeCell ref="A24:A25"/>
    <mergeCell ref="B24:C25"/>
    <mergeCell ref="A12:A13"/>
    <mergeCell ref="B12:C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workbookViewId="0">
      <selection activeCell="M15" sqref="M15"/>
    </sheetView>
  </sheetViews>
  <sheetFormatPr defaultColWidth="14.42578125" defaultRowHeight="15" customHeight="1" x14ac:dyDescent="0.25"/>
  <cols>
    <col min="1" max="1" width="6.140625" customWidth="1"/>
    <col min="2" max="2" width="8.7109375" customWidth="1"/>
    <col min="3" max="3" width="13.5703125" customWidth="1"/>
    <col min="4" max="4" width="12.140625" customWidth="1"/>
    <col min="5" max="5" width="11.85546875" customWidth="1"/>
    <col min="6" max="6" width="8.85546875" customWidth="1"/>
    <col min="7" max="7" width="12.5703125" customWidth="1"/>
    <col min="8" max="8" width="10.140625" customWidth="1"/>
    <col min="9" max="9" width="15.42578125" customWidth="1"/>
    <col min="10" max="26" width="8.7109375" customWidth="1"/>
  </cols>
  <sheetData>
    <row r="1" spans="1:9" ht="120.75" customHeight="1" x14ac:dyDescent="0.25">
      <c r="A1" s="134"/>
      <c r="B1" s="135"/>
      <c r="C1" s="135"/>
      <c r="D1" s="135"/>
      <c r="E1" s="135"/>
      <c r="F1" s="135"/>
      <c r="G1" s="135"/>
      <c r="H1" s="135"/>
      <c r="I1" s="136"/>
    </row>
    <row r="2" spans="1:9" ht="18" customHeight="1" x14ac:dyDescent="0.25">
      <c r="A2" s="144" t="s">
        <v>0</v>
      </c>
      <c r="B2" s="137" t="s">
        <v>139</v>
      </c>
      <c r="C2" s="138"/>
      <c r="D2" s="93" t="s">
        <v>140</v>
      </c>
      <c r="E2" s="93" t="s">
        <v>141</v>
      </c>
      <c r="F2" s="93" t="s">
        <v>142</v>
      </c>
      <c r="G2" s="93" t="s">
        <v>66</v>
      </c>
      <c r="H2" s="93" t="s">
        <v>143</v>
      </c>
      <c r="I2" s="132" t="s">
        <v>144</v>
      </c>
    </row>
    <row r="3" spans="1:9" ht="42" customHeight="1" x14ac:dyDescent="0.25">
      <c r="A3" s="143"/>
      <c r="B3" s="105"/>
      <c r="C3" s="139"/>
      <c r="D3" s="94"/>
      <c r="E3" s="94"/>
      <c r="F3" s="94"/>
      <c r="G3" s="94"/>
      <c r="H3" s="94"/>
      <c r="I3" s="133"/>
    </row>
    <row r="4" spans="1:9" ht="21" customHeight="1" x14ac:dyDescent="0.25">
      <c r="A4" s="28">
        <v>1</v>
      </c>
      <c r="B4" s="140" t="s">
        <v>145</v>
      </c>
      <c r="C4" s="95"/>
      <c r="D4" s="1"/>
      <c r="E4" s="1"/>
      <c r="F4" s="1"/>
      <c r="G4" s="1"/>
      <c r="H4" s="1"/>
      <c r="I4" s="29"/>
    </row>
    <row r="5" spans="1:9" ht="22.5" customHeight="1" x14ac:dyDescent="0.25">
      <c r="A5" s="145">
        <v>2</v>
      </c>
      <c r="B5" s="146" t="s">
        <v>146</v>
      </c>
      <c r="C5" s="138"/>
      <c r="D5" s="1"/>
      <c r="E5" s="1"/>
      <c r="F5" s="1"/>
      <c r="G5" s="1"/>
      <c r="H5" s="1"/>
      <c r="I5" s="29"/>
    </row>
    <row r="6" spans="1:9" ht="22.5" customHeight="1" x14ac:dyDescent="0.25">
      <c r="A6" s="142"/>
      <c r="B6" s="147"/>
      <c r="C6" s="148"/>
      <c r="D6" s="1"/>
      <c r="E6" s="1"/>
      <c r="F6" s="1"/>
      <c r="G6" s="1"/>
      <c r="H6" s="1"/>
      <c r="I6" s="29"/>
    </row>
    <row r="7" spans="1:9" ht="22.5" customHeight="1" x14ac:dyDescent="0.25">
      <c r="A7" s="143"/>
      <c r="B7" s="105"/>
      <c r="C7" s="139"/>
      <c r="D7" s="1"/>
      <c r="E7" s="1"/>
      <c r="F7" s="1"/>
      <c r="G7" s="1"/>
      <c r="H7" s="1"/>
      <c r="I7" s="29"/>
    </row>
    <row r="8" spans="1:9" ht="27.75" customHeight="1" x14ac:dyDescent="0.25">
      <c r="A8" s="30">
        <v>3</v>
      </c>
      <c r="B8" s="140" t="s">
        <v>53</v>
      </c>
      <c r="C8" s="95"/>
      <c r="D8" s="31"/>
      <c r="E8" s="32" t="s">
        <v>147</v>
      </c>
      <c r="F8" s="32"/>
      <c r="G8" s="32"/>
      <c r="H8" s="32"/>
      <c r="I8" s="33"/>
    </row>
    <row r="9" spans="1:9" ht="22.5" customHeight="1" x14ac:dyDescent="0.25">
      <c r="A9" s="141">
        <v>4</v>
      </c>
      <c r="B9" s="146" t="s">
        <v>55</v>
      </c>
      <c r="C9" s="138"/>
      <c r="D9" s="31"/>
      <c r="E9" s="32"/>
      <c r="F9" s="32"/>
      <c r="G9" s="32"/>
      <c r="H9" s="32"/>
      <c r="I9" s="33"/>
    </row>
    <row r="10" spans="1:9" ht="22.5" customHeight="1" x14ac:dyDescent="0.25">
      <c r="A10" s="142"/>
      <c r="B10" s="147"/>
      <c r="C10" s="148"/>
      <c r="D10" s="31"/>
      <c r="E10" s="32"/>
      <c r="F10" s="32"/>
      <c r="G10" s="32"/>
      <c r="H10" s="32"/>
      <c r="I10" s="33"/>
    </row>
    <row r="11" spans="1:9" ht="22.5" customHeight="1" x14ac:dyDescent="0.25">
      <c r="A11" s="143"/>
      <c r="B11" s="105"/>
      <c r="C11" s="139"/>
      <c r="D11" s="31"/>
      <c r="E11" s="32"/>
      <c r="F11" s="32"/>
      <c r="G11" s="32"/>
      <c r="H11" s="32"/>
      <c r="I11" s="33"/>
    </row>
    <row r="12" spans="1:9" ht="26.25" customHeight="1" x14ac:dyDescent="0.25">
      <c r="A12" s="141">
        <v>5</v>
      </c>
      <c r="B12" s="146" t="s">
        <v>56</v>
      </c>
      <c r="C12" s="138"/>
      <c r="D12" s="31"/>
      <c r="E12" s="32"/>
      <c r="F12" s="32"/>
      <c r="G12" s="32"/>
      <c r="H12" s="32"/>
      <c r="I12" s="33"/>
    </row>
    <row r="13" spans="1:9" ht="26.25" customHeight="1" x14ac:dyDescent="0.25">
      <c r="A13" s="142"/>
      <c r="B13" s="147"/>
      <c r="C13" s="148"/>
      <c r="E13" s="32"/>
      <c r="F13" s="32"/>
      <c r="G13" s="32"/>
      <c r="H13" s="32"/>
      <c r="I13" s="33"/>
    </row>
    <row r="14" spans="1:9" ht="26.25" customHeight="1" x14ac:dyDescent="0.25">
      <c r="A14" s="143"/>
      <c r="B14" s="105"/>
      <c r="C14" s="139"/>
      <c r="D14" s="31"/>
      <c r="E14" s="32"/>
      <c r="F14" s="32"/>
      <c r="G14" s="32"/>
      <c r="H14" s="32"/>
      <c r="I14" s="33"/>
    </row>
    <row r="15" spans="1:9" ht="24" customHeight="1" x14ac:dyDescent="0.25">
      <c r="A15" s="141">
        <v>6</v>
      </c>
      <c r="B15" s="146" t="s">
        <v>148</v>
      </c>
      <c r="C15" s="138"/>
      <c r="D15" s="31"/>
      <c r="E15" s="32"/>
      <c r="F15" s="32"/>
      <c r="G15" s="32"/>
      <c r="H15" s="32"/>
      <c r="I15" s="33"/>
    </row>
    <row r="16" spans="1:9" ht="24" customHeight="1" x14ac:dyDescent="0.25">
      <c r="A16" s="142"/>
      <c r="B16" s="147"/>
      <c r="C16" s="148"/>
      <c r="D16" s="31"/>
      <c r="E16" s="32"/>
      <c r="F16" s="32"/>
      <c r="G16" s="32"/>
      <c r="H16" s="32"/>
      <c r="I16" s="33"/>
    </row>
    <row r="17" spans="1:9" ht="24" customHeight="1" x14ac:dyDescent="0.25">
      <c r="A17" s="143"/>
      <c r="B17" s="105"/>
      <c r="C17" s="139"/>
      <c r="D17" s="31"/>
      <c r="E17" s="32"/>
      <c r="F17" s="32"/>
      <c r="G17" s="32"/>
      <c r="H17" s="32"/>
      <c r="I17" s="33"/>
    </row>
    <row r="18" spans="1:9" ht="30" customHeight="1" x14ac:dyDescent="0.25">
      <c r="A18" s="30">
        <v>7</v>
      </c>
      <c r="B18" s="140" t="s">
        <v>149</v>
      </c>
      <c r="C18" s="95"/>
      <c r="D18" s="31"/>
      <c r="E18" s="32"/>
      <c r="F18" s="32"/>
      <c r="G18" s="32"/>
      <c r="H18" s="32"/>
      <c r="I18" s="33"/>
    </row>
    <row r="19" spans="1:9" ht="30" customHeight="1" x14ac:dyDescent="0.25">
      <c r="A19" s="30">
        <v>8</v>
      </c>
      <c r="B19" s="140" t="s">
        <v>150</v>
      </c>
      <c r="C19" s="95"/>
      <c r="D19" s="31"/>
      <c r="E19" s="32"/>
      <c r="F19" s="32"/>
      <c r="G19" s="32"/>
      <c r="H19" s="32"/>
      <c r="I19" s="33"/>
    </row>
    <row r="20" spans="1:9" ht="30" customHeight="1" x14ac:dyDescent="0.25">
      <c r="A20" s="30">
        <v>9</v>
      </c>
      <c r="B20" s="140" t="s">
        <v>151</v>
      </c>
      <c r="C20" s="95"/>
      <c r="D20" s="31"/>
      <c r="E20" s="32"/>
      <c r="F20" s="32"/>
      <c r="G20" s="32"/>
      <c r="H20" s="32"/>
      <c r="I20" s="33"/>
    </row>
    <row r="21" spans="1:9" ht="30" customHeight="1" x14ac:dyDescent="0.25">
      <c r="A21" s="30">
        <v>10</v>
      </c>
      <c r="B21" s="140" t="s">
        <v>60</v>
      </c>
      <c r="C21" s="95"/>
      <c r="D21" s="31"/>
      <c r="E21" s="32"/>
      <c r="F21" s="32"/>
      <c r="G21" s="32"/>
      <c r="H21" s="32"/>
      <c r="I21" s="33"/>
    </row>
    <row r="22" spans="1:9" ht="30" customHeight="1" x14ac:dyDescent="0.25">
      <c r="A22" s="30">
        <v>11</v>
      </c>
      <c r="B22" s="140" t="s">
        <v>152</v>
      </c>
      <c r="C22" s="95"/>
      <c r="D22" s="31"/>
      <c r="E22" s="32"/>
      <c r="F22" s="32"/>
      <c r="G22" s="32"/>
      <c r="H22" s="32"/>
      <c r="I22" s="33"/>
    </row>
    <row r="23" spans="1:9" ht="30" customHeight="1" x14ac:dyDescent="0.25">
      <c r="A23" s="30">
        <v>12</v>
      </c>
      <c r="B23" s="140" t="s">
        <v>63</v>
      </c>
      <c r="C23" s="95"/>
      <c r="D23" s="31"/>
      <c r="E23" s="32"/>
      <c r="F23" s="32"/>
      <c r="G23" s="32"/>
      <c r="H23" s="32"/>
      <c r="I23" s="33"/>
    </row>
    <row r="24" spans="1:9" ht="30" customHeight="1" x14ac:dyDescent="0.25">
      <c r="A24" s="30">
        <v>13</v>
      </c>
      <c r="B24" s="140" t="s">
        <v>64</v>
      </c>
      <c r="C24" s="95"/>
      <c r="D24" s="31"/>
      <c r="E24" s="32"/>
      <c r="F24" s="32"/>
      <c r="G24" s="32"/>
      <c r="H24" s="32"/>
      <c r="I24" s="33"/>
    </row>
    <row r="25" spans="1:9" ht="30" customHeight="1" x14ac:dyDescent="0.25">
      <c r="A25" s="34">
        <v>14</v>
      </c>
      <c r="B25" s="149" t="s">
        <v>65</v>
      </c>
      <c r="C25" s="150"/>
      <c r="D25" s="35"/>
      <c r="E25" s="36"/>
      <c r="F25" s="36"/>
      <c r="G25" s="36"/>
      <c r="H25" s="36"/>
      <c r="I25" s="37"/>
    </row>
    <row r="26" spans="1:9" ht="14.25" customHeight="1" x14ac:dyDescent="0.25"/>
    <row r="27" spans="1:9" ht="14.25" customHeight="1" x14ac:dyDescent="0.25"/>
    <row r="28" spans="1:9" ht="14.25" customHeight="1" x14ac:dyDescent="0.25"/>
    <row r="29" spans="1:9" ht="14.25" customHeight="1" x14ac:dyDescent="0.25"/>
    <row r="30" spans="1:9" ht="14.25" customHeight="1" x14ac:dyDescent="0.25"/>
    <row r="31" spans="1:9" ht="14.25" customHeight="1" x14ac:dyDescent="0.25"/>
    <row r="32" spans="1:9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7">
    <mergeCell ref="B24:C24"/>
    <mergeCell ref="B25:C25"/>
    <mergeCell ref="B15:C17"/>
    <mergeCell ref="B18:C18"/>
    <mergeCell ref="B19:C19"/>
    <mergeCell ref="B20:C20"/>
    <mergeCell ref="B21:C21"/>
    <mergeCell ref="B22:C22"/>
    <mergeCell ref="B23:C23"/>
    <mergeCell ref="B4:C4"/>
    <mergeCell ref="A12:A14"/>
    <mergeCell ref="A15:A17"/>
    <mergeCell ref="A2:A3"/>
    <mergeCell ref="A5:A7"/>
    <mergeCell ref="B5:C7"/>
    <mergeCell ref="B8:C8"/>
    <mergeCell ref="A9:A11"/>
    <mergeCell ref="B9:C11"/>
    <mergeCell ref="B12:C14"/>
    <mergeCell ref="H2:H3"/>
    <mergeCell ref="I2:I3"/>
    <mergeCell ref="A1:I1"/>
    <mergeCell ref="B2:C3"/>
    <mergeCell ref="D2:D3"/>
    <mergeCell ref="E2:E3"/>
    <mergeCell ref="F2:F3"/>
    <mergeCell ref="G2:G3"/>
  </mergeCells>
  <pageMargins left="0.41" right="0.26" top="0.17" bottom="0.17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6C71-E367-4A74-99B7-5E54676CDADA}">
  <sheetPr codeName="Sheet6"/>
  <dimension ref="A1:M39"/>
  <sheetViews>
    <sheetView tabSelected="1" zoomScaleNormal="100" workbookViewId="0">
      <selection activeCell="N21" sqref="N21"/>
    </sheetView>
  </sheetViews>
  <sheetFormatPr defaultRowHeight="15" x14ac:dyDescent="0.25"/>
  <cols>
    <col min="1" max="1" width="35.7109375" style="59" customWidth="1"/>
    <col min="2" max="2" width="27.28515625" style="59" customWidth="1"/>
    <col min="3" max="3" width="17.85546875" style="59" customWidth="1"/>
    <col min="4" max="4" width="12.140625" style="59" customWidth="1"/>
    <col min="5" max="5" width="22" style="59" customWidth="1"/>
    <col min="6" max="6" width="20.28515625" style="59" customWidth="1"/>
    <col min="7" max="7" width="23.42578125" style="59" customWidth="1"/>
    <col min="8" max="8" width="17.42578125" style="59" customWidth="1"/>
    <col min="9" max="9" width="22.85546875" style="59" customWidth="1"/>
    <col min="10" max="16384" width="9.140625" style="59"/>
  </cols>
  <sheetData>
    <row r="1" spans="1:13" ht="30" x14ac:dyDescent="0.25">
      <c r="A1" s="63" t="s">
        <v>173</v>
      </c>
      <c r="B1" s="64" t="s">
        <v>174</v>
      </c>
      <c r="C1" s="64" t="s">
        <v>175</v>
      </c>
      <c r="D1" s="64" t="s">
        <v>176</v>
      </c>
      <c r="E1" s="65" t="s">
        <v>177</v>
      </c>
      <c r="F1" s="58"/>
    </row>
    <row r="2" spans="1:13" ht="15.75" thickBot="1" x14ac:dyDescent="0.3">
      <c r="A2" s="66" t="s">
        <v>211</v>
      </c>
      <c r="B2" s="67"/>
      <c r="C2" s="68"/>
      <c r="D2" s="68"/>
      <c r="E2" s="69"/>
      <c r="M2" s="91"/>
    </row>
    <row r="3" spans="1:13" x14ac:dyDescent="0.25">
      <c r="A3" s="92"/>
      <c r="M3" s="91"/>
    </row>
    <row r="4" spans="1:13" x14ac:dyDescent="0.25">
      <c r="A4" s="92"/>
      <c r="M4" s="91"/>
    </row>
    <row r="5" spans="1:13" ht="28.5" x14ac:dyDescent="0.25">
      <c r="A5" s="70" t="s">
        <v>0</v>
      </c>
      <c r="B5" s="130" t="s">
        <v>139</v>
      </c>
      <c r="C5" s="131"/>
      <c r="D5" s="61" t="s">
        <v>140</v>
      </c>
      <c r="E5" s="61" t="s">
        <v>141</v>
      </c>
      <c r="F5" s="61" t="s">
        <v>142</v>
      </c>
      <c r="G5" s="61" t="s">
        <v>66</v>
      </c>
      <c r="H5" s="61" t="s">
        <v>143</v>
      </c>
      <c r="I5" s="61" t="s">
        <v>144</v>
      </c>
      <c r="M5" s="91"/>
    </row>
    <row r="6" spans="1:13" x14ac:dyDescent="0.25">
      <c r="A6" s="119">
        <v>1</v>
      </c>
      <c r="B6" s="121" t="s">
        <v>145</v>
      </c>
      <c r="C6" s="122"/>
      <c r="D6" s="90"/>
      <c r="E6" s="90"/>
      <c r="F6" s="90"/>
      <c r="G6" s="90"/>
      <c r="H6" s="90"/>
      <c r="I6" s="90"/>
      <c r="M6" s="91"/>
    </row>
    <row r="7" spans="1:13" x14ac:dyDescent="0.25">
      <c r="A7" s="120"/>
      <c r="B7" s="125"/>
      <c r="C7" s="126"/>
      <c r="D7" s="61"/>
      <c r="E7" s="61"/>
      <c r="F7" s="61"/>
      <c r="G7" s="61"/>
      <c r="H7" s="61"/>
      <c r="I7" s="61"/>
    </row>
    <row r="8" spans="1:13" s="153" customFormat="1" x14ac:dyDescent="0.25">
      <c r="A8" s="127">
        <v>2</v>
      </c>
      <c r="B8" s="128" t="s">
        <v>146</v>
      </c>
      <c r="C8" s="129"/>
      <c r="D8" s="159">
        <v>45850</v>
      </c>
      <c r="E8" s="160">
        <v>45659</v>
      </c>
      <c r="F8" s="71">
        <v>2</v>
      </c>
      <c r="G8" s="71" t="s">
        <v>210</v>
      </c>
      <c r="H8" s="152"/>
      <c r="I8" s="71" t="s">
        <v>209</v>
      </c>
    </row>
    <row r="9" spans="1:13" x14ac:dyDescent="0.25">
      <c r="A9" s="127"/>
      <c r="B9" s="128"/>
      <c r="C9" s="129"/>
      <c r="D9" s="61"/>
      <c r="E9" s="61"/>
      <c r="F9" s="61"/>
      <c r="G9" s="61"/>
      <c r="H9" s="154"/>
      <c r="I9" s="61"/>
    </row>
    <row r="10" spans="1:13" x14ac:dyDescent="0.25">
      <c r="A10" s="155"/>
      <c r="B10" s="129"/>
      <c r="C10" s="129"/>
      <c r="D10" s="61"/>
      <c r="E10" s="61"/>
      <c r="F10" s="61"/>
      <c r="G10" s="61"/>
      <c r="H10" s="154"/>
      <c r="I10" s="61"/>
    </row>
    <row r="11" spans="1:13" x14ac:dyDescent="0.25">
      <c r="A11" s="155"/>
      <c r="B11" s="129"/>
      <c r="C11" s="129"/>
      <c r="D11" s="61"/>
      <c r="E11" s="61"/>
      <c r="F11" s="61"/>
      <c r="G11" s="61"/>
      <c r="H11" s="61"/>
      <c r="I11" s="61"/>
    </row>
    <row r="12" spans="1:13" x14ac:dyDescent="0.25">
      <c r="A12" s="119">
        <v>3</v>
      </c>
      <c r="B12" s="121" t="s">
        <v>53</v>
      </c>
      <c r="C12" s="122"/>
      <c r="D12" s="61"/>
      <c r="E12" s="61"/>
      <c r="F12" s="61"/>
      <c r="G12" s="61"/>
      <c r="H12" s="61"/>
      <c r="I12" s="61"/>
    </row>
    <row r="13" spans="1:13" x14ac:dyDescent="0.25">
      <c r="A13" s="151"/>
      <c r="B13" s="123"/>
      <c r="C13" s="124"/>
      <c r="D13" s="61"/>
      <c r="E13" s="61"/>
      <c r="F13" s="61"/>
      <c r="G13" s="61"/>
      <c r="H13" s="61"/>
      <c r="I13" s="61"/>
    </row>
    <row r="14" spans="1:13" x14ac:dyDescent="0.25">
      <c r="A14" s="120"/>
      <c r="B14" s="125"/>
      <c r="C14" s="126"/>
      <c r="D14" s="90"/>
      <c r="E14" s="156"/>
      <c r="F14" s="156" t="s">
        <v>147</v>
      </c>
      <c r="G14" s="156"/>
      <c r="H14" s="156"/>
      <c r="I14" s="156"/>
      <c r="J14" s="157"/>
    </row>
    <row r="15" spans="1:13" x14ac:dyDescent="0.25">
      <c r="A15" s="158">
        <v>4</v>
      </c>
      <c r="B15" s="128" t="s">
        <v>55</v>
      </c>
      <c r="C15" s="129"/>
      <c r="D15" s="156"/>
      <c r="E15" s="156"/>
      <c r="F15" s="156"/>
      <c r="G15" s="156"/>
      <c r="H15" s="156"/>
      <c r="I15" s="156"/>
    </row>
    <row r="16" spans="1:13" x14ac:dyDescent="0.25">
      <c r="A16" s="129"/>
      <c r="B16" s="129"/>
      <c r="C16" s="129"/>
      <c r="D16" s="156"/>
      <c r="E16" s="156"/>
      <c r="F16" s="156"/>
      <c r="G16" s="156"/>
      <c r="H16" s="156"/>
      <c r="I16" s="156"/>
    </row>
    <row r="17" spans="1:9" x14ac:dyDescent="0.25">
      <c r="A17" s="129"/>
      <c r="B17" s="129"/>
      <c r="C17" s="129"/>
      <c r="D17" s="156"/>
      <c r="E17" s="156"/>
      <c r="F17" s="156"/>
      <c r="G17" s="156"/>
      <c r="H17" s="156"/>
      <c r="I17" s="156"/>
    </row>
    <row r="18" spans="1:9" x14ac:dyDescent="0.25">
      <c r="A18" s="158">
        <v>5</v>
      </c>
      <c r="B18" s="128" t="s">
        <v>56</v>
      </c>
      <c r="C18" s="129"/>
      <c r="D18" s="156"/>
      <c r="E18" s="156"/>
      <c r="F18" s="156"/>
      <c r="G18" s="156"/>
      <c r="H18" s="156"/>
      <c r="I18" s="156"/>
    </row>
    <row r="19" spans="1:9" x14ac:dyDescent="0.25">
      <c r="A19" s="129"/>
      <c r="B19" s="129"/>
      <c r="C19" s="129"/>
      <c r="D19" s="154"/>
      <c r="E19" s="156"/>
      <c r="F19" s="156"/>
      <c r="G19" s="156"/>
      <c r="H19" s="156"/>
      <c r="I19" s="156"/>
    </row>
    <row r="20" spans="1:9" x14ac:dyDescent="0.25">
      <c r="A20" s="129"/>
      <c r="B20" s="129"/>
      <c r="C20" s="129"/>
      <c r="D20" s="156"/>
      <c r="E20" s="156"/>
      <c r="F20" s="156"/>
      <c r="G20" s="156"/>
      <c r="H20" s="156"/>
      <c r="I20" s="156"/>
    </row>
    <row r="21" spans="1:9" x14ac:dyDescent="0.25">
      <c r="A21" s="158">
        <v>6</v>
      </c>
      <c r="B21" s="128" t="s">
        <v>148</v>
      </c>
      <c r="C21" s="129"/>
      <c r="D21" s="156"/>
      <c r="E21" s="156"/>
      <c r="F21" s="156"/>
      <c r="G21" s="156"/>
      <c r="H21" s="156"/>
      <c r="I21" s="156"/>
    </row>
    <row r="22" spans="1:9" x14ac:dyDescent="0.25">
      <c r="A22" s="129"/>
      <c r="B22" s="129"/>
      <c r="C22" s="129"/>
      <c r="D22" s="156"/>
      <c r="E22" s="156"/>
      <c r="F22" s="156"/>
      <c r="G22" s="156"/>
      <c r="H22" s="156"/>
      <c r="I22" s="156"/>
    </row>
    <row r="23" spans="1:9" x14ac:dyDescent="0.25">
      <c r="A23" s="129"/>
      <c r="B23" s="129"/>
      <c r="C23" s="129"/>
      <c r="D23" s="156"/>
      <c r="E23" s="156"/>
      <c r="F23" s="156"/>
      <c r="G23" s="156"/>
      <c r="H23" s="156"/>
      <c r="I23" s="156"/>
    </row>
    <row r="24" spans="1:9" x14ac:dyDescent="0.25">
      <c r="A24" s="119">
        <v>7</v>
      </c>
      <c r="B24" s="121" t="s">
        <v>149</v>
      </c>
      <c r="C24" s="122"/>
      <c r="D24" s="156"/>
      <c r="E24" s="156"/>
      <c r="F24" s="156"/>
      <c r="G24" s="156"/>
      <c r="H24" s="156"/>
      <c r="I24" s="156"/>
    </row>
    <row r="25" spans="1:9" x14ac:dyDescent="0.25">
      <c r="A25" s="120"/>
      <c r="B25" s="125"/>
      <c r="C25" s="126"/>
      <c r="D25" s="156"/>
      <c r="E25" s="156"/>
      <c r="F25" s="156"/>
      <c r="G25" s="156"/>
      <c r="H25" s="156"/>
      <c r="I25" s="156"/>
    </row>
    <row r="26" spans="1:9" x14ac:dyDescent="0.25">
      <c r="A26" s="119">
        <v>8</v>
      </c>
      <c r="B26" s="121" t="s">
        <v>150</v>
      </c>
      <c r="C26" s="122"/>
      <c r="D26" s="156"/>
      <c r="E26" s="156"/>
      <c r="F26" s="156"/>
      <c r="G26" s="156"/>
      <c r="H26" s="156"/>
      <c r="I26" s="156"/>
    </row>
    <row r="27" spans="1:9" x14ac:dyDescent="0.25">
      <c r="A27" s="120"/>
      <c r="B27" s="125"/>
      <c r="C27" s="126"/>
      <c r="D27" s="156"/>
      <c r="E27" s="156"/>
      <c r="F27" s="156"/>
      <c r="G27" s="156"/>
      <c r="H27" s="156"/>
      <c r="I27" s="156"/>
    </row>
    <row r="28" spans="1:9" x14ac:dyDescent="0.25">
      <c r="A28" s="119">
        <v>9</v>
      </c>
      <c r="B28" s="121" t="s">
        <v>151</v>
      </c>
      <c r="C28" s="122"/>
      <c r="D28" s="156"/>
      <c r="E28" s="156"/>
      <c r="F28" s="156"/>
      <c r="G28" s="156"/>
      <c r="H28" s="156"/>
      <c r="I28" s="156"/>
    </row>
    <row r="29" spans="1:9" x14ac:dyDescent="0.25">
      <c r="A29" s="120"/>
      <c r="B29" s="125"/>
      <c r="C29" s="126"/>
      <c r="D29" s="156"/>
      <c r="E29" s="156"/>
      <c r="F29" s="156"/>
      <c r="G29" s="156"/>
      <c r="H29" s="156"/>
      <c r="I29" s="156"/>
    </row>
    <row r="30" spans="1:9" x14ac:dyDescent="0.25">
      <c r="A30" s="119">
        <v>10</v>
      </c>
      <c r="B30" s="121" t="s">
        <v>60</v>
      </c>
      <c r="C30" s="122"/>
      <c r="D30" s="156"/>
      <c r="E30" s="156"/>
      <c r="F30" s="156"/>
      <c r="G30" s="156"/>
      <c r="H30" s="156"/>
      <c r="I30" s="156"/>
    </row>
    <row r="31" spans="1:9" x14ac:dyDescent="0.25">
      <c r="A31" s="120"/>
      <c r="B31" s="125"/>
      <c r="C31" s="126"/>
      <c r="D31" s="156"/>
      <c r="E31" s="156"/>
      <c r="F31" s="156"/>
      <c r="G31" s="156"/>
      <c r="H31" s="156"/>
      <c r="I31" s="156"/>
    </row>
    <row r="32" spans="1:9" x14ac:dyDescent="0.25">
      <c r="A32" s="119">
        <v>11</v>
      </c>
      <c r="B32" s="121" t="s">
        <v>152</v>
      </c>
      <c r="C32" s="122"/>
      <c r="D32" s="156"/>
      <c r="E32" s="156"/>
      <c r="F32" s="156"/>
      <c r="G32" s="156"/>
      <c r="H32" s="156"/>
      <c r="I32" s="156"/>
    </row>
    <row r="33" spans="1:9" x14ac:dyDescent="0.25">
      <c r="A33" s="120"/>
      <c r="B33" s="125"/>
      <c r="C33" s="126"/>
      <c r="D33" s="156"/>
      <c r="E33" s="156"/>
      <c r="F33" s="156"/>
      <c r="G33" s="156"/>
      <c r="H33" s="156"/>
      <c r="I33" s="156"/>
    </row>
    <row r="34" spans="1:9" x14ac:dyDescent="0.25">
      <c r="A34" s="119">
        <v>12</v>
      </c>
      <c r="B34" s="121" t="s">
        <v>63</v>
      </c>
      <c r="C34" s="122"/>
      <c r="D34" s="156"/>
      <c r="E34" s="156"/>
      <c r="F34" s="156"/>
      <c r="G34" s="156"/>
      <c r="H34" s="156"/>
      <c r="I34" s="156"/>
    </row>
    <row r="35" spans="1:9" x14ac:dyDescent="0.25">
      <c r="A35" s="120"/>
      <c r="B35" s="125"/>
      <c r="C35" s="126"/>
      <c r="D35" s="156"/>
      <c r="E35" s="156"/>
      <c r="F35" s="156"/>
      <c r="G35" s="156"/>
      <c r="H35" s="156"/>
      <c r="I35" s="156"/>
    </row>
    <row r="36" spans="1:9" x14ac:dyDescent="0.25">
      <c r="A36" s="119">
        <v>13</v>
      </c>
      <c r="B36" s="121" t="s">
        <v>64</v>
      </c>
      <c r="C36" s="122"/>
      <c r="D36" s="156"/>
      <c r="E36" s="156"/>
      <c r="F36" s="156"/>
      <c r="G36" s="156"/>
      <c r="H36" s="156"/>
      <c r="I36" s="156"/>
    </row>
    <row r="37" spans="1:9" x14ac:dyDescent="0.25">
      <c r="A37" s="120"/>
      <c r="B37" s="125"/>
      <c r="C37" s="126"/>
      <c r="D37" s="156"/>
      <c r="E37" s="156"/>
      <c r="F37" s="156"/>
      <c r="G37" s="156"/>
      <c r="H37" s="156"/>
      <c r="I37" s="156"/>
    </row>
    <row r="38" spans="1:9" x14ac:dyDescent="0.25">
      <c r="A38" s="119">
        <v>14</v>
      </c>
      <c r="B38" s="121" t="s">
        <v>65</v>
      </c>
      <c r="C38" s="122"/>
      <c r="D38" s="156"/>
      <c r="E38" s="156"/>
      <c r="F38" s="156"/>
      <c r="G38" s="156"/>
      <c r="H38" s="156"/>
      <c r="I38" s="156"/>
    </row>
    <row r="39" spans="1:9" x14ac:dyDescent="0.25">
      <c r="A39" s="120"/>
      <c r="B39" s="125"/>
      <c r="C39" s="126"/>
      <c r="D39" s="156"/>
      <c r="E39" s="156"/>
      <c r="F39" s="156"/>
      <c r="G39" s="156"/>
      <c r="H39" s="156"/>
      <c r="I39" s="156"/>
    </row>
  </sheetData>
  <mergeCells count="29">
    <mergeCell ref="B34:C35"/>
    <mergeCell ref="A36:A37"/>
    <mergeCell ref="B36:C37"/>
    <mergeCell ref="A38:A39"/>
    <mergeCell ref="B38:C39"/>
    <mergeCell ref="B5:C5"/>
    <mergeCell ref="A6:A7"/>
    <mergeCell ref="B6:C7"/>
    <mergeCell ref="A8:A11"/>
    <mergeCell ref="B8:C11"/>
    <mergeCell ref="A12:A14"/>
    <mergeCell ref="B12:C14"/>
    <mergeCell ref="A15:A17"/>
    <mergeCell ref="B15:C17"/>
    <mergeCell ref="A18:A20"/>
    <mergeCell ref="B18:C20"/>
    <mergeCell ref="A24:A25"/>
    <mergeCell ref="B24:C25"/>
    <mergeCell ref="A26:A27"/>
    <mergeCell ref="B26:C27"/>
    <mergeCell ref="A21:A23"/>
    <mergeCell ref="B21:C23"/>
    <mergeCell ref="A28:A29"/>
    <mergeCell ref="B28:C29"/>
    <mergeCell ref="A30:A31"/>
    <mergeCell ref="B30:C31"/>
    <mergeCell ref="A32:A33"/>
    <mergeCell ref="B32:C33"/>
    <mergeCell ref="A34:A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ThisWorkbook.OpenForm">
                <anchor>
                  <from>
                    <xdr:col>6</xdr:col>
                    <xdr:colOff>200025</xdr:colOff>
                    <xdr:row>0</xdr:row>
                    <xdr:rowOff>190500</xdr:rowOff>
                  </from>
                  <to>
                    <xdr:col>6</xdr:col>
                    <xdr:colOff>1457325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honFile">
                <anchor>
                  <from>
                    <xdr:col>7</xdr:col>
                    <xdr:colOff>142875</xdr:colOff>
                    <xdr:row>0</xdr:row>
                    <xdr:rowOff>228600</xdr:rowOff>
                  </from>
                  <to>
                    <xdr:col>7</xdr:col>
                    <xdr:colOff>990600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KE HOACH KSK 06-2025</vt:lpstr>
      <vt:lpstr>Form goc</vt:lpstr>
      <vt:lpstr>BAO CAO CONG VIEC</vt:lpstr>
      <vt:lpstr>Nhap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dcterms:created xsi:type="dcterms:W3CDTF">2015-06-05T18:17:20Z</dcterms:created>
  <dcterms:modified xsi:type="dcterms:W3CDTF">2025-07-12T14:27:49Z</dcterms:modified>
</cp:coreProperties>
</file>