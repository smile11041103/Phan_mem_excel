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64D09376-CF67-4872-A311-A14E2503CF5F}" xr6:coauthVersionLast="47" xr6:coauthVersionMax="47" xr10:uidLastSave="{00000000-0000-0000-0000-000000000000}"/>
  <bookViews>
    <workbookView xWindow="28680" yWindow="-120" windowWidth="29040" windowHeight="15720" activeTab="2" xr2:uid="{00000000-000D-0000-FFFF-FFFF00000000}"/>
  </bookViews>
  <sheets>
    <sheet name="KE HOACH KSK 2025" sheetId="2" r:id="rId1"/>
    <sheet name="Form goc" sheetId="5" r:id="rId2"/>
    <sheet name="Nhap" sheetId="7" r:id="rId3"/>
  </sheets>
  <functionGroups builtInGroupCount="19"/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8" roundtripDataChecksum="BhAXiq5FJOq0Ahly9tfFigRzqglmV7W4/NKucWWpN5U="/>
    </ext>
  </extLst>
</workbook>
</file>

<file path=xl/calcChain.xml><?xml version="1.0" encoding="utf-8"?>
<calcChain xmlns="http://schemas.openxmlformats.org/spreadsheetml/2006/main">
  <c r="T33" i="2" l="1"/>
  <c r="T10" i="2"/>
  <c r="T9" i="2"/>
  <c r="T23" i="2"/>
</calcChain>
</file>

<file path=xl/sharedStrings.xml><?xml version="1.0" encoding="utf-8"?>
<sst xmlns="http://schemas.openxmlformats.org/spreadsheetml/2006/main" count="538" uniqueCount="222">
  <si>
    <t>STT</t>
  </si>
  <si>
    <t>ĐƠN VỊ KHÁM</t>
  </si>
  <si>
    <t>NGÀY KHÁM</t>
  </si>
  <si>
    <t>SỐ LƯỢNG KHÁM DỰ KIẾN</t>
  </si>
  <si>
    <t>DANH MỤC KHÁM</t>
  </si>
  <si>
    <t>Lâm sàng</t>
  </si>
  <si>
    <t>Xét nghiệm</t>
  </si>
  <si>
    <t>Siêu âm</t>
  </si>
  <si>
    <t>Điện tim</t>
  </si>
  <si>
    <t>X quang</t>
  </si>
  <si>
    <t>LS BNN</t>
  </si>
  <si>
    <t>Hô hấp</t>
  </si>
  <si>
    <t>Thính lực</t>
  </si>
  <si>
    <t>Ph da</t>
  </si>
  <si>
    <t>X</t>
  </si>
  <si>
    <t>ĐX</t>
  </si>
  <si>
    <t xml:space="preserve">CÔNG TY TNHH SKY DRAGON VIỆT NAM </t>
  </si>
  <si>
    <t>10-12/06/2025</t>
  </si>
  <si>
    <t>CÔNG TY APATIT LÀO CAI</t>
  </si>
  <si>
    <t>CÔNG TY CỔ PHẦN GIÀY NGỌC HÀ</t>
  </si>
  <si>
    <t>14/06/2025</t>
  </si>
  <si>
    <t>CÔNG TY SUPERIOR EMS VIỆT NAM</t>
  </si>
  <si>
    <t>193 (105 NỮ)</t>
  </si>
  <si>
    <t>HỆ THỐNG CTY CP CHĂN NUÔI CP VIỆT NAM</t>
  </si>
  <si>
    <t>16-28/06/2025</t>
  </si>
  <si>
    <t>2901 (1800 NAM, 1101 NỮ)</t>
  </si>
  <si>
    <t>CÔNG TY CP DI CHUYỂN XANH VÀ THÔNG MINH GSM</t>
  </si>
  <si>
    <t>16-22/07/2025</t>
  </si>
  <si>
    <t>CÔNG TY TNHH HAID HẢI DƯƠNG</t>
  </si>
  <si>
    <t>18/06/2025</t>
  </si>
  <si>
    <t>XÍ NGHIỆP THỦ CÔNG MỸ NGHỆ XK VÂN ANH</t>
  </si>
  <si>
    <t>CÔNG TY CCL DESIGN VIỆT NAM</t>
  </si>
  <si>
    <t>CÔNG TY CP QUỐC TẾ PHONG PHÚ</t>
  </si>
  <si>
    <t>19/06/2025</t>
  </si>
  <si>
    <t>CÔNG TY TNHH GFT UNIQUE VIỆT NAM</t>
  </si>
  <si>
    <t>20,21/06/2025</t>
  </si>
  <si>
    <t>CÔNG TY CP SẢN XUẤT VÀ THƯƠNG MẠI PHỤ LIỆU NGHÀNH MAY TAM NIÊN</t>
  </si>
  <si>
    <t>22/06/2025</t>
  </si>
  <si>
    <t>210 (50 NAM, 160 NỮ)</t>
  </si>
  <si>
    <t>CÔNG TY TNHH VẬT LIỆU ĐẶC BIỆT GIAI ĐỨC VN</t>
  </si>
  <si>
    <t>25/06/2025</t>
  </si>
  <si>
    <t>70 ( 55 NỮ)</t>
  </si>
  <si>
    <t>TRƯỜNG MN LÁ PHONG XANH</t>
  </si>
  <si>
    <t>25/6/2025</t>
  </si>
  <si>
    <t>CÔNG TY TNHH MOVE VINA</t>
  </si>
  <si>
    <t>26/06/2025</t>
  </si>
  <si>
    <t>CÔNG TY CP BÓNG ĐÈN PHÍCH NƯỚC RẠNG ĐÔNG</t>
  </si>
  <si>
    <t>27,28/06/2025</t>
  </si>
  <si>
    <t>BẢNG PHÂN CÔNG THEO DÕI TIẾN ĐỘ CÔNG VIỆC KHÁM SỨC KHỎE 2025</t>
  </si>
  <si>
    <t>NGÀY TRẢ FILE NHẬP KẾT LUẬN</t>
  </si>
  <si>
    <t>IN HS ĐK+ HS BNN</t>
  </si>
  <si>
    <t>GHÉP CODE</t>
  </si>
  <si>
    <t>HỒ SƠ KHÁM THỰC TẾ</t>
  </si>
  <si>
    <t>XẾP TT HS</t>
  </si>
  <si>
    <t>PHÂN LOẠI THỂ LỰC</t>
  </si>
  <si>
    <t>NHẬP SƠ BỘ HS ĐK</t>
  </si>
  <si>
    <t>NHẬP SƠ BỘ HS BNN</t>
  </si>
  <si>
    <t>ĐỌC SOÁT HS</t>
  </si>
  <si>
    <t xml:space="preserve">SỬA KQ ĐỌC SOÁT, GHÉP KQ CLS </t>
  </si>
  <si>
    <t>KẾT LUẬN</t>
  </si>
  <si>
    <t>IN ĐUÔI KẾT LUẬN</t>
  </si>
  <si>
    <t>GHÉP KẾT LUẬN</t>
  </si>
  <si>
    <t>ĐÓNG DẤU KL-GIÁP LAI</t>
  </si>
  <si>
    <t>IN KẾT QUẢ CÁ NHÂN</t>
  </si>
  <si>
    <t>ĐÓNG PHONG BÌ KQCN</t>
  </si>
  <si>
    <t>BÀN GIAO HS TRẢ KẾT QUẢ</t>
  </si>
  <si>
    <t>Người thực hiện</t>
  </si>
  <si>
    <t>Thời hạn</t>
  </si>
  <si>
    <t>Số HS</t>
  </si>
  <si>
    <t>Người thực hiện/TTHS</t>
  </si>
  <si>
    <t>HS đã PL</t>
  </si>
  <si>
    <t>TTHS</t>
  </si>
  <si>
    <t>SL đã nhập</t>
  </si>
  <si>
    <t>ĐK/BNN</t>
  </si>
  <si>
    <t>HS đã soát</t>
  </si>
  <si>
    <t>HS đã soát ghép</t>
  </si>
  <si>
    <t>HS đã đóng dấu</t>
  </si>
  <si>
    <t>Phong bì đã đóng</t>
  </si>
  <si>
    <t>DOANH NGHIỆP CHẾ XUẤT NITORI VIỆT NAM</t>
  </si>
  <si>
    <t>21/06/2025</t>
  </si>
  <si>
    <t>Huyền+Lan</t>
  </si>
  <si>
    <t>ĐK</t>
  </si>
  <si>
    <t>1-599|1500-1900</t>
  </si>
  <si>
    <t>Hào</t>
  </si>
  <si>
    <t>BNN</t>
  </si>
  <si>
    <t>Tuấn</t>
  </si>
  <si>
    <t>BS LĨNH</t>
  </si>
  <si>
    <t>21/06</t>
  </si>
  <si>
    <t>Thành</t>
  </si>
  <si>
    <t>01-3316</t>
  </si>
  <si>
    <t>Tài+ Uyên</t>
  </si>
  <si>
    <t>500-1000|1000-1900</t>
  </si>
  <si>
    <t>Thảo</t>
  </si>
  <si>
    <t>01-1343</t>
  </si>
  <si>
    <t>Thảo, Thành</t>
  </si>
  <si>
    <t>Tài+ Lan</t>
  </si>
  <si>
    <t>Huyền</t>
  </si>
  <si>
    <t>Tài</t>
  </si>
  <si>
    <t>Lan</t>
  </si>
  <si>
    <t>01-700</t>
  </si>
  <si>
    <t xml:space="preserve"> Hoài+Lan</t>
  </si>
  <si>
    <t>6565-7112</t>
  </si>
  <si>
    <t>25/06</t>
  </si>
  <si>
    <t>Thủy+Lan</t>
  </si>
  <si>
    <t>A Định</t>
  </si>
  <si>
    <t>BS KẾT</t>
  </si>
  <si>
    <t>01-81</t>
  </si>
  <si>
    <t>20/06</t>
  </si>
  <si>
    <t>Đã trả KQ</t>
  </si>
  <si>
    <t>27/06/2027</t>
  </si>
  <si>
    <t>Hoài</t>
  </si>
  <si>
    <t>01-367</t>
  </si>
  <si>
    <t>Hoài+Lan</t>
  </si>
  <si>
    <t>1-378</t>
  </si>
  <si>
    <t>28/06/2025</t>
  </si>
  <si>
    <t>CÔNG TY TNHH VINA ITO</t>
  </si>
  <si>
    <t>CÔNG TY TNHH CLARK MATERIAL HANDLING VIỆT NAM</t>
  </si>
  <si>
    <t>25/06/2026</t>
  </si>
  <si>
    <t>CÔNG TY TNHH MK VINA</t>
  </si>
  <si>
    <t>CÔNG TY NISHOKU TECHNOLOGI</t>
  </si>
  <si>
    <t>30/06/2025</t>
  </si>
  <si>
    <t>Nội dung công việc</t>
  </si>
  <si>
    <t>Ngày nhận việc</t>
  </si>
  <si>
    <t>Mã HS</t>
  </si>
  <si>
    <t>Số lượng HS hoàn thành</t>
  </si>
  <si>
    <t>Đã hoàn thành
(X)</t>
  </si>
  <si>
    <t>IN HS</t>
  </si>
  <si>
    <t>GHIM HS</t>
  </si>
  <si>
    <t>TỔNG HỢP GHÉP KẾT QUẢ</t>
  </si>
  <si>
    <t>Lan+Thủy</t>
  </si>
  <si>
    <t>1-500| 1100-1300</t>
  </si>
  <si>
    <t>Thành+Uyên</t>
  </si>
  <si>
    <t>600-1000|1300</t>
  </si>
  <si>
    <t>Uyên</t>
  </si>
  <si>
    <t>Trang</t>
  </si>
  <si>
    <t>ĐÓNG DẤU CK</t>
  </si>
  <si>
    <t>Hương</t>
  </si>
  <si>
    <t>Huyền+BS Tỉnh</t>
  </si>
  <si>
    <t>Uyên + Thành</t>
  </si>
  <si>
    <t>1-100</t>
  </si>
  <si>
    <t>700/1848</t>
  </si>
  <si>
    <t>Lan Thủy</t>
  </si>
  <si>
    <t>BNN+ĐK</t>
  </si>
  <si>
    <t>Tên công ty</t>
  </si>
  <si>
    <t>Ngày khám</t>
  </si>
  <si>
    <t>Ngày kết thúc</t>
  </si>
  <si>
    <t>Số lượng dự kiến</t>
  </si>
  <si>
    <t>Số lượng thực tế</t>
  </si>
  <si>
    <t>Thủy+ Lan đóng dấu BNN
1200hs</t>
  </si>
  <si>
    <t>Huyền-BS Tỉnh đã KL xong</t>
  </si>
  <si>
    <t>Huyền-BS Tỉnh đã KL xong ĐK</t>
  </si>
  <si>
    <t>Hoài+Trang</t>
  </si>
  <si>
    <t>CÔNG TY TNHH NHUẬN DẬT</t>
  </si>
  <si>
    <t>CÔNG TY TNHH TM&amp;DV TALAD THAI</t>
  </si>
  <si>
    <t>27/6-10/7</t>
  </si>
  <si>
    <t>CÔNG TY CP SX DƯỢC PHẨM TAKARAI</t>
  </si>
  <si>
    <t>30/06</t>
  </si>
  <si>
    <t>CÔNG TY TNHH THÀNH NGHĨA</t>
  </si>
  <si>
    <t>CÔNG TY CP Ô TÔ HUYNDAI HƯNG YÊN</t>
  </si>
  <si>
    <t>CÔNG TY CP THĂNG LONG TALIMEX</t>
  </si>
  <si>
    <t>CÔNG TY CP DỊCH VỤ QUỐC TẾ HÀ THÀNH</t>
  </si>
  <si>
    <t>1-2/07/2025</t>
  </si>
  <si>
    <t>ĐỌC SOÁT HS ĐK</t>
  </si>
  <si>
    <t>ĐỌC SOÁT HS BNN</t>
  </si>
  <si>
    <t>XẾP TT HS ĐK</t>
  </si>
  <si>
    <t>XẾP TT HS BNN</t>
  </si>
  <si>
    <t>SỬA KQ ĐỌC SOÁT HS ĐK</t>
  </si>
  <si>
    <t>SỬA KQ ĐỌC SOÁT HS BNN</t>
  </si>
  <si>
    <t>KẾT LUẬN PL FILE MỀM ĐK</t>
  </si>
  <si>
    <t>KẾT LUẬN PL FILE MỀM BNN</t>
  </si>
  <si>
    <t>IN ĐUÔI KẾT LUẬN BNN</t>
  </si>
  <si>
    <t>IN ĐUÔI KẾT LUẬN ĐK</t>
  </si>
  <si>
    <t>GHÉP KẾT LUẬN ĐÓNG DẤU ĐK</t>
  </si>
  <si>
    <t>GHÉP KẾT LUẬN ĐÓNG DẤU BNN</t>
  </si>
  <si>
    <t>SỬA KQ ĐỌC SOÁT PHIẾU SIÊU ÂM</t>
  </si>
  <si>
    <t>SỬA KQ ĐỌC SOÁT PHIẾU ĐIỆN TIM</t>
  </si>
  <si>
    <t>ĐỌC SOÁT PHIẾU SIÊU ÂM</t>
  </si>
  <si>
    <t>ĐỌC SOÁT PHIẾU ĐIỆN TIM</t>
  </si>
  <si>
    <t/>
  </si>
  <si>
    <t>CÔNG TY HOYA (HT PK VIỆT PHÁP)</t>
  </si>
  <si>
    <t>09,10,11,12,15,16,18/07/2025</t>
  </si>
  <si>
    <t>07,08-07-2025</t>
  </si>
  <si>
    <t>CÔNG TY TNHH THỰC PHẨM DỊCH VỤ VÀ GIẢI KHÁT</t>
  </si>
  <si>
    <t>08,09-07-2025</t>
  </si>
  <si>
    <t>CÔNG TY CP SXTM LEGROUP</t>
  </si>
  <si>
    <t>13-07-2025</t>
  </si>
  <si>
    <t>CÔNG TY TNHH PEONY</t>
  </si>
  <si>
    <t>17-19/07/2025</t>
  </si>
  <si>
    <t>ĐÃ TKQ</t>
  </si>
  <si>
    <t>Nợ kq độc chất</t>
  </si>
  <si>
    <t>Đã thanh toán 3tr800</t>
  </si>
  <si>
    <t>QUÁN ĂN NGON (Phúc Hưng Thịnh)</t>
  </si>
  <si>
    <t>1 - 1000_x000D_
2600 - 3000</t>
  </si>
  <si>
    <t>Yến + Lan</t>
  </si>
  <si>
    <t>1001 - 2000</t>
  </si>
  <si>
    <t>Trang + Uyên</t>
  </si>
  <si>
    <t>2001 - 2400</t>
  </si>
  <si>
    <t>Vinh + Thương</t>
  </si>
  <si>
    <t>3001 - 4000</t>
  </si>
  <si>
    <t>Tài + Thương</t>
  </si>
  <si>
    <t>4001 - 4700</t>
  </si>
  <si>
    <t>Hoài + Ngọc Anh</t>
  </si>
  <si>
    <t>4800 - 5220</t>
  </si>
  <si>
    <t>Lan + Thành</t>
  </si>
  <si>
    <t>1 - 400</t>
  </si>
  <si>
    <t>Hoài + Tài</t>
  </si>
  <si>
    <t>500 - 900</t>
  </si>
  <si>
    <t>401 - 500_x000D_
1501 - 2000_x000D_
2501 - 3000_x000D_
3501 - 4000_x000D_
4501 - 4900</t>
  </si>
  <si>
    <t>1 - 1000_x000D_
4800 - 5220</t>
  </si>
  <si>
    <t>Lan + Yến + Thành</t>
  </si>
  <si>
    <t>1001 - 2000_x000D_
3101 - 3598</t>
  </si>
  <si>
    <t>Tài + Uyên</t>
  </si>
  <si>
    <t>4200 - 4499</t>
  </si>
  <si>
    <t>1000 - 2000_x000D_
3001 - 4000_x000D_
4500 - 4800</t>
  </si>
  <si>
    <t>1 - 1000_x000D_
3001 - 5000</t>
  </si>
  <si>
    <t>Hoài + Thành</t>
  </si>
  <si>
    <t>1001 - 3000</t>
  </si>
  <si>
    <t>Tài + Lan</t>
  </si>
  <si>
    <t>900 - 1500
2000 - 2500
3000 - 3500
4000 - 4500</t>
  </si>
  <si>
    <t>Số hồ sơ còn lại</t>
  </si>
  <si>
    <t>Hồ sơ còn lại</t>
  </si>
  <si>
    <t xml:space="preserve">2401 - 2599_x000D_
4701 - 4799_x000D_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</si>
</sst>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scheme val="minor"/>
    </font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26"/>
      <color theme="1"/>
      <name val="Times New Roman"/>
      <family val="1"/>
    </font>
    <font>
      <sz val="11"/>
      <name val="Calibri"/>
      <family val="2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sz val="9"/>
      <color theme="1"/>
      <name val="Times New Roman"/>
      <family val="1"/>
    </font>
    <font>
      <b/>
      <sz val="10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Times New Roman"/>
      <family val="1"/>
      <charset val="163"/>
    </font>
    <font>
      <sz val="11"/>
      <color rgb="FF000000"/>
      <name val="Calibri"/>
      <family val="2"/>
    </font>
    <font>
      <sz val="11"/>
      <color theme="1"/>
      <name val="Calibri"/>
      <family val="2"/>
      <charset val="163"/>
    </font>
    <font>
      <sz val="11"/>
      <name val="Calibri"/>
      <family val="2"/>
      <charset val="163"/>
    </font>
    <font>
      <sz val="11"/>
      <name val="Times New Roman"/>
      <family val="1"/>
    </font>
    <font>
      <b/>
      <sz val="11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1"/>
      <color theme="1"/>
      <name val="Times New Roman"/>
      <family val="1"/>
      <charset val="163"/>
    </font>
    <font>
      <b/>
      <sz val="11"/>
      <color rgb="FFFF0000"/>
      <name val="Times New Roman"/>
      <family val="1"/>
      <charset val="163"/>
    </font>
  </fonts>
  <fills count="10">
    <fill>
      <patternFill patternType="none"/>
    </fill>
    <fill>
      <patternFill patternType="gray125"/>
    </fill>
    <fill>
      <patternFill patternType="solid">
        <fgColor rgb="FF66FF66"/>
        <bgColor rgb="FF66FF66"/>
      </patternFill>
    </fill>
    <fill>
      <patternFill patternType="solid">
        <fgColor rgb="FF00FFCC"/>
        <bgColor rgb="FF00FFCC"/>
      </patternFill>
    </fill>
    <fill>
      <patternFill patternType="solid">
        <fgColor rgb="FFE2EFD9"/>
        <bgColor rgb="FFE2EFD9"/>
      </patternFill>
    </fill>
    <fill>
      <patternFill patternType="solid">
        <fgColor theme="9" tint="0.79998168889431442"/>
        <bgColor rgb="FFFFFF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2EFD9"/>
      </patternFill>
    </fill>
    <fill>
      <patternFill patternType="solid">
        <fgColor rgb="FFFFFF00"/>
        <bgColor indexed="64"/>
      </patternFill>
    </fill>
    <fill>
      <patternFill patternType="solid">
        <fgColor rgb="FFE2EFDA"/>
        <bgColor rgb="FF000000"/>
      </patternFill>
    </fill>
  </fills>
  <borders count="4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/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double">
        <color rgb="FF000000"/>
      </left>
      <right/>
      <top style="double">
        <color rgb="FF000000"/>
      </top>
      <bottom style="double">
        <color rgb="FF000000"/>
      </bottom>
      <diagonal/>
    </border>
    <border>
      <left style="medium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double">
        <color rgb="FF000000"/>
      </right>
      <top style="medium">
        <color rgb="FF000000"/>
      </top>
      <bottom style="medium">
        <color rgb="FF000000"/>
      </bottom>
      <diagonal/>
    </border>
    <border>
      <left style="double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uble">
        <color rgb="FF000000"/>
      </right>
      <top style="double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2">
    <xf numFmtId="0" fontId="0" fillId="0" borderId="0" xfId="0"/>
    <xf numFmtId="0" fontId="5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/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12" xfId="0" applyFont="1" applyFill="1" applyBorder="1" applyAlignment="1">
      <alignment horizontal="center" vertical="center" wrapText="1"/>
    </xf>
    <xf numFmtId="0" fontId="5" fillId="3" borderId="13" xfId="0" applyFont="1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3" fontId="5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/>
    <xf numFmtId="14" fontId="5" fillId="4" borderId="1" xfId="0" applyNumberFormat="1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0" fontId="6" fillId="6" borderId="1" xfId="0" applyFont="1" applyFill="1" applyBorder="1"/>
    <xf numFmtId="0" fontId="5" fillId="7" borderId="1" xfId="0" applyFont="1" applyFill="1" applyBorder="1" applyAlignment="1">
      <alignment horizontal="center" vertical="center"/>
    </xf>
    <xf numFmtId="16" fontId="5" fillId="7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10" fillId="6" borderId="15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23" xfId="0" applyFont="1" applyBorder="1" applyAlignment="1">
      <alignment horizontal="center" vertical="center" wrapText="1"/>
    </xf>
    <xf numFmtId="0" fontId="13" fillId="0" borderId="34" xfId="0" applyFont="1" applyBorder="1" applyAlignment="1">
      <alignment horizontal="center" vertical="center" wrapText="1"/>
    </xf>
    <xf numFmtId="0" fontId="13" fillId="0" borderId="35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5" fillId="6" borderId="15" xfId="0" applyFont="1" applyFill="1" applyBorder="1" applyAlignment="1">
      <alignment horizontal="center" vertical="center" wrapText="1"/>
    </xf>
    <xf numFmtId="0" fontId="5" fillId="6" borderId="20" xfId="0" applyFont="1" applyFill="1" applyBorder="1" applyAlignment="1">
      <alignment horizontal="center" vertical="center" wrapText="1"/>
    </xf>
    <xf numFmtId="0" fontId="5" fillId="6" borderId="17" xfId="0" applyFont="1" applyFill="1" applyBorder="1" applyAlignment="1">
      <alignment horizontal="center" vertical="center" wrapText="1"/>
    </xf>
    <xf numFmtId="0" fontId="5" fillId="8" borderId="1" xfId="0" applyFont="1" applyFill="1" applyBorder="1" applyAlignment="1">
      <alignment horizontal="center" vertical="center" wrapText="1"/>
    </xf>
    <xf numFmtId="14" fontId="5" fillId="6" borderId="1" xfId="0" applyNumberFormat="1" applyFont="1" applyFill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6" fillId="0" borderId="23" xfId="0" applyFont="1" applyBorder="1" applyAlignment="1">
      <alignment horizontal="center" vertical="center" wrapText="1"/>
    </xf>
    <xf numFmtId="0" fontId="5" fillId="6" borderId="16" xfId="0" applyFont="1" applyFill="1" applyBorder="1" applyAlignment="1">
      <alignment horizontal="center" vertical="center" wrapText="1"/>
    </xf>
    <xf numFmtId="0" fontId="6" fillId="6" borderId="16" xfId="0" applyFont="1" applyFill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0" xfId="0" applyFont="1"/>
    <xf numFmtId="0" fontId="5" fillId="0" borderId="0" xfId="0" applyFont="1"/>
    <xf numFmtId="0" fontId="5" fillId="6" borderId="16" xfId="0" applyFont="1" applyFill="1" applyBorder="1" applyAlignment="1">
      <alignment vertical="center" wrapText="1"/>
    </xf>
    <xf numFmtId="0" fontId="5" fillId="0" borderId="23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wrapText="1"/>
    </xf>
    <xf numFmtId="0" fontId="6" fillId="0" borderId="23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20" fillId="9" borderId="23" xfId="0" applyFont="1" applyFill="1" applyBorder="1" applyAlignment="1">
      <alignment horizontal="center" vertical="center" wrapText="1"/>
    </xf>
    <xf numFmtId="0" fontId="20" fillId="9" borderId="23" xfId="0" applyFont="1" applyFill="1" applyBorder="1" applyAlignment="1">
      <alignment horizontal="center" vertical="center"/>
    </xf>
    <xf numFmtId="0" fontId="21" fillId="9" borderId="23" xfId="0" applyFont="1" applyFill="1" applyBorder="1" applyAlignment="1">
      <alignment horizontal="center" vertical="center"/>
    </xf>
    <xf numFmtId="0" fontId="20" fillId="9" borderId="1" xfId="0" applyFont="1" applyFill="1" applyBorder="1" applyAlignment="1">
      <alignment horizontal="center" vertical="center" wrapText="1"/>
    </xf>
    <xf numFmtId="14" fontId="20" fillId="9" borderId="1" xfId="0" applyNumberFormat="1" applyFont="1" applyFill="1" applyBorder="1" applyAlignment="1">
      <alignment horizontal="center" vertical="center" wrapText="1"/>
    </xf>
    <xf numFmtId="0" fontId="20" fillId="0" borderId="23" xfId="0" applyFont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 wrapText="1"/>
    </xf>
    <xf numFmtId="0" fontId="6" fillId="6" borderId="23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6" fillId="7" borderId="15" xfId="0" applyFont="1" applyFill="1" applyBorder="1"/>
    <xf numFmtId="0" fontId="6" fillId="7" borderId="22" xfId="0" applyFont="1" applyFill="1" applyBorder="1"/>
    <xf numFmtId="0" fontId="5" fillId="7" borderId="19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6" fillId="6" borderId="15" xfId="0" applyFont="1" applyFill="1" applyBorder="1"/>
    <xf numFmtId="0" fontId="5" fillId="7" borderId="16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49" fontId="5" fillId="7" borderId="1" xfId="0" applyNumberFormat="1" applyFont="1" applyFill="1" applyBorder="1" applyAlignment="1">
      <alignment horizontal="center" vertical="center" wrapText="1"/>
    </xf>
    <xf numFmtId="0" fontId="5" fillId="7" borderId="17" xfId="0" applyFont="1" applyFill="1" applyBorder="1" applyAlignment="1">
      <alignment horizontal="center" vertical="center" wrapText="1"/>
    </xf>
    <xf numFmtId="0" fontId="5" fillId="7" borderId="19" xfId="0" applyFont="1" applyFill="1" applyBorder="1" applyAlignment="1">
      <alignment horizontal="center" vertical="center" wrapText="1"/>
    </xf>
    <xf numFmtId="9" fontId="5" fillId="7" borderId="1" xfId="0" applyNumberFormat="1" applyFont="1" applyFill="1" applyBorder="1" applyAlignment="1">
      <alignment horizontal="center" vertical="center" wrapText="1"/>
    </xf>
    <xf numFmtId="0" fontId="5" fillId="7" borderId="18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vertical="center" wrapText="1"/>
    </xf>
    <xf numFmtId="49" fontId="5" fillId="6" borderId="1" xfId="0" applyNumberFormat="1" applyFont="1" applyFill="1" applyBorder="1" applyAlignment="1">
      <alignment horizontal="center" vertical="center" wrapText="1"/>
    </xf>
    <xf numFmtId="0" fontId="5" fillId="7" borderId="16" xfId="0" applyFont="1" applyFill="1" applyBorder="1" applyAlignment="1">
      <alignment vertical="center" wrapText="1"/>
    </xf>
    <xf numFmtId="14" fontId="5" fillId="7" borderId="14" xfId="0" applyNumberFormat="1" applyFont="1" applyFill="1" applyBorder="1" applyAlignment="1">
      <alignment vertical="center" wrapText="1"/>
    </xf>
    <xf numFmtId="0" fontId="6" fillId="0" borderId="0" xfId="0" applyFont="1" applyAlignment="1">
      <alignment horizontal="center"/>
    </xf>
    <xf numFmtId="0" fontId="5" fillId="7" borderId="20" xfId="0" applyFont="1" applyFill="1" applyBorder="1" applyAlignment="1">
      <alignment horizontal="center" vertical="center" wrapText="1"/>
    </xf>
    <xf numFmtId="0" fontId="5" fillId="6" borderId="23" xfId="0" applyFont="1" applyFill="1" applyBorder="1" applyAlignment="1">
      <alignment horizontal="center" vertical="center"/>
    </xf>
    <xf numFmtId="14" fontId="13" fillId="0" borderId="38" xfId="0" applyNumberFormat="1" applyFont="1" applyBorder="1" applyAlignment="1">
      <alignment horizontal="center" vertical="center" wrapText="1"/>
    </xf>
    <xf numFmtId="0" fontId="13" fillId="0" borderId="38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14" fontId="22" fillId="0" borderId="38" xfId="0" applyNumberFormat="1" applyFont="1" applyBorder="1" applyAlignment="1">
      <alignment horizontal="center" vertical="center" wrapText="1"/>
    </xf>
    <xf numFmtId="0" fontId="23" fillId="0" borderId="37" xfId="0" applyFont="1" applyBorder="1" applyAlignment="1">
      <alignment horizontal="center" vertical="center" wrapText="1"/>
    </xf>
    <xf numFmtId="49" fontId="17" fillId="0" borderId="23" xfId="0" applyNumberFormat="1" applyFont="1" applyBorder="1" applyAlignment="1">
      <alignment horizontal="center" vertical="center" wrapText="1"/>
    </xf>
    <xf numFmtId="0" fontId="0" fillId="0" borderId="23" xfId="0" applyBorder="1"/>
    <xf numFmtId="0" fontId="16" fillId="0" borderId="0" xfId="0" applyFont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6" fillId="0" borderId="23" xfId="0" applyFont="1" applyBorder="1" applyAlignment="1">
      <alignment vertical="center" wrapText="1"/>
    </xf>
    <xf numFmtId="14" fontId="17" fillId="0" borderId="25" xfId="0" applyNumberFormat="1" applyFont="1" applyBorder="1" applyAlignment="1">
      <alignment vertical="center" wrapText="1"/>
    </xf>
    <xf numFmtId="14" fontId="2" fillId="0" borderId="23" xfId="0" applyNumberFormat="1" applyFont="1" applyBorder="1" applyAlignment="1">
      <alignment vertical="center" wrapText="1"/>
    </xf>
    <xf numFmtId="14" fontId="16" fillId="0" borderId="23" xfId="0" applyNumberFormat="1" applyFont="1" applyBorder="1" applyAlignment="1">
      <alignment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49" fontId="16" fillId="0" borderId="23" xfId="0" applyNumberFormat="1" applyFont="1" applyBorder="1" applyAlignment="1">
      <alignment horizontal="center" vertical="center" wrapText="1"/>
    </xf>
    <xf numFmtId="0" fontId="1" fillId="0" borderId="23" xfId="0" applyFont="1" applyBorder="1" applyAlignment="1">
      <alignment vertical="center" wrapText="1"/>
    </xf>
    <xf numFmtId="49" fontId="14" fillId="0" borderId="23" xfId="0" applyNumberFormat="1" applyFont="1" applyBorder="1" applyAlignment="1">
      <alignment horizontal="center" vertical="center" wrapText="1"/>
    </xf>
    <xf numFmtId="14" fontId="16" fillId="0" borderId="25" xfId="0" applyNumberFormat="1" applyFont="1" applyBorder="1" applyAlignment="1">
      <alignment vertical="center" wrapText="1"/>
    </xf>
    <xf numFmtId="14" fontId="14" fillId="0" borderId="23" xfId="0" applyNumberFormat="1" applyFont="1" applyBorder="1" applyAlignment="1">
      <alignment vertical="center" wrapText="1"/>
    </xf>
    <xf numFmtId="0" fontId="14" fillId="0" borderId="23" xfId="0" applyFont="1" applyBorder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/>
    <xf numFmtId="0" fontId="5" fillId="2" borderId="16" xfId="0" applyFont="1" applyFill="1" applyBorder="1" applyAlignment="1">
      <alignment horizontal="center" vertical="center" wrapText="1"/>
    </xf>
    <xf numFmtId="0" fontId="18" fillId="0" borderId="15" xfId="0" applyFont="1" applyBorder="1" applyAlignment="1">
      <alignment horizontal="center"/>
    </xf>
    <xf numFmtId="0" fontId="5" fillId="2" borderId="21" xfId="0" applyFont="1" applyFill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7" fillId="2" borderId="2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wrapText="1"/>
    </xf>
    <xf numFmtId="0" fontId="18" fillId="0" borderId="6" xfId="0" applyFont="1" applyBorder="1"/>
    <xf numFmtId="0" fontId="5" fillId="2" borderId="2" xfId="0" applyFont="1" applyFill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 wrapText="1"/>
    </xf>
    <xf numFmtId="0" fontId="18" fillId="0" borderId="3" xfId="0" applyFont="1" applyBorder="1"/>
    <xf numFmtId="0" fontId="18" fillId="0" borderId="13" xfId="0" applyFont="1" applyBorder="1"/>
    <xf numFmtId="0" fontId="7" fillId="2" borderId="4" xfId="0" applyFont="1" applyFill="1" applyBorder="1" applyAlignment="1">
      <alignment horizontal="center" vertical="center" wrapText="1"/>
    </xf>
    <xf numFmtId="0" fontId="18" fillId="0" borderId="5" xfId="0" applyFont="1" applyBorder="1"/>
    <xf numFmtId="0" fontId="7" fillId="2" borderId="6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15" xfId="0" applyFont="1" applyBorder="1" applyAlignment="1">
      <alignment wrapText="1"/>
    </xf>
    <xf numFmtId="0" fontId="18" fillId="0" borderId="15" xfId="0" applyFont="1" applyBorder="1"/>
    <xf numFmtId="0" fontId="19" fillId="0" borderId="6" xfId="0" applyFont="1" applyBorder="1"/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31" xfId="0" applyFont="1" applyBorder="1" applyAlignment="1">
      <alignment horizontal="center" vertical="center" wrapText="1"/>
    </xf>
    <xf numFmtId="0" fontId="9" fillId="0" borderId="32" xfId="0" applyFont="1" applyBorder="1" applyAlignment="1">
      <alignment horizontal="center" vertical="center" wrapText="1"/>
    </xf>
    <xf numFmtId="0" fontId="14" fillId="0" borderId="23" xfId="0" applyFont="1" applyBorder="1" applyAlignment="1">
      <alignment horizontal="center" vertical="center" wrapText="1"/>
    </xf>
    <xf numFmtId="0" fontId="9" fillId="0" borderId="23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9" fillId="0" borderId="29" xfId="0" applyFont="1" applyBorder="1" applyAlignment="1">
      <alignment horizontal="center" vertical="center" wrapText="1"/>
    </xf>
    <xf numFmtId="0" fontId="9" fillId="0" borderId="30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6" fillId="0" borderId="40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6" fillId="0" borderId="25" xfId="0" applyFont="1" applyBorder="1" applyAlignment="1">
      <alignment horizontal="center" vertical="center" wrapText="1"/>
    </xf>
    <xf numFmtId="0" fontId="16" fillId="0" borderId="40" xfId="0" applyFont="1" applyBorder="1" applyAlignment="1">
      <alignment horizontal="center" vertical="center" wrapText="1"/>
    </xf>
    <xf numFmtId="14" fontId="16" fillId="0" borderId="25" xfId="0" applyNumberFormat="1" applyFont="1" applyBorder="1" applyAlignment="1">
      <alignment horizontal="center" vertical="center" wrapText="1"/>
    </xf>
    <xf numFmtId="14" fontId="16" fillId="0" borderId="26" xfId="0" applyNumberFormat="1" applyFont="1" applyBorder="1" applyAlignment="1">
      <alignment horizontal="center" vertical="center" wrapText="1"/>
    </xf>
    <xf numFmtId="0" fontId="16" fillId="0" borderId="26" xfId="0" applyFont="1" applyBorder="1" applyAlignment="1">
      <alignment horizontal="center" vertical="center" wrapText="1"/>
    </xf>
    <xf numFmtId="14" fontId="1" fillId="0" borderId="25" xfId="0" applyNumberFormat="1" applyFont="1" applyBorder="1" applyAlignment="1">
      <alignment horizontal="center" vertical="center" wrapText="1"/>
    </xf>
    <xf numFmtId="14" fontId="1" fillId="0" borderId="40" xfId="0" applyNumberFormat="1" applyFont="1" applyBorder="1" applyAlignment="1">
      <alignment horizontal="center" vertical="center" wrapText="1"/>
    </xf>
    <xf numFmtId="14" fontId="1" fillId="0" borderId="26" xfId="0" applyNumberFormat="1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1123950</xdr:colOff>
          <xdr:row>0</xdr:row>
          <xdr:rowOff>66675</xdr:rowOff>
        </xdr:from>
        <xdr:to>
          <xdr:col>6</xdr:col>
          <xdr:colOff>638175</xdr:colOff>
          <xdr:row>1</xdr:row>
          <xdr:rowOff>200025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Báo cáo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895350</xdr:colOff>
          <xdr:row>0</xdr:row>
          <xdr:rowOff>95250</xdr:rowOff>
        </xdr:from>
        <xdr:to>
          <xdr:col>7</xdr:col>
          <xdr:colOff>104775</xdr:colOff>
          <xdr:row>1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Chọn file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A1000"/>
  <sheetViews>
    <sheetView zoomScale="71" zoomScaleNormal="71" workbookViewId="0">
      <pane xSplit="3" ySplit="3" topLeftCell="D32" activePane="bottomRight" state="frozen"/>
      <selection pane="topRight" activeCell="D1" sqref="D1"/>
      <selection pane="bottomLeft" activeCell="A4" sqref="A4"/>
      <selection pane="bottomRight" activeCell="D49" sqref="D49"/>
    </sheetView>
  </sheetViews>
  <sheetFormatPr defaultColWidth="14.42578125" defaultRowHeight="15" customHeight="1" x14ac:dyDescent="0.25"/>
  <cols>
    <col min="1" max="1" width="8.7109375" style="89" customWidth="1"/>
    <col min="2" max="2" width="51.28515625" style="60" customWidth="1"/>
    <col min="3" max="3" width="16.7109375" style="57" customWidth="1"/>
    <col min="4" max="4" width="15.140625" style="52" customWidth="1"/>
    <col min="5" max="5" width="8.7109375" style="56" customWidth="1"/>
    <col min="6" max="14" width="8.7109375" style="52" hidden="1" customWidth="1"/>
    <col min="15" max="19" width="9.140625" style="52" hidden="1" customWidth="1"/>
    <col min="20" max="20" width="12.7109375" style="53" customWidth="1"/>
    <col min="21" max="22" width="10.140625" style="52" hidden="1" customWidth="1"/>
    <col min="23" max="23" width="10.28515625" style="52" hidden="1" customWidth="1"/>
    <col min="24" max="25" width="10.140625" style="52" hidden="1" customWidth="1"/>
    <col min="26" max="27" width="10.85546875" style="52" hidden="1" customWidth="1"/>
    <col min="28" max="29" width="10.140625" style="52" hidden="1" customWidth="1"/>
    <col min="30" max="32" width="11.28515625" style="52" hidden="1" customWidth="1"/>
    <col min="33" max="33" width="10.140625" style="52" hidden="1" customWidth="1"/>
    <col min="34" max="34" width="12.85546875" style="52" hidden="1" customWidth="1"/>
    <col min="35" max="36" width="11" style="52" hidden="1" customWidth="1"/>
    <col min="37" max="38" width="10.140625" style="52" hidden="1" customWidth="1"/>
    <col min="39" max="39" width="12.7109375" style="52" hidden="1" customWidth="1"/>
    <col min="40" max="40" width="14.7109375" style="52" customWidth="1"/>
    <col min="41" max="41" width="11.7109375" style="52" customWidth="1"/>
    <col min="42" max="42" width="10.140625" style="52" customWidth="1"/>
    <col min="43" max="43" width="10.7109375" style="52" customWidth="1"/>
    <col min="44" max="45" width="10.140625" style="52" customWidth="1"/>
    <col min="46" max="46" width="10.5703125" style="52" hidden="1" customWidth="1"/>
    <col min="47" max="49" width="10.140625" style="52" hidden="1" customWidth="1"/>
    <col min="50" max="50" width="11" style="52" hidden="1" customWidth="1"/>
    <col min="51" max="52" width="10.140625" style="52" hidden="1" customWidth="1"/>
    <col min="53" max="53" width="8.7109375" style="52" customWidth="1"/>
    <col min="54" max="16384" width="14.42578125" style="52"/>
  </cols>
  <sheetData>
    <row r="1" spans="1:53" ht="49.5" customHeight="1" thickBot="1" x14ac:dyDescent="0.3">
      <c r="A1" s="116" t="s">
        <v>48</v>
      </c>
      <c r="B1" s="117"/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N1" s="117"/>
      <c r="O1" s="117"/>
      <c r="P1" s="117"/>
      <c r="Q1" s="117"/>
      <c r="R1" s="117"/>
      <c r="S1" s="117"/>
      <c r="T1" s="117"/>
      <c r="U1" s="117"/>
      <c r="V1" s="117"/>
      <c r="W1" s="117"/>
      <c r="X1" s="117"/>
      <c r="Y1" s="117"/>
      <c r="Z1" s="117"/>
      <c r="AA1" s="117"/>
      <c r="AB1" s="117"/>
      <c r="AC1" s="117"/>
      <c r="AD1" s="117"/>
      <c r="AE1" s="117"/>
      <c r="AF1" s="117"/>
      <c r="AG1" s="117"/>
      <c r="AH1" s="117"/>
      <c r="AI1" s="117"/>
      <c r="AJ1" s="117"/>
      <c r="AK1" s="117"/>
      <c r="AL1" s="117"/>
      <c r="AM1" s="117"/>
      <c r="AN1" s="117"/>
      <c r="AO1" s="117"/>
      <c r="AP1" s="117"/>
      <c r="AQ1" s="117"/>
      <c r="AR1" s="117"/>
      <c r="AS1" s="117"/>
      <c r="AT1" s="117"/>
      <c r="AU1" s="117"/>
      <c r="AV1" s="117"/>
      <c r="AW1" s="117"/>
      <c r="AX1" s="117"/>
      <c r="AY1" s="117"/>
      <c r="AZ1" s="117"/>
      <c r="BA1" s="117"/>
    </row>
    <row r="2" spans="1:53" ht="50.45" customHeight="1" thickTop="1" thickBot="1" x14ac:dyDescent="0.3">
      <c r="A2" s="118" t="s">
        <v>0</v>
      </c>
      <c r="B2" s="120" t="s">
        <v>1</v>
      </c>
      <c r="C2" s="122" t="s">
        <v>2</v>
      </c>
      <c r="D2" s="122" t="s">
        <v>49</v>
      </c>
      <c r="E2" s="125" t="s">
        <v>3</v>
      </c>
      <c r="F2" s="127" t="s">
        <v>4</v>
      </c>
      <c r="G2" s="128"/>
      <c r="H2" s="128"/>
      <c r="I2" s="128"/>
      <c r="J2" s="128"/>
      <c r="K2" s="128"/>
      <c r="L2" s="128"/>
      <c r="M2" s="128"/>
      <c r="N2" s="129"/>
      <c r="O2" s="127" t="s">
        <v>50</v>
      </c>
      <c r="P2" s="129"/>
      <c r="Q2" s="127" t="s">
        <v>51</v>
      </c>
      <c r="R2" s="128"/>
      <c r="S2" s="129"/>
      <c r="T2" s="122" t="s">
        <v>52</v>
      </c>
      <c r="U2" s="130" t="s">
        <v>53</v>
      </c>
      <c r="V2" s="131"/>
      <c r="W2" s="127" t="s">
        <v>54</v>
      </c>
      <c r="X2" s="128"/>
      <c r="Y2" s="129"/>
      <c r="Z2" s="127" t="s">
        <v>55</v>
      </c>
      <c r="AA2" s="128"/>
      <c r="AB2" s="128"/>
      <c r="AC2" s="129"/>
      <c r="AD2" s="127" t="s">
        <v>56</v>
      </c>
      <c r="AE2" s="128"/>
      <c r="AF2" s="128"/>
      <c r="AG2" s="129"/>
      <c r="AH2" s="127" t="s">
        <v>57</v>
      </c>
      <c r="AI2" s="128"/>
      <c r="AJ2" s="128"/>
      <c r="AK2" s="128"/>
      <c r="AL2" s="129"/>
      <c r="AM2" s="122" t="s">
        <v>58</v>
      </c>
      <c r="AN2" s="122" t="s">
        <v>59</v>
      </c>
      <c r="AO2" s="122" t="s">
        <v>135</v>
      </c>
      <c r="AP2" s="122" t="s">
        <v>60</v>
      </c>
      <c r="AQ2" s="127" t="s">
        <v>61</v>
      </c>
      <c r="AR2" s="128"/>
      <c r="AS2" s="129"/>
      <c r="AT2" s="127" t="s">
        <v>62</v>
      </c>
      <c r="AU2" s="128"/>
      <c r="AV2" s="129"/>
      <c r="AW2" s="122" t="s">
        <v>63</v>
      </c>
      <c r="AX2" s="127" t="s">
        <v>64</v>
      </c>
      <c r="AY2" s="128"/>
      <c r="AZ2" s="129"/>
      <c r="BA2" s="122" t="s">
        <v>65</v>
      </c>
    </row>
    <row r="3" spans="1:53" ht="67.5" customHeight="1" thickTop="1" thickBot="1" x14ac:dyDescent="0.3">
      <c r="A3" s="119"/>
      <c r="B3" s="121"/>
      <c r="C3" s="123"/>
      <c r="D3" s="124"/>
      <c r="E3" s="126"/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10</v>
      </c>
      <c r="L3" s="4" t="s">
        <v>11</v>
      </c>
      <c r="M3" s="4" t="s">
        <v>12</v>
      </c>
      <c r="N3" s="4" t="s">
        <v>13</v>
      </c>
      <c r="O3" s="4" t="s">
        <v>66</v>
      </c>
      <c r="P3" s="4" t="s">
        <v>67</v>
      </c>
      <c r="Q3" s="4" t="s">
        <v>66</v>
      </c>
      <c r="R3" s="4" t="s">
        <v>68</v>
      </c>
      <c r="S3" s="4" t="s">
        <v>67</v>
      </c>
      <c r="T3" s="137"/>
      <c r="U3" s="4" t="s">
        <v>66</v>
      </c>
      <c r="V3" s="4" t="s">
        <v>68</v>
      </c>
      <c r="W3" s="4" t="s">
        <v>69</v>
      </c>
      <c r="X3" s="4" t="s">
        <v>70</v>
      </c>
      <c r="Y3" s="4" t="s">
        <v>67</v>
      </c>
      <c r="Z3" s="4" t="s">
        <v>66</v>
      </c>
      <c r="AA3" s="4" t="s">
        <v>71</v>
      </c>
      <c r="AB3" s="4" t="s">
        <v>72</v>
      </c>
      <c r="AC3" s="4" t="s">
        <v>67</v>
      </c>
      <c r="AD3" s="4" t="s">
        <v>66</v>
      </c>
      <c r="AE3" s="4" t="s">
        <v>71</v>
      </c>
      <c r="AF3" s="4" t="s">
        <v>72</v>
      </c>
      <c r="AG3" s="5" t="s">
        <v>67</v>
      </c>
      <c r="AH3" s="6" t="s">
        <v>66</v>
      </c>
      <c r="AI3" s="7" t="s">
        <v>73</v>
      </c>
      <c r="AJ3" s="8" t="s">
        <v>71</v>
      </c>
      <c r="AK3" s="9" t="s">
        <v>74</v>
      </c>
      <c r="AL3" s="10" t="s">
        <v>67</v>
      </c>
      <c r="AM3" s="124"/>
      <c r="AN3" s="124"/>
      <c r="AO3" s="132"/>
      <c r="AP3" s="124"/>
      <c r="AQ3" s="4" t="s">
        <v>69</v>
      </c>
      <c r="AR3" s="4" t="s">
        <v>75</v>
      </c>
      <c r="AS3" s="4" t="s">
        <v>67</v>
      </c>
      <c r="AT3" s="4" t="s">
        <v>69</v>
      </c>
      <c r="AU3" s="4" t="s">
        <v>76</v>
      </c>
      <c r="AV3" s="4" t="s">
        <v>67</v>
      </c>
      <c r="AW3" s="124"/>
      <c r="AX3" s="4" t="s">
        <v>69</v>
      </c>
      <c r="AY3" s="4" t="s">
        <v>77</v>
      </c>
      <c r="AZ3" s="4" t="s">
        <v>67</v>
      </c>
      <c r="BA3" s="124"/>
    </row>
    <row r="4" spans="1:53" ht="64.900000000000006" customHeight="1" thickTop="1" x14ac:dyDescent="0.25">
      <c r="A4" s="13">
        <v>1</v>
      </c>
      <c r="B4" s="87" t="s">
        <v>78</v>
      </c>
      <c r="C4" s="88">
        <v>45814</v>
      </c>
      <c r="D4" s="88" t="s">
        <v>79</v>
      </c>
      <c r="E4" s="72"/>
      <c r="F4" s="71" t="s">
        <v>14</v>
      </c>
      <c r="G4" s="71" t="s">
        <v>14</v>
      </c>
      <c r="H4" s="71" t="s">
        <v>14</v>
      </c>
      <c r="I4" s="71" t="s">
        <v>14</v>
      </c>
      <c r="J4" s="71" t="s">
        <v>14</v>
      </c>
      <c r="K4" s="71" t="s">
        <v>14</v>
      </c>
      <c r="L4" s="71"/>
      <c r="M4" s="71" t="s">
        <v>14</v>
      </c>
      <c r="N4" s="71"/>
      <c r="O4" s="71"/>
      <c r="P4" s="71"/>
      <c r="Q4" s="71"/>
      <c r="R4" s="71"/>
      <c r="S4" s="71"/>
      <c r="T4" s="72">
        <v>4713</v>
      </c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4"/>
      <c r="AH4" s="72" t="s">
        <v>80</v>
      </c>
      <c r="AI4" s="72" t="s">
        <v>81</v>
      </c>
      <c r="AJ4" s="72" t="s">
        <v>82</v>
      </c>
      <c r="AK4" s="72">
        <v>1700</v>
      </c>
      <c r="AL4" s="75" t="s">
        <v>15</v>
      </c>
      <c r="AM4" s="76" t="s">
        <v>83</v>
      </c>
      <c r="AN4" s="77"/>
      <c r="AO4" s="30" t="s">
        <v>148</v>
      </c>
      <c r="AP4" s="77"/>
      <c r="AQ4" s="77"/>
      <c r="AR4" s="77"/>
      <c r="AS4" s="77"/>
      <c r="AT4" s="77"/>
      <c r="AU4" s="77"/>
      <c r="AV4" s="77"/>
      <c r="AW4" s="77"/>
      <c r="AX4" s="77"/>
      <c r="AY4" s="77"/>
      <c r="AZ4" s="77"/>
      <c r="BA4" s="41" t="s">
        <v>188</v>
      </c>
    </row>
    <row r="5" spans="1:53" ht="48" customHeight="1" x14ac:dyDescent="0.25">
      <c r="A5" s="13">
        <v>2</v>
      </c>
      <c r="B5" s="87" t="s">
        <v>16</v>
      </c>
      <c r="C5" s="87" t="s">
        <v>17</v>
      </c>
      <c r="D5" s="87" t="s">
        <v>37</v>
      </c>
      <c r="E5" s="25"/>
      <c r="F5" s="79" t="s">
        <v>14</v>
      </c>
      <c r="G5" s="79" t="s">
        <v>14</v>
      </c>
      <c r="H5" s="79"/>
      <c r="I5" s="79"/>
      <c r="J5" s="79" t="s">
        <v>14</v>
      </c>
      <c r="K5" s="79"/>
      <c r="L5" s="79"/>
      <c r="M5" s="79"/>
      <c r="N5" s="79"/>
      <c r="O5" s="79" t="s">
        <v>83</v>
      </c>
      <c r="P5" s="79"/>
      <c r="Q5" s="79"/>
      <c r="R5" s="79"/>
      <c r="S5" s="79"/>
      <c r="T5" s="25">
        <v>3316</v>
      </c>
      <c r="U5" s="76" t="s">
        <v>85</v>
      </c>
      <c r="V5" s="76" t="s">
        <v>15</v>
      </c>
      <c r="W5" s="25" t="s">
        <v>86</v>
      </c>
      <c r="X5" s="25" t="s">
        <v>15</v>
      </c>
      <c r="Y5" s="25" t="s">
        <v>87</v>
      </c>
      <c r="Z5" s="25" t="s">
        <v>88</v>
      </c>
      <c r="AA5" s="80" t="s">
        <v>89</v>
      </c>
      <c r="AB5" s="25">
        <v>3316</v>
      </c>
      <c r="AC5" s="25" t="s">
        <v>15</v>
      </c>
      <c r="AD5" s="25"/>
      <c r="AE5" s="25"/>
      <c r="AF5" s="25"/>
      <c r="AG5" s="81"/>
      <c r="AH5" s="25" t="s">
        <v>90</v>
      </c>
      <c r="AI5" s="72" t="s">
        <v>81</v>
      </c>
      <c r="AJ5" s="72" t="s">
        <v>91</v>
      </c>
      <c r="AK5" s="82">
        <v>900</v>
      </c>
      <c r="AL5" s="72" t="s">
        <v>15</v>
      </c>
      <c r="AM5" s="23" t="s">
        <v>138</v>
      </c>
      <c r="AN5" s="54" t="s">
        <v>149</v>
      </c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BA5" s="24"/>
    </row>
    <row r="6" spans="1:53" ht="47.45" customHeight="1" x14ac:dyDescent="0.25">
      <c r="A6" s="12">
        <v>3</v>
      </c>
      <c r="B6" s="78" t="s">
        <v>18</v>
      </c>
      <c r="C6" s="78" t="s">
        <v>17</v>
      </c>
      <c r="D6" s="78" t="s">
        <v>37</v>
      </c>
      <c r="E6" s="25"/>
      <c r="F6" s="79" t="s">
        <v>14</v>
      </c>
      <c r="G6" s="79" t="s">
        <v>14</v>
      </c>
      <c r="H6" s="79" t="s">
        <v>14</v>
      </c>
      <c r="I6" s="79"/>
      <c r="J6" s="79" t="s">
        <v>14</v>
      </c>
      <c r="K6" s="79" t="s">
        <v>14</v>
      </c>
      <c r="L6" s="79"/>
      <c r="M6" s="79" t="s">
        <v>14</v>
      </c>
      <c r="N6" s="79"/>
      <c r="O6" s="79" t="s">
        <v>83</v>
      </c>
      <c r="P6" s="79"/>
      <c r="Q6" s="79"/>
      <c r="R6" s="79"/>
      <c r="S6" s="79"/>
      <c r="T6" s="25">
        <v>1343</v>
      </c>
      <c r="U6" s="25" t="s">
        <v>85</v>
      </c>
      <c r="V6" s="25" t="s">
        <v>15</v>
      </c>
      <c r="W6" s="25"/>
      <c r="X6" s="25"/>
      <c r="Y6" s="25"/>
      <c r="Z6" s="25" t="s">
        <v>92</v>
      </c>
      <c r="AA6" s="80" t="s">
        <v>93</v>
      </c>
      <c r="AB6" s="25">
        <v>1343</v>
      </c>
      <c r="AC6" s="25" t="s">
        <v>15</v>
      </c>
      <c r="AD6" s="25" t="s">
        <v>94</v>
      </c>
      <c r="AE6" s="25"/>
      <c r="AF6" s="83">
        <v>0.7</v>
      </c>
      <c r="AG6" s="25"/>
      <c r="AH6" s="72" t="s">
        <v>95</v>
      </c>
      <c r="AI6" s="84"/>
      <c r="AJ6" s="84" t="s">
        <v>93</v>
      </c>
      <c r="AK6" s="25">
        <v>1343</v>
      </c>
      <c r="AL6" s="23" t="s">
        <v>15</v>
      </c>
      <c r="AM6" s="20" t="s">
        <v>96</v>
      </c>
      <c r="AN6" s="20" t="s">
        <v>150</v>
      </c>
      <c r="AO6" s="20"/>
      <c r="AP6" s="23" t="s">
        <v>104</v>
      </c>
      <c r="AQ6" s="23"/>
      <c r="AR6" s="23"/>
      <c r="AS6" s="23"/>
      <c r="AT6" s="23"/>
      <c r="AU6" s="23"/>
      <c r="AV6" s="23"/>
      <c r="AW6" s="23"/>
      <c r="AX6" s="23"/>
      <c r="AY6" s="23"/>
      <c r="AZ6" s="23"/>
      <c r="BA6" s="24"/>
    </row>
    <row r="7" spans="1:53" ht="45.6" customHeight="1" x14ac:dyDescent="0.25">
      <c r="A7" s="12">
        <v>4</v>
      </c>
      <c r="B7" s="25" t="s">
        <v>19</v>
      </c>
      <c r="C7" s="81" t="s">
        <v>20</v>
      </c>
      <c r="D7" s="85" t="s">
        <v>37</v>
      </c>
      <c r="E7" s="90"/>
      <c r="F7" s="79" t="s">
        <v>14</v>
      </c>
      <c r="G7" s="79"/>
      <c r="H7" s="79"/>
      <c r="I7" s="79"/>
      <c r="J7" s="79"/>
      <c r="K7" s="79" t="s">
        <v>14</v>
      </c>
      <c r="L7" s="79" t="s">
        <v>14</v>
      </c>
      <c r="M7" s="79" t="s">
        <v>14</v>
      </c>
      <c r="N7" s="79"/>
      <c r="O7" s="79" t="s">
        <v>83</v>
      </c>
      <c r="P7" s="79"/>
      <c r="Q7" s="79"/>
      <c r="R7" s="79"/>
      <c r="S7" s="79"/>
      <c r="T7" s="25">
        <v>327</v>
      </c>
      <c r="U7" s="25" t="s">
        <v>85</v>
      </c>
      <c r="V7" s="25" t="s">
        <v>15</v>
      </c>
      <c r="W7" s="25" t="s">
        <v>86</v>
      </c>
      <c r="X7" s="25" t="s">
        <v>15</v>
      </c>
      <c r="Y7" s="25" t="s">
        <v>87</v>
      </c>
      <c r="Z7" s="25" t="s">
        <v>92</v>
      </c>
      <c r="AA7" s="25"/>
      <c r="AB7" s="25">
        <v>327</v>
      </c>
      <c r="AC7" s="25" t="s">
        <v>15</v>
      </c>
      <c r="AD7" s="23"/>
      <c r="AE7" s="23"/>
      <c r="AF7" s="23"/>
      <c r="AG7" s="23"/>
      <c r="AH7" s="43" t="s">
        <v>133</v>
      </c>
      <c r="AI7" s="23"/>
      <c r="AJ7" s="23"/>
      <c r="AK7" s="42"/>
      <c r="AL7" s="23" t="s">
        <v>15</v>
      </c>
      <c r="AM7" s="23" t="s">
        <v>103</v>
      </c>
      <c r="AN7" s="23" t="s">
        <v>149</v>
      </c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BA7" s="24"/>
    </row>
    <row r="8" spans="1:53" ht="30.75" customHeight="1" x14ac:dyDescent="0.25">
      <c r="A8" s="12">
        <v>5</v>
      </c>
      <c r="B8" s="25" t="s">
        <v>21</v>
      </c>
      <c r="C8" s="81" t="s">
        <v>20</v>
      </c>
      <c r="D8" s="85" t="s">
        <v>37</v>
      </c>
      <c r="E8" s="90" t="s">
        <v>22</v>
      </c>
      <c r="F8" s="79" t="s">
        <v>14</v>
      </c>
      <c r="G8" s="79" t="s">
        <v>14</v>
      </c>
      <c r="H8" s="79"/>
      <c r="I8" s="79"/>
      <c r="J8" s="79"/>
      <c r="K8" s="79" t="s">
        <v>14</v>
      </c>
      <c r="L8" s="79" t="s">
        <v>14</v>
      </c>
      <c r="M8" s="79" t="s">
        <v>14</v>
      </c>
      <c r="N8" s="79"/>
      <c r="O8" s="79" t="s">
        <v>83</v>
      </c>
      <c r="P8" s="79"/>
      <c r="Q8" s="79"/>
      <c r="R8" s="79"/>
      <c r="S8" s="79"/>
      <c r="T8" s="25">
        <v>208</v>
      </c>
      <c r="U8" s="25" t="s">
        <v>85</v>
      </c>
      <c r="V8" s="25" t="s">
        <v>15</v>
      </c>
      <c r="W8" s="25" t="s">
        <v>86</v>
      </c>
      <c r="X8" s="25" t="s">
        <v>15</v>
      </c>
      <c r="Y8" s="25" t="s">
        <v>87</v>
      </c>
      <c r="Z8" s="20" t="s">
        <v>92</v>
      </c>
      <c r="AA8" s="25"/>
      <c r="AB8" s="25">
        <v>192</v>
      </c>
      <c r="AC8" s="25" t="s">
        <v>15</v>
      </c>
      <c r="AD8" s="25"/>
      <c r="AE8" s="23"/>
      <c r="AF8" s="23"/>
      <c r="AG8" s="23"/>
      <c r="AH8" s="23" t="s">
        <v>141</v>
      </c>
      <c r="AI8" s="41" t="s">
        <v>142</v>
      </c>
      <c r="AJ8" s="41">
        <v>192</v>
      </c>
      <c r="AK8" s="23">
        <v>192</v>
      </c>
      <c r="AL8" s="23" t="s">
        <v>15</v>
      </c>
      <c r="AM8" s="23" t="s">
        <v>103</v>
      </c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BA8" s="24"/>
    </row>
    <row r="9" spans="1:53" ht="43.5" customHeight="1" x14ac:dyDescent="0.25">
      <c r="A9" s="13">
        <v>6</v>
      </c>
      <c r="B9" s="13" t="s">
        <v>23</v>
      </c>
      <c r="C9" s="13" t="s">
        <v>24</v>
      </c>
      <c r="D9" s="11"/>
      <c r="E9" s="12" t="s">
        <v>25</v>
      </c>
      <c r="F9" s="15" t="s">
        <v>14</v>
      </c>
      <c r="G9" s="15" t="s">
        <v>14</v>
      </c>
      <c r="H9" s="15" t="s">
        <v>14</v>
      </c>
      <c r="I9" s="15"/>
      <c r="J9" s="15" t="s">
        <v>14</v>
      </c>
      <c r="K9" s="15"/>
      <c r="L9" s="15" t="s">
        <v>14</v>
      </c>
      <c r="M9" s="15" t="s">
        <v>14</v>
      </c>
      <c r="N9" s="15"/>
      <c r="O9" s="15" t="s">
        <v>83</v>
      </c>
      <c r="P9" s="15"/>
      <c r="Q9" s="15"/>
      <c r="R9" s="15"/>
      <c r="S9" s="15"/>
      <c r="T9" s="17">
        <f>107+160+107+97+178+139+347+271+179+285+95+38</f>
        <v>2003</v>
      </c>
      <c r="U9" s="3"/>
      <c r="V9" s="3"/>
      <c r="W9" s="3"/>
      <c r="X9" s="3"/>
      <c r="Y9" s="3"/>
      <c r="Z9" s="22" t="s">
        <v>97</v>
      </c>
      <c r="AA9" s="3"/>
      <c r="AB9" s="31">
        <v>400</v>
      </c>
      <c r="AC9" s="12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2"/>
    </row>
    <row r="10" spans="1:53" ht="43.5" customHeight="1" x14ac:dyDescent="0.25">
      <c r="A10" s="12">
        <v>7</v>
      </c>
      <c r="B10" s="12" t="s">
        <v>26</v>
      </c>
      <c r="C10" s="12" t="s">
        <v>27</v>
      </c>
      <c r="D10" s="12"/>
      <c r="E10" s="12">
        <v>8299</v>
      </c>
      <c r="F10" s="15" t="s">
        <v>14</v>
      </c>
      <c r="G10" s="15" t="s">
        <v>14</v>
      </c>
      <c r="H10" s="15" t="s">
        <v>14</v>
      </c>
      <c r="I10" s="15"/>
      <c r="J10" s="15" t="s">
        <v>14</v>
      </c>
      <c r="K10" s="15"/>
      <c r="L10" s="15"/>
      <c r="M10" s="15"/>
      <c r="N10" s="15"/>
      <c r="O10" s="15" t="s">
        <v>83</v>
      </c>
      <c r="P10" s="15"/>
      <c r="Q10" s="21" t="s">
        <v>85</v>
      </c>
      <c r="R10" s="15" t="s">
        <v>15</v>
      </c>
      <c r="S10" s="15"/>
      <c r="T10" s="17">
        <f>398+564+120+178+279+309+335+183+327+434+342+288+279+225</f>
        <v>4261</v>
      </c>
      <c r="U10" s="14" t="s">
        <v>85</v>
      </c>
      <c r="V10" s="14" t="s">
        <v>15</v>
      </c>
      <c r="W10" s="18"/>
      <c r="X10" s="18"/>
      <c r="Y10" s="18"/>
      <c r="Z10" s="14" t="s">
        <v>98</v>
      </c>
      <c r="AA10" s="14" t="s">
        <v>99</v>
      </c>
      <c r="AB10" s="12" t="s">
        <v>140</v>
      </c>
      <c r="AC10" s="14" t="s">
        <v>15</v>
      </c>
      <c r="AD10" s="26"/>
      <c r="AE10" s="26"/>
      <c r="AF10" s="26"/>
      <c r="AG10" s="26"/>
      <c r="AH10" s="27" t="s">
        <v>100</v>
      </c>
      <c r="AI10" s="28" t="s">
        <v>81</v>
      </c>
      <c r="AJ10" s="25" t="s">
        <v>101</v>
      </c>
      <c r="AK10" s="26"/>
      <c r="AL10" s="29" t="s">
        <v>102</v>
      </c>
      <c r="AM10" s="22" t="s">
        <v>103</v>
      </c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2"/>
    </row>
    <row r="11" spans="1:53" ht="30.75" customHeight="1" x14ac:dyDescent="0.25">
      <c r="A11" s="12">
        <v>8</v>
      </c>
      <c r="B11" s="25" t="s">
        <v>28</v>
      </c>
      <c r="C11" s="25" t="s">
        <v>29</v>
      </c>
      <c r="D11" s="25" t="s">
        <v>45</v>
      </c>
      <c r="E11" s="25">
        <v>81</v>
      </c>
      <c r="F11" s="79" t="s">
        <v>14</v>
      </c>
      <c r="G11" s="79" t="s">
        <v>14</v>
      </c>
      <c r="H11" s="79" t="s">
        <v>14</v>
      </c>
      <c r="I11" s="79"/>
      <c r="J11" s="79" t="s">
        <v>14</v>
      </c>
      <c r="K11" s="79" t="s">
        <v>14</v>
      </c>
      <c r="L11" s="79" t="s">
        <v>14</v>
      </c>
      <c r="M11" s="79"/>
      <c r="N11" s="79"/>
      <c r="O11" s="79" t="s">
        <v>83</v>
      </c>
      <c r="P11" s="79"/>
      <c r="Q11" s="79"/>
      <c r="R11" s="79"/>
      <c r="S11" s="79"/>
      <c r="T11" s="25">
        <v>77</v>
      </c>
      <c r="U11" s="25" t="s">
        <v>85</v>
      </c>
      <c r="V11" s="25" t="s">
        <v>15</v>
      </c>
      <c r="W11" s="25" t="s">
        <v>86</v>
      </c>
      <c r="X11" s="25" t="s">
        <v>15</v>
      </c>
      <c r="Y11" s="25" t="s">
        <v>87</v>
      </c>
      <c r="Z11" s="25" t="s">
        <v>96</v>
      </c>
      <c r="AA11" s="25"/>
      <c r="AB11" s="25">
        <v>77</v>
      </c>
      <c r="AC11" s="25" t="s">
        <v>15</v>
      </c>
      <c r="AD11" s="25"/>
      <c r="AE11" s="25"/>
      <c r="AF11" s="25"/>
      <c r="AG11" s="25"/>
      <c r="AH11" s="25" t="s">
        <v>104</v>
      </c>
      <c r="AI11" s="25"/>
      <c r="AJ11" s="25"/>
      <c r="AK11" s="25"/>
      <c r="AL11" s="25"/>
      <c r="AM11" s="25"/>
      <c r="AN11" s="25" t="s">
        <v>105</v>
      </c>
      <c r="AO11" s="25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  <c r="BA11" s="24"/>
    </row>
    <row r="12" spans="1:53" ht="30.75" customHeight="1" x14ac:dyDescent="0.25">
      <c r="A12" s="12">
        <v>9</v>
      </c>
      <c r="B12" s="12" t="s">
        <v>30</v>
      </c>
      <c r="C12" s="12" t="s">
        <v>29</v>
      </c>
      <c r="D12" s="12" t="s">
        <v>45</v>
      </c>
      <c r="E12" s="12">
        <v>78</v>
      </c>
      <c r="F12" s="15" t="s">
        <v>14</v>
      </c>
      <c r="G12" s="15"/>
      <c r="H12" s="15"/>
      <c r="I12" s="15"/>
      <c r="J12" s="15"/>
      <c r="K12" s="15" t="s">
        <v>14</v>
      </c>
      <c r="L12" s="15" t="s">
        <v>14</v>
      </c>
      <c r="M12" s="15" t="s">
        <v>14</v>
      </c>
      <c r="N12" s="15"/>
      <c r="O12" s="15"/>
      <c r="P12" s="15"/>
      <c r="Q12" s="15"/>
      <c r="R12" s="15"/>
      <c r="S12" s="15"/>
      <c r="T12" s="12">
        <v>78</v>
      </c>
      <c r="U12" s="12" t="s">
        <v>85</v>
      </c>
      <c r="V12" s="12" t="s">
        <v>15</v>
      </c>
      <c r="W12" s="12"/>
      <c r="X12" s="12"/>
      <c r="Y12" s="12"/>
      <c r="Z12" s="12" t="s">
        <v>96</v>
      </c>
      <c r="AA12" s="16" t="s">
        <v>106</v>
      </c>
      <c r="AB12" s="12">
        <v>81</v>
      </c>
      <c r="AC12" s="12" t="s">
        <v>15</v>
      </c>
      <c r="AD12" s="12"/>
      <c r="AE12" s="12"/>
      <c r="AF12" s="12"/>
      <c r="AG12" s="12"/>
      <c r="AH12" s="12" t="s">
        <v>104</v>
      </c>
      <c r="AI12" s="12"/>
      <c r="AJ12" s="12"/>
      <c r="AK12" s="12"/>
      <c r="AL12" s="12"/>
      <c r="AM12" s="12"/>
      <c r="AN12" s="12" t="s">
        <v>105</v>
      </c>
      <c r="AO12" s="25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  <c r="BA12" s="12" t="s">
        <v>108</v>
      </c>
    </row>
    <row r="13" spans="1:53" ht="31.9" customHeight="1" x14ac:dyDescent="0.25">
      <c r="A13" s="12">
        <v>10</v>
      </c>
      <c r="B13" s="12" t="s">
        <v>31</v>
      </c>
      <c r="C13" s="12" t="s">
        <v>29</v>
      </c>
      <c r="D13" s="12"/>
      <c r="E13" s="12">
        <v>16</v>
      </c>
      <c r="F13" s="15" t="s">
        <v>14</v>
      </c>
      <c r="G13" s="15" t="s">
        <v>14</v>
      </c>
      <c r="H13" s="15" t="s">
        <v>14</v>
      </c>
      <c r="I13" s="15" t="s">
        <v>14</v>
      </c>
      <c r="J13" s="15" t="s">
        <v>14</v>
      </c>
      <c r="K13" s="15"/>
      <c r="L13" s="15"/>
      <c r="M13" s="15"/>
      <c r="N13" s="15"/>
      <c r="O13" s="15"/>
      <c r="P13" s="15"/>
      <c r="Q13" s="15"/>
      <c r="R13" s="15"/>
      <c r="S13" s="15"/>
      <c r="T13" s="12">
        <v>16</v>
      </c>
      <c r="U13" s="12" t="s">
        <v>85</v>
      </c>
      <c r="V13" s="12" t="s">
        <v>15</v>
      </c>
      <c r="W13" s="12" t="s">
        <v>104</v>
      </c>
      <c r="X13" s="12" t="s">
        <v>15</v>
      </c>
      <c r="Y13" s="12" t="s">
        <v>107</v>
      </c>
      <c r="Z13" s="12" t="s">
        <v>104</v>
      </c>
      <c r="AA13" s="16" t="s">
        <v>106</v>
      </c>
      <c r="AB13" s="12">
        <v>81</v>
      </c>
      <c r="AC13" s="12" t="s">
        <v>15</v>
      </c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 t="s">
        <v>108</v>
      </c>
    </row>
    <row r="14" spans="1:53" ht="37.15" customHeight="1" x14ac:dyDescent="0.25">
      <c r="A14" s="12">
        <v>11</v>
      </c>
      <c r="B14" s="25" t="s">
        <v>32</v>
      </c>
      <c r="C14" s="25" t="s">
        <v>33</v>
      </c>
      <c r="D14" s="25" t="s">
        <v>109</v>
      </c>
      <c r="E14" s="25">
        <v>379</v>
      </c>
      <c r="F14" s="79" t="s">
        <v>14</v>
      </c>
      <c r="G14" s="79" t="s">
        <v>14</v>
      </c>
      <c r="H14" s="79" t="s">
        <v>14</v>
      </c>
      <c r="I14" s="79"/>
      <c r="J14" s="79" t="s">
        <v>14</v>
      </c>
      <c r="K14" s="79"/>
      <c r="L14" s="79"/>
      <c r="M14" s="79"/>
      <c r="N14" s="79"/>
      <c r="O14" s="79"/>
      <c r="P14" s="79"/>
      <c r="Q14" s="79"/>
      <c r="R14" s="79"/>
      <c r="S14" s="79"/>
      <c r="T14" s="25">
        <v>367</v>
      </c>
      <c r="U14" s="25" t="s">
        <v>85</v>
      </c>
      <c r="V14" s="25" t="s">
        <v>15</v>
      </c>
      <c r="W14" s="25"/>
      <c r="X14" s="25"/>
      <c r="Y14" s="25"/>
      <c r="Z14" s="25" t="s">
        <v>110</v>
      </c>
      <c r="AA14" s="25" t="s">
        <v>111</v>
      </c>
      <c r="AB14" s="25">
        <v>367</v>
      </c>
      <c r="AC14" s="25" t="s">
        <v>15</v>
      </c>
      <c r="AD14" s="25"/>
      <c r="AE14" s="25"/>
      <c r="AF14" s="25"/>
      <c r="AG14" s="25"/>
      <c r="AH14" s="25" t="s">
        <v>112</v>
      </c>
      <c r="AI14" s="25" t="s">
        <v>84</v>
      </c>
      <c r="AJ14" s="25" t="s">
        <v>113</v>
      </c>
      <c r="AK14" s="23">
        <v>378</v>
      </c>
      <c r="AL14" s="23" t="s">
        <v>15</v>
      </c>
      <c r="AM14" s="20" t="s">
        <v>103</v>
      </c>
      <c r="AN14" s="23" t="s">
        <v>149</v>
      </c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  <c r="BA14" s="24"/>
    </row>
    <row r="15" spans="1:53" ht="39" customHeight="1" x14ac:dyDescent="0.25">
      <c r="A15" s="133">
        <v>12</v>
      </c>
      <c r="B15" s="133" t="s">
        <v>34</v>
      </c>
      <c r="C15" s="133" t="s">
        <v>35</v>
      </c>
      <c r="D15" s="133" t="s">
        <v>114</v>
      </c>
      <c r="E15" s="12">
        <v>1350</v>
      </c>
      <c r="F15" s="15" t="s">
        <v>14</v>
      </c>
      <c r="G15" s="15" t="s">
        <v>14</v>
      </c>
      <c r="H15" s="15"/>
      <c r="I15" s="15"/>
      <c r="J15" s="15" t="s">
        <v>14</v>
      </c>
      <c r="K15" s="15" t="s">
        <v>14</v>
      </c>
      <c r="L15" s="15" t="s">
        <v>14</v>
      </c>
      <c r="M15" s="15" t="s">
        <v>14</v>
      </c>
      <c r="N15" s="15"/>
      <c r="O15" s="15" t="s">
        <v>104</v>
      </c>
      <c r="P15" s="15"/>
      <c r="Q15" s="15"/>
      <c r="R15" s="15"/>
      <c r="S15" s="15"/>
      <c r="T15" s="12">
        <v>1135</v>
      </c>
      <c r="U15" s="12" t="s">
        <v>85</v>
      </c>
      <c r="V15" s="12" t="s">
        <v>15</v>
      </c>
      <c r="W15" s="12"/>
      <c r="X15" s="12"/>
      <c r="Y15" s="12"/>
      <c r="Z15" s="12" t="s">
        <v>96</v>
      </c>
      <c r="AA15" s="23"/>
      <c r="AB15" s="23"/>
      <c r="AC15" s="12" t="s">
        <v>15</v>
      </c>
      <c r="AD15" s="23"/>
      <c r="AE15" s="23"/>
      <c r="AF15" s="23"/>
      <c r="AG15" s="23"/>
      <c r="AH15" s="23" t="s">
        <v>129</v>
      </c>
      <c r="AI15" s="23" t="s">
        <v>84</v>
      </c>
      <c r="AJ15" s="23" t="s">
        <v>130</v>
      </c>
      <c r="AK15" s="23">
        <v>800</v>
      </c>
      <c r="AL15" s="23" t="s">
        <v>15</v>
      </c>
      <c r="AM15" s="23" t="s">
        <v>133</v>
      </c>
      <c r="AN15" s="44" t="s">
        <v>137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2"/>
    </row>
    <row r="16" spans="1:53" ht="36" customHeight="1" x14ac:dyDescent="0.25">
      <c r="A16" s="119"/>
      <c r="B16" s="134"/>
      <c r="C16" s="135"/>
      <c r="D16" s="136"/>
      <c r="E16" s="12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2"/>
      <c r="U16" s="12"/>
      <c r="V16" s="12"/>
      <c r="W16" s="12"/>
      <c r="X16" s="12"/>
      <c r="Y16" s="12"/>
      <c r="Z16" s="12" t="s">
        <v>92</v>
      </c>
      <c r="AA16" s="23"/>
      <c r="AB16" s="23"/>
      <c r="AC16" s="12" t="s">
        <v>15</v>
      </c>
      <c r="AD16" s="23"/>
      <c r="AE16" s="23"/>
      <c r="AF16" s="23"/>
      <c r="AG16" s="23"/>
      <c r="AH16" s="23" t="s">
        <v>131</v>
      </c>
      <c r="AI16" s="23" t="s">
        <v>84</v>
      </c>
      <c r="AJ16" s="23" t="s">
        <v>132</v>
      </c>
      <c r="AK16" s="23">
        <v>600</v>
      </c>
      <c r="AL16" s="23" t="s">
        <v>15</v>
      </c>
      <c r="AM16" s="23" t="s">
        <v>133</v>
      </c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2"/>
    </row>
    <row r="17" spans="1:53" ht="30.75" customHeight="1" x14ac:dyDescent="0.25">
      <c r="A17" s="12">
        <v>13</v>
      </c>
      <c r="B17" s="12" t="s">
        <v>115</v>
      </c>
      <c r="C17" s="19">
        <v>45828</v>
      </c>
      <c r="D17" s="12" t="s">
        <v>40</v>
      </c>
      <c r="E17" s="12">
        <v>81</v>
      </c>
      <c r="F17" s="15"/>
      <c r="G17" s="15"/>
      <c r="H17" s="15"/>
      <c r="I17" s="15"/>
      <c r="J17" s="15"/>
      <c r="K17" s="15" t="s">
        <v>14</v>
      </c>
      <c r="L17" s="15" t="s">
        <v>14</v>
      </c>
      <c r="M17" s="15" t="s">
        <v>14</v>
      </c>
      <c r="N17" s="15"/>
      <c r="O17" s="15" t="s">
        <v>104</v>
      </c>
      <c r="P17" s="15"/>
      <c r="Q17" s="15"/>
      <c r="R17" s="15"/>
      <c r="S17" s="15"/>
      <c r="T17" s="12">
        <v>81</v>
      </c>
      <c r="U17" s="12"/>
      <c r="V17" s="12"/>
      <c r="W17" s="12"/>
      <c r="X17" s="12"/>
      <c r="Y17" s="12"/>
      <c r="Z17" s="12"/>
      <c r="AA17" s="12"/>
      <c r="AB17" s="12"/>
      <c r="AC17" s="12"/>
      <c r="AD17" s="12" t="s">
        <v>110</v>
      </c>
      <c r="AE17" s="12"/>
      <c r="AF17" s="12">
        <v>81</v>
      </c>
      <c r="AG17" s="12" t="s">
        <v>15</v>
      </c>
      <c r="AH17" s="12" t="s">
        <v>110</v>
      </c>
      <c r="AI17" s="12"/>
      <c r="AJ17" s="12"/>
      <c r="AK17" s="23"/>
      <c r="AL17" s="23" t="s">
        <v>15</v>
      </c>
      <c r="AM17" s="23"/>
      <c r="AN17" s="25" t="s">
        <v>105</v>
      </c>
      <c r="AO17" s="25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  <c r="BA17" s="12" t="s">
        <v>108</v>
      </c>
    </row>
    <row r="18" spans="1:53" ht="30.75" customHeight="1" x14ac:dyDescent="0.25">
      <c r="A18" s="12">
        <v>14</v>
      </c>
      <c r="B18" s="12" t="s">
        <v>116</v>
      </c>
      <c r="C18" s="19">
        <v>45829</v>
      </c>
      <c r="D18" s="12" t="s">
        <v>117</v>
      </c>
      <c r="E18" s="12">
        <v>81</v>
      </c>
      <c r="F18" s="15"/>
      <c r="G18" s="15"/>
      <c r="H18" s="15"/>
      <c r="I18" s="15"/>
      <c r="J18" s="15"/>
      <c r="K18" s="15" t="s">
        <v>14</v>
      </c>
      <c r="L18" s="15" t="s">
        <v>14</v>
      </c>
      <c r="M18" s="15" t="s">
        <v>14</v>
      </c>
      <c r="N18" s="15"/>
      <c r="O18" s="15" t="s">
        <v>104</v>
      </c>
      <c r="P18" s="15"/>
      <c r="Q18" s="15"/>
      <c r="R18" s="15"/>
      <c r="S18" s="15"/>
      <c r="T18" s="12">
        <v>81</v>
      </c>
      <c r="U18" s="12"/>
      <c r="V18" s="12"/>
      <c r="W18" s="12"/>
      <c r="X18" s="12"/>
      <c r="Y18" s="12"/>
      <c r="Z18" s="12"/>
      <c r="AA18" s="12"/>
      <c r="AB18" s="12"/>
      <c r="AC18" s="12"/>
      <c r="AD18" s="12" t="s">
        <v>110</v>
      </c>
      <c r="AE18" s="12"/>
      <c r="AF18" s="12">
        <v>81</v>
      </c>
      <c r="AG18" s="12" t="s">
        <v>15</v>
      </c>
      <c r="AH18" s="12" t="s">
        <v>110</v>
      </c>
      <c r="AI18" s="12"/>
      <c r="AJ18" s="12"/>
      <c r="AK18" s="23"/>
      <c r="AL18" s="23" t="s">
        <v>15</v>
      </c>
      <c r="AM18" s="23"/>
      <c r="AN18" s="25" t="s">
        <v>105</v>
      </c>
      <c r="AO18" s="25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  <c r="BA18" s="12" t="s">
        <v>108</v>
      </c>
    </row>
    <row r="19" spans="1:53" ht="40.5" customHeight="1" x14ac:dyDescent="0.25">
      <c r="A19" s="12">
        <v>15</v>
      </c>
      <c r="B19" s="25" t="s">
        <v>36</v>
      </c>
      <c r="C19" s="25" t="s">
        <v>37</v>
      </c>
      <c r="D19" s="25"/>
      <c r="E19" s="25" t="s">
        <v>38</v>
      </c>
      <c r="F19" s="79" t="s">
        <v>14</v>
      </c>
      <c r="G19" s="79" t="s">
        <v>14</v>
      </c>
      <c r="H19" s="79" t="s">
        <v>14</v>
      </c>
      <c r="I19" s="79"/>
      <c r="J19" s="79"/>
      <c r="K19" s="79" t="s">
        <v>14</v>
      </c>
      <c r="L19" s="79" t="s">
        <v>14</v>
      </c>
      <c r="M19" s="79" t="s">
        <v>14</v>
      </c>
      <c r="N19" s="79"/>
      <c r="O19" s="79" t="s">
        <v>104</v>
      </c>
      <c r="P19" s="79"/>
      <c r="Q19" s="79"/>
      <c r="R19" s="79"/>
      <c r="S19" s="79"/>
      <c r="T19" s="25">
        <v>198</v>
      </c>
      <c r="U19" s="25" t="s">
        <v>85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 t="s">
        <v>151</v>
      </c>
      <c r="AI19" s="23"/>
      <c r="AJ19" s="23"/>
      <c r="AK19" s="23"/>
      <c r="AL19" s="23"/>
      <c r="AM19" s="23" t="s">
        <v>151</v>
      </c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  <c r="BA19" s="23" t="s">
        <v>189</v>
      </c>
    </row>
    <row r="20" spans="1:53" ht="30.75" customHeight="1" x14ac:dyDescent="0.25">
      <c r="A20" s="25">
        <v>16</v>
      </c>
      <c r="B20" s="25" t="s">
        <v>39</v>
      </c>
      <c r="C20" s="25" t="s">
        <v>40</v>
      </c>
      <c r="D20" s="25"/>
      <c r="E20" s="25" t="s">
        <v>41</v>
      </c>
      <c r="F20" s="79" t="s">
        <v>14</v>
      </c>
      <c r="G20" s="79" t="s">
        <v>14</v>
      </c>
      <c r="H20" s="79" t="s">
        <v>14</v>
      </c>
      <c r="I20" s="79"/>
      <c r="J20" s="79"/>
      <c r="K20" s="79"/>
      <c r="L20" s="79"/>
      <c r="M20" s="79"/>
      <c r="N20" s="79"/>
      <c r="O20" s="79" t="s">
        <v>104</v>
      </c>
      <c r="P20" s="24"/>
      <c r="Q20" s="24"/>
      <c r="R20" s="24"/>
      <c r="S20" s="24"/>
      <c r="T20" s="23">
        <v>69</v>
      </c>
      <c r="U20" s="23"/>
      <c r="V20" s="23"/>
      <c r="W20" s="23"/>
      <c r="X20" s="23"/>
      <c r="Y20" s="23"/>
      <c r="Z20" s="23"/>
      <c r="AA20" s="23"/>
      <c r="AB20" s="23"/>
      <c r="AC20" s="86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  <c r="BA20" s="24"/>
    </row>
    <row r="21" spans="1:53" ht="30.75" customHeight="1" x14ac:dyDescent="0.25">
      <c r="A21" s="25">
        <v>17</v>
      </c>
      <c r="B21" s="25" t="s">
        <v>42</v>
      </c>
      <c r="C21" s="25" t="s">
        <v>43</v>
      </c>
      <c r="D21" s="25"/>
      <c r="E21" s="25">
        <v>80</v>
      </c>
      <c r="F21" s="79" t="s">
        <v>14</v>
      </c>
      <c r="G21" s="79"/>
      <c r="H21" s="79"/>
      <c r="I21" s="79"/>
      <c r="J21" s="79"/>
      <c r="K21" s="79"/>
      <c r="L21" s="79"/>
      <c r="M21" s="79"/>
      <c r="N21" s="79"/>
      <c r="O21" s="79" t="s">
        <v>136</v>
      </c>
      <c r="P21" s="24"/>
      <c r="Q21" s="24"/>
      <c r="R21" s="24"/>
      <c r="S21" s="24"/>
      <c r="T21" s="23">
        <v>80</v>
      </c>
      <c r="U21" s="23"/>
      <c r="V21" s="23"/>
      <c r="W21" s="23" t="s">
        <v>134</v>
      </c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 t="s">
        <v>134</v>
      </c>
      <c r="AO21" s="23"/>
      <c r="AP21" s="23"/>
      <c r="AQ21" s="23"/>
      <c r="AR21" s="23"/>
      <c r="AS21" s="23"/>
      <c r="AT21" s="23" t="s">
        <v>134</v>
      </c>
      <c r="AU21" s="23"/>
      <c r="AV21" s="23"/>
      <c r="AW21" s="23"/>
      <c r="AX21" s="23"/>
      <c r="AY21" s="23"/>
      <c r="AZ21" s="23"/>
      <c r="BA21" s="24" t="s">
        <v>190</v>
      </c>
    </row>
    <row r="22" spans="1:53" ht="30.75" customHeight="1" x14ac:dyDescent="0.25">
      <c r="A22" s="12">
        <v>18</v>
      </c>
      <c r="B22" s="13" t="s">
        <v>44</v>
      </c>
      <c r="C22" s="12" t="s">
        <v>45</v>
      </c>
      <c r="D22" s="12"/>
      <c r="E22" s="12">
        <v>360</v>
      </c>
      <c r="F22" s="15" t="s">
        <v>14</v>
      </c>
      <c r="G22" s="15"/>
      <c r="H22" s="15"/>
      <c r="I22" s="15"/>
      <c r="J22" s="15"/>
      <c r="K22" s="15"/>
      <c r="L22" s="15"/>
      <c r="M22" s="15"/>
      <c r="N22" s="15"/>
      <c r="O22" s="15" t="s">
        <v>104</v>
      </c>
      <c r="P22" s="24"/>
      <c r="Q22" s="24"/>
      <c r="R22" s="24"/>
      <c r="S22" s="24"/>
      <c r="T22" s="23">
        <v>342</v>
      </c>
      <c r="U22" s="23" t="s">
        <v>85</v>
      </c>
      <c r="V22" s="23"/>
      <c r="W22" s="23"/>
      <c r="X22" s="23"/>
      <c r="Y22" s="23"/>
      <c r="Z22" s="23" t="s">
        <v>133</v>
      </c>
      <c r="AA22" s="23" t="s">
        <v>139</v>
      </c>
      <c r="AB22" s="23">
        <v>100</v>
      </c>
      <c r="AC22" s="23" t="s">
        <v>15</v>
      </c>
      <c r="AD22" s="23"/>
      <c r="AE22" s="23"/>
      <c r="AF22" s="23"/>
      <c r="AG22" s="23"/>
      <c r="AH22" s="23" t="s">
        <v>151</v>
      </c>
      <c r="AI22" s="23"/>
      <c r="AJ22" s="23"/>
      <c r="AK22" s="23"/>
      <c r="AL22" s="23"/>
      <c r="AM22" s="23" t="s">
        <v>151</v>
      </c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2"/>
    </row>
    <row r="23" spans="1:53" ht="30.75" customHeight="1" x14ac:dyDescent="0.25">
      <c r="A23" s="12">
        <v>20</v>
      </c>
      <c r="B23" s="12" t="s">
        <v>46</v>
      </c>
      <c r="C23" s="12" t="s">
        <v>47</v>
      </c>
      <c r="D23" s="12"/>
      <c r="E23" s="12">
        <v>284</v>
      </c>
      <c r="F23" s="15"/>
      <c r="G23" s="15"/>
      <c r="H23" s="15"/>
      <c r="I23" s="15"/>
      <c r="J23" s="15"/>
      <c r="K23" s="15" t="s">
        <v>14</v>
      </c>
      <c r="L23" s="15" t="s">
        <v>14</v>
      </c>
      <c r="M23" s="15" t="s">
        <v>14</v>
      </c>
      <c r="N23" s="15"/>
      <c r="O23" s="15" t="s">
        <v>83</v>
      </c>
      <c r="P23" s="24"/>
      <c r="Q23" s="24"/>
      <c r="R23" s="24"/>
      <c r="S23" s="24"/>
      <c r="T23" s="23">
        <f>138+135</f>
        <v>273</v>
      </c>
      <c r="U23" s="1"/>
      <c r="V23" s="1"/>
      <c r="W23" s="1"/>
      <c r="X23" s="1"/>
      <c r="Y23" s="1"/>
      <c r="Z23" s="1"/>
      <c r="AA23" s="1"/>
      <c r="AB23" s="1"/>
      <c r="AC23" s="32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2"/>
    </row>
    <row r="24" spans="1:53" ht="30.75" customHeight="1" x14ac:dyDescent="0.25">
      <c r="A24" s="25">
        <v>21</v>
      </c>
      <c r="B24" s="25" t="s">
        <v>118</v>
      </c>
      <c r="C24" s="25" t="s">
        <v>114</v>
      </c>
      <c r="D24" s="25"/>
      <c r="E24" s="25">
        <v>250</v>
      </c>
      <c r="F24" s="79"/>
      <c r="G24" s="79"/>
      <c r="H24" s="79"/>
      <c r="I24" s="79"/>
      <c r="J24" s="79"/>
      <c r="K24" s="79"/>
      <c r="L24" s="79"/>
      <c r="M24" s="79"/>
      <c r="N24" s="79"/>
      <c r="O24" s="79" t="s">
        <v>83</v>
      </c>
      <c r="P24" s="24"/>
      <c r="Q24" s="24"/>
      <c r="R24" s="24"/>
      <c r="S24" s="24"/>
      <c r="T24" s="23">
        <v>235</v>
      </c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  <c r="BA24" s="24"/>
    </row>
    <row r="25" spans="1:53" ht="30.75" customHeight="1" x14ac:dyDescent="0.25">
      <c r="A25" s="12">
        <v>22</v>
      </c>
      <c r="B25" s="12" t="s">
        <v>119</v>
      </c>
      <c r="C25" s="12" t="s">
        <v>120</v>
      </c>
      <c r="D25" s="19">
        <v>45876</v>
      </c>
      <c r="E25" s="12">
        <v>423</v>
      </c>
      <c r="F25" s="15" t="s">
        <v>14</v>
      </c>
      <c r="G25" s="15" t="s">
        <v>14</v>
      </c>
      <c r="H25" s="15"/>
      <c r="I25" s="15"/>
      <c r="J25" s="15" t="s">
        <v>14</v>
      </c>
      <c r="K25" s="15" t="s">
        <v>14</v>
      </c>
      <c r="L25" s="15" t="s">
        <v>14</v>
      </c>
      <c r="M25" s="15" t="s">
        <v>14</v>
      </c>
      <c r="N25" s="15" t="s">
        <v>14</v>
      </c>
      <c r="O25" s="15" t="s">
        <v>83</v>
      </c>
      <c r="P25" s="24"/>
      <c r="Q25" s="24"/>
      <c r="R25" s="24"/>
      <c r="S25" s="24"/>
      <c r="T25" s="23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2"/>
    </row>
    <row r="26" spans="1:53" ht="30.75" customHeight="1" x14ac:dyDescent="0.25">
      <c r="A26" s="12">
        <v>23</v>
      </c>
      <c r="B26" s="23" t="s">
        <v>152</v>
      </c>
      <c r="C26" s="23" t="s">
        <v>120</v>
      </c>
      <c r="D26" s="23"/>
      <c r="E26" s="23">
        <v>96</v>
      </c>
      <c r="F26" s="24" t="s">
        <v>14</v>
      </c>
      <c r="G26" s="24" t="s">
        <v>14</v>
      </c>
      <c r="H26" s="24"/>
      <c r="I26" s="24"/>
      <c r="J26" s="24" t="s">
        <v>14</v>
      </c>
      <c r="K26" s="24"/>
      <c r="L26" s="24"/>
      <c r="M26" s="24"/>
      <c r="N26" s="24"/>
      <c r="O26" s="24"/>
      <c r="P26" s="24"/>
      <c r="Q26" s="24"/>
      <c r="R26" s="24"/>
      <c r="S26" s="24"/>
      <c r="T26" s="23">
        <v>87</v>
      </c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2"/>
    </row>
    <row r="27" spans="1:53" ht="30.75" customHeight="1" x14ac:dyDescent="0.25">
      <c r="A27" s="12">
        <v>24</v>
      </c>
      <c r="B27" s="23" t="s">
        <v>153</v>
      </c>
      <c r="C27" s="23" t="s">
        <v>154</v>
      </c>
      <c r="D27" s="23"/>
      <c r="E27" s="23">
        <v>47</v>
      </c>
      <c r="F27" s="24" t="s">
        <v>14</v>
      </c>
      <c r="G27" s="24" t="s">
        <v>14</v>
      </c>
      <c r="H27" s="24" t="s">
        <v>14</v>
      </c>
      <c r="I27" s="24"/>
      <c r="J27" s="24"/>
      <c r="K27" s="24"/>
      <c r="L27" s="24"/>
      <c r="M27" s="24"/>
      <c r="N27" s="24"/>
      <c r="O27" s="24"/>
      <c r="P27" s="2"/>
      <c r="Q27" s="2"/>
      <c r="R27" s="2"/>
      <c r="S27" s="2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2"/>
    </row>
    <row r="28" spans="1:53" ht="30.75" customHeight="1" x14ac:dyDescent="0.25">
      <c r="A28" s="12">
        <v>25</v>
      </c>
      <c r="B28" s="23" t="s">
        <v>155</v>
      </c>
      <c r="C28" s="23" t="s">
        <v>156</v>
      </c>
      <c r="D28" s="23"/>
      <c r="E28" s="23">
        <v>40</v>
      </c>
      <c r="F28" s="24" t="s">
        <v>14</v>
      </c>
      <c r="G28" s="24" t="s">
        <v>14</v>
      </c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3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2"/>
    </row>
    <row r="29" spans="1:53" ht="30.75" customHeight="1" x14ac:dyDescent="0.25">
      <c r="A29" s="12">
        <v>26</v>
      </c>
      <c r="B29" s="23" t="s">
        <v>157</v>
      </c>
      <c r="C29" s="45">
        <v>45784</v>
      </c>
      <c r="D29" s="23"/>
      <c r="E29" s="23">
        <v>160</v>
      </c>
      <c r="F29" s="24" t="s">
        <v>14</v>
      </c>
      <c r="G29" s="24"/>
      <c r="H29" s="24" t="s">
        <v>14</v>
      </c>
      <c r="I29" s="24"/>
      <c r="J29" s="24"/>
      <c r="K29" s="24" t="s">
        <v>14</v>
      </c>
      <c r="L29" s="24" t="s">
        <v>14</v>
      </c>
      <c r="M29" s="24" t="s">
        <v>14</v>
      </c>
      <c r="N29" s="24"/>
      <c r="O29" s="24"/>
      <c r="P29" s="24"/>
      <c r="Q29" s="24"/>
      <c r="R29" s="24"/>
      <c r="S29" s="24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2"/>
    </row>
    <row r="30" spans="1:53" ht="30.75" customHeight="1" x14ac:dyDescent="0.25">
      <c r="A30" s="12">
        <v>27</v>
      </c>
      <c r="B30" s="23" t="s">
        <v>158</v>
      </c>
      <c r="C30" s="45">
        <v>45815</v>
      </c>
      <c r="D30" s="23"/>
      <c r="E30" s="23">
        <v>40</v>
      </c>
      <c r="F30" s="24"/>
      <c r="G30" s="24" t="s">
        <v>14</v>
      </c>
      <c r="H30" s="24"/>
      <c r="I30" s="24"/>
      <c r="J30" s="24"/>
      <c r="K30" s="24" t="s">
        <v>14</v>
      </c>
      <c r="L30" s="24" t="s">
        <v>14</v>
      </c>
      <c r="M30" s="24" t="s">
        <v>14</v>
      </c>
      <c r="N30" s="24"/>
      <c r="O30" s="24"/>
      <c r="P30" s="24"/>
      <c r="Q30" s="24"/>
      <c r="R30" s="24"/>
      <c r="S30" s="24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2"/>
    </row>
    <row r="31" spans="1:53" ht="33.950000000000003" customHeight="1" x14ac:dyDescent="0.25">
      <c r="A31" s="12">
        <v>28</v>
      </c>
      <c r="B31" s="23" t="s">
        <v>159</v>
      </c>
      <c r="C31" s="45">
        <v>45998</v>
      </c>
      <c r="D31" s="23"/>
      <c r="E31" s="23">
        <v>190</v>
      </c>
      <c r="F31" s="24" t="s">
        <v>14</v>
      </c>
      <c r="G31" s="24" t="s">
        <v>14</v>
      </c>
      <c r="H31" s="24"/>
      <c r="I31" s="24"/>
      <c r="J31" s="24"/>
      <c r="K31" s="24" t="s">
        <v>14</v>
      </c>
      <c r="L31" s="24" t="s">
        <v>14</v>
      </c>
      <c r="M31" s="24" t="s">
        <v>14</v>
      </c>
      <c r="N31" s="24"/>
      <c r="O31" s="24"/>
      <c r="P31" s="24"/>
      <c r="Q31" s="24"/>
      <c r="R31" s="24"/>
      <c r="S31" s="24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2"/>
    </row>
    <row r="32" spans="1:53" ht="33.950000000000003" customHeight="1" x14ac:dyDescent="0.25">
      <c r="A32" s="13">
        <v>29</v>
      </c>
      <c r="B32" s="48" t="s">
        <v>160</v>
      </c>
      <c r="C32" s="48" t="s">
        <v>161</v>
      </c>
      <c r="D32" s="48"/>
      <c r="E32" s="48">
        <v>50</v>
      </c>
      <c r="F32" s="49" t="s">
        <v>14</v>
      </c>
      <c r="G32" s="49" t="s">
        <v>14</v>
      </c>
      <c r="H32" s="49"/>
      <c r="I32" s="49"/>
      <c r="J32" s="49" t="s">
        <v>14</v>
      </c>
      <c r="K32" s="49"/>
      <c r="L32" s="49"/>
      <c r="M32" s="49"/>
      <c r="N32" s="49"/>
      <c r="O32" s="49"/>
      <c r="P32" s="49"/>
      <c r="Q32" s="49"/>
      <c r="R32" s="49"/>
      <c r="S32" s="49"/>
      <c r="T32" s="50"/>
      <c r="U32" s="50"/>
      <c r="V32" s="50"/>
      <c r="W32" s="50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  <c r="AW32" s="50"/>
      <c r="AX32" s="50"/>
      <c r="AY32" s="50"/>
      <c r="AZ32" s="50"/>
      <c r="BA32" s="51"/>
    </row>
    <row r="33" spans="1:53" s="59" customFormat="1" ht="33.950000000000003" customHeight="1" x14ac:dyDescent="0.25">
      <c r="A33" s="12">
        <v>30</v>
      </c>
      <c r="B33" s="69" t="s">
        <v>179</v>
      </c>
      <c r="C33" s="69" t="s">
        <v>180</v>
      </c>
      <c r="D33" s="70"/>
      <c r="E33" s="91">
        <v>1100</v>
      </c>
      <c r="F33" s="58"/>
      <c r="G33" s="58"/>
      <c r="H33" s="58"/>
      <c r="I33" s="58"/>
      <c r="J33" s="58"/>
      <c r="K33" s="58" t="s">
        <v>14</v>
      </c>
      <c r="L33" s="58"/>
      <c r="M33" s="58" t="s">
        <v>14</v>
      </c>
      <c r="N33" s="58"/>
      <c r="O33" s="58"/>
      <c r="P33" s="58"/>
      <c r="Q33" s="58"/>
      <c r="R33" s="58"/>
      <c r="S33" s="58"/>
      <c r="T33" s="91">
        <f>176+163+232</f>
        <v>571</v>
      </c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</row>
    <row r="34" spans="1:53" s="59" customFormat="1" ht="33.950000000000003" customHeight="1" x14ac:dyDescent="0.25">
      <c r="A34" s="13">
        <v>31</v>
      </c>
      <c r="B34" s="61" t="s">
        <v>191</v>
      </c>
      <c r="C34" s="62" t="s">
        <v>181</v>
      </c>
      <c r="D34" s="63"/>
      <c r="E34" s="62">
        <v>130</v>
      </c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91">
        <v>106</v>
      </c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</row>
    <row r="35" spans="1:53" s="59" customFormat="1" ht="33.950000000000003" customHeight="1" x14ac:dyDescent="0.25">
      <c r="A35" s="12">
        <v>32</v>
      </c>
      <c r="B35" s="64" t="s">
        <v>159</v>
      </c>
      <c r="C35" s="65">
        <v>45850</v>
      </c>
      <c r="D35" s="64"/>
      <c r="E35" s="64">
        <v>190</v>
      </c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91">
        <v>206</v>
      </c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</row>
    <row r="36" spans="1:53" s="59" customFormat="1" ht="33.950000000000003" customHeight="1" x14ac:dyDescent="0.25">
      <c r="A36" s="13">
        <v>33</v>
      </c>
      <c r="B36" s="61" t="s">
        <v>182</v>
      </c>
      <c r="C36" s="62" t="s">
        <v>183</v>
      </c>
      <c r="D36" s="63"/>
      <c r="E36" s="62">
        <v>120</v>
      </c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5"/>
      <c r="U36" s="58"/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</row>
    <row r="37" spans="1:53" s="59" customFormat="1" ht="33.950000000000003" customHeight="1" x14ac:dyDescent="0.25">
      <c r="A37" s="12">
        <v>34</v>
      </c>
      <c r="B37" s="61" t="s">
        <v>184</v>
      </c>
      <c r="C37" s="62" t="s">
        <v>185</v>
      </c>
      <c r="D37" s="63"/>
      <c r="E37" s="62">
        <v>610</v>
      </c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91">
        <v>562</v>
      </c>
      <c r="U37" s="58"/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8"/>
      <c r="AQ37" s="58"/>
      <c r="AR37" s="58"/>
      <c r="AS37" s="58"/>
      <c r="AT37" s="58"/>
      <c r="AU37" s="58"/>
      <c r="AV37" s="58"/>
      <c r="AW37" s="58"/>
      <c r="AX37" s="58"/>
      <c r="AY37" s="58"/>
      <c r="AZ37" s="58"/>
      <c r="BA37" s="58"/>
    </row>
    <row r="38" spans="1:53" s="59" customFormat="1" ht="33.950000000000003" customHeight="1" x14ac:dyDescent="0.25">
      <c r="A38" s="13">
        <v>35</v>
      </c>
      <c r="B38" s="61" t="s">
        <v>186</v>
      </c>
      <c r="C38" s="62" t="s">
        <v>187</v>
      </c>
      <c r="D38" s="63"/>
      <c r="E38" s="62">
        <v>2290</v>
      </c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5"/>
      <c r="U38" s="58"/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8"/>
      <c r="AL38" s="58"/>
      <c r="AM38" s="58"/>
      <c r="AN38" s="58"/>
      <c r="AO38" s="58"/>
      <c r="AP38" s="58"/>
      <c r="AQ38" s="58"/>
      <c r="AR38" s="58"/>
      <c r="AS38" s="58"/>
      <c r="AT38" s="58"/>
      <c r="AU38" s="58"/>
      <c r="AV38" s="58"/>
      <c r="AW38" s="58"/>
      <c r="AX38" s="58"/>
      <c r="AY38" s="58"/>
      <c r="AZ38" s="58"/>
      <c r="BA38" s="58"/>
    </row>
    <row r="39" spans="1:53" s="59" customFormat="1" ht="33.950000000000003" customHeight="1" x14ac:dyDescent="0.25">
      <c r="A39" s="12">
        <v>36</v>
      </c>
      <c r="B39" s="68"/>
      <c r="C39" s="66"/>
      <c r="D39" s="67"/>
      <c r="E39" s="66"/>
      <c r="F39" s="58"/>
      <c r="G39" s="58"/>
      <c r="H39" s="58"/>
      <c r="I39" s="58"/>
      <c r="J39" s="58"/>
      <c r="K39" s="58"/>
      <c r="L39" s="58"/>
      <c r="M39" s="58"/>
      <c r="N39" s="58"/>
      <c r="O39" s="58"/>
      <c r="P39" s="58"/>
      <c r="Q39" s="58"/>
      <c r="R39" s="58"/>
      <c r="S39" s="58"/>
      <c r="T39" s="55"/>
      <c r="U39" s="58"/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8"/>
      <c r="AL39" s="58"/>
      <c r="AM39" s="58"/>
      <c r="AN39" s="58"/>
      <c r="AO39" s="58"/>
      <c r="AP39" s="58"/>
      <c r="AQ39" s="58"/>
      <c r="AR39" s="58"/>
      <c r="AS39" s="58"/>
      <c r="AT39" s="58"/>
      <c r="AU39" s="58"/>
      <c r="AV39" s="58"/>
      <c r="AW39" s="58"/>
      <c r="AX39" s="58"/>
      <c r="AY39" s="58"/>
      <c r="AZ39" s="58"/>
      <c r="BA39" s="58"/>
    </row>
    <row r="40" spans="1:53" s="59" customFormat="1" ht="33.950000000000003" customHeight="1" x14ac:dyDescent="0.25">
      <c r="A40" s="13">
        <v>37</v>
      </c>
      <c r="B40" s="35"/>
      <c r="C40" s="35"/>
      <c r="D40" s="58"/>
      <c r="E40" s="55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5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8"/>
      <c r="AS40" s="58"/>
      <c r="AT40" s="58"/>
      <c r="AU40" s="58"/>
      <c r="AV40" s="58"/>
      <c r="AW40" s="58"/>
      <c r="AX40" s="58"/>
      <c r="AY40" s="58"/>
      <c r="AZ40" s="58"/>
      <c r="BA40" s="58"/>
    </row>
    <row r="41" spans="1:53" s="59" customFormat="1" ht="33.950000000000003" customHeight="1" x14ac:dyDescent="0.25">
      <c r="A41" s="12">
        <v>38</v>
      </c>
      <c r="B41" s="35"/>
      <c r="C41" s="35"/>
      <c r="D41" s="58"/>
      <c r="E41" s="55"/>
      <c r="F41" s="58"/>
      <c r="G41" s="58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8"/>
      <c r="S41" s="58"/>
      <c r="T41" s="55"/>
      <c r="U41" s="58"/>
      <c r="V41" s="58"/>
      <c r="W41" s="58"/>
      <c r="X41" s="58"/>
      <c r="Y41" s="58"/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8"/>
      <c r="AL41" s="58"/>
      <c r="AM41" s="58"/>
      <c r="AN41" s="58"/>
      <c r="AO41" s="58"/>
      <c r="AP41" s="58"/>
      <c r="AQ41" s="58"/>
      <c r="AR41" s="58"/>
      <c r="AS41" s="58"/>
      <c r="AT41" s="58"/>
      <c r="AU41" s="58"/>
      <c r="AV41" s="58"/>
      <c r="AW41" s="58"/>
      <c r="AX41" s="58"/>
      <c r="AY41" s="58"/>
      <c r="AZ41" s="58"/>
      <c r="BA41" s="58"/>
    </row>
    <row r="42" spans="1:53" s="59" customFormat="1" ht="33.950000000000003" customHeight="1" x14ac:dyDescent="0.25">
      <c r="A42" s="13">
        <v>39</v>
      </c>
      <c r="B42" s="35"/>
      <c r="C42" s="35"/>
      <c r="D42" s="58"/>
      <c r="E42" s="55"/>
      <c r="F42" s="58"/>
      <c r="G42" s="58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8"/>
      <c r="S42" s="58"/>
      <c r="T42" s="55"/>
      <c r="U42" s="58"/>
      <c r="V42" s="58"/>
      <c r="W42" s="58"/>
      <c r="X42" s="58"/>
      <c r="Y42" s="58"/>
      <c r="Z42" s="58"/>
      <c r="AA42" s="58"/>
      <c r="AB42" s="58"/>
      <c r="AC42" s="58"/>
      <c r="AD42" s="58"/>
      <c r="AE42" s="58"/>
      <c r="AF42" s="58"/>
      <c r="AG42" s="58"/>
      <c r="AH42" s="58"/>
      <c r="AI42" s="58"/>
      <c r="AJ42" s="58"/>
      <c r="AK42" s="58"/>
      <c r="AL42" s="58"/>
      <c r="AM42" s="58"/>
      <c r="AN42" s="58"/>
      <c r="AO42" s="58"/>
      <c r="AP42" s="58"/>
      <c r="AQ42" s="58"/>
      <c r="AR42" s="58"/>
      <c r="AS42" s="58"/>
      <c r="AT42" s="58"/>
      <c r="AU42" s="58"/>
      <c r="AV42" s="58"/>
      <c r="AW42" s="58"/>
      <c r="AX42" s="58"/>
      <c r="AY42" s="58"/>
      <c r="AZ42" s="58"/>
      <c r="BA42" s="58"/>
    </row>
    <row r="43" spans="1:53" s="59" customFormat="1" ht="33.950000000000003" customHeight="1" x14ac:dyDescent="0.25">
      <c r="A43" s="12">
        <v>40</v>
      </c>
      <c r="B43" s="35"/>
      <c r="C43" s="35"/>
      <c r="D43" s="58"/>
      <c r="E43" s="55"/>
      <c r="F43" s="58"/>
      <c r="G43" s="58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8"/>
      <c r="T43" s="55"/>
      <c r="U43" s="58"/>
      <c r="V43" s="58"/>
      <c r="W43" s="58"/>
      <c r="X43" s="58"/>
      <c r="Y43" s="58"/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8"/>
      <c r="AL43" s="58"/>
      <c r="AM43" s="58"/>
      <c r="AN43" s="58"/>
      <c r="AO43" s="58"/>
      <c r="AP43" s="58"/>
      <c r="AQ43" s="58"/>
      <c r="AR43" s="58"/>
      <c r="AS43" s="58"/>
      <c r="AT43" s="58"/>
      <c r="AU43" s="58"/>
      <c r="AV43" s="58"/>
      <c r="AW43" s="58"/>
      <c r="AX43" s="58"/>
      <c r="AY43" s="58"/>
      <c r="AZ43" s="58"/>
      <c r="BA43" s="58"/>
    </row>
    <row r="44" spans="1:53" s="59" customFormat="1" ht="33.950000000000003" customHeight="1" x14ac:dyDescent="0.25">
      <c r="A44" s="13">
        <v>41</v>
      </c>
      <c r="B44" s="35"/>
      <c r="C44" s="35"/>
      <c r="D44" s="58"/>
      <c r="E44" s="55"/>
      <c r="F44" s="58"/>
      <c r="G44" s="58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5"/>
      <c r="U44" s="58"/>
      <c r="V44" s="58"/>
      <c r="W44" s="58"/>
      <c r="X44" s="58"/>
      <c r="Y44" s="58"/>
      <c r="Z44" s="58"/>
      <c r="AA44" s="58"/>
      <c r="AB44" s="58"/>
      <c r="AC44" s="58"/>
      <c r="AD44" s="58"/>
      <c r="AE44" s="58"/>
      <c r="AF44" s="58"/>
      <c r="AG44" s="58"/>
      <c r="AH44" s="58"/>
      <c r="AI44" s="58"/>
      <c r="AJ44" s="58"/>
      <c r="AK44" s="58"/>
      <c r="AL44" s="58"/>
      <c r="AM44" s="58"/>
      <c r="AN44" s="58"/>
      <c r="AO44" s="58"/>
      <c r="AP44" s="58"/>
      <c r="AQ44" s="58"/>
      <c r="AR44" s="58"/>
      <c r="AS44" s="58"/>
      <c r="AT44" s="58"/>
      <c r="AU44" s="58"/>
      <c r="AV44" s="58"/>
      <c r="AW44" s="58"/>
      <c r="AX44" s="58"/>
      <c r="AY44" s="58"/>
      <c r="AZ44" s="58"/>
      <c r="BA44" s="58"/>
    </row>
    <row r="45" spans="1:53" s="59" customFormat="1" ht="33.950000000000003" customHeight="1" x14ac:dyDescent="0.25">
      <c r="A45" s="12">
        <v>42</v>
      </c>
      <c r="B45" s="35"/>
      <c r="C45" s="35"/>
      <c r="D45" s="58"/>
      <c r="E45" s="55"/>
      <c r="F45" s="58"/>
      <c r="G45" s="58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5"/>
      <c r="U45" s="58"/>
      <c r="V45" s="58"/>
      <c r="W45" s="58"/>
      <c r="X45" s="58"/>
      <c r="Y45" s="58"/>
      <c r="Z45" s="58"/>
      <c r="AA45" s="58"/>
      <c r="AB45" s="58"/>
      <c r="AC45" s="58"/>
      <c r="AD45" s="58"/>
      <c r="AE45" s="58"/>
      <c r="AF45" s="58"/>
      <c r="AG45" s="58"/>
      <c r="AH45" s="58"/>
      <c r="AI45" s="58"/>
      <c r="AJ45" s="58"/>
      <c r="AK45" s="58"/>
      <c r="AL45" s="58"/>
      <c r="AM45" s="58"/>
      <c r="AN45" s="58"/>
      <c r="AO45" s="58"/>
      <c r="AP45" s="58"/>
      <c r="AQ45" s="58"/>
      <c r="AR45" s="58"/>
      <c r="AS45" s="58"/>
      <c r="AT45" s="58"/>
      <c r="AU45" s="58"/>
      <c r="AV45" s="58"/>
      <c r="AW45" s="58"/>
      <c r="AX45" s="58"/>
      <c r="AY45" s="58"/>
      <c r="AZ45" s="58"/>
      <c r="BA45" s="58"/>
    </row>
    <row r="46" spans="1:53" s="59" customFormat="1" ht="33.950000000000003" customHeight="1" x14ac:dyDescent="0.25">
      <c r="A46" s="13">
        <v>43</v>
      </c>
      <c r="B46" s="35"/>
      <c r="C46" s="35"/>
      <c r="D46" s="58"/>
      <c r="E46" s="55"/>
      <c r="F46" s="58"/>
      <c r="G46" s="58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5"/>
      <c r="U46" s="58"/>
      <c r="V46" s="58"/>
      <c r="W46" s="58"/>
      <c r="X46" s="58"/>
      <c r="Y46" s="58"/>
      <c r="Z46" s="58"/>
      <c r="AA46" s="58"/>
      <c r="AB46" s="58"/>
      <c r="AC46" s="58"/>
      <c r="AD46" s="58"/>
      <c r="AE46" s="58"/>
      <c r="AF46" s="58"/>
      <c r="AG46" s="58"/>
      <c r="AH46" s="58"/>
      <c r="AI46" s="58"/>
      <c r="AJ46" s="58"/>
      <c r="AK46" s="58"/>
      <c r="AL46" s="58"/>
      <c r="AM46" s="58"/>
      <c r="AN46" s="58"/>
      <c r="AO46" s="58"/>
      <c r="AP46" s="58"/>
      <c r="AQ46" s="58"/>
      <c r="AR46" s="58"/>
      <c r="AS46" s="58"/>
      <c r="AT46" s="58"/>
      <c r="AU46" s="58"/>
      <c r="AV46" s="58"/>
      <c r="AW46" s="58"/>
      <c r="AX46" s="58"/>
      <c r="AY46" s="58"/>
      <c r="AZ46" s="58"/>
      <c r="BA46" s="58"/>
    </row>
    <row r="47" spans="1:53" s="59" customFormat="1" ht="33.950000000000003" customHeight="1" x14ac:dyDescent="0.25">
      <c r="A47" s="12">
        <v>44</v>
      </c>
      <c r="B47" s="35"/>
      <c r="C47" s="35"/>
      <c r="D47" s="58"/>
      <c r="E47" s="55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5"/>
      <c r="U47" s="58"/>
      <c r="V47" s="58"/>
      <c r="W47" s="58"/>
      <c r="X47" s="58"/>
      <c r="Y47" s="58"/>
      <c r="Z47" s="58"/>
      <c r="AA47" s="58"/>
      <c r="AB47" s="58"/>
      <c r="AC47" s="58"/>
      <c r="AD47" s="58"/>
      <c r="AE47" s="58"/>
      <c r="AF47" s="58"/>
      <c r="AG47" s="58"/>
      <c r="AH47" s="58"/>
      <c r="AI47" s="58"/>
      <c r="AJ47" s="58"/>
      <c r="AK47" s="58"/>
      <c r="AL47" s="58"/>
      <c r="AM47" s="58"/>
      <c r="AN47" s="58"/>
      <c r="AO47" s="58"/>
      <c r="AP47" s="58"/>
      <c r="AQ47" s="58"/>
      <c r="AR47" s="58"/>
      <c r="AS47" s="58"/>
      <c r="AT47" s="58"/>
      <c r="AU47" s="58"/>
      <c r="AV47" s="58"/>
      <c r="AW47" s="58"/>
      <c r="AX47" s="58"/>
      <c r="AY47" s="58"/>
      <c r="AZ47" s="58"/>
      <c r="BA47" s="58"/>
    </row>
    <row r="48" spans="1:53" s="59" customFormat="1" ht="33.950000000000003" customHeight="1" x14ac:dyDescent="0.25">
      <c r="A48" s="13">
        <v>45</v>
      </c>
      <c r="B48" s="60"/>
      <c r="C48" s="60"/>
      <c r="E48" s="56"/>
      <c r="T48" s="56"/>
    </row>
    <row r="49" spans="1:20" s="59" customFormat="1" ht="33.950000000000003" customHeight="1" x14ac:dyDescent="0.25">
      <c r="A49" s="12">
        <v>46</v>
      </c>
      <c r="B49" s="60"/>
      <c r="C49" s="60"/>
      <c r="E49" s="56"/>
      <c r="T49" s="56"/>
    </row>
    <row r="50" spans="1:20" s="59" customFormat="1" ht="33.950000000000003" customHeight="1" x14ac:dyDescent="0.25">
      <c r="A50" s="13">
        <v>47</v>
      </c>
      <c r="B50" s="60"/>
      <c r="C50" s="60"/>
      <c r="E50" s="56"/>
      <c r="T50" s="56"/>
    </row>
    <row r="51" spans="1:20" s="59" customFormat="1" ht="33.950000000000003" customHeight="1" x14ac:dyDescent="0.25">
      <c r="A51" s="12">
        <v>48</v>
      </c>
      <c r="B51" s="60"/>
      <c r="C51" s="60"/>
      <c r="E51" s="56"/>
      <c r="T51" s="56"/>
    </row>
    <row r="52" spans="1:20" s="59" customFormat="1" ht="33.950000000000003" customHeight="1" x14ac:dyDescent="0.25">
      <c r="A52" s="13">
        <v>49</v>
      </c>
      <c r="B52" s="60"/>
      <c r="C52" s="60"/>
      <c r="E52" s="56"/>
      <c r="T52" s="56"/>
    </row>
    <row r="53" spans="1:20" s="59" customFormat="1" ht="33.950000000000003" customHeight="1" x14ac:dyDescent="0.25">
      <c r="A53" s="12">
        <v>50</v>
      </c>
      <c r="B53" s="60"/>
      <c r="C53" s="60"/>
      <c r="E53" s="56"/>
      <c r="T53" s="56"/>
    </row>
    <row r="54" spans="1:20" s="59" customFormat="1" ht="33.950000000000003" customHeight="1" x14ac:dyDescent="0.25">
      <c r="A54" s="13">
        <v>51</v>
      </c>
      <c r="B54" s="60"/>
      <c r="C54" s="60"/>
      <c r="E54" s="56"/>
      <c r="T54" s="56"/>
    </row>
    <row r="55" spans="1:20" s="59" customFormat="1" ht="33.950000000000003" customHeight="1" x14ac:dyDescent="0.25">
      <c r="A55" s="12">
        <v>52</v>
      </c>
      <c r="B55" s="60"/>
      <c r="C55" s="60"/>
      <c r="E55" s="56"/>
      <c r="T55" s="56"/>
    </row>
    <row r="56" spans="1:20" s="59" customFormat="1" ht="33.950000000000003" customHeight="1" x14ac:dyDescent="0.25">
      <c r="A56" s="13">
        <v>53</v>
      </c>
      <c r="B56" s="60"/>
      <c r="C56" s="60"/>
      <c r="E56" s="56"/>
      <c r="T56" s="56"/>
    </row>
    <row r="57" spans="1:20" s="59" customFormat="1" ht="33.950000000000003" customHeight="1" x14ac:dyDescent="0.25">
      <c r="A57" s="12">
        <v>54</v>
      </c>
      <c r="B57" s="60"/>
      <c r="C57" s="60"/>
      <c r="E57" s="56"/>
      <c r="T57" s="56"/>
    </row>
    <row r="58" spans="1:20" s="59" customFormat="1" ht="33.950000000000003" customHeight="1" x14ac:dyDescent="0.25">
      <c r="A58" s="13">
        <v>55</v>
      </c>
      <c r="B58" s="60"/>
      <c r="C58" s="60"/>
      <c r="E58" s="56"/>
      <c r="T58" s="56"/>
    </row>
    <row r="59" spans="1:20" s="59" customFormat="1" ht="33.950000000000003" customHeight="1" x14ac:dyDescent="0.25">
      <c r="A59" s="12">
        <v>56</v>
      </c>
      <c r="B59" s="60"/>
      <c r="C59" s="60"/>
      <c r="E59" s="56"/>
      <c r="T59" s="56"/>
    </row>
    <row r="60" spans="1:20" s="59" customFormat="1" ht="33.950000000000003" customHeight="1" x14ac:dyDescent="0.25">
      <c r="A60" s="13">
        <v>57</v>
      </c>
      <c r="B60" s="60"/>
      <c r="C60" s="60"/>
      <c r="E60" s="56"/>
      <c r="T60" s="56"/>
    </row>
    <row r="61" spans="1:20" s="59" customFormat="1" ht="33.950000000000003" customHeight="1" x14ac:dyDescent="0.25">
      <c r="A61" s="12">
        <v>58</v>
      </c>
      <c r="B61" s="60"/>
      <c r="C61" s="60"/>
      <c r="E61" s="56"/>
      <c r="T61" s="56"/>
    </row>
    <row r="62" spans="1:20" s="59" customFormat="1" ht="33.950000000000003" customHeight="1" x14ac:dyDescent="0.25">
      <c r="A62" s="13">
        <v>59</v>
      </c>
      <c r="B62" s="60"/>
      <c r="C62" s="60"/>
      <c r="E62" s="56"/>
      <c r="T62" s="56"/>
    </row>
    <row r="63" spans="1:20" s="59" customFormat="1" ht="33.950000000000003" customHeight="1" x14ac:dyDescent="0.25">
      <c r="A63" s="12">
        <v>60</v>
      </c>
      <c r="B63" s="60"/>
      <c r="C63" s="60"/>
      <c r="E63" s="56"/>
      <c r="T63" s="56"/>
    </row>
    <row r="64" spans="1:20" s="59" customFormat="1" ht="33.950000000000003" customHeight="1" x14ac:dyDescent="0.25">
      <c r="A64" s="13">
        <v>61</v>
      </c>
      <c r="B64" s="60"/>
      <c r="C64" s="60"/>
      <c r="E64" s="56"/>
      <c r="T64" s="56"/>
    </row>
    <row r="65" spans="1:20" s="59" customFormat="1" ht="33.950000000000003" customHeight="1" x14ac:dyDescent="0.25">
      <c r="A65" s="12">
        <v>62</v>
      </c>
      <c r="B65" s="60"/>
      <c r="C65" s="60"/>
      <c r="E65" s="56"/>
      <c r="T65" s="56"/>
    </row>
    <row r="66" spans="1:20" s="59" customFormat="1" ht="33.950000000000003" customHeight="1" x14ac:dyDescent="0.25">
      <c r="A66" s="13">
        <v>63</v>
      </c>
      <c r="B66" s="60"/>
      <c r="C66" s="60"/>
      <c r="E66" s="56"/>
      <c r="T66" s="56"/>
    </row>
    <row r="67" spans="1:20" s="59" customFormat="1" ht="33.950000000000003" customHeight="1" x14ac:dyDescent="0.25">
      <c r="A67" s="12">
        <v>64</v>
      </c>
      <c r="B67" s="60"/>
      <c r="C67" s="60"/>
      <c r="E67" s="56"/>
      <c r="T67" s="56"/>
    </row>
    <row r="68" spans="1:20" s="59" customFormat="1" ht="33.950000000000003" customHeight="1" x14ac:dyDescent="0.25">
      <c r="B68" s="60"/>
      <c r="C68" s="60"/>
      <c r="E68" s="56"/>
      <c r="T68" s="56"/>
    </row>
    <row r="69" spans="1:20" s="59" customFormat="1" ht="33.950000000000003" customHeight="1" x14ac:dyDescent="0.25">
      <c r="B69" s="60"/>
      <c r="C69" s="60"/>
      <c r="E69" s="56"/>
      <c r="T69" s="56"/>
    </row>
    <row r="70" spans="1:20" s="59" customFormat="1" ht="33.950000000000003" customHeight="1" x14ac:dyDescent="0.25">
      <c r="B70" s="60"/>
      <c r="C70" s="60"/>
      <c r="E70" s="56"/>
      <c r="T70" s="56"/>
    </row>
    <row r="71" spans="1:20" s="59" customFormat="1" ht="33.950000000000003" customHeight="1" x14ac:dyDescent="0.25">
      <c r="B71" s="60"/>
      <c r="C71" s="60"/>
      <c r="E71" s="56"/>
      <c r="T71" s="56"/>
    </row>
    <row r="72" spans="1:20" s="59" customFormat="1" ht="33.950000000000003" customHeight="1" x14ac:dyDescent="0.25">
      <c r="B72" s="60"/>
      <c r="C72" s="60"/>
      <c r="E72" s="56"/>
      <c r="T72" s="56"/>
    </row>
    <row r="73" spans="1:20" s="59" customFormat="1" ht="33.950000000000003" customHeight="1" x14ac:dyDescent="0.25">
      <c r="B73" s="60"/>
      <c r="C73" s="60"/>
      <c r="E73" s="56"/>
      <c r="T73" s="56"/>
    </row>
    <row r="74" spans="1:20" s="59" customFormat="1" ht="33.950000000000003" customHeight="1" x14ac:dyDescent="0.25">
      <c r="B74" s="60"/>
      <c r="C74" s="60"/>
      <c r="E74" s="56"/>
      <c r="T74" s="56"/>
    </row>
    <row r="75" spans="1:20" s="59" customFormat="1" ht="33.950000000000003" customHeight="1" x14ac:dyDescent="0.25">
      <c r="B75" s="60"/>
      <c r="C75" s="60"/>
      <c r="E75" s="56"/>
      <c r="T75" s="56"/>
    </row>
    <row r="76" spans="1:20" s="59" customFormat="1" ht="33.950000000000003" customHeight="1" x14ac:dyDescent="0.25">
      <c r="B76" s="60"/>
      <c r="C76" s="60"/>
      <c r="E76" s="56"/>
      <c r="T76" s="56"/>
    </row>
    <row r="77" spans="1:20" s="59" customFormat="1" ht="33.950000000000003" customHeight="1" x14ac:dyDescent="0.25">
      <c r="B77" s="60"/>
      <c r="C77" s="60"/>
      <c r="E77" s="56"/>
      <c r="T77" s="56"/>
    </row>
    <row r="78" spans="1:20" s="59" customFormat="1" ht="33.950000000000003" customHeight="1" x14ac:dyDescent="0.25">
      <c r="B78" s="60"/>
      <c r="C78" s="60"/>
      <c r="E78" s="56"/>
      <c r="T78" s="56"/>
    </row>
    <row r="79" spans="1:20" s="59" customFormat="1" ht="33.950000000000003" customHeight="1" x14ac:dyDescent="0.25">
      <c r="B79" s="60"/>
      <c r="C79" s="60"/>
      <c r="E79" s="56"/>
      <c r="T79" s="56"/>
    </row>
    <row r="80" spans="1:20" s="59" customFormat="1" ht="33.950000000000003" customHeight="1" x14ac:dyDescent="0.25">
      <c r="B80" s="60"/>
      <c r="C80" s="60"/>
      <c r="E80" s="56"/>
      <c r="T80" s="56"/>
    </row>
    <row r="81" spans="2:20" s="59" customFormat="1" ht="33.950000000000003" customHeight="1" x14ac:dyDescent="0.25">
      <c r="B81" s="60"/>
      <c r="C81" s="60"/>
      <c r="E81" s="56"/>
      <c r="T81" s="56"/>
    </row>
    <row r="82" spans="2:20" s="59" customFormat="1" ht="33.950000000000003" customHeight="1" x14ac:dyDescent="0.25">
      <c r="B82" s="60"/>
      <c r="C82" s="60"/>
      <c r="E82" s="56"/>
      <c r="T82" s="56"/>
    </row>
    <row r="83" spans="2:20" s="59" customFormat="1" ht="33.950000000000003" customHeight="1" x14ac:dyDescent="0.25">
      <c r="B83" s="60"/>
      <c r="C83" s="60"/>
      <c r="E83" s="56"/>
      <c r="T83" s="56"/>
    </row>
    <row r="84" spans="2:20" s="59" customFormat="1" ht="33.950000000000003" customHeight="1" x14ac:dyDescent="0.25">
      <c r="B84" s="60"/>
      <c r="C84" s="60"/>
      <c r="E84" s="56"/>
      <c r="T84" s="56"/>
    </row>
    <row r="85" spans="2:20" s="59" customFormat="1" ht="33.950000000000003" customHeight="1" x14ac:dyDescent="0.25">
      <c r="B85" s="60"/>
      <c r="C85" s="60"/>
      <c r="E85" s="56"/>
      <c r="T85" s="56"/>
    </row>
    <row r="86" spans="2:20" s="59" customFormat="1" ht="33.950000000000003" customHeight="1" x14ac:dyDescent="0.25">
      <c r="B86" s="60"/>
      <c r="C86" s="60"/>
      <c r="E86" s="56"/>
      <c r="T86" s="56"/>
    </row>
    <row r="87" spans="2:20" s="59" customFormat="1" ht="33.950000000000003" customHeight="1" x14ac:dyDescent="0.25">
      <c r="B87" s="60"/>
      <c r="C87" s="60"/>
      <c r="E87" s="56"/>
      <c r="T87" s="56"/>
    </row>
    <row r="88" spans="2:20" s="59" customFormat="1" ht="33.950000000000003" customHeight="1" x14ac:dyDescent="0.25">
      <c r="B88" s="60"/>
      <c r="C88" s="60"/>
      <c r="E88" s="56"/>
      <c r="T88" s="56"/>
    </row>
    <row r="89" spans="2:20" s="59" customFormat="1" ht="33.950000000000003" customHeight="1" x14ac:dyDescent="0.25">
      <c r="B89" s="60"/>
      <c r="C89" s="60"/>
      <c r="E89" s="56"/>
      <c r="T89" s="56"/>
    </row>
    <row r="90" spans="2:20" s="59" customFormat="1" ht="33.950000000000003" customHeight="1" x14ac:dyDescent="0.25">
      <c r="B90" s="60"/>
      <c r="C90" s="60"/>
      <c r="E90" s="56"/>
      <c r="T90" s="56"/>
    </row>
    <row r="91" spans="2:20" s="59" customFormat="1" ht="33.950000000000003" customHeight="1" x14ac:dyDescent="0.25">
      <c r="B91" s="60"/>
      <c r="C91" s="60"/>
      <c r="E91" s="56"/>
      <c r="T91" s="56"/>
    </row>
    <row r="92" spans="2:20" s="59" customFormat="1" ht="33.950000000000003" customHeight="1" x14ac:dyDescent="0.25">
      <c r="B92" s="60"/>
      <c r="C92" s="60"/>
      <c r="E92" s="56"/>
      <c r="T92" s="56"/>
    </row>
    <row r="93" spans="2:20" s="59" customFormat="1" ht="33.950000000000003" customHeight="1" x14ac:dyDescent="0.25">
      <c r="B93" s="60"/>
      <c r="C93" s="60"/>
      <c r="E93" s="56"/>
      <c r="T93" s="56"/>
    </row>
    <row r="94" spans="2:20" s="59" customFormat="1" ht="33.950000000000003" customHeight="1" x14ac:dyDescent="0.25">
      <c r="B94" s="60"/>
      <c r="C94" s="60"/>
      <c r="E94" s="56"/>
      <c r="T94" s="56"/>
    </row>
    <row r="95" spans="2:20" s="59" customFormat="1" ht="33.950000000000003" customHeight="1" x14ac:dyDescent="0.25">
      <c r="B95" s="60"/>
      <c r="C95" s="60"/>
      <c r="E95" s="56"/>
      <c r="T95" s="56"/>
    </row>
    <row r="96" spans="2:20" s="59" customFormat="1" ht="33.950000000000003" customHeight="1" x14ac:dyDescent="0.25">
      <c r="B96" s="60"/>
      <c r="C96" s="60"/>
      <c r="E96" s="56"/>
      <c r="T96" s="56"/>
    </row>
    <row r="97" spans="2:20" s="59" customFormat="1" ht="33.950000000000003" customHeight="1" x14ac:dyDescent="0.25">
      <c r="B97" s="60"/>
      <c r="C97" s="60"/>
      <c r="E97" s="56"/>
      <c r="T97" s="56"/>
    </row>
    <row r="98" spans="2:20" s="59" customFormat="1" ht="33.950000000000003" customHeight="1" x14ac:dyDescent="0.25">
      <c r="B98" s="60"/>
      <c r="C98" s="60"/>
      <c r="E98" s="56"/>
      <c r="T98" s="56"/>
    </row>
    <row r="99" spans="2:20" s="59" customFormat="1" ht="33.950000000000003" customHeight="1" x14ac:dyDescent="0.25">
      <c r="B99" s="60"/>
      <c r="C99" s="60"/>
      <c r="E99" s="56"/>
      <c r="T99" s="56"/>
    </row>
    <row r="100" spans="2:20" s="59" customFormat="1" ht="33.950000000000003" customHeight="1" x14ac:dyDescent="0.25">
      <c r="B100" s="60"/>
      <c r="C100" s="60"/>
      <c r="E100" s="56"/>
      <c r="T100" s="56"/>
    </row>
    <row r="101" spans="2:20" s="59" customFormat="1" ht="14.25" customHeight="1" x14ac:dyDescent="0.25">
      <c r="B101" s="60"/>
      <c r="C101" s="60"/>
      <c r="E101" s="56"/>
      <c r="T101" s="56"/>
    </row>
    <row r="102" spans="2:20" s="59" customFormat="1" ht="14.25" customHeight="1" x14ac:dyDescent="0.25">
      <c r="B102" s="60"/>
      <c r="C102" s="60"/>
      <c r="E102" s="56"/>
      <c r="T102" s="56"/>
    </row>
    <row r="103" spans="2:20" s="59" customFormat="1" ht="14.25" customHeight="1" x14ac:dyDescent="0.25">
      <c r="B103" s="60"/>
      <c r="C103" s="60"/>
      <c r="E103" s="56"/>
      <c r="T103" s="56"/>
    </row>
    <row r="104" spans="2:20" s="59" customFormat="1" ht="14.25" customHeight="1" x14ac:dyDescent="0.25">
      <c r="B104" s="60"/>
      <c r="C104" s="60"/>
      <c r="E104" s="56"/>
      <c r="T104" s="56"/>
    </row>
    <row r="105" spans="2:20" s="59" customFormat="1" ht="14.25" customHeight="1" x14ac:dyDescent="0.25">
      <c r="B105" s="60"/>
      <c r="C105" s="60"/>
      <c r="E105" s="56"/>
      <c r="T105" s="56"/>
    </row>
    <row r="106" spans="2:20" s="59" customFormat="1" ht="14.25" customHeight="1" x14ac:dyDescent="0.25">
      <c r="B106" s="60"/>
      <c r="C106" s="60"/>
      <c r="E106" s="56"/>
      <c r="T106" s="56"/>
    </row>
    <row r="107" spans="2:20" s="59" customFormat="1" ht="14.25" customHeight="1" x14ac:dyDescent="0.25">
      <c r="B107" s="60"/>
      <c r="C107" s="60"/>
      <c r="E107" s="56"/>
      <c r="T107" s="56"/>
    </row>
    <row r="108" spans="2:20" s="59" customFormat="1" ht="14.25" customHeight="1" x14ac:dyDescent="0.25">
      <c r="B108" s="60"/>
      <c r="C108" s="60"/>
      <c r="E108" s="56"/>
      <c r="T108" s="56"/>
    </row>
    <row r="109" spans="2:20" s="59" customFormat="1" ht="14.25" customHeight="1" x14ac:dyDescent="0.25">
      <c r="B109" s="60"/>
      <c r="C109" s="60"/>
      <c r="E109" s="56"/>
      <c r="T109" s="56"/>
    </row>
    <row r="110" spans="2:20" ht="14.25" customHeight="1" x14ac:dyDescent="0.25"/>
    <row r="111" spans="2:20" ht="14.25" customHeight="1" x14ac:dyDescent="0.25"/>
    <row r="112" spans="2:20" ht="14.25" customHeight="1" x14ac:dyDescent="0.25"/>
    <row r="113" ht="14.25" customHeight="1" x14ac:dyDescent="0.25"/>
    <row r="114" ht="14.25" customHeight="1" x14ac:dyDescent="0.25"/>
    <row r="115" ht="14.25" customHeight="1" x14ac:dyDescent="0.25"/>
    <row r="116" ht="14.25" customHeight="1" x14ac:dyDescent="0.25"/>
    <row r="117" ht="14.25" customHeight="1" x14ac:dyDescent="0.25"/>
    <row r="118" ht="14.25" customHeight="1" x14ac:dyDescent="0.25"/>
    <row r="119" ht="14.25" customHeight="1" x14ac:dyDescent="0.25"/>
    <row r="120" ht="14.25" customHeight="1" x14ac:dyDescent="0.25"/>
    <row r="121" ht="14.25" customHeight="1" x14ac:dyDescent="0.25"/>
    <row r="122" ht="14.25" customHeight="1" x14ac:dyDescent="0.25"/>
    <row r="123" ht="14.25" customHeight="1" x14ac:dyDescent="0.25"/>
    <row r="124" ht="14.25" customHeight="1" x14ac:dyDescent="0.25"/>
    <row r="125" ht="14.25" customHeight="1" x14ac:dyDescent="0.25"/>
    <row r="126" ht="14.25" customHeight="1" x14ac:dyDescent="0.25"/>
    <row r="127" ht="14.25" customHeight="1" x14ac:dyDescent="0.25"/>
    <row r="128" ht="14.25" customHeight="1" x14ac:dyDescent="0.25"/>
    <row r="129" ht="14.25" customHeight="1" x14ac:dyDescent="0.25"/>
    <row r="130" ht="14.25" customHeight="1" x14ac:dyDescent="0.25"/>
    <row r="131" ht="14.25" customHeight="1" x14ac:dyDescent="0.25"/>
    <row r="132" ht="14.25" customHeight="1" x14ac:dyDescent="0.25"/>
    <row r="133" ht="14.25" customHeight="1" x14ac:dyDescent="0.25"/>
    <row r="134" ht="14.25" customHeight="1" x14ac:dyDescent="0.25"/>
    <row r="135" ht="14.25" customHeight="1" x14ac:dyDescent="0.25"/>
    <row r="136" ht="14.25" customHeight="1" x14ac:dyDescent="0.25"/>
    <row r="137" ht="14.25" customHeight="1" x14ac:dyDescent="0.25"/>
    <row r="138" ht="14.25" customHeight="1" x14ac:dyDescent="0.25"/>
    <row r="139" ht="14.25" customHeight="1" x14ac:dyDescent="0.25"/>
    <row r="140" ht="14.25" customHeight="1" x14ac:dyDescent="0.25"/>
    <row r="141" ht="14.25" customHeight="1" x14ac:dyDescent="0.25"/>
    <row r="142" ht="14.25" customHeight="1" x14ac:dyDescent="0.25"/>
    <row r="143" ht="14.25" customHeight="1" x14ac:dyDescent="0.25"/>
    <row r="144" ht="14.25" customHeight="1" x14ac:dyDescent="0.25"/>
    <row r="145" ht="14.25" customHeight="1" x14ac:dyDescent="0.25"/>
    <row r="146" ht="14.25" customHeight="1" x14ac:dyDescent="0.25"/>
    <row r="147" ht="14.25" customHeight="1" x14ac:dyDescent="0.25"/>
    <row r="148" ht="14.25" customHeight="1" x14ac:dyDescent="0.25"/>
    <row r="149" ht="14.25" customHeight="1" x14ac:dyDescent="0.25"/>
    <row r="150" ht="14.25" customHeight="1" x14ac:dyDescent="0.25"/>
    <row r="151" ht="14.25" customHeight="1" x14ac:dyDescent="0.25"/>
    <row r="152" ht="14.25" customHeight="1" x14ac:dyDescent="0.25"/>
    <row r="153" ht="14.25" customHeight="1" x14ac:dyDescent="0.25"/>
    <row r="154" ht="14.25" customHeight="1" x14ac:dyDescent="0.25"/>
    <row r="155" ht="14.25" customHeight="1" x14ac:dyDescent="0.25"/>
    <row r="156" ht="14.25" customHeight="1" x14ac:dyDescent="0.25"/>
    <row r="157" ht="14.25" customHeight="1" x14ac:dyDescent="0.25"/>
    <row r="158" ht="14.25" customHeight="1" x14ac:dyDescent="0.25"/>
    <row r="159" ht="14.25" customHeight="1" x14ac:dyDescent="0.25"/>
    <row r="160" ht="14.25" customHeight="1" x14ac:dyDescent="0.25"/>
    <row r="161" ht="14.25" customHeight="1" x14ac:dyDescent="0.25"/>
    <row r="162" ht="14.25" customHeight="1" x14ac:dyDescent="0.25"/>
    <row r="163" ht="14.25" customHeight="1" x14ac:dyDescent="0.25"/>
    <row r="164" ht="14.25" customHeight="1" x14ac:dyDescent="0.25"/>
    <row r="165" ht="14.25" customHeight="1" x14ac:dyDescent="0.25"/>
    <row r="166" ht="14.25" customHeight="1" x14ac:dyDescent="0.25"/>
    <row r="167" ht="14.25" customHeight="1" x14ac:dyDescent="0.25"/>
    <row r="168" ht="14.25" customHeight="1" x14ac:dyDescent="0.25"/>
    <row r="169" ht="14.25" customHeight="1" x14ac:dyDescent="0.25"/>
    <row r="170" ht="14.25" customHeight="1" x14ac:dyDescent="0.25"/>
    <row r="171" ht="14.25" customHeight="1" x14ac:dyDescent="0.25"/>
    <row r="172" ht="14.25" customHeight="1" x14ac:dyDescent="0.25"/>
    <row r="173" ht="14.25" customHeight="1" x14ac:dyDescent="0.25"/>
    <row r="174" ht="14.25" customHeight="1" x14ac:dyDescent="0.25"/>
    <row r="175" ht="14.25" customHeight="1" x14ac:dyDescent="0.25"/>
    <row r="176" ht="14.25" customHeight="1" x14ac:dyDescent="0.25"/>
    <row r="177" ht="14.25" customHeight="1" x14ac:dyDescent="0.25"/>
    <row r="178" ht="14.25" customHeight="1" x14ac:dyDescent="0.25"/>
    <row r="179" ht="14.25" customHeight="1" x14ac:dyDescent="0.25"/>
    <row r="180" ht="14.25" customHeight="1" x14ac:dyDescent="0.25"/>
    <row r="181" ht="14.25" customHeight="1" x14ac:dyDescent="0.25"/>
    <row r="182" ht="14.25" customHeight="1" x14ac:dyDescent="0.25"/>
    <row r="183" ht="14.25" customHeight="1" x14ac:dyDescent="0.25"/>
    <row r="184" ht="14.25" customHeight="1" x14ac:dyDescent="0.25"/>
    <row r="185" ht="14.25" customHeight="1" x14ac:dyDescent="0.25"/>
    <row r="186" ht="14.25" customHeight="1" x14ac:dyDescent="0.25"/>
    <row r="187" ht="14.25" customHeight="1" x14ac:dyDescent="0.25"/>
    <row r="188" ht="14.25" customHeight="1" x14ac:dyDescent="0.25"/>
    <row r="189" ht="14.25" customHeight="1" x14ac:dyDescent="0.25"/>
    <row r="190" ht="14.25" customHeight="1" x14ac:dyDescent="0.25"/>
    <row r="191" ht="14.25" customHeight="1" x14ac:dyDescent="0.25"/>
    <row r="192" ht="14.25" customHeight="1" x14ac:dyDescent="0.25"/>
    <row r="193" ht="14.25" customHeight="1" x14ac:dyDescent="0.25"/>
    <row r="194" ht="14.25" customHeight="1" x14ac:dyDescent="0.25"/>
    <row r="195" ht="14.25" customHeight="1" x14ac:dyDescent="0.25"/>
    <row r="196" ht="14.25" customHeight="1" x14ac:dyDescent="0.25"/>
    <row r="197" ht="14.25" customHeight="1" x14ac:dyDescent="0.25"/>
    <row r="198" ht="14.25" customHeight="1" x14ac:dyDescent="0.25"/>
    <row r="199" ht="14.25" customHeight="1" x14ac:dyDescent="0.25"/>
    <row r="200" ht="14.25" customHeight="1" x14ac:dyDescent="0.25"/>
    <row r="201" ht="14.25" customHeight="1" x14ac:dyDescent="0.25"/>
    <row r="202" ht="14.25" customHeight="1" x14ac:dyDescent="0.25"/>
    <row r="203" ht="14.25" customHeight="1" x14ac:dyDescent="0.25"/>
    <row r="204" ht="14.25" customHeight="1" x14ac:dyDescent="0.25"/>
    <row r="205" ht="14.25" customHeight="1" x14ac:dyDescent="0.25"/>
    <row r="206" ht="14.25" customHeight="1" x14ac:dyDescent="0.25"/>
    <row r="207" ht="14.25" customHeight="1" x14ac:dyDescent="0.25"/>
    <row r="208" ht="14.25" customHeight="1" x14ac:dyDescent="0.25"/>
    <row r="209" ht="14.25" customHeight="1" x14ac:dyDescent="0.25"/>
    <row r="210" ht="14.25" customHeight="1" x14ac:dyDescent="0.25"/>
    <row r="211" ht="14.25" customHeight="1" x14ac:dyDescent="0.25"/>
    <row r="212" ht="14.25" customHeight="1" x14ac:dyDescent="0.25"/>
    <row r="213" ht="14.25" customHeight="1" x14ac:dyDescent="0.25"/>
    <row r="214" ht="14.25" customHeight="1" x14ac:dyDescent="0.25"/>
    <row r="215" ht="14.25" customHeight="1" x14ac:dyDescent="0.25"/>
    <row r="216" ht="14.25" customHeight="1" x14ac:dyDescent="0.25"/>
    <row r="217" ht="14.25" customHeight="1" x14ac:dyDescent="0.25"/>
    <row r="218" ht="14.25" customHeight="1" x14ac:dyDescent="0.25"/>
    <row r="219" ht="14.25" customHeight="1" x14ac:dyDescent="0.25"/>
    <row r="220" ht="14.25" customHeight="1" x14ac:dyDescent="0.25"/>
    <row r="221" ht="14.25" customHeight="1" x14ac:dyDescent="0.25"/>
    <row r="222" ht="14.25" customHeight="1" x14ac:dyDescent="0.25"/>
    <row r="223" ht="14.25" customHeight="1" x14ac:dyDescent="0.25"/>
    <row r="224" ht="14.25" customHeight="1" x14ac:dyDescent="0.25"/>
    <row r="225" ht="14.25" customHeight="1" x14ac:dyDescent="0.25"/>
    <row r="226" ht="14.25" customHeight="1" x14ac:dyDescent="0.25"/>
    <row r="227" ht="14.25" customHeight="1" x14ac:dyDescent="0.25"/>
    <row r="228" ht="14.25" customHeight="1" x14ac:dyDescent="0.25"/>
    <row r="229" ht="14.25" customHeight="1" x14ac:dyDescent="0.25"/>
    <row r="230" ht="14.25" customHeight="1" x14ac:dyDescent="0.25"/>
    <row r="231" ht="14.25" customHeight="1" x14ac:dyDescent="0.25"/>
    <row r="232" ht="14.25" customHeight="1" x14ac:dyDescent="0.25"/>
    <row r="233" ht="14.25" customHeight="1" x14ac:dyDescent="0.25"/>
    <row r="234" ht="14.25" customHeight="1" x14ac:dyDescent="0.25"/>
    <row r="235" ht="14.25" customHeight="1" x14ac:dyDescent="0.25"/>
    <row r="236" ht="14.25" customHeight="1" x14ac:dyDescent="0.25"/>
    <row r="237" ht="14.25" customHeight="1" x14ac:dyDescent="0.25"/>
    <row r="238" ht="14.25" customHeight="1" x14ac:dyDescent="0.25"/>
    <row r="239" ht="14.25" customHeight="1" x14ac:dyDescent="0.25"/>
    <row r="240" ht="14.25" customHeight="1" x14ac:dyDescent="0.25"/>
    <row r="241" ht="14.25" customHeight="1" x14ac:dyDescent="0.25"/>
    <row r="242" ht="14.25" customHeight="1" x14ac:dyDescent="0.25"/>
    <row r="243" ht="14.25" customHeight="1" x14ac:dyDescent="0.25"/>
    <row r="244" ht="14.25" customHeight="1" x14ac:dyDescent="0.25"/>
    <row r="245" ht="14.25" customHeight="1" x14ac:dyDescent="0.25"/>
    <row r="246" ht="14.25" customHeight="1" x14ac:dyDescent="0.25"/>
    <row r="247" ht="14.25" customHeight="1" x14ac:dyDescent="0.25"/>
    <row r="248" ht="14.25" customHeight="1" x14ac:dyDescent="0.25"/>
    <row r="249" ht="14.25" customHeight="1" x14ac:dyDescent="0.25"/>
    <row r="250" ht="14.25" customHeight="1" x14ac:dyDescent="0.25"/>
    <row r="251" ht="14.25" customHeight="1" x14ac:dyDescent="0.25"/>
    <row r="252" ht="14.25" customHeight="1" x14ac:dyDescent="0.25"/>
    <row r="253" ht="14.25" customHeight="1" x14ac:dyDescent="0.25"/>
    <row r="254" ht="14.25" customHeight="1" x14ac:dyDescent="0.25"/>
    <row r="255" ht="14.25" customHeight="1" x14ac:dyDescent="0.25"/>
    <row r="256" ht="14.25" customHeight="1" x14ac:dyDescent="0.25"/>
    <row r="257" ht="14.25" customHeight="1" x14ac:dyDescent="0.25"/>
    <row r="258" ht="14.25" customHeight="1" x14ac:dyDescent="0.25"/>
    <row r="259" ht="14.25" customHeight="1" x14ac:dyDescent="0.25"/>
    <row r="260" ht="14.25" customHeight="1" x14ac:dyDescent="0.25"/>
    <row r="261" ht="14.25" customHeight="1" x14ac:dyDescent="0.25"/>
    <row r="262" ht="14.25" customHeight="1" x14ac:dyDescent="0.25"/>
    <row r="263" ht="14.25" customHeight="1" x14ac:dyDescent="0.25"/>
    <row r="264" ht="14.25" customHeight="1" x14ac:dyDescent="0.25"/>
    <row r="265" ht="14.25" customHeight="1" x14ac:dyDescent="0.25"/>
    <row r="266" ht="14.25" customHeight="1" x14ac:dyDescent="0.25"/>
    <row r="267" ht="14.25" customHeight="1" x14ac:dyDescent="0.25"/>
    <row r="268" ht="14.25" customHeight="1" x14ac:dyDescent="0.25"/>
    <row r="269" ht="14.25" customHeight="1" x14ac:dyDescent="0.25"/>
    <row r="270" ht="14.25" customHeight="1" x14ac:dyDescent="0.25"/>
    <row r="271" ht="14.25" customHeight="1" x14ac:dyDescent="0.25"/>
    <row r="272" ht="14.25" customHeight="1" x14ac:dyDescent="0.25"/>
    <row r="273" ht="14.25" customHeight="1" x14ac:dyDescent="0.25"/>
    <row r="274" ht="14.25" customHeight="1" x14ac:dyDescent="0.25"/>
    <row r="275" ht="14.25" customHeight="1" x14ac:dyDescent="0.25"/>
    <row r="276" ht="14.25" customHeight="1" x14ac:dyDescent="0.25"/>
    <row r="277" ht="14.25" customHeight="1" x14ac:dyDescent="0.25"/>
    <row r="278" ht="14.25" customHeight="1" x14ac:dyDescent="0.25"/>
    <row r="279" ht="14.25" customHeight="1" x14ac:dyDescent="0.25"/>
    <row r="280" ht="14.25" customHeight="1" x14ac:dyDescent="0.25"/>
    <row r="281" ht="14.25" customHeight="1" x14ac:dyDescent="0.25"/>
    <row r="282" ht="14.25" customHeight="1" x14ac:dyDescent="0.25"/>
    <row r="283" ht="14.25" customHeight="1" x14ac:dyDescent="0.25"/>
    <row r="284" ht="14.25" customHeight="1" x14ac:dyDescent="0.25"/>
    <row r="285" ht="14.25" customHeight="1" x14ac:dyDescent="0.25"/>
    <row r="286" ht="14.25" customHeight="1" x14ac:dyDescent="0.25"/>
    <row r="287" ht="14.25" customHeight="1" x14ac:dyDescent="0.25"/>
    <row r="288" ht="14.25" customHeight="1" x14ac:dyDescent="0.25"/>
    <row r="289" ht="14.25" customHeight="1" x14ac:dyDescent="0.25"/>
    <row r="290" ht="14.25" customHeight="1" x14ac:dyDescent="0.25"/>
    <row r="291" ht="14.25" customHeight="1" x14ac:dyDescent="0.25"/>
    <row r="292" ht="14.25" customHeight="1" x14ac:dyDescent="0.25"/>
    <row r="293" ht="14.25" customHeight="1" x14ac:dyDescent="0.25"/>
    <row r="294" ht="14.25" customHeight="1" x14ac:dyDescent="0.25"/>
    <row r="295" ht="14.25" customHeight="1" x14ac:dyDescent="0.25"/>
    <row r="296" ht="14.25" customHeight="1" x14ac:dyDescent="0.25"/>
    <row r="297" ht="14.25" customHeight="1" x14ac:dyDescent="0.25"/>
    <row r="298" ht="14.25" customHeight="1" x14ac:dyDescent="0.25"/>
    <row r="299" ht="14.25" customHeight="1" x14ac:dyDescent="0.25"/>
    <row r="300" ht="14.25" customHeight="1" x14ac:dyDescent="0.25"/>
    <row r="301" ht="14.25" customHeight="1" x14ac:dyDescent="0.25"/>
    <row r="302" ht="14.25" customHeight="1" x14ac:dyDescent="0.25"/>
    <row r="303" ht="14.25" customHeight="1" x14ac:dyDescent="0.25"/>
    <row r="304" ht="14.25" customHeight="1" x14ac:dyDescent="0.25"/>
    <row r="305" ht="14.25" customHeight="1" x14ac:dyDescent="0.25"/>
    <row r="306" ht="14.25" customHeight="1" x14ac:dyDescent="0.25"/>
    <row r="307" ht="14.25" customHeight="1" x14ac:dyDescent="0.25"/>
    <row r="308" ht="14.25" customHeight="1" x14ac:dyDescent="0.25"/>
    <row r="309" ht="14.25" customHeight="1" x14ac:dyDescent="0.25"/>
    <row r="310" ht="14.25" customHeight="1" x14ac:dyDescent="0.25"/>
    <row r="311" ht="14.25" customHeight="1" x14ac:dyDescent="0.25"/>
    <row r="312" ht="14.25" customHeight="1" x14ac:dyDescent="0.25"/>
    <row r="313" ht="14.25" customHeight="1" x14ac:dyDescent="0.25"/>
    <row r="314" ht="14.25" customHeight="1" x14ac:dyDescent="0.25"/>
    <row r="315" ht="14.25" customHeight="1" x14ac:dyDescent="0.25"/>
    <row r="316" ht="14.25" customHeight="1" x14ac:dyDescent="0.25"/>
    <row r="317" ht="14.25" customHeight="1" x14ac:dyDescent="0.25"/>
    <row r="318" ht="14.25" customHeight="1" x14ac:dyDescent="0.25"/>
    <row r="319" ht="14.25" customHeight="1" x14ac:dyDescent="0.25"/>
    <row r="320" ht="14.25" customHeight="1" x14ac:dyDescent="0.25"/>
    <row r="321" ht="14.25" customHeight="1" x14ac:dyDescent="0.25"/>
    <row r="322" ht="14.25" customHeight="1" x14ac:dyDescent="0.25"/>
    <row r="323" ht="14.25" customHeight="1" x14ac:dyDescent="0.25"/>
    <row r="324" ht="14.25" customHeight="1" x14ac:dyDescent="0.25"/>
    <row r="325" ht="14.25" customHeight="1" x14ac:dyDescent="0.25"/>
    <row r="326" ht="14.25" customHeight="1" x14ac:dyDescent="0.25"/>
    <row r="327" ht="14.25" customHeight="1" x14ac:dyDescent="0.25"/>
    <row r="328" ht="14.25" customHeight="1" x14ac:dyDescent="0.25"/>
    <row r="329" ht="14.25" customHeight="1" x14ac:dyDescent="0.25"/>
    <row r="330" ht="14.25" customHeight="1" x14ac:dyDescent="0.25"/>
    <row r="331" ht="14.25" customHeight="1" x14ac:dyDescent="0.25"/>
    <row r="332" ht="14.25" customHeight="1" x14ac:dyDescent="0.25"/>
    <row r="333" ht="14.25" customHeight="1" x14ac:dyDescent="0.25"/>
    <row r="334" ht="14.25" customHeight="1" x14ac:dyDescent="0.25"/>
    <row r="335" ht="14.25" customHeight="1" x14ac:dyDescent="0.25"/>
    <row r="336" ht="14.25" customHeight="1" x14ac:dyDescent="0.25"/>
    <row r="337" ht="14.25" customHeight="1" x14ac:dyDescent="0.25"/>
    <row r="338" ht="14.25" customHeight="1" x14ac:dyDescent="0.25"/>
    <row r="339" ht="14.25" customHeight="1" x14ac:dyDescent="0.25"/>
    <row r="340" ht="14.25" customHeight="1" x14ac:dyDescent="0.25"/>
    <row r="341" ht="14.25" customHeight="1" x14ac:dyDescent="0.25"/>
    <row r="342" ht="14.25" customHeight="1" x14ac:dyDescent="0.25"/>
    <row r="343" ht="14.25" customHeight="1" x14ac:dyDescent="0.25"/>
    <row r="344" ht="14.25" customHeight="1" x14ac:dyDescent="0.25"/>
    <row r="345" ht="14.25" customHeight="1" x14ac:dyDescent="0.25"/>
    <row r="346" ht="14.25" customHeight="1" x14ac:dyDescent="0.25"/>
    <row r="347" ht="14.25" customHeight="1" x14ac:dyDescent="0.25"/>
    <row r="348" ht="14.25" customHeight="1" x14ac:dyDescent="0.25"/>
    <row r="349" ht="14.25" customHeight="1" x14ac:dyDescent="0.25"/>
    <row r="350" ht="14.25" customHeight="1" x14ac:dyDescent="0.25"/>
    <row r="351" ht="14.25" customHeight="1" x14ac:dyDescent="0.25"/>
    <row r="352" ht="14.25" customHeight="1" x14ac:dyDescent="0.25"/>
    <row r="353" ht="14.25" customHeight="1" x14ac:dyDescent="0.25"/>
    <row r="354" ht="14.25" customHeight="1" x14ac:dyDescent="0.25"/>
    <row r="355" ht="14.25" customHeight="1" x14ac:dyDescent="0.25"/>
    <row r="356" ht="14.25" customHeight="1" x14ac:dyDescent="0.25"/>
    <row r="357" ht="14.25" customHeight="1" x14ac:dyDescent="0.25"/>
    <row r="358" ht="14.25" customHeight="1" x14ac:dyDescent="0.25"/>
    <row r="359" ht="14.25" customHeight="1" x14ac:dyDescent="0.25"/>
    <row r="360" ht="14.25" customHeight="1" x14ac:dyDescent="0.25"/>
    <row r="361" ht="14.25" customHeight="1" x14ac:dyDescent="0.25"/>
    <row r="362" ht="14.25" customHeight="1" x14ac:dyDescent="0.25"/>
    <row r="363" ht="14.25" customHeight="1" x14ac:dyDescent="0.25"/>
    <row r="364" ht="14.25" customHeight="1" x14ac:dyDescent="0.25"/>
    <row r="365" ht="14.25" customHeight="1" x14ac:dyDescent="0.25"/>
    <row r="366" ht="14.25" customHeight="1" x14ac:dyDescent="0.25"/>
    <row r="367" ht="14.25" customHeight="1" x14ac:dyDescent="0.25"/>
    <row r="368" ht="14.25" customHeight="1" x14ac:dyDescent="0.25"/>
    <row r="369" ht="14.25" customHeight="1" x14ac:dyDescent="0.25"/>
    <row r="370" ht="14.25" customHeight="1" x14ac:dyDescent="0.25"/>
    <row r="371" ht="14.25" customHeight="1" x14ac:dyDescent="0.25"/>
    <row r="372" ht="14.25" customHeight="1" x14ac:dyDescent="0.25"/>
    <row r="373" ht="14.25" customHeight="1" x14ac:dyDescent="0.25"/>
    <row r="374" ht="14.25" customHeight="1" x14ac:dyDescent="0.25"/>
    <row r="375" ht="14.25" customHeight="1" x14ac:dyDescent="0.25"/>
    <row r="376" ht="14.25" customHeight="1" x14ac:dyDescent="0.25"/>
    <row r="377" ht="14.25" customHeight="1" x14ac:dyDescent="0.25"/>
    <row r="378" ht="14.25" customHeight="1" x14ac:dyDescent="0.25"/>
    <row r="379" ht="14.25" customHeight="1" x14ac:dyDescent="0.25"/>
    <row r="380" ht="14.25" customHeight="1" x14ac:dyDescent="0.25"/>
    <row r="381" ht="14.25" customHeight="1" x14ac:dyDescent="0.25"/>
    <row r="382" ht="14.25" customHeight="1" x14ac:dyDescent="0.25"/>
    <row r="383" ht="14.25" customHeight="1" x14ac:dyDescent="0.25"/>
    <row r="384" ht="14.25" customHeight="1" x14ac:dyDescent="0.25"/>
    <row r="385" ht="14.25" customHeight="1" x14ac:dyDescent="0.25"/>
    <row r="386" ht="14.25" customHeight="1" x14ac:dyDescent="0.25"/>
    <row r="387" ht="14.25" customHeight="1" x14ac:dyDescent="0.25"/>
    <row r="388" ht="14.25" customHeight="1" x14ac:dyDescent="0.25"/>
    <row r="389" ht="14.25" customHeight="1" x14ac:dyDescent="0.25"/>
    <row r="390" ht="14.25" customHeight="1" x14ac:dyDescent="0.25"/>
    <row r="391" ht="14.25" customHeight="1" x14ac:dyDescent="0.25"/>
    <row r="392" ht="14.25" customHeight="1" x14ac:dyDescent="0.25"/>
    <row r="393" ht="14.25" customHeight="1" x14ac:dyDescent="0.25"/>
    <row r="394" ht="14.25" customHeight="1" x14ac:dyDescent="0.25"/>
    <row r="395" ht="14.25" customHeight="1" x14ac:dyDescent="0.25"/>
    <row r="396" ht="14.25" customHeight="1" x14ac:dyDescent="0.25"/>
    <row r="397" ht="14.25" customHeight="1" x14ac:dyDescent="0.25"/>
    <row r="398" ht="14.25" customHeight="1" x14ac:dyDescent="0.25"/>
    <row r="399" ht="14.25" customHeight="1" x14ac:dyDescent="0.25"/>
    <row r="400" ht="14.25" customHeight="1" x14ac:dyDescent="0.25"/>
    <row r="401" ht="14.25" customHeight="1" x14ac:dyDescent="0.25"/>
    <row r="402" ht="14.25" customHeight="1" x14ac:dyDescent="0.25"/>
    <row r="403" ht="14.25" customHeight="1" x14ac:dyDescent="0.25"/>
    <row r="404" ht="14.25" customHeight="1" x14ac:dyDescent="0.25"/>
    <row r="405" ht="14.25" customHeight="1" x14ac:dyDescent="0.25"/>
    <row r="406" ht="14.25" customHeight="1" x14ac:dyDescent="0.25"/>
    <row r="407" ht="14.25" customHeight="1" x14ac:dyDescent="0.25"/>
    <row r="408" ht="14.25" customHeight="1" x14ac:dyDescent="0.25"/>
    <row r="409" ht="14.25" customHeight="1" x14ac:dyDescent="0.25"/>
    <row r="410" ht="14.25" customHeight="1" x14ac:dyDescent="0.25"/>
    <row r="411" ht="14.25" customHeight="1" x14ac:dyDescent="0.25"/>
    <row r="412" ht="14.25" customHeight="1" x14ac:dyDescent="0.25"/>
    <row r="413" ht="14.25" customHeight="1" x14ac:dyDescent="0.25"/>
    <row r="414" ht="14.25" customHeight="1" x14ac:dyDescent="0.25"/>
    <row r="415" ht="14.25" customHeight="1" x14ac:dyDescent="0.25"/>
    <row r="416" ht="14.25" customHeight="1" x14ac:dyDescent="0.25"/>
    <row r="417" ht="14.25" customHeight="1" x14ac:dyDescent="0.25"/>
    <row r="418" ht="14.25" customHeight="1" x14ac:dyDescent="0.25"/>
    <row r="419" ht="14.25" customHeight="1" x14ac:dyDescent="0.25"/>
    <row r="420" ht="14.25" customHeight="1" x14ac:dyDescent="0.25"/>
    <row r="421" ht="14.25" customHeight="1" x14ac:dyDescent="0.25"/>
    <row r="422" ht="14.25" customHeight="1" x14ac:dyDescent="0.25"/>
    <row r="423" ht="14.25" customHeight="1" x14ac:dyDescent="0.25"/>
    <row r="424" ht="14.25" customHeight="1" x14ac:dyDescent="0.25"/>
    <row r="425" ht="14.25" customHeight="1" x14ac:dyDescent="0.25"/>
    <row r="426" ht="14.25" customHeight="1" x14ac:dyDescent="0.25"/>
    <row r="427" ht="14.25" customHeight="1" x14ac:dyDescent="0.25"/>
    <row r="428" ht="14.25" customHeight="1" x14ac:dyDescent="0.25"/>
    <row r="429" ht="14.25" customHeight="1" x14ac:dyDescent="0.25"/>
    <row r="430" ht="14.25" customHeight="1" x14ac:dyDescent="0.25"/>
    <row r="431" ht="14.25" customHeight="1" x14ac:dyDescent="0.25"/>
    <row r="432" ht="14.25" customHeight="1" x14ac:dyDescent="0.25"/>
    <row r="433" ht="14.25" customHeight="1" x14ac:dyDescent="0.25"/>
    <row r="434" ht="14.25" customHeight="1" x14ac:dyDescent="0.25"/>
    <row r="435" ht="14.25" customHeight="1" x14ac:dyDescent="0.25"/>
    <row r="436" ht="14.25" customHeight="1" x14ac:dyDescent="0.25"/>
    <row r="437" ht="14.25" customHeight="1" x14ac:dyDescent="0.25"/>
    <row r="438" ht="14.25" customHeight="1" x14ac:dyDescent="0.25"/>
    <row r="439" ht="14.25" customHeight="1" x14ac:dyDescent="0.25"/>
    <row r="440" ht="14.25" customHeight="1" x14ac:dyDescent="0.25"/>
    <row r="441" ht="14.25" customHeight="1" x14ac:dyDescent="0.25"/>
    <row r="442" ht="14.25" customHeight="1" x14ac:dyDescent="0.25"/>
    <row r="443" ht="14.25" customHeight="1" x14ac:dyDescent="0.25"/>
    <row r="444" ht="14.25" customHeight="1" x14ac:dyDescent="0.25"/>
    <row r="445" ht="14.25" customHeight="1" x14ac:dyDescent="0.25"/>
    <row r="446" ht="14.25" customHeight="1" x14ac:dyDescent="0.25"/>
    <row r="447" ht="14.25" customHeight="1" x14ac:dyDescent="0.25"/>
    <row r="448" ht="14.25" customHeight="1" x14ac:dyDescent="0.25"/>
    <row r="449" ht="14.25" customHeight="1" x14ac:dyDescent="0.25"/>
    <row r="450" ht="14.25" customHeight="1" x14ac:dyDescent="0.25"/>
    <row r="451" ht="14.25" customHeight="1" x14ac:dyDescent="0.25"/>
    <row r="452" ht="14.25" customHeight="1" x14ac:dyDescent="0.25"/>
    <row r="453" ht="14.25" customHeight="1" x14ac:dyDescent="0.25"/>
    <row r="454" ht="14.25" customHeight="1" x14ac:dyDescent="0.25"/>
    <row r="455" ht="14.25" customHeight="1" x14ac:dyDescent="0.25"/>
    <row r="456" ht="14.25" customHeight="1" x14ac:dyDescent="0.25"/>
    <row r="457" ht="14.25" customHeight="1" x14ac:dyDescent="0.25"/>
    <row r="458" ht="14.25" customHeight="1" x14ac:dyDescent="0.25"/>
    <row r="459" ht="14.25" customHeight="1" x14ac:dyDescent="0.25"/>
    <row r="460" ht="14.25" customHeight="1" x14ac:dyDescent="0.25"/>
    <row r="461" ht="14.25" customHeight="1" x14ac:dyDescent="0.25"/>
    <row r="462" ht="14.25" customHeight="1" x14ac:dyDescent="0.25"/>
    <row r="463" ht="14.25" customHeight="1" x14ac:dyDescent="0.25"/>
    <row r="464" ht="14.25" customHeight="1" x14ac:dyDescent="0.25"/>
    <row r="465" ht="14.25" customHeight="1" x14ac:dyDescent="0.25"/>
    <row r="466" ht="14.25" customHeight="1" x14ac:dyDescent="0.25"/>
    <row r="467" ht="14.25" customHeight="1" x14ac:dyDescent="0.25"/>
    <row r="468" ht="14.25" customHeight="1" x14ac:dyDescent="0.25"/>
    <row r="469" ht="14.25" customHeight="1" x14ac:dyDescent="0.25"/>
    <row r="470" ht="14.25" customHeight="1" x14ac:dyDescent="0.25"/>
    <row r="471" ht="14.25" customHeight="1" x14ac:dyDescent="0.25"/>
    <row r="472" ht="14.25" customHeight="1" x14ac:dyDescent="0.25"/>
    <row r="473" ht="14.25" customHeight="1" x14ac:dyDescent="0.25"/>
    <row r="474" ht="14.25" customHeight="1" x14ac:dyDescent="0.25"/>
    <row r="475" ht="14.25" customHeight="1" x14ac:dyDescent="0.25"/>
    <row r="476" ht="14.25" customHeight="1" x14ac:dyDescent="0.25"/>
    <row r="477" ht="14.25" customHeight="1" x14ac:dyDescent="0.25"/>
    <row r="478" ht="14.25" customHeight="1" x14ac:dyDescent="0.25"/>
    <row r="479" ht="14.25" customHeight="1" x14ac:dyDescent="0.25"/>
    <row r="480" ht="14.25" customHeight="1" x14ac:dyDescent="0.25"/>
    <row r="481" ht="14.25" customHeight="1" x14ac:dyDescent="0.25"/>
    <row r="482" ht="14.25" customHeight="1" x14ac:dyDescent="0.25"/>
    <row r="483" ht="14.25" customHeight="1" x14ac:dyDescent="0.25"/>
    <row r="484" ht="14.25" customHeight="1" x14ac:dyDescent="0.25"/>
    <row r="485" ht="14.25" customHeight="1" x14ac:dyDescent="0.25"/>
    <row r="486" ht="14.25" customHeight="1" x14ac:dyDescent="0.25"/>
    <row r="487" ht="14.25" customHeight="1" x14ac:dyDescent="0.25"/>
    <row r="488" ht="14.25" customHeight="1" x14ac:dyDescent="0.25"/>
    <row r="489" ht="14.25" customHeight="1" x14ac:dyDescent="0.25"/>
    <row r="490" ht="14.25" customHeight="1" x14ac:dyDescent="0.25"/>
    <row r="491" ht="14.25" customHeight="1" x14ac:dyDescent="0.25"/>
    <row r="492" ht="14.25" customHeight="1" x14ac:dyDescent="0.25"/>
    <row r="493" ht="14.25" customHeight="1" x14ac:dyDescent="0.25"/>
    <row r="494" ht="14.25" customHeight="1" x14ac:dyDescent="0.25"/>
    <row r="495" ht="14.25" customHeight="1" x14ac:dyDescent="0.25"/>
    <row r="496" ht="14.25" customHeight="1" x14ac:dyDescent="0.25"/>
    <row r="497" ht="14.25" customHeight="1" x14ac:dyDescent="0.25"/>
    <row r="498" ht="14.25" customHeight="1" x14ac:dyDescent="0.25"/>
    <row r="499" ht="14.25" customHeight="1" x14ac:dyDescent="0.25"/>
    <row r="500" ht="14.25" customHeight="1" x14ac:dyDescent="0.25"/>
    <row r="501" ht="14.25" customHeight="1" x14ac:dyDescent="0.25"/>
    <row r="502" ht="14.25" customHeight="1" x14ac:dyDescent="0.25"/>
    <row r="503" ht="14.25" customHeight="1" x14ac:dyDescent="0.25"/>
    <row r="504" ht="14.25" customHeight="1" x14ac:dyDescent="0.25"/>
    <row r="505" ht="14.25" customHeight="1" x14ac:dyDescent="0.25"/>
    <row r="506" ht="14.25" customHeight="1" x14ac:dyDescent="0.25"/>
    <row r="507" ht="14.25" customHeight="1" x14ac:dyDescent="0.25"/>
    <row r="508" ht="14.25" customHeight="1" x14ac:dyDescent="0.25"/>
    <row r="509" ht="14.25" customHeight="1" x14ac:dyDescent="0.25"/>
    <row r="510" ht="14.25" customHeight="1" x14ac:dyDescent="0.25"/>
    <row r="511" ht="14.25" customHeight="1" x14ac:dyDescent="0.25"/>
    <row r="512" ht="14.25" customHeight="1" x14ac:dyDescent="0.25"/>
    <row r="513" ht="14.25" customHeight="1" x14ac:dyDescent="0.25"/>
    <row r="514" ht="14.25" customHeight="1" x14ac:dyDescent="0.25"/>
    <row r="515" ht="14.25" customHeight="1" x14ac:dyDescent="0.25"/>
    <row r="516" ht="14.25" customHeight="1" x14ac:dyDescent="0.25"/>
    <row r="517" ht="14.25" customHeight="1" x14ac:dyDescent="0.25"/>
    <row r="518" ht="14.25" customHeight="1" x14ac:dyDescent="0.25"/>
    <row r="519" ht="14.25" customHeight="1" x14ac:dyDescent="0.25"/>
    <row r="520" ht="14.25" customHeight="1" x14ac:dyDescent="0.25"/>
    <row r="521" ht="14.25" customHeight="1" x14ac:dyDescent="0.25"/>
    <row r="522" ht="14.25" customHeight="1" x14ac:dyDescent="0.25"/>
    <row r="523" ht="14.25" customHeight="1" x14ac:dyDescent="0.25"/>
    <row r="524" ht="14.25" customHeight="1" x14ac:dyDescent="0.25"/>
    <row r="525" ht="14.25" customHeight="1" x14ac:dyDescent="0.25"/>
    <row r="526" ht="14.25" customHeight="1" x14ac:dyDescent="0.25"/>
    <row r="527" ht="14.25" customHeight="1" x14ac:dyDescent="0.25"/>
    <row r="528" ht="14.25" customHeight="1" x14ac:dyDescent="0.25"/>
    <row r="529" ht="14.25" customHeight="1" x14ac:dyDescent="0.25"/>
    <row r="530" ht="14.25" customHeight="1" x14ac:dyDescent="0.25"/>
    <row r="531" ht="14.25" customHeight="1" x14ac:dyDescent="0.25"/>
    <row r="532" ht="14.25" customHeight="1" x14ac:dyDescent="0.25"/>
    <row r="533" ht="14.25" customHeight="1" x14ac:dyDescent="0.25"/>
    <row r="534" ht="14.25" customHeight="1" x14ac:dyDescent="0.25"/>
    <row r="535" ht="14.25" customHeight="1" x14ac:dyDescent="0.25"/>
    <row r="536" ht="14.25" customHeight="1" x14ac:dyDescent="0.25"/>
    <row r="537" ht="14.25" customHeight="1" x14ac:dyDescent="0.25"/>
    <row r="538" ht="14.25" customHeight="1" x14ac:dyDescent="0.25"/>
    <row r="539" ht="14.25" customHeight="1" x14ac:dyDescent="0.25"/>
    <row r="540" ht="14.25" customHeight="1" x14ac:dyDescent="0.25"/>
    <row r="541" ht="14.25" customHeight="1" x14ac:dyDescent="0.25"/>
    <row r="542" ht="14.25" customHeight="1" x14ac:dyDescent="0.25"/>
    <row r="543" ht="14.25" customHeight="1" x14ac:dyDescent="0.25"/>
    <row r="544" ht="14.25" customHeight="1" x14ac:dyDescent="0.25"/>
    <row r="545" ht="14.25" customHeight="1" x14ac:dyDescent="0.25"/>
    <row r="546" ht="14.25" customHeight="1" x14ac:dyDescent="0.25"/>
    <row r="547" ht="14.25" customHeight="1" x14ac:dyDescent="0.25"/>
    <row r="548" ht="14.25" customHeight="1" x14ac:dyDescent="0.25"/>
    <row r="549" ht="14.25" customHeight="1" x14ac:dyDescent="0.25"/>
    <row r="550" ht="14.25" customHeight="1" x14ac:dyDescent="0.25"/>
    <row r="551" ht="14.25" customHeight="1" x14ac:dyDescent="0.25"/>
    <row r="552" ht="14.25" customHeight="1" x14ac:dyDescent="0.25"/>
    <row r="553" ht="14.25" customHeight="1" x14ac:dyDescent="0.25"/>
    <row r="554" ht="14.25" customHeight="1" x14ac:dyDescent="0.25"/>
    <row r="555" ht="14.25" customHeight="1" x14ac:dyDescent="0.25"/>
    <row r="556" ht="14.25" customHeight="1" x14ac:dyDescent="0.25"/>
    <row r="557" ht="14.25" customHeight="1" x14ac:dyDescent="0.25"/>
    <row r="558" ht="14.25" customHeight="1" x14ac:dyDescent="0.25"/>
    <row r="559" ht="14.25" customHeight="1" x14ac:dyDescent="0.25"/>
    <row r="560" ht="14.25" customHeight="1" x14ac:dyDescent="0.25"/>
    <row r="561" ht="14.25" customHeight="1" x14ac:dyDescent="0.25"/>
    <row r="562" ht="14.25" customHeight="1" x14ac:dyDescent="0.25"/>
    <row r="563" ht="14.25" customHeight="1" x14ac:dyDescent="0.25"/>
    <row r="564" ht="14.25" customHeight="1" x14ac:dyDescent="0.25"/>
    <row r="565" ht="14.25" customHeight="1" x14ac:dyDescent="0.25"/>
    <row r="566" ht="14.25" customHeight="1" x14ac:dyDescent="0.25"/>
    <row r="567" ht="14.25" customHeight="1" x14ac:dyDescent="0.25"/>
    <row r="568" ht="14.25" customHeight="1" x14ac:dyDescent="0.25"/>
    <row r="569" ht="14.25" customHeight="1" x14ac:dyDescent="0.25"/>
    <row r="570" ht="14.25" customHeight="1" x14ac:dyDescent="0.25"/>
    <row r="571" ht="14.25" customHeight="1" x14ac:dyDescent="0.25"/>
    <row r="572" ht="14.25" customHeight="1" x14ac:dyDescent="0.25"/>
    <row r="573" ht="14.25" customHeight="1" x14ac:dyDescent="0.25"/>
    <row r="574" ht="14.25" customHeight="1" x14ac:dyDescent="0.25"/>
    <row r="575" ht="14.25" customHeight="1" x14ac:dyDescent="0.25"/>
    <row r="576" ht="14.25" customHeight="1" x14ac:dyDescent="0.25"/>
    <row r="577" ht="14.25" customHeight="1" x14ac:dyDescent="0.25"/>
    <row r="578" ht="14.25" customHeight="1" x14ac:dyDescent="0.25"/>
    <row r="579" ht="14.25" customHeight="1" x14ac:dyDescent="0.25"/>
    <row r="580" ht="14.25" customHeight="1" x14ac:dyDescent="0.25"/>
    <row r="581" ht="14.25" customHeight="1" x14ac:dyDescent="0.25"/>
    <row r="582" ht="14.25" customHeight="1" x14ac:dyDescent="0.25"/>
    <row r="583" ht="14.25" customHeight="1" x14ac:dyDescent="0.25"/>
    <row r="584" ht="14.25" customHeight="1" x14ac:dyDescent="0.25"/>
    <row r="585" ht="14.25" customHeight="1" x14ac:dyDescent="0.25"/>
    <row r="586" ht="14.25" customHeight="1" x14ac:dyDescent="0.25"/>
    <row r="587" ht="14.25" customHeight="1" x14ac:dyDescent="0.25"/>
    <row r="588" ht="14.25" customHeight="1" x14ac:dyDescent="0.25"/>
    <row r="589" ht="14.25" customHeight="1" x14ac:dyDescent="0.25"/>
    <row r="590" ht="14.25" customHeight="1" x14ac:dyDescent="0.25"/>
    <row r="591" ht="14.25" customHeight="1" x14ac:dyDescent="0.25"/>
    <row r="592" ht="14.25" customHeight="1" x14ac:dyDescent="0.25"/>
    <row r="593" ht="14.25" customHeight="1" x14ac:dyDescent="0.25"/>
    <row r="594" ht="14.25" customHeight="1" x14ac:dyDescent="0.25"/>
    <row r="595" ht="14.25" customHeight="1" x14ac:dyDescent="0.25"/>
    <row r="596" ht="14.25" customHeight="1" x14ac:dyDescent="0.25"/>
    <row r="597" ht="14.25" customHeight="1" x14ac:dyDescent="0.25"/>
    <row r="598" ht="14.25" customHeight="1" x14ac:dyDescent="0.25"/>
    <row r="599" ht="14.25" customHeight="1" x14ac:dyDescent="0.25"/>
    <row r="600" ht="14.25" customHeight="1" x14ac:dyDescent="0.25"/>
    <row r="601" ht="14.25" customHeight="1" x14ac:dyDescent="0.25"/>
    <row r="602" ht="14.25" customHeight="1" x14ac:dyDescent="0.25"/>
    <row r="603" ht="14.25" customHeight="1" x14ac:dyDescent="0.25"/>
    <row r="604" ht="14.25" customHeight="1" x14ac:dyDescent="0.25"/>
    <row r="605" ht="14.25" customHeight="1" x14ac:dyDescent="0.25"/>
    <row r="606" ht="14.25" customHeight="1" x14ac:dyDescent="0.25"/>
    <row r="607" ht="14.25" customHeight="1" x14ac:dyDescent="0.25"/>
    <row r="608" ht="14.25" customHeight="1" x14ac:dyDescent="0.25"/>
    <row r="609" ht="14.25" customHeight="1" x14ac:dyDescent="0.25"/>
    <row r="610" ht="14.25" customHeight="1" x14ac:dyDescent="0.25"/>
    <row r="611" ht="14.25" customHeight="1" x14ac:dyDescent="0.25"/>
    <row r="612" ht="14.25" customHeight="1" x14ac:dyDescent="0.25"/>
    <row r="613" ht="14.25" customHeight="1" x14ac:dyDescent="0.25"/>
    <row r="614" ht="14.25" customHeight="1" x14ac:dyDescent="0.25"/>
    <row r="615" ht="14.25" customHeight="1" x14ac:dyDescent="0.25"/>
    <row r="616" ht="14.25" customHeight="1" x14ac:dyDescent="0.25"/>
    <row r="617" ht="14.25" customHeight="1" x14ac:dyDescent="0.25"/>
    <row r="618" ht="14.25" customHeight="1" x14ac:dyDescent="0.25"/>
    <row r="619" ht="14.25" customHeight="1" x14ac:dyDescent="0.25"/>
    <row r="620" ht="14.25" customHeight="1" x14ac:dyDescent="0.25"/>
    <row r="621" ht="14.25" customHeight="1" x14ac:dyDescent="0.25"/>
    <row r="622" ht="14.25" customHeight="1" x14ac:dyDescent="0.25"/>
    <row r="623" ht="14.25" customHeight="1" x14ac:dyDescent="0.25"/>
    <row r="624" ht="14.25" customHeight="1" x14ac:dyDescent="0.25"/>
    <row r="625" ht="14.25" customHeight="1" x14ac:dyDescent="0.25"/>
    <row r="626" ht="14.25" customHeight="1" x14ac:dyDescent="0.25"/>
    <row r="627" ht="14.25" customHeight="1" x14ac:dyDescent="0.25"/>
    <row r="628" ht="14.25" customHeight="1" x14ac:dyDescent="0.25"/>
    <row r="629" ht="14.25" customHeight="1" x14ac:dyDescent="0.25"/>
    <row r="630" ht="14.25" customHeight="1" x14ac:dyDescent="0.25"/>
    <row r="631" ht="14.25" customHeight="1" x14ac:dyDescent="0.25"/>
    <row r="632" ht="14.25" customHeight="1" x14ac:dyDescent="0.25"/>
    <row r="633" ht="14.25" customHeight="1" x14ac:dyDescent="0.25"/>
    <row r="634" ht="14.25" customHeight="1" x14ac:dyDescent="0.25"/>
    <row r="635" ht="14.25" customHeight="1" x14ac:dyDescent="0.25"/>
    <row r="636" ht="14.25" customHeight="1" x14ac:dyDescent="0.25"/>
    <row r="637" ht="14.25" customHeight="1" x14ac:dyDescent="0.25"/>
    <row r="638" ht="14.25" customHeight="1" x14ac:dyDescent="0.25"/>
    <row r="639" ht="14.25" customHeight="1" x14ac:dyDescent="0.25"/>
    <row r="640" ht="14.25" customHeight="1" x14ac:dyDescent="0.25"/>
    <row r="641" ht="14.25" customHeight="1" x14ac:dyDescent="0.25"/>
    <row r="642" ht="14.25" customHeight="1" x14ac:dyDescent="0.25"/>
    <row r="643" ht="14.25" customHeight="1" x14ac:dyDescent="0.25"/>
    <row r="644" ht="14.25" customHeight="1" x14ac:dyDescent="0.25"/>
    <row r="645" ht="14.25" customHeight="1" x14ac:dyDescent="0.25"/>
    <row r="646" ht="14.25" customHeight="1" x14ac:dyDescent="0.25"/>
    <row r="647" ht="14.25" customHeight="1" x14ac:dyDescent="0.25"/>
    <row r="648" ht="14.25" customHeight="1" x14ac:dyDescent="0.25"/>
    <row r="649" ht="14.25" customHeight="1" x14ac:dyDescent="0.25"/>
    <row r="650" ht="14.25" customHeight="1" x14ac:dyDescent="0.25"/>
    <row r="651" ht="14.25" customHeight="1" x14ac:dyDescent="0.25"/>
    <row r="652" ht="14.25" customHeight="1" x14ac:dyDescent="0.25"/>
    <row r="653" ht="14.25" customHeight="1" x14ac:dyDescent="0.25"/>
    <row r="654" ht="14.25" customHeight="1" x14ac:dyDescent="0.25"/>
    <row r="655" ht="14.25" customHeight="1" x14ac:dyDescent="0.25"/>
    <row r="656" ht="14.25" customHeight="1" x14ac:dyDescent="0.25"/>
    <row r="657" ht="14.25" customHeight="1" x14ac:dyDescent="0.25"/>
    <row r="658" ht="14.25" customHeight="1" x14ac:dyDescent="0.25"/>
    <row r="659" ht="14.25" customHeight="1" x14ac:dyDescent="0.25"/>
    <row r="660" ht="14.25" customHeight="1" x14ac:dyDescent="0.25"/>
    <row r="661" ht="14.25" customHeight="1" x14ac:dyDescent="0.25"/>
    <row r="662" ht="14.25" customHeight="1" x14ac:dyDescent="0.25"/>
    <row r="663" ht="14.25" customHeight="1" x14ac:dyDescent="0.25"/>
    <row r="664" ht="14.25" customHeight="1" x14ac:dyDescent="0.25"/>
    <row r="665" ht="14.25" customHeight="1" x14ac:dyDescent="0.25"/>
    <row r="666" ht="14.25" customHeight="1" x14ac:dyDescent="0.25"/>
    <row r="667" ht="14.25" customHeight="1" x14ac:dyDescent="0.25"/>
    <row r="668" ht="14.25" customHeight="1" x14ac:dyDescent="0.25"/>
    <row r="669" ht="14.25" customHeight="1" x14ac:dyDescent="0.25"/>
    <row r="670" ht="14.25" customHeight="1" x14ac:dyDescent="0.25"/>
    <row r="671" ht="14.25" customHeight="1" x14ac:dyDescent="0.25"/>
    <row r="672" ht="14.25" customHeight="1" x14ac:dyDescent="0.25"/>
    <row r="673" ht="14.25" customHeight="1" x14ac:dyDescent="0.25"/>
    <row r="674" ht="14.25" customHeight="1" x14ac:dyDescent="0.25"/>
    <row r="675" ht="14.25" customHeight="1" x14ac:dyDescent="0.25"/>
    <row r="676" ht="14.25" customHeight="1" x14ac:dyDescent="0.25"/>
    <row r="677" ht="14.25" customHeight="1" x14ac:dyDescent="0.25"/>
    <row r="678" ht="14.25" customHeight="1" x14ac:dyDescent="0.25"/>
    <row r="679" ht="14.25" customHeight="1" x14ac:dyDescent="0.25"/>
    <row r="680" ht="14.25" customHeight="1" x14ac:dyDescent="0.25"/>
    <row r="681" ht="14.25" customHeight="1" x14ac:dyDescent="0.25"/>
    <row r="682" ht="14.25" customHeight="1" x14ac:dyDescent="0.25"/>
    <row r="683" ht="14.25" customHeight="1" x14ac:dyDescent="0.25"/>
    <row r="684" ht="14.25" customHeight="1" x14ac:dyDescent="0.25"/>
    <row r="685" ht="14.25" customHeight="1" x14ac:dyDescent="0.25"/>
    <row r="686" ht="14.25" customHeight="1" x14ac:dyDescent="0.25"/>
    <row r="687" ht="14.25" customHeight="1" x14ac:dyDescent="0.25"/>
    <row r="688" ht="14.25" customHeight="1" x14ac:dyDescent="0.25"/>
    <row r="689" ht="14.25" customHeight="1" x14ac:dyDescent="0.25"/>
    <row r="690" ht="14.25" customHeight="1" x14ac:dyDescent="0.25"/>
    <row r="691" ht="14.25" customHeight="1" x14ac:dyDescent="0.25"/>
    <row r="692" ht="14.25" customHeight="1" x14ac:dyDescent="0.25"/>
    <row r="693" ht="14.25" customHeight="1" x14ac:dyDescent="0.25"/>
    <row r="694" ht="14.25" customHeight="1" x14ac:dyDescent="0.25"/>
    <row r="695" ht="14.25" customHeight="1" x14ac:dyDescent="0.25"/>
    <row r="696" ht="14.25" customHeight="1" x14ac:dyDescent="0.25"/>
    <row r="697" ht="14.25" customHeight="1" x14ac:dyDescent="0.25"/>
    <row r="698" ht="14.25" customHeight="1" x14ac:dyDescent="0.25"/>
    <row r="699" ht="14.25" customHeight="1" x14ac:dyDescent="0.25"/>
    <row r="700" ht="14.25" customHeight="1" x14ac:dyDescent="0.25"/>
    <row r="701" ht="14.25" customHeight="1" x14ac:dyDescent="0.25"/>
    <row r="702" ht="14.25" customHeight="1" x14ac:dyDescent="0.25"/>
    <row r="703" ht="14.25" customHeight="1" x14ac:dyDescent="0.25"/>
    <row r="704" ht="14.25" customHeight="1" x14ac:dyDescent="0.25"/>
    <row r="705" ht="14.25" customHeight="1" x14ac:dyDescent="0.25"/>
    <row r="706" ht="14.25" customHeight="1" x14ac:dyDescent="0.25"/>
    <row r="707" ht="14.25" customHeight="1" x14ac:dyDescent="0.25"/>
    <row r="708" ht="14.25" customHeight="1" x14ac:dyDescent="0.25"/>
    <row r="709" ht="14.25" customHeight="1" x14ac:dyDescent="0.25"/>
    <row r="710" ht="14.25" customHeight="1" x14ac:dyDescent="0.25"/>
    <row r="711" ht="14.25" customHeight="1" x14ac:dyDescent="0.25"/>
    <row r="712" ht="14.25" customHeight="1" x14ac:dyDescent="0.25"/>
    <row r="713" ht="14.25" customHeight="1" x14ac:dyDescent="0.25"/>
    <row r="714" ht="14.25" customHeight="1" x14ac:dyDescent="0.25"/>
    <row r="715" ht="14.25" customHeight="1" x14ac:dyDescent="0.25"/>
    <row r="716" ht="14.25" customHeight="1" x14ac:dyDescent="0.25"/>
    <row r="717" ht="14.25" customHeight="1" x14ac:dyDescent="0.25"/>
    <row r="718" ht="14.25" customHeight="1" x14ac:dyDescent="0.25"/>
    <row r="719" ht="14.25" customHeight="1" x14ac:dyDescent="0.25"/>
    <row r="720" ht="14.25" customHeight="1" x14ac:dyDescent="0.25"/>
    <row r="721" ht="14.25" customHeight="1" x14ac:dyDescent="0.25"/>
    <row r="722" ht="14.25" customHeight="1" x14ac:dyDescent="0.25"/>
    <row r="723" ht="14.25" customHeight="1" x14ac:dyDescent="0.25"/>
    <row r="724" ht="14.25" customHeight="1" x14ac:dyDescent="0.25"/>
    <row r="725" ht="14.25" customHeight="1" x14ac:dyDescent="0.25"/>
    <row r="726" ht="14.25" customHeight="1" x14ac:dyDescent="0.25"/>
    <row r="727" ht="14.25" customHeight="1" x14ac:dyDescent="0.25"/>
    <row r="728" ht="14.25" customHeight="1" x14ac:dyDescent="0.25"/>
    <row r="729" ht="14.25" customHeight="1" x14ac:dyDescent="0.25"/>
    <row r="730" ht="14.25" customHeight="1" x14ac:dyDescent="0.25"/>
    <row r="731" ht="14.25" customHeight="1" x14ac:dyDescent="0.25"/>
    <row r="732" ht="14.25" customHeight="1" x14ac:dyDescent="0.25"/>
    <row r="733" ht="14.25" customHeight="1" x14ac:dyDescent="0.25"/>
    <row r="734" ht="14.25" customHeight="1" x14ac:dyDescent="0.25"/>
    <row r="735" ht="14.25" customHeight="1" x14ac:dyDescent="0.25"/>
    <row r="736" ht="14.25" customHeight="1" x14ac:dyDescent="0.25"/>
    <row r="737" ht="14.25" customHeight="1" x14ac:dyDescent="0.25"/>
    <row r="738" ht="14.25" customHeight="1" x14ac:dyDescent="0.25"/>
    <row r="739" ht="14.25" customHeight="1" x14ac:dyDescent="0.25"/>
    <row r="740" ht="14.25" customHeight="1" x14ac:dyDescent="0.25"/>
    <row r="741" ht="14.25" customHeight="1" x14ac:dyDescent="0.25"/>
    <row r="742" ht="14.25" customHeight="1" x14ac:dyDescent="0.25"/>
    <row r="743" ht="14.25" customHeight="1" x14ac:dyDescent="0.25"/>
    <row r="744" ht="14.25" customHeight="1" x14ac:dyDescent="0.25"/>
    <row r="745" ht="14.25" customHeight="1" x14ac:dyDescent="0.25"/>
    <row r="746" ht="14.25" customHeight="1" x14ac:dyDescent="0.25"/>
    <row r="747" ht="14.25" customHeight="1" x14ac:dyDescent="0.25"/>
    <row r="748" ht="14.25" customHeight="1" x14ac:dyDescent="0.25"/>
    <row r="749" ht="14.25" customHeight="1" x14ac:dyDescent="0.25"/>
    <row r="750" ht="14.25" customHeight="1" x14ac:dyDescent="0.25"/>
    <row r="751" ht="14.25" customHeight="1" x14ac:dyDescent="0.25"/>
    <row r="752" ht="14.25" customHeight="1" x14ac:dyDescent="0.25"/>
    <row r="753" ht="14.25" customHeight="1" x14ac:dyDescent="0.25"/>
    <row r="754" ht="14.25" customHeight="1" x14ac:dyDescent="0.25"/>
    <row r="755" ht="14.25" customHeight="1" x14ac:dyDescent="0.25"/>
    <row r="756" ht="14.25" customHeight="1" x14ac:dyDescent="0.25"/>
    <row r="757" ht="14.25" customHeight="1" x14ac:dyDescent="0.25"/>
    <row r="758" ht="14.25" customHeight="1" x14ac:dyDescent="0.25"/>
    <row r="759" ht="14.25" customHeight="1" x14ac:dyDescent="0.25"/>
    <row r="760" ht="14.25" customHeight="1" x14ac:dyDescent="0.25"/>
    <row r="761" ht="14.25" customHeight="1" x14ac:dyDescent="0.25"/>
    <row r="762" ht="14.25" customHeight="1" x14ac:dyDescent="0.25"/>
    <row r="763" ht="14.25" customHeight="1" x14ac:dyDescent="0.25"/>
    <row r="764" ht="14.25" customHeight="1" x14ac:dyDescent="0.25"/>
    <row r="765" ht="14.25" customHeight="1" x14ac:dyDescent="0.25"/>
    <row r="766" ht="14.25" customHeight="1" x14ac:dyDescent="0.25"/>
    <row r="767" ht="14.25" customHeight="1" x14ac:dyDescent="0.25"/>
    <row r="768" ht="14.25" customHeight="1" x14ac:dyDescent="0.25"/>
    <row r="769" ht="14.25" customHeight="1" x14ac:dyDescent="0.25"/>
    <row r="770" ht="14.25" customHeight="1" x14ac:dyDescent="0.25"/>
    <row r="771" ht="14.25" customHeight="1" x14ac:dyDescent="0.25"/>
    <row r="772" ht="14.25" customHeight="1" x14ac:dyDescent="0.25"/>
    <row r="773" ht="14.25" customHeight="1" x14ac:dyDescent="0.25"/>
    <row r="774" ht="14.25" customHeight="1" x14ac:dyDescent="0.25"/>
    <row r="775" ht="14.25" customHeight="1" x14ac:dyDescent="0.25"/>
    <row r="776" ht="14.25" customHeight="1" x14ac:dyDescent="0.25"/>
    <row r="777" ht="14.25" customHeight="1" x14ac:dyDescent="0.25"/>
    <row r="778" ht="14.25" customHeight="1" x14ac:dyDescent="0.25"/>
    <row r="779" ht="14.25" customHeight="1" x14ac:dyDescent="0.25"/>
    <row r="780" ht="14.25" customHeight="1" x14ac:dyDescent="0.25"/>
    <row r="781" ht="14.25" customHeight="1" x14ac:dyDescent="0.25"/>
    <row r="782" ht="14.25" customHeight="1" x14ac:dyDescent="0.25"/>
    <row r="783" ht="14.25" customHeight="1" x14ac:dyDescent="0.25"/>
    <row r="784" ht="14.25" customHeight="1" x14ac:dyDescent="0.25"/>
    <row r="785" ht="14.25" customHeight="1" x14ac:dyDescent="0.25"/>
    <row r="786" ht="14.25" customHeight="1" x14ac:dyDescent="0.25"/>
    <row r="787" ht="14.25" customHeight="1" x14ac:dyDescent="0.25"/>
    <row r="788" ht="14.25" customHeight="1" x14ac:dyDescent="0.25"/>
    <row r="789" ht="14.25" customHeight="1" x14ac:dyDescent="0.25"/>
    <row r="790" ht="14.25" customHeight="1" x14ac:dyDescent="0.25"/>
    <row r="791" ht="14.25" customHeight="1" x14ac:dyDescent="0.25"/>
    <row r="792" ht="14.25" customHeight="1" x14ac:dyDescent="0.25"/>
    <row r="793" ht="14.25" customHeight="1" x14ac:dyDescent="0.25"/>
    <row r="794" ht="14.25" customHeight="1" x14ac:dyDescent="0.25"/>
    <row r="795" ht="14.25" customHeight="1" x14ac:dyDescent="0.25"/>
    <row r="796" ht="14.25" customHeight="1" x14ac:dyDescent="0.25"/>
    <row r="797" ht="14.25" customHeight="1" x14ac:dyDescent="0.25"/>
    <row r="798" ht="14.25" customHeight="1" x14ac:dyDescent="0.25"/>
    <row r="799" ht="14.25" customHeight="1" x14ac:dyDescent="0.25"/>
    <row r="800" ht="14.25" customHeight="1" x14ac:dyDescent="0.25"/>
    <row r="801" ht="14.25" customHeight="1" x14ac:dyDescent="0.25"/>
    <row r="802" ht="14.25" customHeight="1" x14ac:dyDescent="0.25"/>
    <row r="803" ht="14.25" customHeight="1" x14ac:dyDescent="0.25"/>
    <row r="804" ht="14.25" customHeight="1" x14ac:dyDescent="0.25"/>
    <row r="805" ht="14.25" customHeight="1" x14ac:dyDescent="0.25"/>
    <row r="806" ht="14.25" customHeight="1" x14ac:dyDescent="0.25"/>
    <row r="807" ht="14.25" customHeight="1" x14ac:dyDescent="0.25"/>
    <row r="808" ht="14.25" customHeight="1" x14ac:dyDescent="0.25"/>
    <row r="809" ht="14.25" customHeight="1" x14ac:dyDescent="0.25"/>
    <row r="810" ht="14.25" customHeight="1" x14ac:dyDescent="0.25"/>
    <row r="811" ht="14.25" customHeight="1" x14ac:dyDescent="0.25"/>
    <row r="812" ht="14.25" customHeight="1" x14ac:dyDescent="0.25"/>
    <row r="813" ht="14.25" customHeight="1" x14ac:dyDescent="0.25"/>
    <row r="814" ht="14.25" customHeight="1" x14ac:dyDescent="0.25"/>
    <row r="815" ht="14.25" customHeight="1" x14ac:dyDescent="0.25"/>
    <row r="816" ht="14.25" customHeight="1" x14ac:dyDescent="0.25"/>
    <row r="817" ht="14.25" customHeight="1" x14ac:dyDescent="0.25"/>
    <row r="818" ht="14.25" customHeight="1" x14ac:dyDescent="0.25"/>
    <row r="819" ht="14.25" customHeight="1" x14ac:dyDescent="0.25"/>
    <row r="820" ht="14.25" customHeight="1" x14ac:dyDescent="0.25"/>
    <row r="821" ht="14.25" customHeight="1" x14ac:dyDescent="0.25"/>
    <row r="822" ht="14.25" customHeight="1" x14ac:dyDescent="0.25"/>
    <row r="823" ht="14.25" customHeight="1" x14ac:dyDescent="0.25"/>
    <row r="824" ht="14.25" customHeight="1" x14ac:dyDescent="0.25"/>
    <row r="825" ht="14.25" customHeight="1" x14ac:dyDescent="0.25"/>
    <row r="826" ht="14.25" customHeight="1" x14ac:dyDescent="0.25"/>
    <row r="827" ht="14.25" customHeight="1" x14ac:dyDescent="0.25"/>
    <row r="828" ht="14.25" customHeight="1" x14ac:dyDescent="0.25"/>
    <row r="829" ht="14.25" customHeight="1" x14ac:dyDescent="0.25"/>
    <row r="830" ht="14.25" customHeight="1" x14ac:dyDescent="0.25"/>
    <row r="831" ht="14.25" customHeight="1" x14ac:dyDescent="0.25"/>
    <row r="832" ht="14.25" customHeight="1" x14ac:dyDescent="0.25"/>
    <row r="833" ht="14.25" customHeight="1" x14ac:dyDescent="0.25"/>
    <row r="834" ht="14.25" customHeight="1" x14ac:dyDescent="0.25"/>
    <row r="835" ht="14.25" customHeight="1" x14ac:dyDescent="0.25"/>
    <row r="836" ht="14.25" customHeight="1" x14ac:dyDescent="0.25"/>
    <row r="837" ht="14.25" customHeight="1" x14ac:dyDescent="0.25"/>
    <row r="838" ht="14.25" customHeight="1" x14ac:dyDescent="0.25"/>
    <row r="839" ht="14.25" customHeight="1" x14ac:dyDescent="0.25"/>
    <row r="840" ht="14.25" customHeight="1" x14ac:dyDescent="0.25"/>
    <row r="841" ht="14.25" customHeight="1" x14ac:dyDescent="0.25"/>
    <row r="842" ht="14.25" customHeight="1" x14ac:dyDescent="0.25"/>
    <row r="843" ht="14.25" customHeight="1" x14ac:dyDescent="0.25"/>
    <row r="844" ht="14.25" customHeight="1" x14ac:dyDescent="0.25"/>
    <row r="845" ht="14.25" customHeight="1" x14ac:dyDescent="0.25"/>
    <row r="846" ht="14.25" customHeight="1" x14ac:dyDescent="0.25"/>
    <row r="847" ht="14.25" customHeight="1" x14ac:dyDescent="0.25"/>
    <row r="848" ht="14.25" customHeight="1" x14ac:dyDescent="0.25"/>
    <row r="849" ht="14.25" customHeight="1" x14ac:dyDescent="0.25"/>
    <row r="850" ht="14.25" customHeight="1" x14ac:dyDescent="0.25"/>
    <row r="851" ht="14.25" customHeight="1" x14ac:dyDescent="0.25"/>
    <row r="852" ht="14.25" customHeight="1" x14ac:dyDescent="0.25"/>
    <row r="853" ht="14.25" customHeight="1" x14ac:dyDescent="0.25"/>
    <row r="854" ht="14.25" customHeight="1" x14ac:dyDescent="0.25"/>
    <row r="855" ht="14.25" customHeight="1" x14ac:dyDescent="0.25"/>
    <row r="856" ht="14.25" customHeight="1" x14ac:dyDescent="0.25"/>
    <row r="857" ht="14.25" customHeight="1" x14ac:dyDescent="0.25"/>
    <row r="858" ht="14.25" customHeight="1" x14ac:dyDescent="0.25"/>
    <row r="859" ht="14.25" customHeight="1" x14ac:dyDescent="0.25"/>
    <row r="860" ht="14.25" customHeight="1" x14ac:dyDescent="0.25"/>
    <row r="861" ht="14.25" customHeight="1" x14ac:dyDescent="0.25"/>
    <row r="862" ht="14.25" customHeight="1" x14ac:dyDescent="0.25"/>
    <row r="863" ht="14.25" customHeight="1" x14ac:dyDescent="0.25"/>
    <row r="864" ht="14.25" customHeight="1" x14ac:dyDescent="0.25"/>
    <row r="865" ht="14.25" customHeight="1" x14ac:dyDescent="0.25"/>
    <row r="866" ht="14.25" customHeight="1" x14ac:dyDescent="0.25"/>
    <row r="867" ht="14.25" customHeight="1" x14ac:dyDescent="0.25"/>
    <row r="868" ht="14.25" customHeight="1" x14ac:dyDescent="0.25"/>
    <row r="869" ht="14.25" customHeight="1" x14ac:dyDescent="0.25"/>
    <row r="870" ht="14.25" customHeight="1" x14ac:dyDescent="0.25"/>
    <row r="871" ht="14.25" customHeight="1" x14ac:dyDescent="0.25"/>
    <row r="872" ht="14.25" customHeight="1" x14ac:dyDescent="0.25"/>
    <row r="873" ht="14.25" customHeight="1" x14ac:dyDescent="0.25"/>
    <row r="874" ht="14.25" customHeight="1" x14ac:dyDescent="0.25"/>
    <row r="875" ht="14.25" customHeight="1" x14ac:dyDescent="0.25"/>
    <row r="876" ht="14.25" customHeight="1" x14ac:dyDescent="0.25"/>
    <row r="877" ht="14.25" customHeight="1" x14ac:dyDescent="0.25"/>
    <row r="878" ht="14.25" customHeight="1" x14ac:dyDescent="0.25"/>
    <row r="879" ht="14.25" customHeight="1" x14ac:dyDescent="0.25"/>
    <row r="880" ht="14.25" customHeight="1" x14ac:dyDescent="0.25"/>
    <row r="881" ht="14.25" customHeight="1" x14ac:dyDescent="0.25"/>
    <row r="882" ht="14.25" customHeight="1" x14ac:dyDescent="0.25"/>
    <row r="883" ht="14.25" customHeight="1" x14ac:dyDescent="0.25"/>
    <row r="884" ht="14.25" customHeight="1" x14ac:dyDescent="0.25"/>
    <row r="885" ht="14.25" customHeight="1" x14ac:dyDescent="0.25"/>
    <row r="886" ht="14.25" customHeight="1" x14ac:dyDescent="0.25"/>
    <row r="887" ht="14.25" customHeight="1" x14ac:dyDescent="0.25"/>
    <row r="888" ht="14.25" customHeight="1" x14ac:dyDescent="0.25"/>
    <row r="889" ht="14.25" customHeight="1" x14ac:dyDescent="0.25"/>
    <row r="890" ht="14.25" customHeight="1" x14ac:dyDescent="0.25"/>
    <row r="891" ht="14.25" customHeight="1" x14ac:dyDescent="0.25"/>
    <row r="892" ht="14.25" customHeight="1" x14ac:dyDescent="0.25"/>
    <row r="893" ht="14.25" customHeight="1" x14ac:dyDescent="0.25"/>
    <row r="894" ht="14.25" customHeight="1" x14ac:dyDescent="0.25"/>
    <row r="895" ht="14.25" customHeight="1" x14ac:dyDescent="0.25"/>
    <row r="896" ht="14.25" customHeight="1" x14ac:dyDescent="0.25"/>
    <row r="897" ht="14.25" customHeight="1" x14ac:dyDescent="0.25"/>
    <row r="898" ht="14.25" customHeight="1" x14ac:dyDescent="0.25"/>
    <row r="899" ht="14.25" customHeight="1" x14ac:dyDescent="0.25"/>
    <row r="900" ht="14.25" customHeight="1" x14ac:dyDescent="0.25"/>
    <row r="901" ht="14.25" customHeight="1" x14ac:dyDescent="0.25"/>
    <row r="902" ht="14.25" customHeight="1" x14ac:dyDescent="0.25"/>
    <row r="903" ht="14.25" customHeight="1" x14ac:dyDescent="0.25"/>
    <row r="904" ht="14.25" customHeight="1" x14ac:dyDescent="0.25"/>
    <row r="905" ht="14.25" customHeight="1" x14ac:dyDescent="0.25"/>
    <row r="906" ht="14.25" customHeight="1" x14ac:dyDescent="0.25"/>
    <row r="907" ht="14.25" customHeight="1" x14ac:dyDescent="0.25"/>
    <row r="908" ht="14.25" customHeight="1" x14ac:dyDescent="0.25"/>
    <row r="909" ht="14.25" customHeight="1" x14ac:dyDescent="0.25"/>
    <row r="910" ht="14.25" customHeight="1" x14ac:dyDescent="0.25"/>
    <row r="911" ht="14.25" customHeight="1" x14ac:dyDescent="0.25"/>
    <row r="912" ht="14.25" customHeight="1" x14ac:dyDescent="0.25"/>
    <row r="913" ht="14.25" customHeight="1" x14ac:dyDescent="0.25"/>
    <row r="914" ht="14.25" customHeight="1" x14ac:dyDescent="0.25"/>
    <row r="915" ht="14.25" customHeight="1" x14ac:dyDescent="0.25"/>
    <row r="916" ht="14.25" customHeight="1" x14ac:dyDescent="0.25"/>
    <row r="917" ht="14.25" customHeight="1" x14ac:dyDescent="0.25"/>
    <row r="918" ht="14.25" customHeight="1" x14ac:dyDescent="0.25"/>
    <row r="919" ht="14.25" customHeight="1" x14ac:dyDescent="0.25"/>
    <row r="920" ht="14.25" customHeight="1" x14ac:dyDescent="0.25"/>
    <row r="921" ht="14.25" customHeight="1" x14ac:dyDescent="0.25"/>
    <row r="922" ht="14.25" customHeight="1" x14ac:dyDescent="0.25"/>
    <row r="923" ht="14.25" customHeight="1" x14ac:dyDescent="0.25"/>
    <row r="924" ht="14.25" customHeight="1" x14ac:dyDescent="0.25"/>
    <row r="925" ht="14.25" customHeight="1" x14ac:dyDescent="0.25"/>
    <row r="926" ht="14.25" customHeight="1" x14ac:dyDescent="0.25"/>
    <row r="927" ht="14.25" customHeight="1" x14ac:dyDescent="0.25"/>
    <row r="928" ht="14.25" customHeight="1" x14ac:dyDescent="0.25"/>
    <row r="929" ht="14.25" customHeight="1" x14ac:dyDescent="0.25"/>
    <row r="930" ht="14.25" customHeight="1" x14ac:dyDescent="0.25"/>
    <row r="931" ht="14.25" customHeight="1" x14ac:dyDescent="0.25"/>
    <row r="932" ht="14.25" customHeight="1" x14ac:dyDescent="0.25"/>
    <row r="933" ht="14.25" customHeight="1" x14ac:dyDescent="0.25"/>
    <row r="934" ht="14.25" customHeight="1" x14ac:dyDescent="0.25"/>
    <row r="935" ht="14.25" customHeight="1" x14ac:dyDescent="0.25"/>
    <row r="936" ht="14.25" customHeight="1" x14ac:dyDescent="0.25"/>
    <row r="937" ht="14.25" customHeight="1" x14ac:dyDescent="0.25"/>
    <row r="938" ht="14.25" customHeight="1" x14ac:dyDescent="0.25"/>
    <row r="939" ht="14.25" customHeight="1" x14ac:dyDescent="0.25"/>
    <row r="940" ht="14.25" customHeight="1" x14ac:dyDescent="0.25"/>
    <row r="941" ht="14.25" customHeight="1" x14ac:dyDescent="0.25"/>
    <row r="942" ht="14.25" customHeight="1" x14ac:dyDescent="0.25"/>
    <row r="943" ht="14.25" customHeight="1" x14ac:dyDescent="0.25"/>
    <row r="944" ht="14.25" customHeight="1" x14ac:dyDescent="0.25"/>
    <row r="945" ht="14.25" customHeight="1" x14ac:dyDescent="0.25"/>
    <row r="946" ht="14.25" customHeight="1" x14ac:dyDescent="0.25"/>
    <row r="947" ht="14.25" customHeight="1" x14ac:dyDescent="0.25"/>
    <row r="948" ht="14.25" customHeight="1" x14ac:dyDescent="0.25"/>
    <row r="949" ht="14.25" customHeight="1" x14ac:dyDescent="0.25"/>
    <row r="950" ht="14.25" customHeight="1" x14ac:dyDescent="0.25"/>
    <row r="951" ht="14.25" customHeight="1" x14ac:dyDescent="0.25"/>
    <row r="952" ht="14.25" customHeight="1" x14ac:dyDescent="0.25"/>
    <row r="953" ht="14.25" customHeight="1" x14ac:dyDescent="0.25"/>
    <row r="954" ht="14.25" customHeight="1" x14ac:dyDescent="0.25"/>
    <row r="955" ht="14.25" customHeight="1" x14ac:dyDescent="0.25"/>
    <row r="956" ht="14.25" customHeight="1" x14ac:dyDescent="0.25"/>
    <row r="957" ht="14.25" customHeight="1" x14ac:dyDescent="0.25"/>
    <row r="958" ht="14.25" customHeight="1" x14ac:dyDescent="0.25"/>
    <row r="959" ht="14.25" customHeight="1" x14ac:dyDescent="0.25"/>
    <row r="960" ht="14.25" customHeight="1" x14ac:dyDescent="0.25"/>
    <row r="961" ht="14.25" customHeight="1" x14ac:dyDescent="0.25"/>
    <row r="962" ht="14.25" customHeight="1" x14ac:dyDescent="0.25"/>
    <row r="963" ht="14.25" customHeight="1" x14ac:dyDescent="0.25"/>
    <row r="964" ht="14.25" customHeight="1" x14ac:dyDescent="0.25"/>
    <row r="965" ht="14.25" customHeight="1" x14ac:dyDescent="0.25"/>
    <row r="966" ht="14.25" customHeight="1" x14ac:dyDescent="0.25"/>
    <row r="967" ht="14.25" customHeight="1" x14ac:dyDescent="0.25"/>
    <row r="968" ht="14.25" customHeight="1" x14ac:dyDescent="0.25"/>
    <row r="969" ht="14.25" customHeight="1" x14ac:dyDescent="0.25"/>
    <row r="970" ht="14.25" customHeight="1" x14ac:dyDescent="0.25"/>
    <row r="971" ht="14.25" customHeight="1" x14ac:dyDescent="0.25"/>
    <row r="972" ht="14.25" customHeight="1" x14ac:dyDescent="0.25"/>
    <row r="973" ht="14.25" customHeight="1" x14ac:dyDescent="0.25"/>
    <row r="974" ht="14.25" customHeight="1" x14ac:dyDescent="0.25"/>
    <row r="975" ht="14.25" customHeight="1" x14ac:dyDescent="0.25"/>
    <row r="976" ht="14.25" customHeight="1" x14ac:dyDescent="0.25"/>
    <row r="977" ht="14.25" customHeight="1" x14ac:dyDescent="0.25"/>
    <row r="978" ht="14.25" customHeight="1" x14ac:dyDescent="0.25"/>
    <row r="979" ht="14.25" customHeight="1" x14ac:dyDescent="0.25"/>
    <row r="980" ht="14.25" customHeight="1" x14ac:dyDescent="0.25"/>
    <row r="981" ht="14.25" customHeight="1" x14ac:dyDescent="0.25"/>
    <row r="982" ht="14.25" customHeight="1" x14ac:dyDescent="0.25"/>
    <row r="983" ht="14.25" customHeight="1" x14ac:dyDescent="0.25"/>
    <row r="984" ht="14.25" customHeight="1" x14ac:dyDescent="0.25"/>
    <row r="985" ht="14.25" customHeight="1" x14ac:dyDescent="0.25"/>
    <row r="986" ht="14.25" customHeight="1" x14ac:dyDescent="0.25"/>
    <row r="987" ht="14.25" customHeight="1" x14ac:dyDescent="0.25"/>
    <row r="988" ht="14.25" customHeight="1" x14ac:dyDescent="0.25"/>
    <row r="989" ht="14.25" customHeight="1" x14ac:dyDescent="0.25"/>
    <row r="990" ht="14.25" customHeight="1" x14ac:dyDescent="0.25"/>
    <row r="991" ht="14.25" customHeight="1" x14ac:dyDescent="0.25"/>
    <row r="992" ht="14.25" customHeight="1" x14ac:dyDescent="0.25"/>
    <row r="993" ht="14.25" customHeight="1" x14ac:dyDescent="0.25"/>
    <row r="994" ht="14.25" customHeight="1" x14ac:dyDescent="0.25"/>
    <row r="995" ht="14.25" customHeight="1" x14ac:dyDescent="0.25"/>
    <row r="996" ht="14.25" customHeight="1" x14ac:dyDescent="0.25"/>
    <row r="997" ht="14.25" customHeight="1" x14ac:dyDescent="0.25"/>
    <row r="998" ht="14.25" customHeight="1" x14ac:dyDescent="0.25"/>
    <row r="999" ht="14.25" customHeight="1" x14ac:dyDescent="0.25"/>
    <row r="1000" ht="14.25" customHeight="1" x14ac:dyDescent="0.25"/>
  </sheetData>
  <mergeCells count="28">
    <mergeCell ref="AW2:AW3"/>
    <mergeCell ref="AT2:AV2"/>
    <mergeCell ref="AO2:AO3"/>
    <mergeCell ref="A15:A16"/>
    <mergeCell ref="B15:B16"/>
    <mergeCell ref="C15:C16"/>
    <mergeCell ref="D15:D16"/>
    <mergeCell ref="Q2:S2"/>
    <mergeCell ref="T2:T3"/>
    <mergeCell ref="AN2:AN3"/>
    <mergeCell ref="AP2:AP3"/>
    <mergeCell ref="AQ2:AS2"/>
    <mergeCell ref="A1:BA1"/>
    <mergeCell ref="A2:A3"/>
    <mergeCell ref="B2:B3"/>
    <mergeCell ref="C2:C3"/>
    <mergeCell ref="D2:D3"/>
    <mergeCell ref="E2:E3"/>
    <mergeCell ref="F2:N2"/>
    <mergeCell ref="AD2:AG2"/>
    <mergeCell ref="AH2:AL2"/>
    <mergeCell ref="U2:V2"/>
    <mergeCell ref="W2:Y2"/>
    <mergeCell ref="Z2:AC2"/>
    <mergeCell ref="AM2:AM3"/>
    <mergeCell ref="AX2:AZ2"/>
    <mergeCell ref="BA2:BA3"/>
    <mergeCell ref="O2:P2"/>
  </mergeCells>
  <pageMargins left="0.7" right="0.7" top="0.75" bottom="0.75" header="0" footer="0"/>
  <pageSetup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5DAA5-2A82-4A7C-8490-526F135C651C}">
  <sheetPr codeName="Sheet4"/>
  <dimension ref="A1:M70"/>
  <sheetViews>
    <sheetView zoomScale="115" zoomScaleNormal="115" workbookViewId="0">
      <selection activeCell="H9" sqref="H9"/>
    </sheetView>
  </sheetViews>
  <sheetFormatPr defaultRowHeight="15" x14ac:dyDescent="0.25"/>
  <cols>
    <col min="1" max="1" width="35.7109375" customWidth="1"/>
    <col min="2" max="2" width="27.28515625" customWidth="1"/>
    <col min="3" max="3" width="17.85546875" customWidth="1"/>
    <col min="4" max="4" width="12.140625" customWidth="1"/>
    <col min="5" max="5" width="22" customWidth="1"/>
    <col min="6" max="6" width="20.28515625" customWidth="1"/>
    <col min="7" max="7" width="23.42578125" customWidth="1"/>
    <col min="8" max="8" width="17.42578125" customWidth="1"/>
    <col min="9" max="9" width="22.85546875" customWidth="1"/>
  </cols>
  <sheetData>
    <row r="1" spans="1:13" ht="30" x14ac:dyDescent="0.25">
      <c r="A1" s="36" t="s">
        <v>143</v>
      </c>
      <c r="B1" s="37" t="s">
        <v>144</v>
      </c>
      <c r="C1" s="37" t="s">
        <v>145</v>
      </c>
      <c r="D1" s="37" t="s">
        <v>146</v>
      </c>
      <c r="E1" s="38" t="s">
        <v>147</v>
      </c>
      <c r="F1" s="33"/>
      <c r="G1" s="34"/>
      <c r="H1" s="34"/>
      <c r="I1" s="34"/>
      <c r="J1" s="34"/>
      <c r="K1" s="34"/>
      <c r="L1" s="34"/>
      <c r="M1" s="34"/>
    </row>
    <row r="2" spans="1:13" ht="15.75" thickBot="1" x14ac:dyDescent="0.3">
      <c r="A2" s="98"/>
      <c r="B2" s="97"/>
      <c r="C2" s="92"/>
      <c r="D2" s="93"/>
      <c r="E2" s="94"/>
      <c r="F2" s="34"/>
      <c r="G2" s="34"/>
      <c r="H2" s="34"/>
      <c r="I2" s="34"/>
      <c r="J2" s="34"/>
      <c r="K2" s="34"/>
      <c r="L2" s="34"/>
      <c r="M2" s="95"/>
    </row>
    <row r="3" spans="1:13" x14ac:dyDescent="0.25">
      <c r="A3" s="96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95"/>
    </row>
    <row r="4" spans="1:13" x14ac:dyDescent="0.25">
      <c r="A4" s="96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95"/>
    </row>
    <row r="5" spans="1:13" ht="28.5" x14ac:dyDescent="0.25">
      <c r="A5" s="39" t="s">
        <v>0</v>
      </c>
      <c r="B5" s="149" t="s">
        <v>121</v>
      </c>
      <c r="C5" s="150"/>
      <c r="D5" s="35" t="s">
        <v>122</v>
      </c>
      <c r="E5" s="35" t="s">
        <v>123</v>
      </c>
      <c r="F5" s="35" t="s">
        <v>124</v>
      </c>
      <c r="G5" s="35" t="s">
        <v>66</v>
      </c>
      <c r="H5" s="35" t="s">
        <v>125</v>
      </c>
      <c r="I5" s="35" t="s">
        <v>219</v>
      </c>
      <c r="J5" s="34"/>
      <c r="K5" s="34"/>
      <c r="L5" s="34"/>
      <c r="M5" s="95"/>
    </row>
    <row r="6" spans="1:13" x14ac:dyDescent="0.25">
      <c r="A6" s="138">
        <v>1</v>
      </c>
      <c r="B6" s="140" t="s">
        <v>126</v>
      </c>
      <c r="C6" s="141"/>
      <c r="D6" s="105"/>
      <c r="E6" s="99"/>
      <c r="F6" s="46"/>
      <c r="G6" s="46"/>
      <c r="H6" s="46"/>
      <c r="I6" s="46"/>
      <c r="J6" s="34"/>
      <c r="K6" s="34"/>
      <c r="L6" s="34"/>
      <c r="M6" s="95"/>
    </row>
    <row r="7" spans="1:13" x14ac:dyDescent="0.25">
      <c r="A7" s="139"/>
      <c r="B7" s="147"/>
      <c r="C7" s="148"/>
      <c r="D7" s="40"/>
      <c r="E7" s="40"/>
      <c r="F7" s="40"/>
      <c r="G7" s="40"/>
      <c r="H7" s="102"/>
      <c r="I7" s="40"/>
      <c r="J7" s="34"/>
      <c r="K7" s="34"/>
      <c r="L7" s="34"/>
      <c r="M7" s="34"/>
    </row>
    <row r="8" spans="1:13" x14ac:dyDescent="0.25">
      <c r="A8" s="144">
        <v>2</v>
      </c>
      <c r="B8" s="145" t="s">
        <v>127</v>
      </c>
      <c r="C8" s="146"/>
      <c r="D8" s="40"/>
      <c r="E8" s="40"/>
      <c r="F8" s="40"/>
      <c r="G8" s="40"/>
      <c r="H8" s="102"/>
      <c r="I8" s="40"/>
      <c r="J8" s="103"/>
      <c r="K8" s="103"/>
      <c r="L8" s="103"/>
      <c r="M8" s="103"/>
    </row>
    <row r="9" spans="1:13" x14ac:dyDescent="0.25">
      <c r="A9" s="144"/>
      <c r="B9" s="145"/>
      <c r="C9" s="146"/>
      <c r="D9" s="40"/>
      <c r="E9" s="40"/>
      <c r="F9" s="40"/>
      <c r="G9" s="40"/>
      <c r="H9" s="102"/>
      <c r="I9" s="40"/>
      <c r="J9" s="34"/>
      <c r="K9" s="34"/>
      <c r="L9" s="34"/>
      <c r="M9" s="34"/>
    </row>
    <row r="10" spans="1:13" x14ac:dyDescent="0.25">
      <c r="A10" s="138">
        <v>3</v>
      </c>
      <c r="B10" s="140" t="s">
        <v>164</v>
      </c>
      <c r="C10" s="141"/>
      <c r="D10" s="40"/>
      <c r="E10" s="40"/>
      <c r="F10" s="40"/>
      <c r="G10" s="40"/>
      <c r="H10" s="102"/>
      <c r="I10" s="40"/>
      <c r="J10" s="34"/>
      <c r="K10" s="34"/>
      <c r="L10" s="34"/>
      <c r="M10" s="34"/>
    </row>
    <row r="11" spans="1:13" x14ac:dyDescent="0.25">
      <c r="A11" s="139"/>
      <c r="B11" s="142"/>
      <c r="C11" s="143"/>
      <c r="D11" s="40"/>
      <c r="E11" s="40"/>
      <c r="G11" s="40"/>
      <c r="H11" s="40"/>
      <c r="I11" s="40"/>
      <c r="J11" s="34"/>
      <c r="K11" s="34"/>
      <c r="L11" s="34"/>
      <c r="M11" s="34"/>
    </row>
    <row r="12" spans="1:13" x14ac:dyDescent="0.25">
      <c r="A12" s="144">
        <v>4</v>
      </c>
      <c r="B12" s="140" t="s">
        <v>165</v>
      </c>
      <c r="C12" s="141"/>
      <c r="D12" s="40"/>
      <c r="E12" s="40"/>
      <c r="F12" s="40"/>
      <c r="G12" s="40"/>
      <c r="H12" s="40"/>
      <c r="I12" s="40"/>
      <c r="J12" s="34"/>
      <c r="K12" s="34"/>
      <c r="L12" s="34"/>
      <c r="M12" s="34"/>
    </row>
    <row r="13" spans="1:13" x14ac:dyDescent="0.25">
      <c r="A13" s="144"/>
      <c r="B13" s="142"/>
      <c r="C13" s="143"/>
      <c r="D13" s="47"/>
      <c r="E13" s="47"/>
      <c r="F13" s="47"/>
      <c r="G13" s="47"/>
      <c r="H13" s="47"/>
      <c r="I13" s="47"/>
      <c r="J13" s="34"/>
      <c r="K13" s="34"/>
      <c r="L13" s="34"/>
      <c r="M13" s="34"/>
    </row>
    <row r="14" spans="1:13" x14ac:dyDescent="0.25">
      <c r="A14" s="138">
        <v>5</v>
      </c>
      <c r="B14" s="145" t="s">
        <v>55</v>
      </c>
      <c r="C14" s="146"/>
      <c r="D14" s="47"/>
      <c r="E14" s="47"/>
      <c r="F14" s="47"/>
      <c r="G14" s="47"/>
      <c r="H14" s="47"/>
      <c r="I14" s="47"/>
      <c r="J14" s="34"/>
      <c r="K14" s="34"/>
      <c r="L14" s="34"/>
      <c r="M14" s="34"/>
    </row>
    <row r="15" spans="1:13" x14ac:dyDescent="0.25">
      <c r="A15" s="139"/>
      <c r="B15" s="146"/>
      <c r="C15" s="146"/>
      <c r="D15" s="47"/>
      <c r="E15" s="47"/>
      <c r="F15" s="47"/>
      <c r="G15" s="47"/>
      <c r="H15" s="47"/>
      <c r="I15" s="47"/>
      <c r="J15" s="34"/>
      <c r="K15" s="34"/>
      <c r="L15" s="34"/>
      <c r="M15" s="34"/>
    </row>
    <row r="16" spans="1:13" x14ac:dyDescent="0.25">
      <c r="A16" s="144">
        <v>6</v>
      </c>
      <c r="B16" s="145" t="s">
        <v>56</v>
      </c>
      <c r="C16" s="146"/>
      <c r="D16" s="102"/>
      <c r="E16" s="47"/>
      <c r="F16" s="47"/>
      <c r="G16" s="47"/>
      <c r="H16" s="47"/>
      <c r="I16" s="47"/>
      <c r="J16" s="34"/>
      <c r="K16" s="34"/>
      <c r="L16" s="34"/>
      <c r="M16" s="34"/>
    </row>
    <row r="17" spans="1:13" x14ac:dyDescent="0.25">
      <c r="A17" s="144"/>
      <c r="B17" s="146"/>
      <c r="C17" s="146"/>
      <c r="D17" s="106"/>
      <c r="E17" s="47"/>
      <c r="F17" s="47"/>
      <c r="G17" s="47"/>
      <c r="H17" s="104"/>
      <c r="I17" s="104"/>
      <c r="J17" s="34"/>
      <c r="K17" s="34"/>
      <c r="L17" s="34"/>
      <c r="M17" s="34"/>
    </row>
    <row r="18" spans="1:13" x14ac:dyDescent="0.25">
      <c r="A18" s="151">
        <v>7</v>
      </c>
      <c r="B18" s="142" t="s">
        <v>162</v>
      </c>
      <c r="C18" s="143"/>
      <c r="D18" s="102"/>
      <c r="E18" s="47"/>
      <c r="F18" s="47"/>
      <c r="G18" s="47"/>
      <c r="H18" s="47"/>
      <c r="I18" s="47"/>
      <c r="J18" s="34"/>
      <c r="K18" s="34"/>
      <c r="L18" s="34"/>
      <c r="M18" s="34"/>
    </row>
    <row r="19" spans="1:13" x14ac:dyDescent="0.25">
      <c r="A19" s="139"/>
      <c r="B19" s="147"/>
      <c r="C19" s="148"/>
      <c r="D19" s="107"/>
      <c r="E19" s="47"/>
      <c r="F19" s="47"/>
      <c r="G19" s="47"/>
      <c r="H19" s="104"/>
      <c r="I19" s="104"/>
      <c r="J19" s="34"/>
      <c r="K19" s="34"/>
      <c r="L19" s="34"/>
      <c r="M19" s="34"/>
    </row>
    <row r="20" spans="1:13" x14ac:dyDescent="0.25">
      <c r="A20" s="144">
        <v>8</v>
      </c>
      <c r="B20" s="145" t="s">
        <v>163</v>
      </c>
      <c r="C20" s="146"/>
      <c r="D20" s="107"/>
      <c r="E20" s="47"/>
      <c r="F20" s="47"/>
      <c r="G20" s="47"/>
      <c r="H20" s="104"/>
      <c r="I20" s="104"/>
      <c r="J20" s="34"/>
      <c r="K20" s="34"/>
      <c r="L20" s="34"/>
      <c r="M20" s="34"/>
    </row>
    <row r="21" spans="1:13" x14ac:dyDescent="0.25">
      <c r="A21" s="144"/>
      <c r="B21" s="145"/>
      <c r="C21" s="146"/>
      <c r="D21" s="107"/>
      <c r="E21" s="47"/>
      <c r="F21" s="47"/>
      <c r="G21" s="47"/>
      <c r="H21" s="104"/>
      <c r="I21" s="104"/>
      <c r="J21" s="34"/>
      <c r="K21" s="34"/>
      <c r="L21" s="34"/>
      <c r="M21" s="34"/>
    </row>
    <row r="22" spans="1:13" x14ac:dyDescent="0.25">
      <c r="A22" s="138">
        <v>9</v>
      </c>
      <c r="B22" s="140" t="s">
        <v>176</v>
      </c>
      <c r="C22" s="141"/>
      <c r="D22" s="107"/>
      <c r="E22" s="47"/>
      <c r="F22" s="47"/>
      <c r="G22" s="47"/>
      <c r="H22" s="104"/>
      <c r="I22" s="47"/>
      <c r="J22" s="34"/>
      <c r="K22" s="34"/>
      <c r="L22" s="34"/>
      <c r="M22" s="34"/>
    </row>
    <row r="23" spans="1:13" x14ac:dyDescent="0.25">
      <c r="A23" s="151"/>
      <c r="B23" s="142"/>
      <c r="C23" s="143"/>
      <c r="D23" s="107"/>
      <c r="E23" s="47"/>
      <c r="F23" s="47"/>
      <c r="G23" s="47"/>
      <c r="H23" s="104"/>
      <c r="I23" s="47"/>
      <c r="J23" s="34"/>
      <c r="K23" s="34"/>
      <c r="L23" s="34"/>
      <c r="M23" s="34"/>
    </row>
    <row r="24" spans="1:13" x14ac:dyDescent="0.25">
      <c r="A24" s="144">
        <v>10</v>
      </c>
      <c r="B24" s="140" t="s">
        <v>177</v>
      </c>
      <c r="C24" s="141"/>
      <c r="D24" s="107"/>
      <c r="E24" s="47"/>
      <c r="F24" s="47"/>
      <c r="G24" s="47"/>
      <c r="H24" s="47"/>
      <c r="I24" s="47"/>
      <c r="J24" s="34"/>
      <c r="K24" s="34"/>
      <c r="L24" s="34"/>
      <c r="M24" s="34"/>
    </row>
    <row r="25" spans="1:13" x14ac:dyDescent="0.25">
      <c r="A25" s="144"/>
      <c r="B25" s="147"/>
      <c r="C25" s="148"/>
      <c r="D25" s="47"/>
      <c r="E25" s="47"/>
      <c r="F25" s="47"/>
      <c r="G25" s="47"/>
      <c r="H25" s="47"/>
      <c r="I25" s="47"/>
      <c r="J25" s="34"/>
      <c r="K25" s="34"/>
      <c r="L25" s="34"/>
      <c r="M25" s="34"/>
    </row>
    <row r="26" spans="1:13" ht="15" customHeight="1" x14ac:dyDescent="0.25">
      <c r="A26" s="138">
        <v>11</v>
      </c>
      <c r="B26" s="140" t="s">
        <v>166</v>
      </c>
      <c r="C26" s="141"/>
      <c r="D26" s="47"/>
      <c r="E26" s="47"/>
      <c r="F26" s="47"/>
      <c r="G26" s="47"/>
      <c r="H26" s="47"/>
      <c r="I26" s="47"/>
      <c r="J26" s="34"/>
      <c r="K26" s="34"/>
      <c r="L26" s="34"/>
      <c r="M26" s="34"/>
    </row>
    <row r="27" spans="1:13" x14ac:dyDescent="0.25">
      <c r="A27" s="139"/>
      <c r="B27" s="147"/>
      <c r="C27" s="148"/>
      <c r="D27" s="47"/>
      <c r="E27" s="47"/>
      <c r="F27" s="47"/>
      <c r="G27" s="47"/>
      <c r="H27" s="47"/>
      <c r="I27" s="47"/>
      <c r="J27" s="34"/>
      <c r="K27" s="34"/>
      <c r="L27" s="34"/>
      <c r="M27" s="34"/>
    </row>
    <row r="28" spans="1:13" x14ac:dyDescent="0.25">
      <c r="A28" s="144">
        <v>12</v>
      </c>
      <c r="B28" s="140" t="s">
        <v>167</v>
      </c>
      <c r="C28" s="141"/>
      <c r="D28" s="47"/>
      <c r="E28" s="47"/>
      <c r="F28" s="47"/>
      <c r="G28" s="47"/>
      <c r="H28" s="47"/>
      <c r="I28" s="47"/>
      <c r="J28" s="34"/>
      <c r="K28" s="34"/>
      <c r="L28" s="34"/>
      <c r="M28" s="34"/>
    </row>
    <row r="29" spans="1:13" x14ac:dyDescent="0.25">
      <c r="A29" s="144"/>
      <c r="B29" s="147"/>
      <c r="C29" s="148"/>
      <c r="D29" s="47"/>
      <c r="E29" s="47"/>
      <c r="F29" s="47"/>
      <c r="G29" s="47"/>
      <c r="H29" s="47"/>
      <c r="I29" s="47"/>
      <c r="J29" s="34"/>
      <c r="K29" s="34"/>
      <c r="L29" s="34"/>
      <c r="M29" s="34"/>
    </row>
    <row r="30" spans="1:13" x14ac:dyDescent="0.25">
      <c r="A30" s="138">
        <v>13</v>
      </c>
      <c r="B30" s="140" t="s">
        <v>174</v>
      </c>
      <c r="C30" s="141"/>
      <c r="D30" s="47"/>
      <c r="E30" s="47"/>
      <c r="F30" s="47"/>
      <c r="G30" s="47"/>
      <c r="H30" s="47"/>
      <c r="I30" s="47"/>
      <c r="J30" s="34"/>
      <c r="K30" s="34"/>
      <c r="L30" s="34"/>
      <c r="M30" s="34"/>
    </row>
    <row r="31" spans="1:13" x14ac:dyDescent="0.25">
      <c r="A31" s="139"/>
      <c r="B31" s="147"/>
      <c r="C31" s="148"/>
      <c r="D31" s="47"/>
      <c r="E31" s="47"/>
      <c r="F31" s="47"/>
      <c r="G31" s="47"/>
      <c r="H31" s="47"/>
      <c r="I31" s="47"/>
      <c r="J31" s="34"/>
      <c r="K31" s="34"/>
      <c r="L31" s="34"/>
      <c r="M31" s="34"/>
    </row>
    <row r="32" spans="1:13" x14ac:dyDescent="0.25">
      <c r="A32" s="144">
        <v>14</v>
      </c>
      <c r="B32" s="140" t="s">
        <v>175</v>
      </c>
      <c r="C32" s="141"/>
      <c r="D32" s="47"/>
      <c r="E32" s="47"/>
      <c r="F32" s="47"/>
      <c r="G32" s="47"/>
      <c r="H32" s="47"/>
      <c r="I32" s="47"/>
      <c r="J32" s="34"/>
      <c r="K32" s="34"/>
      <c r="L32" s="34"/>
      <c r="M32" s="34"/>
    </row>
    <row r="33" spans="1:13" x14ac:dyDescent="0.25">
      <c r="A33" s="144"/>
      <c r="B33" s="147"/>
      <c r="C33" s="148"/>
      <c r="D33" s="47"/>
      <c r="E33" s="47"/>
      <c r="F33" s="47"/>
      <c r="G33" s="47"/>
      <c r="H33" s="47"/>
      <c r="I33" s="47"/>
      <c r="J33" s="34"/>
      <c r="K33" s="34"/>
      <c r="L33" s="34"/>
      <c r="M33" s="34"/>
    </row>
    <row r="34" spans="1:13" x14ac:dyDescent="0.25">
      <c r="A34" s="138">
        <v>15</v>
      </c>
      <c r="B34" s="140" t="s">
        <v>128</v>
      </c>
      <c r="C34" s="141"/>
      <c r="D34" s="47"/>
      <c r="E34" s="47"/>
      <c r="F34" s="47"/>
      <c r="G34" s="47"/>
      <c r="H34" s="47"/>
      <c r="I34" s="47"/>
      <c r="J34" s="34"/>
      <c r="K34" s="34"/>
      <c r="L34" s="34"/>
      <c r="M34" s="34"/>
    </row>
    <row r="35" spans="1:13" x14ac:dyDescent="0.25">
      <c r="A35" s="139"/>
      <c r="B35" s="147"/>
      <c r="C35" s="148"/>
      <c r="D35" s="47"/>
      <c r="E35" s="47"/>
      <c r="F35" s="47"/>
      <c r="G35" s="47"/>
      <c r="H35" s="47"/>
      <c r="I35" s="47"/>
      <c r="J35" s="34"/>
      <c r="K35" s="34"/>
      <c r="L35" s="34"/>
      <c r="M35" s="34"/>
    </row>
    <row r="36" spans="1:13" x14ac:dyDescent="0.25">
      <c r="A36" s="144">
        <v>16</v>
      </c>
      <c r="B36" s="140" t="s">
        <v>168</v>
      </c>
      <c r="C36" s="141"/>
      <c r="D36" s="47"/>
      <c r="E36" s="47"/>
      <c r="F36" s="47"/>
      <c r="G36" s="47"/>
      <c r="H36" s="47"/>
      <c r="I36" s="47"/>
      <c r="J36" s="34"/>
      <c r="K36" s="34"/>
      <c r="L36" s="34"/>
      <c r="M36" s="34"/>
    </row>
    <row r="37" spans="1:13" x14ac:dyDescent="0.25">
      <c r="A37" s="144"/>
      <c r="B37" s="147"/>
      <c r="C37" s="148"/>
      <c r="D37" s="47"/>
      <c r="E37" s="47"/>
      <c r="F37" s="47"/>
      <c r="G37" s="47"/>
      <c r="H37" s="47"/>
      <c r="I37" s="47"/>
      <c r="J37" s="34"/>
      <c r="K37" s="34"/>
      <c r="L37" s="34"/>
      <c r="M37" s="34"/>
    </row>
    <row r="38" spans="1:13" x14ac:dyDescent="0.25">
      <c r="A38" s="138">
        <v>17</v>
      </c>
      <c r="B38" s="140" t="s">
        <v>169</v>
      </c>
      <c r="C38" s="141"/>
      <c r="D38" s="47"/>
      <c r="E38" s="47"/>
      <c r="F38" s="47"/>
      <c r="G38" s="47"/>
      <c r="H38" s="47"/>
      <c r="I38" s="47"/>
      <c r="J38" s="34"/>
      <c r="K38" s="34"/>
      <c r="L38" s="34"/>
      <c r="M38" s="34"/>
    </row>
    <row r="39" spans="1:13" x14ac:dyDescent="0.25">
      <c r="A39" s="139"/>
      <c r="B39" s="147"/>
      <c r="C39" s="148"/>
      <c r="D39" s="47"/>
      <c r="E39" s="47"/>
      <c r="F39" s="47"/>
      <c r="G39" s="47"/>
      <c r="H39" s="47"/>
      <c r="I39" s="47"/>
      <c r="J39" s="34"/>
      <c r="K39" s="34"/>
      <c r="L39" s="34"/>
      <c r="M39" s="34"/>
    </row>
    <row r="40" spans="1:13" x14ac:dyDescent="0.25">
      <c r="A40" s="144">
        <v>18</v>
      </c>
      <c r="B40" s="140" t="s">
        <v>171</v>
      </c>
      <c r="C40" s="141"/>
      <c r="D40" s="47"/>
      <c r="E40" s="47"/>
      <c r="F40" s="47"/>
      <c r="G40" s="47"/>
      <c r="H40" s="47"/>
      <c r="I40" s="47"/>
      <c r="J40" s="34"/>
      <c r="K40" s="34"/>
      <c r="L40" s="34"/>
      <c r="M40" s="34"/>
    </row>
    <row r="41" spans="1:13" x14ac:dyDescent="0.25">
      <c r="A41" s="144"/>
      <c r="B41" s="147"/>
      <c r="C41" s="148"/>
      <c r="D41" s="47"/>
      <c r="E41" s="47"/>
      <c r="F41" s="47"/>
      <c r="G41" s="47"/>
      <c r="H41" s="47"/>
      <c r="I41" s="47"/>
      <c r="J41" s="34"/>
      <c r="K41" s="34"/>
      <c r="L41" s="34"/>
      <c r="M41" s="34"/>
    </row>
    <row r="42" spans="1:13" x14ac:dyDescent="0.25">
      <c r="A42" s="138">
        <v>19</v>
      </c>
      <c r="B42" s="140" t="s">
        <v>170</v>
      </c>
      <c r="C42" s="141"/>
      <c r="D42" s="47"/>
      <c r="E42" s="47"/>
      <c r="F42" s="47"/>
      <c r="G42" s="47"/>
      <c r="H42" s="47"/>
      <c r="I42" s="47"/>
      <c r="J42" s="34"/>
      <c r="K42" s="34"/>
      <c r="L42" s="34"/>
      <c r="M42" s="34"/>
    </row>
    <row r="43" spans="1:13" x14ac:dyDescent="0.25">
      <c r="A43" s="139"/>
      <c r="B43" s="147"/>
      <c r="C43" s="148"/>
      <c r="D43" s="47"/>
      <c r="E43" s="47"/>
      <c r="F43" s="47"/>
      <c r="G43" s="47"/>
      <c r="H43" s="47"/>
      <c r="I43" s="47"/>
      <c r="J43" s="34"/>
      <c r="K43" s="34"/>
      <c r="L43" s="34"/>
      <c r="M43" s="34"/>
    </row>
    <row r="44" spans="1:13" x14ac:dyDescent="0.25">
      <c r="A44" s="144">
        <v>20</v>
      </c>
      <c r="B44" s="140" t="s">
        <v>172</v>
      </c>
      <c r="C44" s="141"/>
      <c r="D44" s="47"/>
      <c r="E44" s="47"/>
      <c r="F44" s="47"/>
      <c r="G44" s="47"/>
      <c r="H44" s="47"/>
      <c r="I44" s="47"/>
      <c r="J44" s="34"/>
      <c r="K44" s="34"/>
      <c r="L44" s="34"/>
      <c r="M44" s="34"/>
    </row>
    <row r="45" spans="1:13" x14ac:dyDescent="0.25">
      <c r="A45" s="144"/>
      <c r="B45" s="147"/>
      <c r="C45" s="148"/>
      <c r="D45" s="47"/>
      <c r="E45" s="47"/>
      <c r="F45" s="47"/>
      <c r="G45" s="47"/>
      <c r="H45" s="47"/>
      <c r="I45" s="47"/>
      <c r="J45" s="34"/>
      <c r="K45" s="34"/>
      <c r="L45" s="34"/>
      <c r="M45" s="34"/>
    </row>
    <row r="46" spans="1:13" x14ac:dyDescent="0.25">
      <c r="A46" s="138">
        <v>21</v>
      </c>
      <c r="B46" s="140" t="s">
        <v>173</v>
      </c>
      <c r="C46" s="141"/>
      <c r="D46" s="47"/>
      <c r="E46" s="47"/>
      <c r="F46" s="47"/>
      <c r="G46" s="47"/>
      <c r="H46" s="47"/>
      <c r="I46" s="47"/>
      <c r="J46" s="34"/>
      <c r="K46" s="34"/>
      <c r="L46" s="34"/>
      <c r="M46" s="34"/>
    </row>
    <row r="47" spans="1:13" x14ac:dyDescent="0.25">
      <c r="A47" s="139"/>
      <c r="B47" s="147"/>
      <c r="C47" s="148"/>
      <c r="D47" s="47"/>
      <c r="E47" s="47"/>
      <c r="F47" s="47"/>
      <c r="G47" s="47"/>
      <c r="H47" s="47"/>
      <c r="I47" s="47"/>
      <c r="J47" s="34"/>
      <c r="K47" s="34"/>
      <c r="L47" s="34"/>
      <c r="M47" s="34"/>
    </row>
    <row r="48" spans="1:13" x14ac:dyDescent="0.25">
      <c r="A48" s="144">
        <v>22</v>
      </c>
      <c r="B48" s="140" t="s">
        <v>63</v>
      </c>
      <c r="C48" s="141"/>
      <c r="D48" s="47"/>
      <c r="E48" s="47"/>
      <c r="F48" s="47"/>
      <c r="G48" s="47"/>
      <c r="H48" s="47"/>
      <c r="I48" s="47"/>
      <c r="J48" s="34"/>
      <c r="K48" s="34"/>
      <c r="L48" s="34"/>
      <c r="M48" s="34"/>
    </row>
    <row r="49" spans="1:13" x14ac:dyDescent="0.25">
      <c r="A49" s="144"/>
      <c r="B49" s="147"/>
      <c r="C49" s="148"/>
      <c r="D49" s="47"/>
      <c r="E49" s="47"/>
      <c r="F49" s="47"/>
      <c r="G49" s="47"/>
      <c r="H49" s="47"/>
      <c r="I49" s="47"/>
      <c r="J49" s="34"/>
      <c r="K49" s="34"/>
      <c r="L49" s="34"/>
      <c r="M49" s="34"/>
    </row>
    <row r="50" spans="1:13" x14ac:dyDescent="0.25">
      <c r="A50" s="138">
        <v>23</v>
      </c>
      <c r="B50" s="140" t="s">
        <v>64</v>
      </c>
      <c r="C50" s="141"/>
      <c r="D50" s="47"/>
      <c r="E50" s="47"/>
      <c r="F50" s="47"/>
      <c r="G50" s="47"/>
      <c r="H50" s="47"/>
      <c r="I50" s="47"/>
      <c r="J50" s="34"/>
      <c r="K50" s="34"/>
      <c r="L50" s="34"/>
      <c r="M50" s="34"/>
    </row>
    <row r="51" spans="1:13" x14ac:dyDescent="0.25">
      <c r="A51" s="139"/>
      <c r="B51" s="147"/>
      <c r="C51" s="148"/>
      <c r="D51" s="47"/>
      <c r="E51" s="47"/>
      <c r="F51" s="47"/>
      <c r="G51" s="47"/>
      <c r="H51" s="47"/>
      <c r="I51" s="47"/>
      <c r="J51" s="34"/>
      <c r="K51" s="34"/>
      <c r="L51" s="34"/>
      <c r="M51" s="34"/>
    </row>
    <row r="52" spans="1:13" x14ac:dyDescent="0.25">
      <c r="A52" s="144">
        <v>24</v>
      </c>
      <c r="B52" s="145" t="s">
        <v>65</v>
      </c>
      <c r="C52" s="145"/>
      <c r="D52" s="47"/>
      <c r="E52" s="47"/>
      <c r="F52" s="47"/>
      <c r="G52" s="47"/>
      <c r="H52" s="47"/>
      <c r="I52" s="47"/>
      <c r="J52" s="34"/>
      <c r="K52" s="34"/>
      <c r="L52" s="34"/>
      <c r="M52" s="34"/>
    </row>
    <row r="53" spans="1:13" x14ac:dyDescent="0.25">
      <c r="A53" s="144"/>
      <c r="B53" s="145"/>
      <c r="C53" s="145"/>
      <c r="D53" s="47"/>
      <c r="E53" s="47"/>
      <c r="F53" s="47"/>
      <c r="G53" s="47"/>
      <c r="H53" s="47"/>
      <c r="I53" s="47"/>
      <c r="J53" s="34"/>
      <c r="K53" s="34"/>
      <c r="L53" s="34"/>
      <c r="M53" s="34"/>
    </row>
    <row r="54" spans="1:13" x14ac:dyDescent="0.25">
      <c r="A54" s="152"/>
      <c r="B54" s="153"/>
      <c r="C54" s="153"/>
      <c r="D54" s="101"/>
      <c r="E54" s="101"/>
      <c r="F54" s="101"/>
      <c r="G54" s="101"/>
      <c r="H54" s="101"/>
      <c r="I54" s="101"/>
      <c r="J54" s="34"/>
      <c r="K54" s="34"/>
      <c r="L54" s="34"/>
      <c r="M54" s="34"/>
    </row>
    <row r="55" spans="1:13" x14ac:dyDescent="0.25">
      <c r="A55" s="152"/>
      <c r="B55" s="153"/>
      <c r="C55" s="153"/>
      <c r="J55" s="34"/>
      <c r="K55" s="34"/>
      <c r="L55" s="34"/>
      <c r="M55" s="34"/>
    </row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</sheetData>
  <mergeCells count="51">
    <mergeCell ref="A54:A55"/>
    <mergeCell ref="B54:C55"/>
    <mergeCell ref="A48:A49"/>
    <mergeCell ref="B48:C49"/>
    <mergeCell ref="A50:A51"/>
    <mergeCell ref="B50:C51"/>
    <mergeCell ref="A52:A53"/>
    <mergeCell ref="B52:C53"/>
    <mergeCell ref="A42:A43"/>
    <mergeCell ref="B42:C43"/>
    <mergeCell ref="A44:A45"/>
    <mergeCell ref="B44:C45"/>
    <mergeCell ref="A46:A47"/>
    <mergeCell ref="B46:C47"/>
    <mergeCell ref="A36:A37"/>
    <mergeCell ref="B36:C37"/>
    <mergeCell ref="B38:C39"/>
    <mergeCell ref="A38:A39"/>
    <mergeCell ref="A18:A19"/>
    <mergeCell ref="B18:C19"/>
    <mergeCell ref="A20:A21"/>
    <mergeCell ref="B20:C21"/>
    <mergeCell ref="A22:A23"/>
    <mergeCell ref="B22:C23"/>
    <mergeCell ref="A16:A17"/>
    <mergeCell ref="B16:C17"/>
    <mergeCell ref="B24:C25"/>
    <mergeCell ref="B40:C41"/>
    <mergeCell ref="A40:A41"/>
    <mergeCell ref="A26:A27"/>
    <mergeCell ref="B26:C27"/>
    <mergeCell ref="A30:A31"/>
    <mergeCell ref="B30:C31"/>
    <mergeCell ref="A34:A35"/>
    <mergeCell ref="B34:C35"/>
    <mergeCell ref="B28:C29"/>
    <mergeCell ref="A28:A29"/>
    <mergeCell ref="B32:C33"/>
    <mergeCell ref="A32:A33"/>
    <mergeCell ref="A24:A25"/>
    <mergeCell ref="B6:C7"/>
    <mergeCell ref="A6:A7"/>
    <mergeCell ref="B5:C5"/>
    <mergeCell ref="A14:A15"/>
    <mergeCell ref="B14:C15"/>
    <mergeCell ref="A10:A11"/>
    <mergeCell ref="B10:C11"/>
    <mergeCell ref="A12:A13"/>
    <mergeCell ref="B12:C13"/>
    <mergeCell ref="A8:A9"/>
    <mergeCell ref="B8:C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D6C71-E367-4A74-99B7-5E54676CDADA}">
  <sheetPr codeName="Sheet6"/>
  <dimension ref="A1:M67"/>
  <sheetViews>
    <sheetView tabSelected="1" topLeftCell="A5" zoomScaleNormal="100" workbookViewId="0">
      <selection activeCell="K18" sqref="K18"/>
    </sheetView>
  </sheetViews>
  <sheetFormatPr defaultRowHeight="15" x14ac:dyDescent="0.25"/>
  <cols>
    <col min="1" max="1" width="35.7109375" customWidth="1"/>
    <col min="2" max="2" width="27.28515625" customWidth="1"/>
    <col min="3" max="3" width="17.85546875" customWidth="1"/>
    <col min="4" max="4" width="12.140625" customWidth="1"/>
    <col min="5" max="5" width="22" customWidth="1"/>
    <col min="6" max="6" width="20.28515625" customWidth="1"/>
    <col min="7" max="7" width="23.42578125" customWidth="1"/>
    <col min="8" max="8" width="17.42578125" customWidth="1"/>
    <col min="9" max="9" width="22.85546875" customWidth="1"/>
  </cols>
  <sheetData>
    <row r="1" spans="1:13" ht="30" x14ac:dyDescent="0.25">
      <c r="A1" s="36" t="s">
        <v>143</v>
      </c>
      <c r="B1" s="37" t="s">
        <v>144</v>
      </c>
      <c r="C1" s="37" t="s">
        <v>145</v>
      </c>
      <c r="D1" s="37" t="s">
        <v>146</v>
      </c>
      <c r="E1" s="38" t="s">
        <v>147</v>
      </c>
      <c r="F1" s="33"/>
      <c r="G1" s="34"/>
      <c r="H1" s="34"/>
      <c r="I1" s="34"/>
      <c r="J1" s="34"/>
      <c r="K1" s="34"/>
      <c r="L1" s="34"/>
      <c r="M1" s="34"/>
    </row>
    <row r="2" spans="1:13" ht="29.25" thickBot="1" x14ac:dyDescent="0.3">
      <c r="A2" s="98" t="s">
        <v>78</v>
      </c>
      <c r="B2" s="97">
        <v>45814</v>
      </c>
      <c r="C2" s="92">
        <v>45829</v>
      </c>
      <c r="D2" s="93"/>
      <c r="E2" s="94">
        <v>4713</v>
      </c>
      <c r="F2" s="34"/>
      <c r="G2" s="34"/>
      <c r="H2" s="34"/>
      <c r="I2" s="34"/>
      <c r="J2" s="34"/>
      <c r="K2" s="34"/>
      <c r="L2" s="34"/>
      <c r="M2" s="95"/>
    </row>
    <row r="3" spans="1:13" x14ac:dyDescent="0.25">
      <c r="A3" s="96"/>
      <c r="B3" s="34"/>
      <c r="C3" s="34"/>
      <c r="D3" s="34"/>
      <c r="E3" s="34"/>
      <c r="F3" s="34"/>
      <c r="G3" s="34"/>
      <c r="H3" s="34"/>
      <c r="I3" s="34"/>
      <c r="J3" s="34"/>
      <c r="K3" s="34"/>
      <c r="L3" s="34"/>
      <c r="M3" s="95"/>
    </row>
    <row r="4" spans="1:13" x14ac:dyDescent="0.25">
      <c r="A4" s="96"/>
      <c r="B4" s="34"/>
      <c r="C4" s="34"/>
      <c r="D4" s="34"/>
      <c r="E4" s="34"/>
      <c r="F4" s="34"/>
      <c r="G4" s="34"/>
      <c r="H4" s="34"/>
      <c r="I4" s="34"/>
      <c r="J4" s="34"/>
      <c r="K4" s="34"/>
      <c r="L4" s="34"/>
      <c r="M4" s="95"/>
    </row>
    <row r="5" spans="1:13" ht="28.5" x14ac:dyDescent="0.25">
      <c r="A5" s="39" t="s">
        <v>0</v>
      </c>
      <c r="B5" s="149" t="s">
        <v>121</v>
      </c>
      <c r="C5" s="150"/>
      <c r="D5" s="35" t="s">
        <v>122</v>
      </c>
      <c r="E5" s="35" t="s">
        <v>123</v>
      </c>
      <c r="F5" s="35" t="s">
        <v>124</v>
      </c>
      <c r="G5" s="35" t="s">
        <v>66</v>
      </c>
      <c r="H5" s="35" t="s">
        <v>125</v>
      </c>
      <c r="I5" s="35" t="s">
        <v>220</v>
      </c>
      <c r="J5" s="34"/>
      <c r="K5" s="34"/>
      <c r="L5" s="34"/>
      <c r="M5" s="95"/>
    </row>
    <row r="6" spans="1:13" x14ac:dyDescent="0.25">
      <c r="A6" s="138">
        <v>1</v>
      </c>
      <c r="B6" s="140" t="s">
        <v>126</v>
      </c>
      <c r="C6" s="141"/>
      <c r="D6" s="105"/>
      <c r="E6" s="99"/>
      <c r="F6" s="46"/>
      <c r="G6" s="46"/>
      <c r="H6" s="46"/>
      <c r="I6" s="46"/>
      <c r="J6" s="34"/>
      <c r="K6" s="34"/>
      <c r="L6" s="34"/>
      <c r="M6" s="95"/>
    </row>
    <row r="7" spans="1:13" x14ac:dyDescent="0.25">
      <c r="A7" s="139"/>
      <c r="B7" s="147"/>
      <c r="C7" s="148"/>
      <c r="D7" s="40"/>
      <c r="E7" s="40"/>
      <c r="F7" s="40"/>
      <c r="G7" s="40"/>
      <c r="H7" s="108"/>
      <c r="I7" s="40"/>
      <c r="J7" s="34"/>
      <c r="K7" s="34"/>
      <c r="L7" s="34"/>
      <c r="M7" s="34"/>
    </row>
    <row r="8" spans="1:13" x14ac:dyDescent="0.25">
      <c r="A8" s="144">
        <v>2</v>
      </c>
      <c r="B8" s="145" t="s">
        <v>127</v>
      </c>
      <c r="C8" s="146"/>
      <c r="D8" s="114"/>
      <c r="E8" s="112"/>
      <c r="F8" s="40"/>
      <c r="G8" s="40"/>
      <c r="H8" s="108"/>
      <c r="I8" s="115"/>
      <c r="J8" s="109"/>
      <c r="K8" s="109"/>
      <c r="L8" s="109"/>
      <c r="M8" s="109"/>
    </row>
    <row r="9" spans="1:13" x14ac:dyDescent="0.25">
      <c r="A9" s="144"/>
      <c r="B9" s="145"/>
      <c r="C9" s="146"/>
      <c r="D9" s="40"/>
      <c r="E9" s="40"/>
      <c r="F9" s="40"/>
      <c r="G9" s="40"/>
      <c r="H9" s="108"/>
      <c r="I9" s="40"/>
      <c r="J9" s="34"/>
      <c r="K9" s="34"/>
      <c r="L9" s="34"/>
      <c r="M9" s="34"/>
    </row>
    <row r="10" spans="1:13" x14ac:dyDescent="0.25">
      <c r="A10" s="138">
        <v>3</v>
      </c>
      <c r="B10" s="140" t="s">
        <v>164</v>
      </c>
      <c r="C10" s="141"/>
      <c r="D10" s="40"/>
      <c r="E10" s="40"/>
      <c r="F10" s="40"/>
      <c r="G10" s="40"/>
      <c r="H10" s="108"/>
      <c r="I10" s="40"/>
      <c r="J10" s="34"/>
      <c r="K10" s="34"/>
      <c r="L10" s="34"/>
      <c r="M10" s="34"/>
    </row>
    <row r="11" spans="1:13" x14ac:dyDescent="0.25">
      <c r="A11" s="139"/>
      <c r="B11" s="142"/>
      <c r="C11" s="143"/>
      <c r="D11" s="40"/>
      <c r="E11" s="40"/>
      <c r="G11" s="40"/>
      <c r="H11" s="40"/>
      <c r="I11" s="40"/>
      <c r="J11" s="34"/>
      <c r="K11" s="34"/>
      <c r="L11" s="34"/>
      <c r="M11" s="34"/>
    </row>
    <row r="12" spans="1:13" ht="15.75" customHeight="1" x14ac:dyDescent="0.25">
      <c r="A12" s="144">
        <v>4</v>
      </c>
      <c r="B12" s="140" t="s">
        <v>165</v>
      </c>
      <c r="C12" s="141"/>
      <c r="D12" s="40"/>
      <c r="E12" s="40"/>
      <c r="F12" s="40"/>
      <c r="G12" s="40"/>
      <c r="H12" s="40"/>
      <c r="I12" s="40"/>
      <c r="J12" s="34"/>
      <c r="K12" s="34"/>
      <c r="L12" s="34"/>
      <c r="M12" s="34"/>
    </row>
    <row r="13" spans="1:13" x14ac:dyDescent="0.25">
      <c r="A13" s="144"/>
      <c r="B13" s="142"/>
      <c r="C13" s="143"/>
      <c r="D13" s="47"/>
      <c r="E13" s="47"/>
      <c r="F13" s="47"/>
      <c r="G13" s="47"/>
      <c r="H13" s="47"/>
      <c r="I13" s="47"/>
      <c r="J13" s="34"/>
      <c r="K13" s="34"/>
      <c r="L13" s="34"/>
      <c r="M13" s="34"/>
    </row>
    <row r="14" spans="1:13" x14ac:dyDescent="0.25">
      <c r="A14" s="138">
        <v>5</v>
      </c>
      <c r="B14" s="145" t="s">
        <v>55</v>
      </c>
      <c r="C14" s="146"/>
      <c r="D14" s="113"/>
      <c r="E14" s="110"/>
      <c r="F14" s="47"/>
      <c r="G14" s="47"/>
      <c r="H14" s="47"/>
      <c r="I14" s="47"/>
      <c r="J14" s="34"/>
      <c r="K14" s="34"/>
      <c r="L14" s="34"/>
      <c r="M14" s="34"/>
    </row>
    <row r="15" spans="1:13" x14ac:dyDescent="0.25">
      <c r="A15" s="151"/>
      <c r="B15" s="145"/>
      <c r="C15" s="146"/>
      <c r="D15" s="107"/>
      <c r="E15" s="110"/>
      <c r="F15" s="47"/>
      <c r="G15" s="47"/>
      <c r="H15" s="47"/>
      <c r="I15" s="104"/>
      <c r="J15" s="34"/>
      <c r="K15" s="34"/>
      <c r="L15" s="34"/>
      <c r="M15" s="34"/>
    </row>
    <row r="16" spans="1:13" x14ac:dyDescent="0.25">
      <c r="A16" s="144">
        <v>6</v>
      </c>
      <c r="B16" s="145" t="s">
        <v>56</v>
      </c>
      <c r="C16" s="146"/>
      <c r="D16" s="108"/>
      <c r="E16" s="47"/>
      <c r="F16" s="47"/>
      <c r="G16" s="47"/>
      <c r="H16" s="47"/>
      <c r="I16" s="47"/>
      <c r="J16" s="34"/>
      <c r="K16" s="34"/>
      <c r="L16" s="34"/>
      <c r="M16" s="34"/>
    </row>
    <row r="17" spans="1:13" x14ac:dyDescent="0.25">
      <c r="A17" s="144"/>
      <c r="B17" s="146"/>
      <c r="C17" s="146"/>
      <c r="D17" s="100"/>
      <c r="E17" s="100"/>
      <c r="F17" s="100"/>
      <c r="G17" s="100"/>
      <c r="H17" s="100"/>
      <c r="I17" s="104"/>
      <c r="J17" s="34"/>
      <c r="K17" s="34"/>
      <c r="L17" s="34"/>
      <c r="M17" s="34"/>
    </row>
    <row r="18" spans="1:13" ht="30" customHeight="1" x14ac:dyDescent="0.25">
      <c r="A18" s="138">
        <v>7</v>
      </c>
      <c r="B18" s="145" t="s">
        <v>162</v>
      </c>
      <c r="C18" s="146"/>
      <c r="D18" s="159">
        <v>45837</v>
      </c>
      <c r="E18" s="47" t="s">
        <v>192</v>
      </c>
      <c r="F18" s="47">
        <v>1401</v>
      </c>
      <c r="G18" s="47" t="s">
        <v>193</v>
      </c>
      <c r="H18" s="154" t="s">
        <v>14</v>
      </c>
      <c r="I18" s="154" t="s">
        <v>221</v>
      </c>
      <c r="J18" s="34"/>
      <c r="K18" s="34"/>
      <c r="L18" s="34"/>
      <c r="M18" s="34"/>
    </row>
    <row r="19" spans="1:13" ht="15" customHeight="1" x14ac:dyDescent="0.25">
      <c r="A19" s="151"/>
      <c r="B19" s="145"/>
      <c r="C19" s="146"/>
      <c r="D19" s="160"/>
      <c r="E19" s="47" t="s">
        <v>194</v>
      </c>
      <c r="F19" s="47">
        <v>1000</v>
      </c>
      <c r="G19" s="47" t="s">
        <v>195</v>
      </c>
      <c r="H19" s="155"/>
      <c r="I19" s="155"/>
      <c r="J19" s="34"/>
      <c r="K19" s="34"/>
      <c r="L19" s="34"/>
      <c r="M19" s="34"/>
    </row>
    <row r="20" spans="1:13" x14ac:dyDescent="0.25">
      <c r="A20" s="151"/>
      <c r="B20" s="145"/>
      <c r="C20" s="146"/>
      <c r="D20" s="160"/>
      <c r="E20" s="47" t="s">
        <v>196</v>
      </c>
      <c r="F20" s="47">
        <v>400</v>
      </c>
      <c r="G20" s="47" t="s">
        <v>197</v>
      </c>
      <c r="H20" s="155"/>
      <c r="I20" s="155"/>
      <c r="J20" s="34"/>
      <c r="K20" s="34"/>
      <c r="L20" s="34"/>
      <c r="M20" s="34"/>
    </row>
    <row r="21" spans="1:13" x14ac:dyDescent="0.25">
      <c r="A21" s="151"/>
      <c r="B21" s="145"/>
      <c r="C21" s="146"/>
      <c r="D21" s="160"/>
      <c r="E21" s="47" t="s">
        <v>198</v>
      </c>
      <c r="F21" s="47">
        <v>1000</v>
      </c>
      <c r="G21" s="47" t="s">
        <v>199</v>
      </c>
      <c r="H21" s="155"/>
      <c r="I21" s="155"/>
      <c r="J21" s="34"/>
      <c r="K21" s="34"/>
      <c r="L21" s="34"/>
      <c r="M21" s="34"/>
    </row>
    <row r="22" spans="1:13" x14ac:dyDescent="0.25">
      <c r="A22" s="151"/>
      <c r="B22" s="145"/>
      <c r="C22" s="146"/>
      <c r="D22" s="160"/>
      <c r="E22" s="47" t="s">
        <v>200</v>
      </c>
      <c r="F22" s="47">
        <v>700</v>
      </c>
      <c r="G22" s="47" t="s">
        <v>201</v>
      </c>
      <c r="H22" s="155"/>
      <c r="I22" s="155"/>
      <c r="J22" s="34"/>
      <c r="K22" s="34"/>
      <c r="L22" s="34"/>
      <c r="M22" s="34"/>
    </row>
    <row r="23" spans="1:13" x14ac:dyDescent="0.25">
      <c r="A23" s="151"/>
      <c r="B23" s="145"/>
      <c r="C23" s="146"/>
      <c r="D23" s="161"/>
      <c r="E23" s="47" t="s">
        <v>202</v>
      </c>
      <c r="F23" s="47">
        <v>421</v>
      </c>
      <c r="G23" s="47" t="s">
        <v>203</v>
      </c>
      <c r="H23" s="158"/>
      <c r="I23" s="155"/>
      <c r="J23" s="34"/>
      <c r="K23" s="34"/>
      <c r="L23" s="34"/>
      <c r="M23" s="34"/>
    </row>
    <row r="24" spans="1:13" x14ac:dyDescent="0.25">
      <c r="A24" s="139"/>
      <c r="B24" s="146"/>
      <c r="C24" s="146"/>
      <c r="D24" s="111"/>
      <c r="E24" s="47"/>
      <c r="F24" s="47"/>
      <c r="G24" s="47"/>
      <c r="H24" s="104"/>
      <c r="I24" s="104"/>
      <c r="J24" s="34"/>
      <c r="K24" s="34"/>
      <c r="L24" s="34"/>
      <c r="M24" s="34"/>
    </row>
    <row r="25" spans="1:13" x14ac:dyDescent="0.25">
      <c r="A25" s="144">
        <v>8</v>
      </c>
      <c r="B25" s="145" t="s">
        <v>163</v>
      </c>
      <c r="C25" s="146"/>
      <c r="D25" s="156">
        <v>45839</v>
      </c>
      <c r="E25" s="47" t="s">
        <v>204</v>
      </c>
      <c r="F25" s="47">
        <v>400</v>
      </c>
      <c r="G25" s="47" t="s">
        <v>205</v>
      </c>
      <c r="H25" s="154" t="s">
        <v>14</v>
      </c>
      <c r="I25" s="104"/>
      <c r="J25" s="34"/>
      <c r="K25" s="34"/>
      <c r="L25" s="34"/>
      <c r="M25" s="34"/>
    </row>
    <row r="26" spans="1:13" x14ac:dyDescent="0.25">
      <c r="A26" s="144"/>
      <c r="B26" s="145"/>
      <c r="C26" s="146"/>
      <c r="D26" s="157"/>
      <c r="E26" s="47" t="s">
        <v>206</v>
      </c>
      <c r="F26" s="47">
        <v>401</v>
      </c>
      <c r="G26" s="47" t="s">
        <v>203</v>
      </c>
      <c r="H26" s="155"/>
      <c r="I26" s="104"/>
      <c r="J26" s="34"/>
      <c r="K26" s="34"/>
      <c r="L26" s="34"/>
      <c r="M26" s="34"/>
    </row>
    <row r="27" spans="1:13" ht="15" customHeight="1" x14ac:dyDescent="0.25">
      <c r="A27" s="144"/>
      <c r="B27" s="145"/>
      <c r="C27" s="146"/>
      <c r="D27" s="156">
        <v>45840</v>
      </c>
      <c r="E27" s="47" t="s">
        <v>218</v>
      </c>
      <c r="F27" s="47">
        <v>42604</v>
      </c>
      <c r="G27" s="47" t="s">
        <v>203</v>
      </c>
      <c r="H27" s="155"/>
      <c r="I27" s="104"/>
      <c r="J27" s="34"/>
      <c r="K27" s="34"/>
      <c r="L27" s="34"/>
      <c r="M27" s="34"/>
    </row>
    <row r="28" spans="1:13" ht="75" x14ac:dyDescent="0.25">
      <c r="A28" s="144"/>
      <c r="B28" s="145"/>
      <c r="C28" s="146"/>
      <c r="D28" s="157"/>
      <c r="E28" s="47" t="s">
        <v>207</v>
      </c>
      <c r="F28" s="47">
        <v>2000</v>
      </c>
      <c r="G28" s="47" t="s">
        <v>205</v>
      </c>
      <c r="H28" s="158"/>
      <c r="I28" s="47"/>
      <c r="J28" s="34"/>
      <c r="K28" s="34"/>
      <c r="L28" s="34"/>
      <c r="M28" s="34"/>
    </row>
    <row r="29" spans="1:13" ht="15" customHeight="1" x14ac:dyDescent="0.25">
      <c r="A29" s="144"/>
      <c r="B29" s="146"/>
      <c r="C29" s="146"/>
      <c r="D29" s="100"/>
      <c r="E29" s="100"/>
      <c r="F29" s="100"/>
      <c r="G29" s="100"/>
      <c r="H29" s="104"/>
      <c r="I29" s="47" t="s">
        <v>178</v>
      </c>
      <c r="J29" s="34"/>
      <c r="K29" s="34"/>
      <c r="L29" s="34"/>
      <c r="M29" s="34"/>
    </row>
    <row r="30" spans="1:13" ht="30" x14ac:dyDescent="0.25">
      <c r="A30" s="138">
        <v>9</v>
      </c>
      <c r="B30" s="140" t="s">
        <v>176</v>
      </c>
      <c r="C30" s="141"/>
      <c r="D30" s="156">
        <v>45838</v>
      </c>
      <c r="E30" s="47" t="s">
        <v>208</v>
      </c>
      <c r="F30" s="47">
        <v>1421</v>
      </c>
      <c r="G30" s="47" t="s">
        <v>209</v>
      </c>
      <c r="H30" s="154" t="s">
        <v>14</v>
      </c>
      <c r="I30" s="47" t="s">
        <v>178</v>
      </c>
      <c r="J30" s="34"/>
      <c r="K30" s="34"/>
      <c r="L30" s="34"/>
      <c r="M30" s="34"/>
    </row>
    <row r="31" spans="1:13" ht="30" x14ac:dyDescent="0.25">
      <c r="A31" s="151"/>
      <c r="B31" s="142"/>
      <c r="C31" s="143"/>
      <c r="D31" s="157"/>
      <c r="E31" s="47" t="s">
        <v>210</v>
      </c>
      <c r="F31" s="47">
        <v>1498</v>
      </c>
      <c r="G31" s="47" t="s">
        <v>211</v>
      </c>
      <c r="H31" s="155"/>
      <c r="I31" s="47" t="s">
        <v>178</v>
      </c>
      <c r="J31" s="34"/>
      <c r="K31" s="34"/>
      <c r="L31" s="34"/>
      <c r="M31" s="34"/>
    </row>
    <row r="32" spans="1:13" x14ac:dyDescent="0.25">
      <c r="A32" s="151"/>
      <c r="B32" s="142"/>
      <c r="C32" s="143"/>
      <c r="D32" s="156">
        <v>45839</v>
      </c>
      <c r="E32" s="47" t="s">
        <v>212</v>
      </c>
      <c r="F32" s="47">
        <v>300</v>
      </c>
      <c r="G32" s="47" t="s">
        <v>205</v>
      </c>
      <c r="H32" s="155"/>
      <c r="I32" s="47" t="s">
        <v>178</v>
      </c>
      <c r="J32" s="34"/>
      <c r="K32" s="34"/>
      <c r="L32" s="34"/>
      <c r="M32" s="34"/>
    </row>
    <row r="33" spans="1:13" ht="45" x14ac:dyDescent="0.25">
      <c r="A33" s="151"/>
      <c r="B33" s="142"/>
      <c r="C33" s="143"/>
      <c r="D33" s="157"/>
      <c r="E33" s="47" t="s">
        <v>213</v>
      </c>
      <c r="F33" s="47">
        <v>2302</v>
      </c>
      <c r="G33" s="47" t="s">
        <v>203</v>
      </c>
      <c r="H33" s="158"/>
      <c r="I33" s="47"/>
      <c r="J33" s="34"/>
      <c r="K33" s="34"/>
      <c r="L33" s="34"/>
      <c r="M33" s="34"/>
    </row>
    <row r="34" spans="1:13" x14ac:dyDescent="0.25">
      <c r="A34" s="139"/>
      <c r="B34" s="147"/>
      <c r="C34" s="148"/>
      <c r="D34" s="104"/>
      <c r="E34" s="47"/>
      <c r="F34" s="47"/>
      <c r="G34" s="47"/>
      <c r="H34" s="104"/>
      <c r="I34" s="47" t="s">
        <v>178</v>
      </c>
      <c r="J34" s="34"/>
      <c r="K34" s="34"/>
      <c r="L34" s="34"/>
      <c r="M34" s="34"/>
    </row>
    <row r="35" spans="1:13" ht="30" x14ac:dyDescent="0.25">
      <c r="A35" s="144">
        <v>10</v>
      </c>
      <c r="B35" s="140" t="s">
        <v>177</v>
      </c>
      <c r="C35" s="141"/>
      <c r="D35" s="156">
        <v>45842</v>
      </c>
      <c r="E35" s="47" t="s">
        <v>214</v>
      </c>
      <c r="F35" s="47">
        <v>3000</v>
      </c>
      <c r="G35" s="47" t="s">
        <v>215</v>
      </c>
      <c r="H35" s="47"/>
      <c r="I35" s="47" t="s">
        <v>178</v>
      </c>
      <c r="J35" s="34"/>
      <c r="K35" s="34"/>
      <c r="L35" s="34"/>
      <c r="M35" s="34"/>
    </row>
    <row r="36" spans="1:13" x14ac:dyDescent="0.25">
      <c r="A36" s="144"/>
      <c r="B36" s="142"/>
      <c r="C36" s="143"/>
      <c r="D36" s="157"/>
      <c r="E36" s="47" t="s">
        <v>216</v>
      </c>
      <c r="F36" s="47">
        <v>2000</v>
      </c>
      <c r="G36" s="47" t="s">
        <v>217</v>
      </c>
      <c r="H36" s="47"/>
      <c r="I36" s="47"/>
      <c r="J36" s="34"/>
      <c r="K36" s="34"/>
      <c r="L36" s="34"/>
      <c r="M36" s="34"/>
    </row>
    <row r="37" spans="1:13" x14ac:dyDescent="0.25">
      <c r="A37" s="144"/>
      <c r="B37" s="147"/>
      <c r="C37" s="148"/>
      <c r="D37" s="47"/>
      <c r="E37" s="47"/>
      <c r="F37" s="47"/>
      <c r="G37" s="47"/>
      <c r="H37" s="47"/>
      <c r="I37" s="47"/>
      <c r="J37" s="34"/>
      <c r="K37" s="34"/>
      <c r="L37" s="34"/>
      <c r="M37" s="34"/>
    </row>
    <row r="38" spans="1:13" x14ac:dyDescent="0.25">
      <c r="A38" s="138">
        <v>11</v>
      </c>
      <c r="B38" s="140" t="s">
        <v>166</v>
      </c>
      <c r="C38" s="141"/>
      <c r="D38" s="47"/>
      <c r="E38" s="47"/>
      <c r="F38" s="47"/>
      <c r="G38" s="47"/>
      <c r="H38" s="47"/>
      <c r="I38" s="47"/>
      <c r="J38" s="34"/>
      <c r="K38" s="34"/>
      <c r="L38" s="34"/>
      <c r="M38" s="34"/>
    </row>
    <row r="39" spans="1:13" x14ac:dyDescent="0.25">
      <c r="A39" s="139"/>
      <c r="B39" s="147"/>
      <c r="C39" s="148"/>
      <c r="D39" s="47"/>
      <c r="E39" s="47"/>
      <c r="F39" s="47"/>
      <c r="G39" s="47"/>
      <c r="H39" s="47"/>
      <c r="I39" s="47"/>
      <c r="J39" s="34"/>
      <c r="K39" s="34"/>
      <c r="L39" s="34"/>
      <c r="M39" s="34"/>
    </row>
    <row r="40" spans="1:13" x14ac:dyDescent="0.25">
      <c r="A40" s="144">
        <v>12</v>
      </c>
      <c r="B40" s="140" t="s">
        <v>167</v>
      </c>
      <c r="C40" s="141"/>
      <c r="D40" s="47"/>
      <c r="E40" s="47"/>
      <c r="F40" s="47"/>
      <c r="G40" s="47"/>
      <c r="H40" s="47"/>
      <c r="I40" s="47"/>
      <c r="J40" s="34"/>
      <c r="K40" s="34"/>
      <c r="L40" s="34"/>
      <c r="M40" s="34"/>
    </row>
    <row r="41" spans="1:13" x14ac:dyDescent="0.25">
      <c r="A41" s="144"/>
      <c r="B41" s="147"/>
      <c r="C41" s="148"/>
      <c r="D41" s="47"/>
      <c r="E41" s="47"/>
      <c r="F41" s="47"/>
      <c r="G41" s="47"/>
      <c r="H41" s="47"/>
      <c r="I41" s="47"/>
      <c r="J41" s="34"/>
      <c r="K41" s="34"/>
      <c r="L41" s="34"/>
      <c r="M41" s="34"/>
    </row>
    <row r="42" spans="1:13" x14ac:dyDescent="0.25">
      <c r="A42" s="138">
        <v>13</v>
      </c>
      <c r="B42" s="140" t="s">
        <v>174</v>
      </c>
      <c r="C42" s="141"/>
      <c r="D42" s="47"/>
      <c r="E42" s="47"/>
      <c r="F42" s="47"/>
      <c r="G42" s="47"/>
      <c r="H42" s="47"/>
      <c r="I42" s="47"/>
      <c r="J42" s="34"/>
      <c r="K42" s="34"/>
      <c r="L42" s="34"/>
      <c r="M42" s="34"/>
    </row>
    <row r="43" spans="1:13" x14ac:dyDescent="0.25">
      <c r="A43" s="139"/>
      <c r="B43" s="147"/>
      <c r="C43" s="148"/>
      <c r="D43" s="47"/>
      <c r="E43" s="47"/>
      <c r="F43" s="47"/>
      <c r="G43" s="47"/>
      <c r="H43" s="47"/>
      <c r="I43" s="47"/>
      <c r="J43" s="34"/>
      <c r="K43" s="34"/>
      <c r="L43" s="34"/>
      <c r="M43" s="34"/>
    </row>
    <row r="44" spans="1:13" x14ac:dyDescent="0.25">
      <c r="A44" s="144">
        <v>14</v>
      </c>
      <c r="B44" s="140" t="s">
        <v>175</v>
      </c>
      <c r="C44" s="141"/>
      <c r="D44" s="47"/>
      <c r="E44" s="47"/>
      <c r="F44" s="47"/>
      <c r="G44" s="47"/>
      <c r="H44" s="47"/>
      <c r="I44" s="47"/>
      <c r="J44" s="34"/>
      <c r="K44" s="34"/>
      <c r="L44" s="34"/>
      <c r="M44" s="34"/>
    </row>
    <row r="45" spans="1:13" x14ac:dyDescent="0.25">
      <c r="A45" s="144"/>
      <c r="B45" s="147"/>
      <c r="C45" s="148"/>
      <c r="D45" s="47"/>
      <c r="E45" s="47"/>
      <c r="F45" s="47"/>
      <c r="G45" s="47"/>
      <c r="H45" s="47"/>
      <c r="I45" s="47"/>
      <c r="J45" s="34"/>
      <c r="K45" s="34"/>
      <c r="L45" s="34"/>
      <c r="M45" s="34"/>
    </row>
    <row r="46" spans="1:13" x14ac:dyDescent="0.25">
      <c r="A46" s="138">
        <v>15</v>
      </c>
      <c r="B46" s="140" t="s">
        <v>128</v>
      </c>
      <c r="C46" s="141"/>
      <c r="D46" s="47"/>
      <c r="E46" s="47"/>
      <c r="F46" s="47"/>
      <c r="G46" s="47"/>
      <c r="H46" s="47"/>
      <c r="I46" s="47"/>
      <c r="J46" s="34"/>
      <c r="K46" s="34"/>
      <c r="L46" s="34"/>
      <c r="M46" s="34"/>
    </row>
    <row r="47" spans="1:13" x14ac:dyDescent="0.25">
      <c r="A47" s="139"/>
      <c r="B47" s="147"/>
      <c r="C47" s="148"/>
      <c r="D47" s="47"/>
      <c r="E47" s="47"/>
      <c r="F47" s="47"/>
      <c r="G47" s="47"/>
      <c r="H47" s="47"/>
      <c r="I47" s="47"/>
      <c r="J47" s="34"/>
      <c r="K47" s="34"/>
      <c r="L47" s="34"/>
      <c r="M47" s="34"/>
    </row>
    <row r="48" spans="1:13" x14ac:dyDescent="0.25">
      <c r="A48" s="144">
        <v>16</v>
      </c>
      <c r="B48" s="140" t="s">
        <v>168</v>
      </c>
      <c r="C48" s="141"/>
      <c r="D48" s="47"/>
      <c r="E48" s="47"/>
      <c r="F48" s="47"/>
      <c r="G48" s="47"/>
      <c r="H48" s="47"/>
      <c r="I48" s="47"/>
      <c r="J48" s="34"/>
      <c r="K48" s="34"/>
      <c r="L48" s="34"/>
      <c r="M48" s="34"/>
    </row>
    <row r="49" spans="1:13" x14ac:dyDescent="0.25">
      <c r="A49" s="144"/>
      <c r="B49" s="147"/>
      <c r="C49" s="148"/>
      <c r="D49" s="47"/>
      <c r="E49" s="47"/>
      <c r="F49" s="47"/>
      <c r="G49" s="47"/>
      <c r="H49" s="47"/>
      <c r="I49" s="47"/>
      <c r="J49" s="34"/>
      <c r="K49" s="34"/>
      <c r="L49" s="34"/>
      <c r="M49" s="34"/>
    </row>
    <row r="50" spans="1:13" x14ac:dyDescent="0.25">
      <c r="A50" s="138">
        <v>17</v>
      </c>
      <c r="B50" s="140" t="s">
        <v>169</v>
      </c>
      <c r="C50" s="141"/>
      <c r="D50" s="47"/>
      <c r="E50" s="47"/>
      <c r="F50" s="47"/>
      <c r="G50" s="47"/>
      <c r="H50" s="47"/>
      <c r="I50" s="47"/>
      <c r="J50" s="34"/>
      <c r="K50" s="34"/>
      <c r="L50" s="34"/>
      <c r="M50" s="34"/>
    </row>
    <row r="51" spans="1:13" x14ac:dyDescent="0.25">
      <c r="A51" s="139"/>
      <c r="B51" s="147"/>
      <c r="C51" s="148"/>
      <c r="D51" s="47"/>
      <c r="E51" s="47"/>
      <c r="F51" s="47"/>
      <c r="G51" s="47"/>
      <c r="H51" s="47"/>
      <c r="I51" s="47"/>
      <c r="J51" s="34"/>
      <c r="K51" s="34"/>
      <c r="L51" s="34"/>
      <c r="M51" s="34"/>
    </row>
    <row r="52" spans="1:13" x14ac:dyDescent="0.25">
      <c r="A52" s="144">
        <v>18</v>
      </c>
      <c r="B52" s="140" t="s">
        <v>171</v>
      </c>
      <c r="C52" s="141"/>
      <c r="D52" s="47"/>
      <c r="E52" s="47"/>
      <c r="F52" s="47"/>
      <c r="G52" s="47"/>
      <c r="H52" s="47"/>
      <c r="I52" s="47"/>
      <c r="J52" s="34"/>
      <c r="K52" s="34"/>
      <c r="L52" s="34"/>
      <c r="M52" s="34"/>
    </row>
    <row r="53" spans="1:13" x14ac:dyDescent="0.25">
      <c r="A53" s="144"/>
      <c r="B53" s="147"/>
      <c r="C53" s="148"/>
      <c r="D53" s="47"/>
      <c r="E53" s="47"/>
      <c r="F53" s="47"/>
      <c r="G53" s="47"/>
      <c r="H53" s="47"/>
      <c r="I53" s="47"/>
      <c r="J53" s="34"/>
      <c r="K53" s="34"/>
      <c r="L53" s="34"/>
      <c r="M53" s="34"/>
    </row>
    <row r="54" spans="1:13" x14ac:dyDescent="0.25">
      <c r="A54" s="138">
        <v>19</v>
      </c>
      <c r="B54" s="140" t="s">
        <v>170</v>
      </c>
      <c r="C54" s="141"/>
      <c r="D54" s="47"/>
      <c r="E54" s="47"/>
      <c r="F54" s="47"/>
      <c r="G54" s="47"/>
      <c r="H54" s="47"/>
      <c r="I54" s="47"/>
      <c r="J54" s="34"/>
      <c r="K54" s="34"/>
      <c r="L54" s="34"/>
      <c r="M54" s="34"/>
    </row>
    <row r="55" spans="1:13" x14ac:dyDescent="0.25">
      <c r="A55" s="139"/>
      <c r="B55" s="147"/>
      <c r="C55" s="148"/>
      <c r="D55" s="47"/>
      <c r="E55" s="47"/>
      <c r="F55" s="47"/>
      <c r="G55" s="47"/>
      <c r="H55" s="47"/>
      <c r="I55" s="47"/>
      <c r="J55" s="34"/>
      <c r="K55" s="34"/>
      <c r="L55" s="34"/>
      <c r="M55" s="34"/>
    </row>
    <row r="56" spans="1:13" x14ac:dyDescent="0.25">
      <c r="A56" s="144">
        <v>20</v>
      </c>
      <c r="B56" s="140" t="s">
        <v>172</v>
      </c>
      <c r="C56" s="141"/>
      <c r="D56" s="47"/>
      <c r="E56" s="47"/>
      <c r="F56" s="47"/>
      <c r="G56" s="47"/>
      <c r="H56" s="47"/>
      <c r="I56" s="47"/>
      <c r="J56" s="34"/>
      <c r="K56" s="34"/>
      <c r="L56" s="34"/>
      <c r="M56" s="34"/>
    </row>
    <row r="57" spans="1:13" x14ac:dyDescent="0.25">
      <c r="A57" s="144"/>
      <c r="B57" s="147"/>
      <c r="C57" s="148"/>
      <c r="D57" s="47"/>
      <c r="E57" s="47"/>
      <c r="F57" s="47"/>
      <c r="G57" s="47"/>
      <c r="H57" s="47"/>
      <c r="I57" s="47"/>
      <c r="J57" s="34"/>
      <c r="K57" s="34"/>
      <c r="L57" s="34"/>
      <c r="M57" s="34"/>
    </row>
    <row r="58" spans="1:13" x14ac:dyDescent="0.25">
      <c r="A58" s="138">
        <v>21</v>
      </c>
      <c r="B58" s="140" t="s">
        <v>173</v>
      </c>
      <c r="C58" s="141"/>
      <c r="D58" s="47"/>
      <c r="E58" s="47"/>
      <c r="F58" s="47"/>
      <c r="G58" s="47"/>
      <c r="H58" s="47"/>
      <c r="I58" s="47"/>
      <c r="J58" s="34"/>
      <c r="K58" s="34"/>
      <c r="L58" s="34"/>
      <c r="M58" s="34"/>
    </row>
    <row r="59" spans="1:13" x14ac:dyDescent="0.25">
      <c r="A59" s="139"/>
      <c r="B59" s="147"/>
      <c r="C59" s="148"/>
      <c r="D59" s="47"/>
      <c r="E59" s="47"/>
      <c r="F59" s="47"/>
      <c r="G59" s="47"/>
      <c r="H59" s="47"/>
      <c r="I59" s="47"/>
      <c r="J59" s="34"/>
      <c r="K59" s="34"/>
      <c r="L59" s="34"/>
      <c r="M59" s="34"/>
    </row>
    <row r="60" spans="1:13" x14ac:dyDescent="0.25">
      <c r="A60" s="144">
        <v>22</v>
      </c>
      <c r="B60" s="140" t="s">
        <v>63</v>
      </c>
      <c r="C60" s="141"/>
      <c r="D60" s="47"/>
      <c r="E60" s="47"/>
      <c r="F60" s="47"/>
      <c r="G60" s="47"/>
      <c r="H60" s="47"/>
      <c r="I60" s="47"/>
      <c r="J60" s="34"/>
      <c r="K60" s="34"/>
      <c r="L60" s="34"/>
      <c r="M60" s="34"/>
    </row>
    <row r="61" spans="1:13" x14ac:dyDescent="0.25">
      <c r="A61" s="144"/>
      <c r="B61" s="147"/>
      <c r="C61" s="148"/>
      <c r="D61" s="47"/>
      <c r="E61" s="47"/>
      <c r="F61" s="47"/>
      <c r="G61" s="47"/>
      <c r="H61" s="47"/>
      <c r="I61" s="47"/>
      <c r="J61" s="34"/>
      <c r="K61" s="34"/>
      <c r="L61" s="34"/>
      <c r="M61" s="34"/>
    </row>
    <row r="62" spans="1:13" x14ac:dyDescent="0.25">
      <c r="A62" s="138">
        <v>23</v>
      </c>
      <c r="B62" s="140" t="s">
        <v>64</v>
      </c>
      <c r="C62" s="141"/>
      <c r="D62" s="47"/>
      <c r="E62" s="47"/>
      <c r="F62" s="47"/>
      <c r="G62" s="47"/>
      <c r="H62" s="47"/>
      <c r="I62" s="47"/>
      <c r="J62" s="34"/>
      <c r="K62" s="34"/>
      <c r="L62" s="34"/>
      <c r="M62" s="34"/>
    </row>
    <row r="63" spans="1:13" x14ac:dyDescent="0.25">
      <c r="A63" s="139"/>
      <c r="B63" s="147"/>
      <c r="C63" s="148"/>
      <c r="D63" s="47"/>
      <c r="E63" s="47"/>
      <c r="F63" s="47"/>
      <c r="G63" s="47"/>
      <c r="H63" s="47"/>
      <c r="I63" s="47"/>
      <c r="J63" s="34"/>
      <c r="K63" s="34"/>
      <c r="L63" s="34"/>
      <c r="M63" s="34"/>
    </row>
    <row r="64" spans="1:13" x14ac:dyDescent="0.25">
      <c r="A64" s="144">
        <v>24</v>
      </c>
      <c r="B64" s="145" t="s">
        <v>65</v>
      </c>
      <c r="C64" s="145"/>
      <c r="D64" s="47"/>
      <c r="E64" s="47"/>
      <c r="F64" s="47"/>
      <c r="G64" s="47"/>
      <c r="H64" s="47"/>
      <c r="I64" s="47"/>
      <c r="J64" s="34"/>
      <c r="K64" s="34"/>
      <c r="L64" s="34"/>
      <c r="M64" s="34"/>
    </row>
    <row r="65" spans="1:13" x14ac:dyDescent="0.25">
      <c r="A65" s="144"/>
      <c r="B65" s="145"/>
      <c r="C65" s="145"/>
      <c r="D65" s="47"/>
      <c r="E65" s="47"/>
      <c r="F65" s="47"/>
      <c r="G65" s="47"/>
      <c r="H65" s="47"/>
      <c r="I65" s="47"/>
      <c r="J65" s="34"/>
      <c r="K65" s="34"/>
      <c r="L65" s="34"/>
      <c r="M65" s="34"/>
    </row>
    <row r="66" spans="1:13" x14ac:dyDescent="0.25">
      <c r="A66" s="152"/>
      <c r="B66" s="153"/>
      <c r="C66" s="153"/>
      <c r="D66" s="101"/>
      <c r="E66" s="101"/>
      <c r="F66" s="101"/>
      <c r="G66" s="101"/>
      <c r="H66" s="101"/>
      <c r="I66" s="101"/>
      <c r="J66" s="34"/>
      <c r="K66" s="34"/>
      <c r="L66" s="34"/>
      <c r="M66" s="34"/>
    </row>
    <row r="67" spans="1:13" x14ac:dyDescent="0.25">
      <c r="A67" s="152"/>
      <c r="B67" s="153"/>
      <c r="C67" s="153"/>
      <c r="J67" s="34"/>
      <c r="K67" s="34"/>
      <c r="L67" s="34"/>
      <c r="M67" s="34"/>
    </row>
  </sheetData>
  <mergeCells count="61">
    <mergeCell ref="B56:C57"/>
    <mergeCell ref="D18:D23"/>
    <mergeCell ref="H18:H23"/>
    <mergeCell ref="A16:A17"/>
    <mergeCell ref="B16:C17"/>
    <mergeCell ref="A38:A39"/>
    <mergeCell ref="B38:C39"/>
    <mergeCell ref="A42:A43"/>
    <mergeCell ref="A40:A41"/>
    <mergeCell ref="B40:C41"/>
    <mergeCell ref="A18:A24"/>
    <mergeCell ref="B18:C24"/>
    <mergeCell ref="A25:A29"/>
    <mergeCell ref="B25:C29"/>
    <mergeCell ref="A30:A34"/>
    <mergeCell ref="B30:C34"/>
    <mergeCell ref="A35:A37"/>
    <mergeCell ref="B35:C37"/>
    <mergeCell ref="B5:C5"/>
    <mergeCell ref="A6:A7"/>
    <mergeCell ref="B6:C7"/>
    <mergeCell ref="A8:A9"/>
    <mergeCell ref="B8:C9"/>
    <mergeCell ref="A10:A11"/>
    <mergeCell ref="B10:C11"/>
    <mergeCell ref="A12:A13"/>
    <mergeCell ref="B12:C13"/>
    <mergeCell ref="A14:A15"/>
    <mergeCell ref="B14:C15"/>
    <mergeCell ref="A66:A67"/>
    <mergeCell ref="B66:C67"/>
    <mergeCell ref="B42:C43"/>
    <mergeCell ref="A44:A45"/>
    <mergeCell ref="B44:C45"/>
    <mergeCell ref="A46:A47"/>
    <mergeCell ref="B46:C47"/>
    <mergeCell ref="A60:A61"/>
    <mergeCell ref="B60:C61"/>
    <mergeCell ref="A48:A49"/>
    <mergeCell ref="B48:C49"/>
    <mergeCell ref="A58:A59"/>
    <mergeCell ref="B58:C59"/>
    <mergeCell ref="A50:A51"/>
    <mergeCell ref="B50:C51"/>
    <mergeCell ref="A52:A53"/>
    <mergeCell ref="I18:I23"/>
    <mergeCell ref="A62:A63"/>
    <mergeCell ref="B62:C63"/>
    <mergeCell ref="A64:A65"/>
    <mergeCell ref="B64:C65"/>
    <mergeCell ref="D25:D26"/>
    <mergeCell ref="H25:H28"/>
    <mergeCell ref="D27:D28"/>
    <mergeCell ref="D30:D31"/>
    <mergeCell ref="H30:H33"/>
    <mergeCell ref="D32:D33"/>
    <mergeCell ref="D35:D36"/>
    <mergeCell ref="B52:C53"/>
    <mergeCell ref="A54:A55"/>
    <mergeCell ref="B54:C55"/>
    <mergeCell ref="A56:A5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ThisWorkbook.OpenForm">
                <anchor>
                  <from>
                    <xdr:col>5</xdr:col>
                    <xdr:colOff>1123950</xdr:colOff>
                    <xdr:row>0</xdr:row>
                    <xdr:rowOff>66675</xdr:rowOff>
                  </from>
                  <to>
                    <xdr:col>6</xdr:col>
                    <xdr:colOff>638175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honFile">
                <anchor>
                  <from>
                    <xdr:col>6</xdr:col>
                    <xdr:colOff>895350</xdr:colOff>
                    <xdr:row>0</xdr:row>
                    <xdr:rowOff>95250</xdr:rowOff>
                  </from>
                  <to>
                    <xdr:col>7</xdr:col>
                    <xdr:colOff>104775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KE HOACH KSK 2025</vt:lpstr>
      <vt:lpstr>Form goc</vt:lpstr>
      <vt:lpstr>Nhap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SMILE o_o</dc:creator>
  <cp:lastModifiedBy>SMILE o_o</cp:lastModifiedBy>
  <dcterms:created xsi:type="dcterms:W3CDTF">2015-06-05T18:17:20Z</dcterms:created>
  <dcterms:modified xsi:type="dcterms:W3CDTF">2025-07-17T06:16:13Z</dcterms:modified>
</cp:coreProperties>
</file>