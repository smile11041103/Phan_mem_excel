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6.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D:\Downloads\"/>
    </mc:Choice>
  </mc:AlternateContent>
  <xr:revisionPtr revIDLastSave="0" documentId="13_ncr:1_{6DB31B91-4EC0-41B0-8F44-A61C838798CD}" xr6:coauthVersionLast="47" xr6:coauthVersionMax="47" xr10:uidLastSave="{00000000-0000-0000-0000-000000000000}"/>
  <bookViews>
    <workbookView xWindow="-120" yWindow="-120" windowWidth="29040" windowHeight="15720" tabRatio="825" activeTab="3" xr2:uid="{00000000-000D-0000-FFFF-FFFF00000000}"/>
  </bookViews>
  <sheets>
    <sheet name="DanhSach" sheetId="8"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r:id="rId10"/>
    <sheet name="Data" sheetId="1"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9"/>
  <definedNames>
    <definedName name="_xlnm._FilterDatabase" localSheetId="0" hidden="1">DanhSach!$A$2:$M$5042</definedName>
    <definedName name="dsBangQuang">DataBenhLy!$C$19:$C$20</definedName>
    <definedName name="dsBtrungP">DataBenhLy!$C$41:$C$42</definedName>
    <definedName name="dsBtrungT">DataBenhLy!$C$39:$C$40</definedName>
    <definedName name="dsDouglas">DataBenhLy!$C$43:$C$44</definedName>
    <definedName name="dsEoTuyen">DataBenhLy!$C$31:$C$32</definedName>
    <definedName name="dsGan">DataBenhLy!$C$2:$C$8</definedName>
    <definedName name="dsLach">DataBenhLy!$C$13:$C$14</definedName>
    <definedName name="dsLqTG">DataBenhLy!$C$45:$C$46</definedName>
    <definedName name="dsLqTV">DataBenhLy!$C$47:$C$48</definedName>
    <definedName name="dsTC">DataBenhLy!$C$25:$C$26</definedName>
    <definedName name="dsTCtuthe">DataBenhLy!$C$37:$C$38</definedName>
    <definedName name="dsTLT">DataBenhLy!$C$21:$C$22</definedName>
    <definedName name="dsTuiMat">DataBenhLy!$C$9:$C$10</definedName>
    <definedName name="dsTuy">DataBenhLy!$C$11:$C$12</definedName>
    <definedName name="dsThamdokhac">DataBenhLy!$C$23:$C$24</definedName>
    <definedName name="dsThanP">DataBenhLy!$C$15:$C$16</definedName>
    <definedName name="dsThanT">DataBenhLy!$C$17:$C$18</definedName>
    <definedName name="dsThuyP">DataBenhLy!$C$27:$C$28</definedName>
    <definedName name="dsThuyT">DataBenhLy!$C$29:$C$30</definedName>
    <definedName name="dsVuP">DataBenhLy!$C$33:$C$34</definedName>
    <definedName name="dsVuT">DataBenhLy!$C$35:$C$36</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4" i="8" l="1"/>
  <c r="A36" i="8"/>
  <c r="A40" i="8"/>
  <c r="A46" i="8"/>
  <c r="A47" i="8"/>
  <c r="A49" i="8"/>
  <c r="A117" i="8"/>
  <c r="A124" i="8"/>
  <c r="A153" i="8"/>
  <c r="A158" i="8"/>
  <c r="A215" i="8"/>
  <c r="A216" i="8"/>
  <c r="A236" i="8"/>
  <c r="A237" i="8"/>
  <c r="A245" i="8"/>
  <c r="A280" i="8"/>
  <c r="A281" i="8"/>
  <c r="A282" i="8"/>
  <c r="A285" i="8"/>
  <c r="A302" i="8"/>
  <c r="A322" i="8"/>
  <c r="A27" i="8" l="1"/>
  <c r="A639" i="8"/>
  <c r="A632" i="8"/>
  <c r="A560" i="8"/>
  <c r="A470" i="8"/>
  <c r="A392" i="8"/>
  <c r="A331" i="8"/>
  <c r="A165" i="8"/>
  <c r="A151" i="8"/>
  <c r="A59" i="8"/>
  <c r="A48" i="8"/>
  <c r="A606" i="8"/>
  <c r="A544" i="8"/>
  <c r="A345" i="8"/>
  <c r="A306" i="8"/>
  <c r="A288" i="8"/>
  <c r="A287" i="8"/>
  <c r="A279" i="8"/>
  <c r="A278" i="8"/>
  <c r="A78" i="8"/>
  <c r="A26" i="8"/>
  <c r="A23" i="8"/>
  <c r="A629" i="8"/>
  <c r="A607" i="8"/>
  <c r="A584" i="8"/>
  <c r="A576" i="8"/>
  <c r="A400" i="8"/>
  <c r="A399" i="8"/>
  <c r="A382" i="8"/>
  <c r="A271" i="8"/>
  <c r="A190" i="8"/>
  <c r="A138" i="8"/>
  <c r="A116" i="8"/>
  <c r="A62" i="8"/>
  <c r="A39" i="8"/>
  <c r="A31" i="8"/>
  <c r="A9" i="8"/>
  <c r="A7" i="8"/>
  <c r="A631" i="8"/>
  <c r="A618" i="8"/>
  <c r="A581" i="8"/>
  <c r="A580" i="8"/>
  <c r="A579" i="8"/>
  <c r="A564" i="8"/>
  <c r="A540" i="8"/>
  <c r="A532" i="8"/>
  <c r="A508" i="8"/>
  <c r="A506" i="8"/>
  <c r="A504" i="8"/>
  <c r="A498" i="8"/>
  <c r="A497" i="8"/>
  <c r="A488" i="8"/>
  <c r="A480" i="8"/>
  <c r="A474" i="8"/>
  <c r="A460" i="8"/>
  <c r="A459" i="8"/>
  <c r="A412" i="8"/>
  <c r="A375" i="8"/>
  <c r="A311" i="8"/>
  <c r="A307" i="8"/>
  <c r="A289" i="8"/>
  <c r="A259" i="8"/>
  <c r="A250" i="8"/>
  <c r="A239" i="8"/>
  <c r="A229" i="8"/>
  <c r="A181" i="8"/>
  <c r="A174" i="8"/>
  <c r="A164" i="8"/>
  <c r="A152" i="8"/>
  <c r="A98" i="8"/>
  <c r="A88" i="8"/>
  <c r="A85" i="8"/>
  <c r="A77" i="8"/>
  <c r="A75" i="8"/>
  <c r="A74" i="8"/>
  <c r="A71" i="8"/>
  <c r="A25" i="8"/>
  <c r="A20" i="8"/>
  <c r="A17" i="8"/>
  <c r="A14" i="8"/>
  <c r="A505" i="8"/>
  <c r="A401" i="8"/>
  <c r="A305" i="8"/>
  <c r="A304" i="8"/>
  <c r="A246" i="8"/>
  <c r="A244" i="8"/>
  <c r="A238" i="8"/>
  <c r="A198" i="8"/>
  <c r="A136" i="8"/>
  <c r="A135" i="8"/>
  <c r="A134" i="8"/>
  <c r="A543" i="8"/>
  <c r="A472" i="8"/>
  <c r="A469" i="8"/>
  <c r="A406" i="8"/>
  <c r="A391" i="8"/>
  <c r="A368" i="8"/>
  <c r="A357" i="8"/>
  <c r="A356" i="8"/>
  <c r="A179" i="8"/>
  <c r="A577" i="8"/>
  <c r="A378" i="8"/>
  <c r="A377" i="8"/>
  <c r="A284" i="8"/>
  <c r="A191" i="8"/>
  <c r="A45" i="8"/>
  <c r="A41" i="8"/>
  <c r="A35" i="8"/>
  <c r="A646" i="8"/>
  <c r="A575" i="8"/>
  <c r="A376" i="8"/>
  <c r="A354" i="8"/>
  <c r="A213" i="8"/>
  <c r="A182" i="8"/>
  <c r="A93" i="8"/>
  <c r="A86" i="8"/>
  <c r="A56" i="8"/>
  <c r="A22" i="8"/>
  <c r="A653" i="8"/>
  <c r="A643" i="8"/>
  <c r="A570" i="8"/>
  <c r="A565" i="8"/>
  <c r="A561" i="8"/>
  <c r="A495" i="8"/>
  <c r="A369" i="8"/>
  <c r="A346" i="8"/>
  <c r="A640" i="8"/>
  <c r="A634" i="8"/>
  <c r="A633" i="8"/>
  <c r="A630" i="8"/>
  <c r="A620" i="8"/>
  <c r="A585" i="8"/>
  <c r="A571" i="8"/>
  <c r="A559" i="8"/>
  <c r="A558" i="8"/>
  <c r="A557" i="8"/>
  <c r="A526" i="8"/>
  <c r="A509" i="8"/>
  <c r="A507" i="8"/>
  <c r="A479" i="8"/>
  <c r="A418" i="8"/>
  <c r="A402" i="8"/>
  <c r="A388" i="8"/>
  <c r="A336" i="8"/>
  <c r="A29" i="8"/>
  <c r="A70" i="8"/>
  <c r="A194" i="8"/>
  <c r="A283" i="8"/>
  <c r="A366" i="8"/>
  <c r="A428" i="8"/>
  <c r="A471" i="8"/>
  <c r="A489" i="8"/>
  <c r="A533" i="8"/>
  <c r="A552" i="8"/>
  <c r="A569" i="8"/>
  <c r="A574" i="8"/>
  <c r="A578" i="8"/>
  <c r="A582" i="8"/>
  <c r="A583" i="8"/>
  <c r="A619" i="8"/>
  <c r="A642" i="8"/>
  <c r="A644" i="8"/>
  <c r="A645" i="8"/>
  <c r="A652" i="8"/>
  <c r="A214" i="8"/>
  <c r="A293" i="8"/>
  <c r="A372" i="8"/>
  <c r="A478" i="8"/>
  <c r="A589" i="8"/>
  <c r="A207" i="8"/>
  <c r="A314" i="8"/>
  <c r="A328" i="8"/>
  <c r="A355" i="8"/>
  <c r="A359" i="8"/>
  <c r="A371" i="8"/>
  <c r="A496" i="8"/>
  <c r="A499" i="8"/>
  <c r="A503" i="8"/>
  <c r="A6" i="8"/>
  <c r="A13" i="8"/>
  <c r="A21" i="8"/>
  <c r="A37" i="8"/>
  <c r="A38" i="8"/>
  <c r="A53" i="8"/>
  <c r="A55" i="8"/>
  <c r="A60" i="8"/>
  <c r="A61" i="8"/>
  <c r="A63" i="8"/>
  <c r="A64" i="8"/>
  <c r="A66" i="8"/>
  <c r="A67" i="8"/>
  <c r="A69" i="8"/>
  <c r="A84" i="8"/>
  <c r="A90" i="8"/>
  <c r="A91" i="8"/>
  <c r="A92" i="8"/>
  <c r="A94" i="8"/>
  <c r="A101" i="8"/>
  <c r="A102" i="8"/>
  <c r="A105" i="8"/>
  <c r="A107" i="8"/>
  <c r="A112" i="8"/>
  <c r="A113" i="8"/>
  <c r="A115" i="8"/>
  <c r="A118" i="8"/>
  <c r="A119" i="8"/>
  <c r="A123" i="8"/>
  <c r="A128" i="8"/>
  <c r="A130" i="8"/>
  <c r="A132" i="8"/>
  <c r="A145" i="8"/>
  <c r="A148" i="8"/>
  <c r="A160" i="8"/>
  <c r="A169" i="8"/>
  <c r="A172" i="8"/>
  <c r="A175" i="8"/>
  <c r="A176" i="8"/>
  <c r="A184" i="8"/>
  <c r="A185" i="8"/>
  <c r="A186" i="8"/>
  <c r="A192" i="8"/>
  <c r="A196" i="8"/>
  <c r="A201" i="8"/>
  <c r="A210" i="8"/>
  <c r="A218" i="8"/>
  <c r="A220" i="8"/>
  <c r="A221" i="8"/>
  <c r="A222" i="8"/>
  <c r="A223" i="8"/>
  <c r="A231" i="8"/>
  <c r="A232" i="8"/>
  <c r="A234" i="8"/>
  <c r="A235" i="8"/>
  <c r="A243" i="8"/>
  <c r="A254" i="8"/>
  <c r="A255" i="8"/>
  <c r="A258" i="8"/>
  <c r="A260" i="8"/>
  <c r="A263" i="8"/>
  <c r="A266" i="8"/>
  <c r="A272" i="8"/>
  <c r="A276" i="8"/>
  <c r="A290" i="8"/>
  <c r="A292" i="8"/>
  <c r="A298" i="8"/>
  <c r="A299" i="8"/>
  <c r="A300" i="8"/>
  <c r="A308" i="8"/>
  <c r="A309" i="8"/>
  <c r="A310" i="8"/>
  <c r="A315" i="8"/>
  <c r="A321" i="8"/>
  <c r="A329" i="8"/>
  <c r="A330" i="8"/>
  <c r="A333" i="8"/>
  <c r="A334" i="8"/>
  <c r="A347" i="8"/>
  <c r="A348" i="8"/>
  <c r="A360" i="8"/>
  <c r="A365" i="8"/>
  <c r="A379" i="8"/>
  <c r="A381" i="8"/>
  <c r="A393" i="8"/>
  <c r="A394" i="8"/>
  <c r="A403" i="8"/>
  <c r="A409" i="8"/>
  <c r="A415" i="8"/>
  <c r="A419" i="8"/>
  <c r="A420" i="8"/>
  <c r="A430" i="8"/>
  <c r="A431" i="8"/>
  <c r="A433" i="8"/>
  <c r="A437" i="8"/>
  <c r="A438" i="8"/>
  <c r="A439" i="8"/>
  <c r="A446" i="8"/>
  <c r="A448" i="8"/>
  <c r="A449" i="8"/>
  <c r="A462" i="8"/>
  <c r="A463" i="8"/>
  <c r="A476" i="8"/>
  <c r="A477" i="8"/>
  <c r="A481" i="8"/>
  <c r="A482" i="8"/>
  <c r="A510" i="8"/>
  <c r="A511" i="8"/>
  <c r="A518" i="8"/>
  <c r="A527" i="8"/>
  <c r="A528" i="8"/>
  <c r="A529" i="8"/>
  <c r="A534" i="8"/>
  <c r="A545" i="8"/>
  <c r="A554" i="8"/>
  <c r="A562" i="8"/>
  <c r="A563" i="8"/>
  <c r="A566" i="8"/>
  <c r="A567" i="8"/>
  <c r="A568" i="8"/>
  <c r="A572" i="8"/>
  <c r="A573" i="8"/>
  <c r="A590" i="8"/>
  <c r="A591" i="8"/>
  <c r="A608" i="8"/>
  <c r="A609" i="8"/>
  <c r="A621" i="8"/>
  <c r="A622" i="8"/>
  <c r="A635" i="8"/>
  <c r="A636" i="8"/>
  <c r="A648" i="8"/>
  <c r="A649" i="8"/>
  <c r="A3" i="8"/>
  <c r="A5" i="8"/>
  <c r="A10" i="8"/>
  <c r="A11" i="8"/>
  <c r="A16" i="8"/>
  <c r="A19" i="8"/>
  <c r="A30" i="8"/>
  <c r="A33" i="8"/>
  <c r="A50" i="8"/>
  <c r="A51" i="8"/>
  <c r="A54" i="8"/>
  <c r="A65" i="8"/>
  <c r="A79" i="8"/>
  <c r="A82" i="8"/>
  <c r="A83" i="8"/>
  <c r="A89" i="8"/>
  <c r="A95" i="8"/>
  <c r="A96" i="8"/>
  <c r="A99" i="8"/>
  <c r="A106" i="8"/>
  <c r="A108" i="8"/>
  <c r="A121" i="8"/>
  <c r="A126" i="8"/>
  <c r="A127" i="8"/>
  <c r="A129" i="8"/>
  <c r="A137" i="8"/>
  <c r="A142" i="8"/>
  <c r="A143" i="8"/>
  <c r="A150" i="8"/>
  <c r="A156" i="8"/>
  <c r="A159" i="8"/>
  <c r="A161" i="8"/>
  <c r="A166" i="8"/>
  <c r="A167" i="8"/>
  <c r="A177" i="8"/>
  <c r="A189" i="8"/>
  <c r="A200" i="8"/>
  <c r="A202" i="8"/>
  <c r="A208" i="8"/>
  <c r="A209" i="8"/>
  <c r="A212" i="8"/>
  <c r="A217" i="8"/>
  <c r="A224" i="8"/>
  <c r="A225" i="8"/>
  <c r="A226" i="8"/>
  <c r="A227" i="8"/>
  <c r="A228" i="8"/>
  <c r="A240" i="8"/>
  <c r="A241" i="8"/>
  <c r="A251" i="8"/>
  <c r="A252" i="8"/>
  <c r="A253" i="8"/>
  <c r="A256" i="8"/>
  <c r="A262" i="8"/>
  <c r="A264" i="8"/>
  <c r="A265" i="8"/>
  <c r="A270" i="8"/>
  <c r="A273" i="8"/>
  <c r="A274" i="8"/>
  <c r="A275" i="8"/>
  <c r="A277" i="8"/>
  <c r="A291" i="8"/>
  <c r="A295" i="8"/>
  <c r="A296" i="8"/>
  <c r="A297" i="8"/>
  <c r="A326" i="8"/>
  <c r="A338" i="8"/>
  <c r="A339" i="8"/>
  <c r="A340" i="8"/>
  <c r="A349" i="8"/>
  <c r="A361" i="8"/>
  <c r="A370" i="8"/>
  <c r="A373" i="8"/>
  <c r="A374" i="8"/>
  <c r="A383" i="8"/>
  <c r="A384" i="8"/>
  <c r="A385" i="8"/>
  <c r="A395" i="8"/>
  <c r="A396" i="8"/>
  <c r="A397" i="8"/>
  <c r="A421" i="8"/>
  <c r="A434" i="8"/>
  <c r="A440" i="8"/>
  <c r="A445" i="8"/>
  <c r="A450" i="8"/>
  <c r="A451" i="8"/>
  <c r="A452" i="8"/>
  <c r="A453" i="8"/>
  <c r="A454" i="8"/>
  <c r="A455" i="8"/>
  <c r="A456" i="8"/>
  <c r="A457" i="8"/>
  <c r="A461" i="8"/>
  <c r="A464" i="8"/>
  <c r="A466" i="8"/>
  <c r="A475" i="8"/>
  <c r="A483" i="8"/>
  <c r="A490" i="8"/>
  <c r="A512" i="8"/>
  <c r="A513" i="8"/>
  <c r="A519" i="8"/>
  <c r="A520" i="8"/>
  <c r="A530" i="8"/>
  <c r="A535" i="8"/>
  <c r="A536" i="8"/>
  <c r="A537" i="8"/>
  <c r="A553" i="8"/>
  <c r="A592" i="8"/>
  <c r="A593" i="8"/>
  <c r="A594" i="8"/>
  <c r="A595" i="8"/>
  <c r="A596" i="8"/>
  <c r="A597" i="8"/>
  <c r="A610" i="8"/>
  <c r="A611" i="8"/>
  <c r="A612" i="8"/>
  <c r="A613" i="8"/>
  <c r="A623" i="8"/>
  <c r="A637" i="8"/>
  <c r="A650" i="8"/>
  <c r="A654" i="8"/>
  <c r="A4" i="8"/>
  <c r="A8" i="8"/>
  <c r="A12" i="8"/>
  <c r="A15" i="8"/>
  <c r="A18" i="8"/>
  <c r="A32" i="8"/>
  <c r="A34" i="8"/>
  <c r="A42" i="8"/>
  <c r="A43" i="8"/>
  <c r="A52" i="8"/>
  <c r="A57" i="8"/>
  <c r="A68" i="8"/>
  <c r="A80" i="8"/>
  <c r="A81" i="8"/>
  <c r="A87" i="8"/>
  <c r="A97" i="8"/>
  <c r="A100" i="8"/>
  <c r="A103" i="8"/>
  <c r="A104" i="8"/>
  <c r="A109" i="8"/>
  <c r="A110" i="8"/>
  <c r="A111" i="8"/>
  <c r="A114" i="8"/>
  <c r="A120" i="8"/>
  <c r="A122" i="8"/>
  <c r="A125" i="8"/>
  <c r="A131" i="8"/>
  <c r="A133" i="8"/>
  <c r="A139" i="8"/>
  <c r="A140" i="8"/>
  <c r="A141" i="8"/>
  <c r="A144" i="8"/>
  <c r="A146" i="8"/>
  <c r="A147" i="8"/>
  <c r="A149" i="8"/>
  <c r="A157" i="8"/>
  <c r="A162" i="8"/>
  <c r="A163" i="8"/>
  <c r="A168" i="8"/>
  <c r="A170" i="8"/>
  <c r="A171" i="8"/>
  <c r="A173" i="8"/>
  <c r="A178" i="8"/>
  <c r="A183" i="8"/>
  <c r="A187" i="8"/>
  <c r="A188" i="8"/>
  <c r="A193" i="8"/>
  <c r="A195" i="8"/>
  <c r="A203" i="8"/>
  <c r="A204" i="8"/>
  <c r="A205" i="8"/>
  <c r="A206" i="8"/>
  <c r="A211" i="8"/>
  <c r="A219" i="8"/>
  <c r="A230" i="8"/>
  <c r="A233" i="8"/>
  <c r="A242" i="8"/>
  <c r="A247" i="8"/>
  <c r="A248" i="8"/>
  <c r="A249" i="8"/>
  <c r="A257" i="8"/>
  <c r="A261" i="8"/>
  <c r="A267" i="8"/>
  <c r="A268" i="8"/>
  <c r="A269" i="8"/>
  <c r="A301" i="8"/>
  <c r="A303" i="8"/>
  <c r="A312" i="8"/>
  <c r="A313" i="8"/>
  <c r="A316" i="8"/>
  <c r="A317" i="8"/>
  <c r="A318" i="8"/>
  <c r="A323" i="8"/>
  <c r="A324" i="8"/>
  <c r="A325" i="8"/>
  <c r="A327" i="8"/>
  <c r="A332" i="8"/>
  <c r="A335" i="8"/>
  <c r="A337" i="8"/>
  <c r="A341" i="8"/>
  <c r="A342" i="8"/>
  <c r="A343" i="8"/>
  <c r="A344" i="8"/>
  <c r="A350" i="8"/>
  <c r="A351" i="8"/>
  <c r="A362" i="8"/>
  <c r="A363" i="8"/>
  <c r="A364" i="8"/>
  <c r="A380" i="8"/>
  <c r="A386" i="8"/>
  <c r="A387" i="8"/>
  <c r="A398" i="8"/>
  <c r="A404" i="8"/>
  <c r="A405" i="8"/>
  <c r="A407" i="8"/>
  <c r="A410" i="8"/>
  <c r="A413" i="8"/>
  <c r="A414" i="8"/>
  <c r="A416" i="8"/>
  <c r="A417" i="8"/>
  <c r="A422" i="8"/>
  <c r="A423" i="8"/>
  <c r="A424" i="8"/>
  <c r="A425" i="8"/>
  <c r="A426" i="8"/>
  <c r="A427" i="8"/>
  <c r="A429" i="8"/>
  <c r="A432" i="8"/>
  <c r="A435" i="8"/>
  <c r="A436" i="8"/>
  <c r="A441" i="8"/>
  <c r="A442" i="8"/>
  <c r="A443" i="8"/>
  <c r="A444" i="8"/>
  <c r="A447" i="8"/>
  <c r="A458" i="8"/>
  <c r="A465" i="8"/>
  <c r="A467" i="8"/>
  <c r="A468" i="8"/>
  <c r="A473" i="8"/>
  <c r="A484" i="8"/>
  <c r="A485" i="8"/>
  <c r="A486" i="8"/>
  <c r="A487" i="8"/>
  <c r="A491" i="8"/>
  <c r="A492" i="8"/>
  <c r="A493" i="8"/>
  <c r="A494" i="8"/>
  <c r="A500" i="8"/>
  <c r="A514" i="8"/>
  <c r="A515" i="8"/>
  <c r="A521" i="8"/>
  <c r="A522" i="8"/>
  <c r="A523" i="8"/>
  <c r="A524" i="8"/>
  <c r="A525" i="8"/>
  <c r="A531" i="8"/>
  <c r="A538" i="8"/>
  <c r="A539" i="8"/>
  <c r="A546" i="8"/>
  <c r="A547" i="8"/>
  <c r="A548" i="8"/>
  <c r="A549" i="8"/>
  <c r="A555" i="8"/>
  <c r="A556" i="8"/>
  <c r="A598" i="8"/>
  <c r="A599" i="8"/>
  <c r="A600" i="8"/>
  <c r="A601" i="8"/>
  <c r="A602" i="8"/>
  <c r="A603" i="8"/>
  <c r="A604" i="8"/>
  <c r="A605" i="8"/>
  <c r="A614" i="8"/>
  <c r="A615" i="8"/>
  <c r="A616" i="8"/>
  <c r="A617" i="8"/>
  <c r="A624" i="8"/>
  <c r="A625" i="8"/>
  <c r="A626" i="8"/>
  <c r="A627" i="8"/>
  <c r="A628" i="8"/>
  <c r="A638" i="8"/>
  <c r="A641" i="8"/>
  <c r="A647" i="8"/>
  <c r="A651" i="8"/>
  <c r="A655" i="8"/>
  <c r="A28" i="8"/>
  <c r="A72" i="8"/>
  <c r="A73" i="8"/>
  <c r="A76" i="8"/>
  <c r="A180" i="8"/>
  <c r="A199" i="8"/>
  <c r="A286" i="8"/>
  <c r="A294" i="8"/>
  <c r="A319" i="8"/>
  <c r="A320" i="8"/>
  <c r="A352" i="8"/>
  <c r="A353" i="8"/>
  <c r="A358" i="8"/>
  <c r="A367" i="8"/>
  <c r="A408" i="8"/>
  <c r="A411" i="8"/>
  <c r="A501" i="8"/>
  <c r="A502" i="8"/>
  <c r="A516" i="8"/>
  <c r="A517" i="8"/>
  <c r="A541" i="8"/>
  <c r="A542" i="8"/>
  <c r="A550" i="8"/>
  <c r="A551" i="8"/>
  <c r="A586" i="8"/>
  <c r="A587" i="8"/>
  <c r="A588" i="8"/>
  <c r="A44" i="8"/>
  <c r="A58" i="8"/>
  <c r="A154" i="8"/>
  <c r="A155" i="8"/>
  <c r="A197" i="8"/>
  <c r="A389" i="8"/>
  <c r="A390"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E7" i="14" s="1"/>
  <c r="C8" i="7"/>
  <c r="C8" i="16" s="1"/>
  <c r="C6" i="3"/>
  <c r="C6" i="12" s="1"/>
  <c r="C8" i="12"/>
  <c r="C8" i="6"/>
  <c r="C8" i="15" s="1"/>
  <c r="E5" i="6"/>
  <c r="E5" i="15" s="1"/>
  <c r="C5" i="7"/>
  <c r="C5" i="16" s="1"/>
  <c r="C6" i="5"/>
  <c r="C6" i="14" s="1"/>
  <c r="C7" i="6"/>
  <c r="C7" i="15" s="1"/>
  <c r="E7" i="6"/>
  <c r="E7" i="15" s="1"/>
  <c r="C5" i="5"/>
  <c r="C5" i="14" s="1"/>
  <c r="I14" i="3"/>
  <c r="E5" i="3"/>
  <c r="E5" i="12" s="1"/>
  <c r="E6" i="5"/>
  <c r="E6" i="14" s="1"/>
  <c r="I14" i="5"/>
  <c r="E7" i="7"/>
  <c r="E7" i="16" s="1"/>
  <c r="E5" i="7"/>
  <c r="E5" i="16" s="1"/>
  <c r="C6" i="6"/>
  <c r="C6" i="15" s="1"/>
  <c r="I14" i="4"/>
  <c r="C5" i="3"/>
  <c r="C5" i="12" s="1"/>
  <c r="C6" i="4"/>
  <c r="C6" i="13" s="1"/>
  <c r="E7" i="4"/>
  <c r="E7" i="13" s="1"/>
  <c r="C6" i="7"/>
  <c r="C6" i="16" s="1"/>
  <c r="C7" i="3"/>
  <c r="C7" i="12" s="1"/>
  <c r="E6" i="6"/>
  <c r="E7" i="3"/>
  <c r="E7" i="12" s="1"/>
  <c r="E5" i="4"/>
  <c r="E5" i="13" s="1"/>
  <c r="C7" i="5"/>
  <c r="C7" i="14" s="1"/>
  <c r="C8" i="5"/>
  <c r="C8" i="14" s="1"/>
  <c r="C7" i="4"/>
  <c r="C7" i="13" s="1"/>
  <c r="C5" i="4"/>
  <c r="C5" i="13" s="1"/>
  <c r="E6" i="7"/>
  <c r="I14" i="6"/>
  <c r="I14" i="7"/>
  <c r="E6" i="13" l="1"/>
  <c r="D9" i="13" s="1"/>
  <c r="D9" i="7"/>
  <c r="E6" i="16"/>
  <c r="D9" i="16" s="1"/>
  <c r="E6" i="15"/>
  <c r="D9" i="15" s="1"/>
  <c r="D9" i="6"/>
  <c r="D9" i="3"/>
  <c r="E6" i="12"/>
  <c r="D9" i="12" s="1"/>
</calcChain>
</file>

<file path=xl/sharedStrings.xml><?xml version="1.0" encoding="utf-8"?>
<sst xmlns="http://schemas.openxmlformats.org/spreadsheetml/2006/main" count="4494" uniqueCount="2098">
  <si>
    <t>Tên công ty</t>
  </si>
  <si>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</si>
  <si>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</si>
  <si>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</si>
  <si>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</si>
  <si>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</si>
  <si>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</si>
  <si>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</si>
  <si>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</si>
  <si>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</si>
  <si>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</si>
  <si>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</si>
  <si>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</si>
  <si>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</si>
  <si>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</si>
  <si>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</si>
  <si>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</si>
  <si>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</si>
  <si>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</si>
  <si>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</si>
  <si>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</si>
  <si>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</si>
  <si>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</si>
  <si>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</si>
  <si>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</si>
  <si>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</si>
  <si>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</si>
  <si>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</si>
  <si>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</si>
  <si>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</si>
  <si>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</si>
  <si>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</si>
  <si>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</si>
  <si>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</si>
  <si>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</si>
  <si>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</si>
  <si>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</si>
  <si>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</si>
  <si>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</si>
  <si>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</si>
  <si>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</si>
  <si>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</si>
  <si>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</si>
  <si>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</si>
  <si>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</si>
  <si>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</si>
  <si>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</si>
  <si>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</si>
  <si>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</si>
  <si>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</si>
  <si>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</si>
  <si>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</si>
  <si>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</si>
  <si>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</si>
  <si>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</si>
  <si>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</si>
  <si>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</si>
  <si>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</si>
  <si>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</si>
  <si>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</si>
  <si>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</si>
  <si>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</si>
  <si>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</si>
  <si>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</si>
  <si>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</si>
  <si>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</si>
  <si>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</si>
  <si>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</si>
  <si>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</si>
  <si>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</si>
  <si>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</si>
  <si>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</si>
  <si>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</si>
  <si>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</si>
  <si>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</si>
  <si>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</si>
  <si>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</si>
  <si>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</si>
  <si>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</si>
  <si>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</si>
  <si>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</si>
  <si>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</si>
  <si>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</si>
  <si>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</si>
  <si>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</si>
  <si>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</si>
  <si>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</si>
  <si>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</si>
  <si>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</si>
  <si>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</si>
  <si>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</si>
  <si>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</si>
  <si>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</si>
  <si>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</si>
  <si>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</si>
  <si>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</si>
  <si>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</si>
  <si>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</si>
  <si>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</si>
  <si>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</si>
  <si>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</si>
  <si>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</si>
  <si>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</si>
  <si>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</si>
  <si>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</si>
  <si>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</si>
  <si>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</si>
  <si>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</si>
  <si>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</si>
  <si>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</si>
  <si>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</si>
  <si>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</si>
  <si>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</si>
  <si>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</si>
  <si>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</si>
  <si>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</si>
  <si>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</si>
  <si>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</si>
  <si>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</si>
  <si>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</si>
  <si>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</si>
  <si>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Arial"/>
        <family val="2"/>
        <scheme val="minor"/>
      </rPr>
      <t>\</t>
    </r>
  </si>
  <si>
    <r>
      <t xml:space="preserve">* Lưu ý phải có </t>
    </r>
    <r>
      <rPr>
        <b/>
        <sz val="11"/>
        <color rgb="FFFF0000"/>
        <rFont val="Arial"/>
        <family val="2"/>
        <scheme val="minor"/>
      </rPr>
      <t>\</t>
    </r>
    <r>
      <rPr>
        <sz val="11"/>
        <color theme="1"/>
        <rFont val="Arial"/>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</si>
  <si>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</si>
  <si>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</si>
  <si>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</si>
  <si>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</si>
  <si>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</si>
  <si>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</si>
  <si>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</si>
  <si>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</si>
  <si>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</si>
  <si>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</si>
  <si>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</si>
  <si>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</si>
  <si>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</si>
  <si>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</si>
  <si>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</si>
  <si>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</si>
  <si>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</si>
  <si>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</si>
  <si>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</si>
  <si>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</si>
  <si>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</si>
  <si>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</si>
  <si>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27/10/1982</t>
  </si>
  <si>
    <t>20/01/1982</t>
  </si>
  <si>
    <t>01/08/1986</t>
  </si>
  <si>
    <t>10/08/1987</t>
  </si>
  <si>
    <t>06/12/1986</t>
  </si>
  <si>
    <t>26/08/1987</t>
  </si>
  <si>
    <t>01/11/1988</t>
  </si>
  <si>
    <t>05/05/1986</t>
  </si>
  <si>
    <t>22/09/1989</t>
  </si>
  <si>
    <t>05/09/1989</t>
  </si>
  <si>
    <t>22/11/1989</t>
  </si>
  <si>
    <t>05/05/1990</t>
  </si>
  <si>
    <t>09/09/1990</t>
  </si>
  <si>
    <t>01/01/1982</t>
  </si>
  <si>
    <t>02/10/1989</t>
  </si>
  <si>
    <t>14/11/1988</t>
  </si>
  <si>
    <t>22/04/1991</t>
  </si>
  <si>
    <t>01/12/1991</t>
  </si>
  <si>
    <t>18/09/1986</t>
  </si>
  <si>
    <t>05/03/1991</t>
  </si>
  <si>
    <t>26/07/1981</t>
  </si>
  <si>
    <t>10/03/1984</t>
  </si>
  <si>
    <t>03/03/1985</t>
  </si>
  <si>
    <t>04/08/1988</t>
  </si>
  <si>
    <t>16/10/1982</t>
  </si>
  <si>
    <t>13/10/1986</t>
  </si>
  <si>
    <t>28/02/1990</t>
  </si>
  <si>
    <t>17/11/1985</t>
  </si>
  <si>
    <t>20/11/1987</t>
  </si>
  <si>
    <t>20/11/1989</t>
  </si>
  <si>
    <t>17/11/1984</t>
  </si>
  <si>
    <t>22/09/1985</t>
  </si>
  <si>
    <t>28/09/1986</t>
  </si>
  <si>
    <t>22/02/1985</t>
  </si>
  <si>
    <t>10/10/1993</t>
  </si>
  <si>
    <t>20/09/1991</t>
  </si>
  <si>
    <t>02/04/1983</t>
  </si>
  <si>
    <t>01/05/1988</t>
  </si>
  <si>
    <t>28/11/1992</t>
  </si>
  <si>
    <t>09/11/1986</t>
  </si>
  <si>
    <t>14/10/1990</t>
  </si>
  <si>
    <t>25/08/1986</t>
  </si>
  <si>
    <t>20/03/1992</t>
  </si>
  <si>
    <t>15/04/1984</t>
  </si>
  <si>
    <t>29/03/1993</t>
  </si>
  <si>
    <t>05/05/1989</t>
  </si>
  <si>
    <t>10/10/1989</t>
  </si>
  <si>
    <t>15/11/1993</t>
  </si>
  <si>
    <t>27/11/1991</t>
  </si>
  <si>
    <t>30/12/1991</t>
  </si>
  <si>
    <t>20/08/1987</t>
  </si>
  <si>
    <t>28/05/1988</t>
  </si>
  <si>
    <t>08/02/1986</t>
  </si>
  <si>
    <t>02/03/1988</t>
  </si>
  <si>
    <t>15/02/1988</t>
  </si>
  <si>
    <t>04/08/1989</t>
  </si>
  <si>
    <t>07/10/1986</t>
  </si>
  <si>
    <t>02/11/1989</t>
  </si>
  <si>
    <t>13/07/1991</t>
  </si>
  <si>
    <t>15/11/1988</t>
  </si>
  <si>
    <t>10/06/1986</t>
  </si>
  <si>
    <t>13/01/1989</t>
  </si>
  <si>
    <t>21/10/1990</t>
  </si>
  <si>
    <t>20/01/1991</t>
  </si>
  <si>
    <t>21/09/1992</t>
  </si>
  <si>
    <t>18/06/1989</t>
  </si>
  <si>
    <t>19/08/1988</t>
  </si>
  <si>
    <t>10/10/1990</t>
  </si>
  <si>
    <t>10/10/1988</t>
  </si>
  <si>
    <t>28/02/1984</t>
  </si>
  <si>
    <t>20/02/1985</t>
  </si>
  <si>
    <t>20/07/1984</t>
  </si>
  <si>
    <t>19/04/1985</t>
  </si>
  <si>
    <t>25/01/1986</t>
  </si>
  <si>
    <t>20/08/1984</t>
  </si>
  <si>
    <t>26/04/1983</t>
  </si>
  <si>
    <t>01/05/1993</t>
  </si>
  <si>
    <t>11/12/1990</t>
  </si>
  <si>
    <t>24/03/1986</t>
  </si>
  <si>
    <t>23/11/1994</t>
  </si>
  <si>
    <t>20/11/1994</t>
  </si>
  <si>
    <t>07/09/1989</t>
  </si>
  <si>
    <t>03/02/1989</t>
  </si>
  <si>
    <t>15/02/1987</t>
  </si>
  <si>
    <t>10/05/1987</t>
  </si>
  <si>
    <t>16/05/1988</t>
  </si>
  <si>
    <t>04/10/1993</t>
  </si>
  <si>
    <t>05/03/1994</t>
  </si>
  <si>
    <t>17/06/1995</t>
  </si>
  <si>
    <t>14/02/1990</t>
  </si>
  <si>
    <t>22/07/1991</t>
  </si>
  <si>
    <t>20/09/1990</t>
  </si>
  <si>
    <t>30/09/1992</t>
  </si>
  <si>
    <t>02/12/1992</t>
  </si>
  <si>
    <t>11/04/1991</t>
  </si>
  <si>
    <t>17/09/1987</t>
  </si>
  <si>
    <t>12/09/1989</t>
  </si>
  <si>
    <t>20/05/1985</t>
  </si>
  <si>
    <t>08/10/1984</t>
  </si>
  <si>
    <t>15/01/1985</t>
  </si>
  <si>
    <t>10/06/1985</t>
  </si>
  <si>
    <t>26/02/1984</t>
  </si>
  <si>
    <t>10/06/1991</t>
  </si>
  <si>
    <t>28/08/1984</t>
  </si>
  <si>
    <t>07/08/1992</t>
  </si>
  <si>
    <t>30/01/1991</t>
  </si>
  <si>
    <t>17/06/1993</t>
  </si>
  <si>
    <t>11/06/1990</t>
  </si>
  <si>
    <t>03/01/1986</t>
  </si>
  <si>
    <t>15/10/1990</t>
  </si>
  <si>
    <t>17/11/1995</t>
  </si>
  <si>
    <t>12/09/1987</t>
  </si>
  <si>
    <t>10/09/1989</t>
  </si>
  <si>
    <t>25/10/1998</t>
  </si>
  <si>
    <t>20/10/1992</t>
  </si>
  <si>
    <t>26/01/1993</t>
  </si>
  <si>
    <t>01/11/1983</t>
  </si>
  <si>
    <t>16/01/1987</t>
  </si>
  <si>
    <t>02/10/1988</t>
  </si>
  <si>
    <t>14/02/1994</t>
  </si>
  <si>
    <t>07/10/1993</t>
  </si>
  <si>
    <t>12/08/1996</t>
  </si>
  <si>
    <t>21/01/1989</t>
  </si>
  <si>
    <t>05/05/1983</t>
  </si>
  <si>
    <t>18/10/1985</t>
  </si>
  <si>
    <t>05/02/1984</t>
  </si>
  <si>
    <t>19/05/1980</t>
  </si>
  <si>
    <t>03/02/1992</t>
  </si>
  <si>
    <t>10/09/1985</t>
  </si>
  <si>
    <t>01/08/1995</t>
  </si>
  <si>
    <t>20/05/1986</t>
  </si>
  <si>
    <t>12/10/1993</t>
  </si>
  <si>
    <t>01/10/1990</t>
  </si>
  <si>
    <t>12/10/1998</t>
  </si>
  <si>
    <t>12/01/1989</t>
  </si>
  <si>
    <t>12/01/1996</t>
  </si>
  <si>
    <t>07/06/1997</t>
  </si>
  <si>
    <t>11/10/1991</t>
  </si>
  <si>
    <t>12/11/1986</t>
  </si>
  <si>
    <t>22/02/1993</t>
  </si>
  <si>
    <t>06/08/1988</t>
  </si>
  <si>
    <t>11/11/2000</t>
  </si>
  <si>
    <t>22/12/2000</t>
  </si>
  <si>
    <t>01/01/1999</t>
  </si>
  <si>
    <t>10/10/1992</t>
  </si>
  <si>
    <t>03/02/1997</t>
  </si>
  <si>
    <t>23/01/1988</t>
  </si>
  <si>
    <t>04/05/1982</t>
  </si>
  <si>
    <t>15/08/1986</t>
  </si>
  <si>
    <t>06/12/1990</t>
  </si>
  <si>
    <t>20/12/1992</t>
  </si>
  <si>
    <t>22/08/1984</t>
  </si>
  <si>
    <t>03/03/1992</t>
  </si>
  <si>
    <t>15/10/1986</t>
  </si>
  <si>
    <t>04/02/1990</t>
  </si>
  <si>
    <t>26/10/1984</t>
  </si>
  <si>
    <t>15/07/2000</t>
  </si>
  <si>
    <t>02/02/1987</t>
  </si>
  <si>
    <t>20/08/1992</t>
  </si>
  <si>
    <t>10/09/1995</t>
  </si>
  <si>
    <t>01/10/1997</t>
  </si>
  <si>
    <t>28/08/1994</t>
  </si>
  <si>
    <t>05/05/1995</t>
  </si>
  <si>
    <t>25/04/1988</t>
  </si>
  <si>
    <t>18/09/1996</t>
  </si>
  <si>
    <t>21/04/1986</t>
  </si>
  <si>
    <t>07/10/1995</t>
  </si>
  <si>
    <t>17/06/1990</t>
  </si>
  <si>
    <t>04/08/1984</t>
  </si>
  <si>
    <t>10/01/1988</t>
  </si>
  <si>
    <t>14/11/1987</t>
  </si>
  <si>
    <t>19/11/1998</t>
  </si>
  <si>
    <t>09/09/1995</t>
  </si>
  <si>
    <t>05/01/1988</t>
  </si>
  <si>
    <t>05/11/1981</t>
  </si>
  <si>
    <t>26/07/1996</t>
  </si>
  <si>
    <t>14/06/2002</t>
  </si>
  <si>
    <t>12/09/1993</t>
  </si>
  <si>
    <t>10/07/1997</t>
  </si>
  <si>
    <t>01/11/1982</t>
  </si>
  <si>
    <t>19/12/1991</t>
  </si>
  <si>
    <t>16/11/1993</t>
  </si>
  <si>
    <t>08/11/2001</t>
  </si>
  <si>
    <t>16/07/1990</t>
  </si>
  <si>
    <t>10/07/2001</t>
  </si>
  <si>
    <t>15/05/1991</t>
  </si>
  <si>
    <t>26/10/2002</t>
  </si>
  <si>
    <t>21/09/1985</t>
  </si>
  <si>
    <t>21/08/1983</t>
  </si>
  <si>
    <t>20/11/1997</t>
  </si>
  <si>
    <t>20/02/1994</t>
  </si>
  <si>
    <t>15/02/1993</t>
  </si>
  <si>
    <t>04/06/1986</t>
  </si>
  <si>
    <t>27/08/1989</t>
  </si>
  <si>
    <t>23/03/1983</t>
  </si>
  <si>
    <t>27/12/1997</t>
  </si>
  <si>
    <t>04/01/1997</t>
  </si>
  <si>
    <t>27/08/1999</t>
  </si>
  <si>
    <t>15/12/1992</t>
  </si>
  <si>
    <t>10/08/1998</t>
  </si>
  <si>
    <t>16/07/2003</t>
  </si>
  <si>
    <t>06/01/1998</t>
  </si>
  <si>
    <t>01/01/1990</t>
  </si>
  <si>
    <t>18/06/1996</t>
  </si>
  <si>
    <t>08/12/2002</t>
  </si>
  <si>
    <t>24/07/2001</t>
  </si>
  <si>
    <t>01/04/1989</t>
  </si>
  <si>
    <t>17/07/1989</t>
  </si>
  <si>
    <t>01/08/1994</t>
  </si>
  <si>
    <t>22/02/1998</t>
  </si>
  <si>
    <t>03/11/1986</t>
  </si>
  <si>
    <t>05/09/1985</t>
  </si>
  <si>
    <t>05/06/1990</t>
  </si>
  <si>
    <t>22/05/1993</t>
  </si>
  <si>
    <t>14/09/1992</t>
  </si>
  <si>
    <t>28/08/1990</t>
  </si>
  <si>
    <t>12/01/1992</t>
  </si>
  <si>
    <t>23/06/1988</t>
  </si>
  <si>
    <t>01/10/1993</t>
  </si>
  <si>
    <t>07/10/1992</t>
  </si>
  <si>
    <t>12/02/1990</t>
  </si>
  <si>
    <t>27/11/1994</t>
  </si>
  <si>
    <t>05/09/1991</t>
  </si>
  <si>
    <t>29/05/1992</t>
  </si>
  <si>
    <t>13/03/1992</t>
  </si>
  <si>
    <t>27/08/1998</t>
  </si>
  <si>
    <t>21/02/1995</t>
  </si>
  <si>
    <t>01/12/1989</t>
  </si>
  <si>
    <t>02/07/1990</t>
  </si>
  <si>
    <t>28/05/1985</t>
  </si>
  <si>
    <t>11/05/1999</t>
  </si>
  <si>
    <t>30/08/1995</t>
  </si>
  <si>
    <t>28/11/1990</t>
  </si>
  <si>
    <t>15/08/1985</t>
  </si>
  <si>
    <t>27/10/1991</t>
  </si>
  <si>
    <t>26/03/1985</t>
  </si>
  <si>
    <t>04/02/1997</t>
  </si>
  <si>
    <t>22/09/1990</t>
  </si>
  <si>
    <t>20/10/1996</t>
  </si>
  <si>
    <t>25/12/1995</t>
  </si>
  <si>
    <t>25/12/1994</t>
  </si>
  <si>
    <t>09/09/2003</t>
  </si>
  <si>
    <t>08/12/1995</t>
  </si>
  <si>
    <t>12/04/2000</t>
  </si>
  <si>
    <t>30/10/1999</t>
  </si>
  <si>
    <t>Chú ý chọn biểu mẫu siêu âm đúng theo giới tính</t>
  </si>
  <si>
    <t>Nhập SỐ HỒ SƠ dưới mã vạch sẽ hiện ra thông tin người khám và bệnh lý năm trước,</t>
  </si>
  <si>
    <t>Trường hợp đã lưu kết quả rồi mà cần sửa lại mở sheet TongHopKQ xóa kết quả cũ và file đã lưu trong thư mục đi, sau đó gõ lại và lưu kết quả mới</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</si>
  <si>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</si>
  <si>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</si>
  <si>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</si>
  <si>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</si>
  <si>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</si>
  <si>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</si>
  <si>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</si>
  <si>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</si>
  <si>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</si>
  <si>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</si>
  <si>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D:\Downloads\</t>
  </si>
  <si>
    <t>test</t>
  </si>
  <si>
    <t>23/08/2025</t>
  </si>
  <si>
    <t>M3</t>
  </si>
  <si>
    <t>Lưu ý gói khám</t>
  </si>
  <si>
    <t>Bệnh lý</t>
  </si>
  <si>
    <t>Mô tả</t>
  </si>
  <si>
    <t>Kết luận</t>
  </si>
  <si>
    <t>Gan nhiễm mỡ.</t>
  </si>
  <si>
    <t>bình thường</t>
  </si>
  <si>
    <t>a.</t>
  </si>
  <si>
    <t>b.</t>
  </si>
  <si>
    <t>c.</t>
  </si>
  <si>
    <t>d.</t>
  </si>
  <si>
    <t>e.</t>
  </si>
  <si>
    <t>f.</t>
  </si>
  <si>
    <t>1.</t>
  </si>
  <si>
    <t>2.</t>
  </si>
  <si>
    <t>Dương Thị Hằng</t>
  </si>
  <si>
    <t>Đào Hữu Đạo</t>
  </si>
  <si>
    <t>Hoàng Văn Hiếu</t>
  </si>
  <si>
    <t>Nguyễn Quốc Nghiệp</t>
  </si>
  <si>
    <t>Đỗ Thị Phương Linh</t>
  </si>
  <si>
    <t>Nguyễn Văn Hiếu</t>
  </si>
  <si>
    <t>Trần Vũ Lê</t>
  </si>
  <si>
    <t>Cấn Văn Thắng</t>
  </si>
  <si>
    <t>Phạm Tiến Dũng</t>
  </si>
  <si>
    <t>Bùi Phong Hải</t>
  </si>
  <si>
    <t>Trần Thị Ngọc Linh</t>
  </si>
  <si>
    <t>Vũ Mạnh Tuấn</t>
  </si>
  <si>
    <t>Lê Thu Hà</t>
  </si>
  <si>
    <t>Hoàng Văn Rèn</t>
  </si>
  <si>
    <t>Nguyễn Văn Mạnh</t>
  </si>
  <si>
    <t>Nguyễn Xuân Bách</t>
  </si>
  <si>
    <t>Nguyễn Đình Tình</t>
  </si>
  <si>
    <t>Phạm Ngọc Mỹ</t>
  </si>
  <si>
    <t>Nguyễn Thành Long</t>
  </si>
  <si>
    <t>Vũ Ngọc Linh</t>
  </si>
  <si>
    <t>An Văn Sông</t>
  </si>
  <si>
    <t>Vũ Văn Thanh</t>
  </si>
  <si>
    <t>Đặng Thanh Tùng</t>
  </si>
  <si>
    <t>Vũ Xuân Trung</t>
  </si>
  <si>
    <t>Nguyễn Thị Lương</t>
  </si>
  <si>
    <t>Nguyễn Văn Vinh</t>
  </si>
  <si>
    <t>Hoàng Xuân Phú</t>
  </si>
  <si>
    <t>Nguyễn Như Quỳnh</t>
  </si>
  <si>
    <t>Trần Minh Trường</t>
  </si>
  <si>
    <t>Vũ Thị Hương</t>
  </si>
  <si>
    <t>Nguyễn Trí Giang</t>
  </si>
  <si>
    <t>Đỗ Văn Mạnh</t>
  </si>
  <si>
    <t>Bùi Thị Vân Anh</t>
  </si>
  <si>
    <t>Trần Văn Thành</t>
  </si>
  <si>
    <t>Vũ Thị Mến</t>
  </si>
  <si>
    <t>Lưu Thị Lệ</t>
  </si>
  <si>
    <t>Lê Thị Xuân</t>
  </si>
  <si>
    <t>Mai Thị Hiền</t>
  </si>
  <si>
    <t>Trần Thị Dung</t>
  </si>
  <si>
    <t>Nguyễn Thị Tươi</t>
  </si>
  <si>
    <t>Chu Kim Oanh</t>
  </si>
  <si>
    <t>Lương Thị Hải Bình</t>
  </si>
  <si>
    <t>Đỗ Đình Khải</t>
  </si>
  <si>
    <t>Lê Phương Thảo</t>
  </si>
  <si>
    <t>Trần Văn Huỳnh</t>
  </si>
  <si>
    <t>Nguyễn Văn Chung</t>
  </si>
  <si>
    <t>Nguyễn Trung Bằng</t>
  </si>
  <si>
    <t>Phạm Đình Nghiệp</t>
  </si>
  <si>
    <t>Nguyễn Thị Thúy Kiều</t>
  </si>
  <si>
    <t>Phạm Thị Hiền</t>
  </si>
  <si>
    <t>Trần Quốc Việt</t>
  </si>
  <si>
    <t>Lưu Quang Trung</t>
  </si>
  <si>
    <t>Nguyễn Tiến Dũng</t>
  </si>
  <si>
    <t>Phạm Thị Phượng</t>
  </si>
  <si>
    <t>Đào Thị Hằng</t>
  </si>
  <si>
    <t>Bùi Thị Mến</t>
  </si>
  <si>
    <t>Bùi Hồng Ngọc</t>
  </si>
  <si>
    <t>Trần Đình Tấn</t>
  </si>
  <si>
    <t>Vũ Thị Thơm</t>
  </si>
  <si>
    <t>Trần Thị Hồng Oanh</t>
  </si>
  <si>
    <t>Lưu Thị Ngân</t>
  </si>
  <si>
    <t>Lê Thị Sen</t>
  </si>
  <si>
    <t>Phạm Hồng Phong</t>
  </si>
  <si>
    <t>Trần Trọng Điệp</t>
  </si>
  <si>
    <t>Lương Văn Lợi</t>
  </si>
  <si>
    <t>Phạm Thị Thao</t>
  </si>
  <si>
    <t>Đinh Thị Hồng Liên</t>
  </si>
  <si>
    <t>Khúc Chí Đông</t>
  </si>
  <si>
    <t>Lưu Thị Thùy</t>
  </si>
  <si>
    <t>Nguyễn Thị Hạnh</t>
  </si>
  <si>
    <t>Đinh Thị Thu Hương</t>
  </si>
  <si>
    <t>Lê Thị Trà</t>
  </si>
  <si>
    <t>Hoàng Thị Hiền</t>
  </si>
  <si>
    <t>Hoàng Thị Sen</t>
  </si>
  <si>
    <t>Trương Thị Cúc</t>
  </si>
  <si>
    <t>Nguyễn Thị Loan</t>
  </si>
  <si>
    <t>Nguyễn Tuấn Anh</t>
  </si>
  <si>
    <t>Nguyễn Thị Hậu</t>
  </si>
  <si>
    <t>Lưu Thị Khuyên</t>
  </si>
  <si>
    <t>Nguyễn Thị Nguyệt</t>
  </si>
  <si>
    <t>Nguyễn Thị Châm</t>
  </si>
  <si>
    <t>Trần Thị Tân</t>
  </si>
  <si>
    <t>Nguyễn Thị An</t>
  </si>
  <si>
    <t>Hoàng Thị Đoan</t>
  </si>
  <si>
    <t>Hồ Đình Cường</t>
  </si>
  <si>
    <t>Phạm Văn Huynh</t>
  </si>
  <si>
    <t>Trần Cẩm Tú</t>
  </si>
  <si>
    <t>Lưu Thị Tách</t>
  </si>
  <si>
    <t>Nguyễn Thị Nga</t>
  </si>
  <si>
    <t>Vũ Thị Trang</t>
  </si>
  <si>
    <t>Phạm Quang Tiến</t>
  </si>
  <si>
    <t>Nguyễn Thị Liên</t>
  </si>
  <si>
    <t>Ngô Thị Hường</t>
  </si>
  <si>
    <t>Đỗ Thị Giang</t>
  </si>
  <si>
    <t>Phùng Thị Thủy</t>
  </si>
  <si>
    <t>Nguyễn Thị Phương</t>
  </si>
  <si>
    <t>Nguyễn Thị Hoa</t>
  </si>
  <si>
    <t>Lê Văn Thoại</t>
  </si>
  <si>
    <t>Nguyễn Trọng Luyện</t>
  </si>
  <si>
    <t>Đỗ Thị Thu</t>
  </si>
  <si>
    <t>Nguyễn Thị Duyên</t>
  </si>
  <si>
    <t>Nguyễn Hồng Nhung</t>
  </si>
  <si>
    <t>Đỗ Thị Huyền Trang</t>
  </si>
  <si>
    <t>Nguyễn Thị Hiên</t>
  </si>
  <si>
    <t>Vũ Minh Hòa</t>
  </si>
  <si>
    <t>Lưu Thị Thương</t>
  </si>
  <si>
    <t>Nguyễn Thị Thủy</t>
  </si>
  <si>
    <t>Vũ Văn Thăng</t>
  </si>
  <si>
    <t>Phạm Thị Thảo</t>
  </si>
  <si>
    <t>Đinh Công Thiệp</t>
  </si>
  <si>
    <t>Vũ Thị Loan</t>
  </si>
  <si>
    <t>Nguyễn Văn Dũng</t>
  </si>
  <si>
    <t>Nguyễn Thị Quỳnh</t>
  </si>
  <si>
    <t>Nguyễn Khắc Duy</t>
  </si>
  <si>
    <t>Nguyễn Thị Vân</t>
  </si>
  <si>
    <t>Dương Thùy Nga</t>
  </si>
  <si>
    <t>Nguyễn Văn Hoặc</t>
  </si>
  <si>
    <t>Nguyễn Duy Vinh</t>
  </si>
  <si>
    <t>Nguyễn Thị Tuyến</t>
  </si>
  <si>
    <t>Đặng Thị Thanh Dung</t>
  </si>
  <si>
    <t>Nguyễn Thị Biên</t>
  </si>
  <si>
    <t>Phạm Quốc Huy</t>
  </si>
  <si>
    <t>Lê Ngọc Linh</t>
  </si>
  <si>
    <t>Đỗ Thị Nga</t>
  </si>
  <si>
    <t>Nguyễn Văn Giông</t>
  </si>
  <si>
    <t>Trần Thị Huệ</t>
  </si>
  <si>
    <t>Lưu Đình Mùi</t>
  </si>
  <si>
    <t>Nguyễn Thị Mỹ Nhật</t>
  </si>
  <si>
    <t>Đặng Thị Hằng</t>
  </si>
  <si>
    <t>Vũ Quang Huế</t>
  </si>
  <si>
    <t>Phan Thị Huyền</t>
  </si>
  <si>
    <t>Trịnh Thị Hằng</t>
  </si>
  <si>
    <t>Phạm Thị Liễu</t>
  </si>
  <si>
    <t>Mai Thị Chuyên</t>
  </si>
  <si>
    <t>Lương Thị Thoa</t>
  </si>
  <si>
    <t>Đặng Văn Bình</t>
  </si>
  <si>
    <t>Lưu Thị Hằng</t>
  </si>
  <si>
    <t>Lương Thị Vui</t>
  </si>
  <si>
    <t>Nguyễn Văn Tuyền</t>
  </si>
  <si>
    <t>Nguyễn Ngọc Oanh</t>
  </si>
  <si>
    <t>Đỗ Thị Phượng</t>
  </si>
  <si>
    <t>Lương Thị Huệ</t>
  </si>
  <si>
    <t>Vũ Văn Dương</t>
  </si>
  <si>
    <t>Lê Quang Phúc</t>
  </si>
  <si>
    <t>Lê Thị Ánh</t>
  </si>
  <si>
    <t>Phạm Thị Hoài Thu</t>
  </si>
  <si>
    <t>Hoàng Thị Kim Anh</t>
  </si>
  <si>
    <t>Lê Thị Hồng</t>
  </si>
  <si>
    <t>Nguyễn Văn Chuân</t>
  </si>
  <si>
    <t>Kiều Thị Thanh</t>
  </si>
  <si>
    <t>Nguyễn Thị Thắm</t>
  </si>
  <si>
    <t>Trần Xuân Thọ</t>
  </si>
  <si>
    <t>Phan Thị Thủy</t>
  </si>
  <si>
    <t>Phạm Thị Kim Ngân</t>
  </si>
  <si>
    <t>Nguyễn Thục Hiền</t>
  </si>
  <si>
    <t>Phan Thị Vân</t>
  </si>
  <si>
    <t>Lê Hà Phương</t>
  </si>
  <si>
    <t>Trần Hải Ngọc</t>
  </si>
  <si>
    <t>Trần Văn Đãng</t>
  </si>
  <si>
    <t>Trương Thị Thái</t>
  </si>
  <si>
    <t>Lê Thị Thu</t>
  </si>
  <si>
    <t>Đào Quang Mạnh</t>
  </si>
  <si>
    <t>Nguyễn Thị Kiều</t>
  </si>
  <si>
    <t>Nguyễn Thị Huyền Trang</t>
  </si>
  <si>
    <t>Đào Thị Việt</t>
  </si>
  <si>
    <t>Nguyễn Thu Loan</t>
  </si>
  <si>
    <t>Phan Thị Thu Thủy</t>
  </si>
  <si>
    <t>Đỗ Hồng Công</t>
  </si>
  <si>
    <t>Nguyễn Thị Ngọc</t>
  </si>
  <si>
    <t>Lê Thị Ngọc</t>
  </si>
  <si>
    <t>Nguyễn Thị Thùy Dương</t>
  </si>
  <si>
    <t>Phạm Văn Thành</t>
  </si>
  <si>
    <t>Nguyễn Thị Yến</t>
  </si>
  <si>
    <t>Phạm Văn Đức</t>
  </si>
  <si>
    <t>Đỗ Minh Đức</t>
  </si>
  <si>
    <t>Nguyễn Thị Thúy</t>
  </si>
  <si>
    <t>Nguyễn Chí Công</t>
  </si>
  <si>
    <t>Phạm Văn Bách</t>
  </si>
  <si>
    <t>Hoàng Thị An</t>
  </si>
  <si>
    <t>Nguyễn Thị La</t>
  </si>
  <si>
    <t>Hoàng Thị Hồng</t>
  </si>
  <si>
    <t>Nguyễn Thị Nhung</t>
  </si>
  <si>
    <t>Đinh Thị Nguyệt</t>
  </si>
  <si>
    <t>Phạm Song Toàn</t>
  </si>
  <si>
    <t>Đinh Bạt Đồng</t>
  </si>
  <si>
    <t>Đào Văn Dương</t>
  </si>
  <si>
    <t>Đào Thị Nhu</t>
  </si>
  <si>
    <t>Hoàng Thị Hương</t>
  </si>
  <si>
    <t>Đặng Thị Thanh Hương</t>
  </si>
  <si>
    <t>Đặng Văn Vĩnh</t>
  </si>
  <si>
    <t>Phan Thanh Cảnh</t>
  </si>
  <si>
    <t>Nguyễn Trọng Hưng</t>
  </si>
  <si>
    <t>Hoàng Thị Oanh</t>
  </si>
  <si>
    <t>Đỗ Thị Hạnh</t>
  </si>
  <si>
    <t>Nguyễn Thị Mến</t>
  </si>
  <si>
    <t>Tạ Thị Hiển</t>
  </si>
  <si>
    <t>Hà Tiến Đại</t>
  </si>
  <si>
    <t>Nguyễn Văn Huy</t>
  </si>
  <si>
    <t>Đào Đức Quân</t>
  </si>
  <si>
    <t>Lê Thị Vân</t>
  </si>
  <si>
    <t>Lò Thị Liên</t>
  </si>
  <si>
    <t>Đặng Văn Khải</t>
  </si>
  <si>
    <t>Nguyễn Mạnh Tùng</t>
  </si>
  <si>
    <t>Nguyễn Thị Cẩm Lệ</t>
  </si>
  <si>
    <t>Nguyễn Văn Ngân</t>
  </si>
  <si>
    <t>Vũ Thị Thanh Thủy</t>
  </si>
  <si>
    <t>Lê Thị Nhuận</t>
  </si>
  <si>
    <t>Đỗ Văn Độ</t>
  </si>
  <si>
    <t>Huỳnh Văn Bình</t>
  </si>
  <si>
    <t>Lê Duy Hiếu</t>
  </si>
  <si>
    <t>Đặng Đức Duy</t>
  </si>
  <si>
    <t>Nguyễn Văn Duẩn</t>
  </si>
  <si>
    <t>Lê Thị Phượng</t>
  </si>
  <si>
    <t>Phan Vũ Diệp</t>
  </si>
  <si>
    <t>Vũ Ngọc Luân</t>
  </si>
  <si>
    <t>Nguyễn Thị Thảo</t>
  </si>
  <si>
    <t>Đào Tuấn Anh</t>
  </si>
  <si>
    <t>Phạm Văn Ổn</t>
  </si>
  <si>
    <t>Trần Tất Thành</t>
  </si>
  <si>
    <t>Hoàng Thị Thùy</t>
  </si>
  <si>
    <t>Nguyễn Trọng Định</t>
  </si>
  <si>
    <t>Vũ Thị Hồng Nhiên</t>
  </si>
  <si>
    <t>Nguyễn Thị Vân Anh</t>
  </si>
  <si>
    <t>Nguyễn Đăng Phương</t>
  </si>
  <si>
    <t>Đỗ Văn Khanh</t>
  </si>
  <si>
    <t>Lê Văn Hà</t>
  </si>
  <si>
    <t>Đặng Đình Thông</t>
  </si>
  <si>
    <t>Đặng Quang Nghĩa</t>
  </si>
  <si>
    <t>Dương Quang Đông</t>
  </si>
  <si>
    <t>Đặng Xuân Trung</t>
  </si>
  <si>
    <t>Lê Hải Yến</t>
  </si>
  <si>
    <t>Nguyễn Chiến Quyết</t>
  </si>
  <si>
    <t>Vũ Thị Mừng</t>
  </si>
  <si>
    <t>Phạm Thị Huệ</t>
  </si>
  <si>
    <t>Trần Quang Mạnh</t>
  </si>
  <si>
    <t>Nguyễn Trung Kiên</t>
  </si>
  <si>
    <t>Nguyễn Thị Lành</t>
  </si>
  <si>
    <t>Nguyễn Thị Huyền</t>
  </si>
  <si>
    <t>Ma Văn Hạnh</t>
  </si>
  <si>
    <t>Nguyễn Thị Thảo Vân</t>
  </si>
  <si>
    <t>Nguyễn Văn Điệp</t>
  </si>
  <si>
    <t>Đào Thị Hương</t>
  </si>
  <si>
    <t>Nguyễn Văn Tuấn</t>
  </si>
  <si>
    <t>Lộc Văn Lích</t>
  </si>
  <si>
    <t>Lê Văn Tiến</t>
  </si>
  <si>
    <t>Mai Thúy Linh</t>
  </si>
  <si>
    <t>Nguyễn Thế Hợp</t>
  </si>
  <si>
    <t>Phan Văn Kiểm</t>
  </si>
  <si>
    <t>Vũ Văn Trường</t>
  </si>
  <si>
    <t>Vũ Văn Khanh</t>
  </si>
  <si>
    <t>Đinh Thị Ngân Hà</t>
  </si>
  <si>
    <t>Hoàng Bích Ngọc</t>
  </si>
  <si>
    <t>Vũ Viết Công</t>
  </si>
  <si>
    <t>Đỗ Trung Kiên</t>
  </si>
  <si>
    <t>Phan Thành Công</t>
  </si>
  <si>
    <t>Hoàng Thị Ngát</t>
  </si>
  <si>
    <t>Chu Thị Mỹ Duyên</t>
  </si>
  <si>
    <t>Lò Văn Công</t>
  </si>
  <si>
    <t>Nguyễn Huy Hùng</t>
  </si>
  <si>
    <t>Trần Văn Nghĩa</t>
  </si>
  <si>
    <t>Phùng Thị Quyến</t>
  </si>
  <si>
    <t>Phan Thế Trung</t>
  </si>
  <si>
    <t>Trần Xuân Đắc</t>
  </si>
  <si>
    <t>Lưu Thị Thu Phương</t>
  </si>
  <si>
    <t>Đỗ Trí Quyết</t>
  </si>
  <si>
    <t>Nguyễn Trọng Huynh</t>
  </si>
  <si>
    <t>Nguyễn Thị Quý</t>
  </si>
  <si>
    <t>Hoàng Trung Dũng</t>
  </si>
  <si>
    <t>Lê Thị Yến</t>
  </si>
  <si>
    <t>Đỗ Thị Huệ</t>
  </si>
  <si>
    <t>Đặng Văn Khoa</t>
  </si>
  <si>
    <t>Lê Văn Tuấn</t>
  </si>
  <si>
    <t>Phạm Thị Yến</t>
  </si>
  <si>
    <t>Đỗ Thị Bích Hoàn</t>
  </si>
  <si>
    <t>Lê Đình Ước</t>
  </si>
  <si>
    <t>Phạm Ngọc Nam</t>
  </si>
  <si>
    <t>Nguyễn Thị Phương Anh</t>
  </si>
  <si>
    <t>Nguyễn Văn Đàm</t>
  </si>
  <si>
    <t>Phan Thị Hồng Xiêm</t>
  </si>
  <si>
    <t>Vũ Thị Diệu Linh</t>
  </si>
  <si>
    <t>Nguyễn Tiến Anh</t>
  </si>
  <si>
    <t>Nguyễn Thị Hoài Hương</t>
  </si>
  <si>
    <t>Bạch Thị Kim Oanh</t>
  </si>
  <si>
    <t>Nguyễn Văn Ý</t>
  </si>
  <si>
    <t>Nguyễn Thị Mười</t>
  </si>
  <si>
    <t>Lương Văn Vui</t>
  </si>
  <si>
    <t>Vũ Đức Anh</t>
  </si>
  <si>
    <t>Lê Văn Hải</t>
  </si>
  <si>
    <t>Lưu Thị Huyến</t>
  </si>
  <si>
    <t>Phan Thị Hường</t>
  </si>
  <si>
    <t>Lê Thị Mai</t>
  </si>
  <si>
    <t>Nguyễn Thị Hương</t>
  </si>
  <si>
    <t>Nguyễn Thị Thu Huyền</t>
  </si>
  <si>
    <t>Vũ Thị Hồng Thắm</t>
  </si>
  <si>
    <t>Nguyễn Thị Trang</t>
  </si>
  <si>
    <t>Đặng Trọng Quyến</t>
  </si>
  <si>
    <t>Vũ Thị Hân</t>
  </si>
  <si>
    <t>Phạm Thế Thư</t>
  </si>
  <si>
    <t>Phạm Thị Thu Hằng</t>
  </si>
  <si>
    <t>Đỗ Tiến Đạt</t>
  </si>
  <si>
    <t>Đàm Thị Đức Lan</t>
  </si>
  <si>
    <t>Đỗ Văn Tuấn</t>
  </si>
  <si>
    <t>Đặng Văn Tiệp</t>
  </si>
  <si>
    <t>Lương Minh Chí</t>
  </si>
  <si>
    <t>Lê Thị Thanh Tâm</t>
  </si>
  <si>
    <t>Nguyễn Thị Hà</t>
  </si>
  <si>
    <t>Nguyễn Thị Phượng</t>
  </si>
  <si>
    <t>Nguyễn Hữu Phúc</t>
  </si>
  <si>
    <t>Trần Thị Lan Anh</t>
  </si>
  <si>
    <t>Lê Thị Yên</t>
  </si>
  <si>
    <t>Vũ Văn Hùng</t>
  </si>
  <si>
    <t>Bùi Thị Hường</t>
  </si>
  <si>
    <t>Lưu Ngọc Cường</t>
  </si>
  <si>
    <t>Đình Đức Khương</t>
  </si>
  <si>
    <t>Lê Duy Tâm</t>
  </si>
  <si>
    <t>Lã Thị Ngọc Thủy</t>
  </si>
  <si>
    <t>Lê Huy Hiếu</t>
  </si>
  <si>
    <t>Nguyễn Thành Hà</t>
  </si>
  <si>
    <t>Đỗ Phi Hùng</t>
  </si>
  <si>
    <t>Nguyễn Thị Thu Giang</t>
  </si>
  <si>
    <t>Lê Mạnh Cường</t>
  </si>
  <si>
    <t>Nguyễn Thị Thu Trà</t>
  </si>
  <si>
    <t>Phạm Thị Ngọc</t>
  </si>
  <si>
    <t>Phan Thị Phượng</t>
  </si>
  <si>
    <t>Nguyễn Thị Đào</t>
  </si>
  <si>
    <t>Nguyễn Thị Hồng Hạnh</t>
  </si>
  <si>
    <t>Phạm Đức Việt</t>
  </si>
  <si>
    <t>Nguyễn Tuấn Nam</t>
  </si>
  <si>
    <t>Phạm Thị Cẩm Tú</t>
  </si>
  <si>
    <t>Vũ Việt Trinh</t>
  </si>
  <si>
    <t>Đoàn Thị Ngân</t>
  </si>
  <si>
    <t>Nguyễn Hữu Bình</t>
  </si>
  <si>
    <t>Phan Thị Hồng Nhung</t>
  </si>
  <si>
    <t>Nguyễn Thị Mai</t>
  </si>
  <si>
    <t>Phạm Thị Ngọc Anh</t>
  </si>
  <si>
    <t>Nhữ Thị Duân</t>
  </si>
  <si>
    <t>Trần Thị Trinh</t>
  </si>
  <si>
    <t>Trần Huy Thọ</t>
  </si>
  <si>
    <t>Lê Hồng Khánh</t>
  </si>
  <si>
    <t>Đoàn Thị Mến</t>
  </si>
  <si>
    <t>Nguyễn Văn Sơn</t>
  </si>
  <si>
    <t>Vũ Xuân Thành</t>
  </si>
  <si>
    <t>Hà Minh Anh</t>
  </si>
  <si>
    <t>Trần Thuỷ Tiên</t>
  </si>
  <si>
    <t>Hoàng Quang Hiếu</t>
  </si>
  <si>
    <t>Nguyễn Văn Hà</t>
  </si>
  <si>
    <t>Nguyễn Thị Hải Linh</t>
  </si>
  <si>
    <t>Trần Thị Vân</t>
  </si>
  <si>
    <t>Vũ Sỹ Thiên</t>
  </si>
  <si>
    <t>Đỗ Minh Thái</t>
  </si>
  <si>
    <t>Nguyễn Thị Xim</t>
  </si>
  <si>
    <t>Phan Thị Nhàn</t>
  </si>
  <si>
    <t>Nguyễn Thị Hiền</t>
  </si>
  <si>
    <t>Trần Thị Thúy</t>
  </si>
  <si>
    <t>Nguyễn Văn Đông</t>
  </si>
  <si>
    <t>Trịnh Văn Lãm</t>
  </si>
  <si>
    <t>Chu Văn Anh</t>
  </si>
  <si>
    <t>Lương Thị Nhung</t>
  </si>
  <si>
    <t>Phạm Minh Quang</t>
  </si>
  <si>
    <t>Vũ Thị Thùy</t>
  </si>
  <si>
    <t>Nguyễn Thành Năm</t>
  </si>
  <si>
    <t>Phan Văn Hiếu</t>
  </si>
  <si>
    <t>Trần Thị Đào</t>
  </si>
  <si>
    <t>Nguyễn Khắc Tiến</t>
  </si>
  <si>
    <t>Nguyễn Văn Thắng</t>
  </si>
  <si>
    <t>Phạm Thị Linh</t>
  </si>
  <si>
    <t>Phạm Thị Hồng Ngát</t>
  </si>
  <si>
    <t>Vũ Đình Toản</t>
  </si>
  <si>
    <t>Phạm Thị Huyền</t>
  </si>
  <si>
    <t>Hoàng Thị Nguyệt Ánh</t>
  </si>
  <si>
    <t>Đặng Thị Vân Hà</t>
  </si>
  <si>
    <t>Nguyễn Văn Bình</t>
  </si>
  <si>
    <t>Phan Trung Đức</t>
  </si>
  <si>
    <t>Bùi Thị Hương</t>
  </si>
  <si>
    <t>Đặng Thái Chiều</t>
  </si>
  <si>
    <t>Đoàn Thị Uyên</t>
  </si>
  <si>
    <t>Bùi Thanh Thảo</t>
  </si>
  <si>
    <t>Nguyễn Văn Của</t>
  </si>
  <si>
    <t>Hàn Ngọc Hoàn</t>
  </si>
  <si>
    <t>Phạm Trọng Bắc</t>
  </si>
  <si>
    <t>Phạm Thị Hồng Ngân</t>
  </si>
  <si>
    <t>Đỗ Thị Hậu</t>
  </si>
  <si>
    <t>Thạch Văn Phong</t>
  </si>
  <si>
    <t>Nguyễn Văn Thuyên</t>
  </si>
  <si>
    <t>Đặng Thị Tâm</t>
  </si>
  <si>
    <t>Lò Thị Dậu</t>
  </si>
  <si>
    <t>Bùi Thị Mai Hương</t>
  </si>
  <si>
    <t>Trần Thị Hiến</t>
  </si>
  <si>
    <t>Nguyễn Khắc Thuấn</t>
  </si>
  <si>
    <t>Phạm Thị Thủy</t>
  </si>
  <si>
    <t>Nguyễn Thị Thanh Ba</t>
  </si>
  <si>
    <t>Đoàn Đình Long</t>
  </si>
  <si>
    <t>Tòng Văn Thủy</t>
  </si>
  <si>
    <t>Bùi Văn Thảo</t>
  </si>
  <si>
    <t>Cà Trung Quân</t>
  </si>
  <si>
    <t>Vũ Thị Khuyên</t>
  </si>
  <si>
    <t>Vũ Quang Chung</t>
  </si>
  <si>
    <t>Cao Thị Giang</t>
  </si>
  <si>
    <t>Bùi Đình Chắc</t>
  </si>
  <si>
    <t>Đoàn Trọng Huy</t>
  </si>
  <si>
    <t>Phạm Thị Thoa</t>
  </si>
  <si>
    <t>Nguyễn Thị Thanh Tiền</t>
  </si>
  <si>
    <t>Hoàng Thị Phượng</t>
  </si>
  <si>
    <t>Lê Ngọc Đức</t>
  </si>
  <si>
    <t>Phùng Thị Hiền</t>
  </si>
  <si>
    <t>Nguyễn Thanh Tùng</t>
  </si>
  <si>
    <t>Vũ Như Thắng</t>
  </si>
  <si>
    <t>Hà Đình Vinh</t>
  </si>
  <si>
    <t>Nguyễn Thị Dịu</t>
  </si>
  <si>
    <t>Hoàng Thị Hiền Dung</t>
  </si>
  <si>
    <t>Phạm Văn Tiến</t>
  </si>
  <si>
    <t>Nguyễn Thị Thơm</t>
  </si>
  <si>
    <t>Nguyễn Thị Quỳnh Trang</t>
  </si>
  <si>
    <t>Nguyễn Thị Thu Hường</t>
  </si>
  <si>
    <t>Trương Thị Thơm</t>
  </si>
  <si>
    <t>Tô Quốc Tạ</t>
  </si>
  <si>
    <t>Trương Thị Huyền</t>
  </si>
  <si>
    <t>Nguyễn Thu Hương</t>
  </si>
  <si>
    <t>Lê Thị Phương Anh</t>
  </si>
  <si>
    <t>Đinh Thị Thoa</t>
  </si>
  <si>
    <t>Phạm Văn Nam</t>
  </si>
  <si>
    <t>Trần Quang Minh</t>
  </si>
  <si>
    <t>Nguyễn Văn Diễn</t>
  </si>
  <si>
    <t>Trịnh Đăng Tùng</t>
  </si>
  <si>
    <t>Đỗ Văn Nhẫn</t>
  </si>
  <si>
    <t>Trần Khánh Linh</t>
  </si>
  <si>
    <t>Bùi Xuân Phan</t>
  </si>
  <si>
    <t>Lê Văn Thiệu</t>
  </si>
  <si>
    <t>Nguyễn Thị Quỳnh Liên</t>
  </si>
  <si>
    <t>Phạm Nhật Lệ</t>
  </si>
  <si>
    <t>Vũ Thị Thu Huyền</t>
  </si>
  <si>
    <t>Đào Thị Lan</t>
  </si>
  <si>
    <t>Nguyễn Thị Thu Hà</t>
  </si>
  <si>
    <t>Lê Thị Thuỳ An</t>
  </si>
  <si>
    <t>Nguyễn Thị Thơ</t>
  </si>
  <si>
    <t>Đoàn Nam Dương</t>
  </si>
  <si>
    <t>Kha Thị Tươi</t>
  </si>
  <si>
    <t>Kim Hùng Mạnh</t>
  </si>
  <si>
    <t>Phan Huy Hoàng</t>
  </si>
  <si>
    <t>Tô Xuân Hướng</t>
  </si>
  <si>
    <t>Nguyễn Đăng Bình</t>
  </si>
  <si>
    <t>Đào Ngọc Linh</t>
  </si>
  <si>
    <t>Đỗ Kiều Anh</t>
  </si>
  <si>
    <t>Nguyễn Văn Phong</t>
  </si>
  <si>
    <t>Hoàng Thị Duyên</t>
  </si>
  <si>
    <t>Doãn Quyết Thắng</t>
  </si>
  <si>
    <t>Nguyễn Xuân Thanh</t>
  </si>
  <si>
    <t>Kiều Thị Tố Uyên</t>
  </si>
  <si>
    <t>Nguyễn Doãn Thoa</t>
  </si>
  <si>
    <t>Dương Đức Cảnh</t>
  </si>
  <si>
    <t>Phạm Huy Khoản</t>
  </si>
  <si>
    <t>Đặng Xuân Thiệp</t>
  </si>
  <si>
    <t>Lưu Thị Ngần</t>
  </si>
  <si>
    <t>Nguyễn Huy Quyết</t>
  </si>
  <si>
    <t>Vàng Xuấn Hội</t>
  </si>
  <si>
    <t>Trương Thị Thắm</t>
  </si>
  <si>
    <t>Lê Đình Toàn</t>
  </si>
  <si>
    <t>Phạm Quang Hưng</t>
  </si>
  <si>
    <t>Lò Thị Thắm</t>
  </si>
  <si>
    <t>Đào Thị Sinh</t>
  </si>
  <si>
    <t>Đỗ Thị Hương</t>
  </si>
  <si>
    <t>Nguyễn Thanh Bình</t>
  </si>
  <si>
    <t>Nông Thùy Linh</t>
  </si>
  <si>
    <t>Trần Thị Xuân</t>
  </si>
  <si>
    <t>Đinh Văn Huy</t>
  </si>
  <si>
    <t>Vương Thị Thanh</t>
  </si>
  <si>
    <t>Vũ Trọng Kỹ</t>
  </si>
  <si>
    <t>Nguyễn Ngọc Ánh</t>
  </si>
  <si>
    <t>Nguyễn Thị Kim Vân</t>
  </si>
  <si>
    <t>Đào Nguyên Toản</t>
  </si>
  <si>
    <t>Nguyễn Văn Long</t>
  </si>
  <si>
    <t>Nguyễn Quang Trường</t>
  </si>
  <si>
    <t>Trương Thị Ngọc Nữ</t>
  </si>
  <si>
    <t>Lê Thị Thương</t>
  </si>
  <si>
    <t>Nguyễn Thu Hường</t>
  </si>
  <si>
    <t>Nguyễn Thị Ngọc Châm</t>
  </si>
  <si>
    <t>Nguyễn Văn Luân</t>
  </si>
  <si>
    <t>Phạm Văn Trường Giang</t>
  </si>
  <si>
    <t>Đinh Văn Tuấn</t>
  </si>
  <si>
    <t>Nguyễn Thị Vân Dung</t>
  </si>
  <si>
    <t>Trương Lê Lan Thảo</t>
  </si>
  <si>
    <t>Trần Văn Bách</t>
  </si>
  <si>
    <t>Phạm Thị Thùy Dung</t>
  </si>
  <si>
    <t>Trần Văn Dương</t>
  </si>
  <si>
    <t>Đào Thị Trang</t>
  </si>
  <si>
    <t>Vũ Thị Huyền</t>
  </si>
  <si>
    <t>Lê Thị Minh Ánh</t>
  </si>
  <si>
    <t>Phạm Đình Tiến</t>
  </si>
  <si>
    <t>Nguyễn Thành Công</t>
  </si>
  <si>
    <t>Lê Anh Tuấn</t>
  </si>
  <si>
    <t>Phạm Trường Đạt</t>
  </si>
  <si>
    <t>Lê Văn Hào</t>
  </si>
  <si>
    <t>Đào Đức Thắng</t>
  </si>
  <si>
    <t>Nguyễn Văn Hiệu</t>
  </si>
  <si>
    <t>Vũ Thị Kim Oanh</t>
  </si>
  <si>
    <t>Phạm Minh Thông</t>
  </si>
  <si>
    <t>Nguyễn Thị Phương Liên</t>
  </si>
  <si>
    <t>CÔNG TY CỔ PHẦN DAIKIN AIR CONDITIONING (VIETNAM)</t>
  </si>
  <si>
    <t>Mã XN (code)</t>
  </si>
  <si>
    <t>1287A10001</t>
  </si>
  <si>
    <t>1287A10002</t>
  </si>
  <si>
    <t>1287A10003</t>
  </si>
  <si>
    <t>1287A10004</t>
  </si>
  <si>
    <t>1287A10005</t>
  </si>
  <si>
    <t>1287A10006</t>
  </si>
  <si>
    <t>1287A10007</t>
  </si>
  <si>
    <t>1287A10008</t>
  </si>
  <si>
    <t>1287A10009</t>
  </si>
  <si>
    <t>1287A10010</t>
  </si>
  <si>
    <t>1287A10011</t>
  </si>
  <si>
    <t>1287A10012</t>
  </si>
  <si>
    <t>1287A10013</t>
  </si>
  <si>
    <t>1287A10014</t>
  </si>
  <si>
    <t>1287A10015</t>
  </si>
  <si>
    <t>1287A10016</t>
  </si>
  <si>
    <t>1287A10017</t>
  </si>
  <si>
    <t>1287A10018</t>
  </si>
  <si>
    <t>1287A10019</t>
  </si>
  <si>
    <t>1287A10020</t>
  </si>
  <si>
    <t>1287A10021</t>
  </si>
  <si>
    <t>1287A10022</t>
  </si>
  <si>
    <t>1287A10023</t>
  </si>
  <si>
    <t>1287A10024</t>
  </si>
  <si>
    <t>1287A10025</t>
  </si>
  <si>
    <t>1287A10026</t>
  </si>
  <si>
    <t>1287A10027</t>
  </si>
  <si>
    <t>1287A10028</t>
  </si>
  <si>
    <t>1287A10029</t>
  </si>
  <si>
    <t>1287A10030</t>
  </si>
  <si>
    <t>1287A10031</t>
  </si>
  <si>
    <t>1287A10032</t>
  </si>
  <si>
    <t>1287A10033</t>
  </si>
  <si>
    <t>1287A10034</t>
  </si>
  <si>
    <t>1287A10035</t>
  </si>
  <si>
    <t>1287A10036</t>
  </si>
  <si>
    <t>1287A10037</t>
  </si>
  <si>
    <t>1287A10038</t>
  </si>
  <si>
    <t>1287A10039</t>
  </si>
  <si>
    <t>1287A10040</t>
  </si>
  <si>
    <t>1287A10041</t>
  </si>
  <si>
    <t>1287A10042</t>
  </si>
  <si>
    <t>1287A10043</t>
  </si>
  <si>
    <t>1287A10044</t>
  </si>
  <si>
    <t>1287A10045</t>
  </si>
  <si>
    <t>1287A10046</t>
  </si>
  <si>
    <t>1287A10047</t>
  </si>
  <si>
    <t>1287A10048</t>
  </si>
  <si>
    <t>1287A10049</t>
  </si>
  <si>
    <t>1287A10050</t>
  </si>
  <si>
    <t>1287A10051</t>
  </si>
  <si>
    <t>1287A10052</t>
  </si>
  <si>
    <t>1287A10053</t>
  </si>
  <si>
    <t>1287A10054</t>
  </si>
  <si>
    <t>1287A10055</t>
  </si>
  <si>
    <t>1287A10056</t>
  </si>
  <si>
    <t>1287A10057</t>
  </si>
  <si>
    <t>1287A10058</t>
  </si>
  <si>
    <t>1287A10059</t>
  </si>
  <si>
    <t>1287A10060</t>
  </si>
  <si>
    <t>1287A10061</t>
  </si>
  <si>
    <t>1287A10062</t>
  </si>
  <si>
    <t>1287A10063</t>
  </si>
  <si>
    <t>1287A10064</t>
  </si>
  <si>
    <t>1287A10065</t>
  </si>
  <si>
    <t>1287A10066</t>
  </si>
  <si>
    <t>1287A10067</t>
  </si>
  <si>
    <t>1287A10068</t>
  </si>
  <si>
    <t>1287A10069</t>
  </si>
  <si>
    <t>1287A10070</t>
  </si>
  <si>
    <t>1287A10071</t>
  </si>
  <si>
    <t>1287A10072</t>
  </si>
  <si>
    <t>1287A10073</t>
  </si>
  <si>
    <t>1287A10074</t>
  </si>
  <si>
    <t>1287A10075</t>
  </si>
  <si>
    <t>1287A10076</t>
  </si>
  <si>
    <t>1287A10077</t>
  </si>
  <si>
    <t>1287A10078</t>
  </si>
  <si>
    <t>1287A10079</t>
  </si>
  <si>
    <t>1287A10080</t>
  </si>
  <si>
    <t>1287A10081</t>
  </si>
  <si>
    <t>1287A10082</t>
  </si>
  <si>
    <t>1287A10083</t>
  </si>
  <si>
    <t>1287A10084</t>
  </si>
  <si>
    <t>1287A10085</t>
  </si>
  <si>
    <t>1287A10086</t>
  </si>
  <si>
    <t>1287A10087</t>
  </si>
  <si>
    <t>1287A10088</t>
  </si>
  <si>
    <t>1287A10089</t>
  </si>
  <si>
    <t>1287A10090</t>
  </si>
  <si>
    <t>1287A10091</t>
  </si>
  <si>
    <t>1287A10092</t>
  </si>
  <si>
    <t>1287A10093</t>
  </si>
  <si>
    <t>1287A10094</t>
  </si>
  <si>
    <t>1287A10095</t>
  </si>
  <si>
    <t>1287A10096</t>
  </si>
  <si>
    <t>1287A10097</t>
  </si>
  <si>
    <t>1287A10098</t>
  </si>
  <si>
    <t>1287A10099</t>
  </si>
  <si>
    <t>1287A10100</t>
  </si>
  <si>
    <t>1287A10101</t>
  </si>
  <si>
    <t>1287A10102</t>
  </si>
  <si>
    <t>1287A10103</t>
  </si>
  <si>
    <t>1287A10104</t>
  </si>
  <si>
    <t>1287A10105</t>
  </si>
  <si>
    <t>1287A10106</t>
  </si>
  <si>
    <t>1287A10107</t>
  </si>
  <si>
    <t>1287A10108</t>
  </si>
  <si>
    <t>1287A10109</t>
  </si>
  <si>
    <t>1287A10110</t>
  </si>
  <si>
    <t>1287A10111</t>
  </si>
  <si>
    <t>1287A10112</t>
  </si>
  <si>
    <t>1287A10113</t>
  </si>
  <si>
    <t>1287A10114</t>
  </si>
  <si>
    <t>1287A10115</t>
  </si>
  <si>
    <t>1287A10116</t>
  </si>
  <si>
    <t>1287A10117</t>
  </si>
  <si>
    <t>1287A10118</t>
  </si>
  <si>
    <t>1287A10119</t>
  </si>
  <si>
    <t>1287A10120</t>
  </si>
  <si>
    <t>1287A10121</t>
  </si>
  <si>
    <t>1287A10122</t>
  </si>
  <si>
    <t>1287A10123</t>
  </si>
  <si>
    <t>1287A10124</t>
  </si>
  <si>
    <t>1287A10125</t>
  </si>
  <si>
    <t>1287A10126</t>
  </si>
  <si>
    <t>1287A10127</t>
  </si>
  <si>
    <t>1287A10128</t>
  </si>
  <si>
    <t>1287A10129</t>
  </si>
  <si>
    <t>1287A10130</t>
  </si>
  <si>
    <t>1287A10131</t>
  </si>
  <si>
    <t>1287A10132</t>
  </si>
  <si>
    <t>1287A10133</t>
  </si>
  <si>
    <t>1287A10134</t>
  </si>
  <si>
    <t>1287A10135</t>
  </si>
  <si>
    <t>1287A10136</t>
  </si>
  <si>
    <t>1287A10137</t>
  </si>
  <si>
    <t>1287A10138</t>
  </si>
  <si>
    <t>1287A10139</t>
  </si>
  <si>
    <t>1287A10140</t>
  </si>
  <si>
    <t>1287A10141</t>
  </si>
  <si>
    <t>1287A10142</t>
  </si>
  <si>
    <t>1287A10143</t>
  </si>
  <si>
    <t>1287A10144</t>
  </si>
  <si>
    <t>1287A10145</t>
  </si>
  <si>
    <t>1287A10146</t>
  </si>
  <si>
    <t>1287A10147</t>
  </si>
  <si>
    <t>1287A10148</t>
  </si>
  <si>
    <t>1287A10149</t>
  </si>
  <si>
    <t>1287A10150</t>
  </si>
  <si>
    <t>1287A10151</t>
  </si>
  <si>
    <t>1287A10152</t>
  </si>
  <si>
    <t>1287A10153</t>
  </si>
  <si>
    <t>1287A10154</t>
  </si>
  <si>
    <t>1287A10155</t>
  </si>
  <si>
    <t>1287A10156</t>
  </si>
  <si>
    <t>1287A10157</t>
  </si>
  <si>
    <t>1287A10158</t>
  </si>
  <si>
    <t>1287A10159</t>
  </si>
  <si>
    <t>1287A10160</t>
  </si>
  <si>
    <t>1287A10161</t>
  </si>
  <si>
    <t>1287A10162</t>
  </si>
  <si>
    <t>1287A10163</t>
  </si>
  <si>
    <t>1287A10164</t>
  </si>
  <si>
    <t>1287A10165</t>
  </si>
  <si>
    <t>1287A10166</t>
  </si>
  <si>
    <t>1287A10167</t>
  </si>
  <si>
    <t>1287A10168</t>
  </si>
  <si>
    <t>1287A10169</t>
  </si>
  <si>
    <t>1287A10170</t>
  </si>
  <si>
    <t>1287A10171</t>
  </si>
  <si>
    <t>1287A10172</t>
  </si>
  <si>
    <t>1287A10173</t>
  </si>
  <si>
    <t>1287A10174</t>
  </si>
  <si>
    <t>1287A10175</t>
  </si>
  <si>
    <t>1287A10176</t>
  </si>
  <si>
    <t>1287A10177</t>
  </si>
  <si>
    <t>1287A10178</t>
  </si>
  <si>
    <t>1287A10179</t>
  </si>
  <si>
    <t>1287A10180</t>
  </si>
  <si>
    <t>1287A10181</t>
  </si>
  <si>
    <t>1287A10182</t>
  </si>
  <si>
    <t>1287A10183</t>
  </si>
  <si>
    <t>1287A10184</t>
  </si>
  <si>
    <t>1287A10185</t>
  </si>
  <si>
    <t>1287A10186</t>
  </si>
  <si>
    <t>1287A10187</t>
  </si>
  <si>
    <t>1287A10188</t>
  </si>
  <si>
    <t>1287A10189</t>
  </si>
  <si>
    <t>1287A10190</t>
  </si>
  <si>
    <t>1287A10191</t>
  </si>
  <si>
    <t>1287A10192</t>
  </si>
  <si>
    <t>1287A10193</t>
  </si>
  <si>
    <t>1287A10194</t>
  </si>
  <si>
    <t>1287A10195</t>
  </si>
  <si>
    <t>1287A10196</t>
  </si>
  <si>
    <t>1287A10197</t>
  </si>
  <si>
    <t>1287A10198</t>
  </si>
  <si>
    <t>1287A10199</t>
  </si>
  <si>
    <t>1287A10200</t>
  </si>
  <si>
    <t>1287A10201</t>
  </si>
  <si>
    <t>1287A10202</t>
  </si>
  <si>
    <t>1287A10203</t>
  </si>
  <si>
    <t>1287A10204</t>
  </si>
  <si>
    <t>1287A10205</t>
  </si>
  <si>
    <t>1287A10206</t>
  </si>
  <si>
    <t>1287A10207</t>
  </si>
  <si>
    <t>1287A10208</t>
  </si>
  <si>
    <t>1287A10209</t>
  </si>
  <si>
    <t>1287A10210</t>
  </si>
  <si>
    <t>1287A10211</t>
  </si>
  <si>
    <t>1287A10212</t>
  </si>
  <si>
    <t>1287A10213</t>
  </si>
  <si>
    <t>1287A10214</t>
  </si>
  <si>
    <t>1287A10215</t>
  </si>
  <si>
    <t>1287A10216</t>
  </si>
  <si>
    <t>1287A10217</t>
  </si>
  <si>
    <t>1287A10218</t>
  </si>
  <si>
    <t>1287A10219</t>
  </si>
  <si>
    <t>1287A10220</t>
  </si>
  <si>
    <t>1287A10221</t>
  </si>
  <si>
    <t>1287A10222</t>
  </si>
  <si>
    <t>1287A10223</t>
  </si>
  <si>
    <t>1287A10224</t>
  </si>
  <si>
    <t>1287A10225</t>
  </si>
  <si>
    <t>1287A10226</t>
  </si>
  <si>
    <t>1287A10227</t>
  </si>
  <si>
    <t>1287A10228</t>
  </si>
  <si>
    <t>1287A10229</t>
  </si>
  <si>
    <t>1287A10230</t>
  </si>
  <si>
    <t>1287A10231</t>
  </si>
  <si>
    <t>1287A10232</t>
  </si>
  <si>
    <t>1287A10233</t>
  </si>
  <si>
    <t>1287A10234</t>
  </si>
  <si>
    <t>1287A10235</t>
  </si>
  <si>
    <t>1287A10236</t>
  </si>
  <si>
    <t>1287A10237</t>
  </si>
  <si>
    <t>1287A10238</t>
  </si>
  <si>
    <t>1287A10239</t>
  </si>
  <si>
    <t>1287A10240</t>
  </si>
  <si>
    <t>1287A10241</t>
  </si>
  <si>
    <t>1287A10242</t>
  </si>
  <si>
    <t>1287A10243</t>
  </si>
  <si>
    <t>1287A10244</t>
  </si>
  <si>
    <t>1287A10245</t>
  </si>
  <si>
    <t>1287A10246</t>
  </si>
  <si>
    <t>1287A10247</t>
  </si>
  <si>
    <t>1287A10248</t>
  </si>
  <si>
    <t>1287A10249</t>
  </si>
  <si>
    <t>1287A10250</t>
  </si>
  <si>
    <t>1287A10251</t>
  </si>
  <si>
    <t>1287A10252</t>
  </si>
  <si>
    <t>1287A10253</t>
  </si>
  <si>
    <t>1287A10254</t>
  </si>
  <si>
    <t>1287A10255</t>
  </si>
  <si>
    <t>1287A10256</t>
  </si>
  <si>
    <t>1287A10257</t>
  </si>
  <si>
    <t>1287A10258</t>
  </si>
  <si>
    <t>1287A10259</t>
  </si>
  <si>
    <t>1287A10260</t>
  </si>
  <si>
    <t>1287A10261</t>
  </si>
  <si>
    <t>1287A10262</t>
  </si>
  <si>
    <t>1287A10263</t>
  </si>
  <si>
    <t>1287A10264</t>
  </si>
  <si>
    <t>1287A10265</t>
  </si>
  <si>
    <t>1287A10266</t>
  </si>
  <si>
    <t>1287A10267</t>
  </si>
  <si>
    <t>1287A10268</t>
  </si>
  <si>
    <t>1287A10269</t>
  </si>
  <si>
    <t>1287A10270</t>
  </si>
  <si>
    <t>1287A10271</t>
  </si>
  <si>
    <t>1287A10272</t>
  </si>
  <si>
    <t>1287A10273</t>
  </si>
  <si>
    <t>1287A10274</t>
  </si>
  <si>
    <t>1287A10275</t>
  </si>
  <si>
    <t>1287A10276</t>
  </si>
  <si>
    <t>1287A10277</t>
  </si>
  <si>
    <t>1287A10278</t>
  </si>
  <si>
    <t>1287A10279</t>
  </si>
  <si>
    <t>1287A10280</t>
  </si>
  <si>
    <t>1287A10281</t>
  </si>
  <si>
    <t>1287A10282</t>
  </si>
  <si>
    <t>1287A10283</t>
  </si>
  <si>
    <t>1287A10284</t>
  </si>
  <si>
    <t>1287A10285</t>
  </si>
  <si>
    <t>1287A10286</t>
  </si>
  <si>
    <t>1287A10287</t>
  </si>
  <si>
    <t>1287A10288</t>
  </si>
  <si>
    <t>1287A10289</t>
  </si>
  <si>
    <t>1287A10290</t>
  </si>
  <si>
    <t>1287A10291</t>
  </si>
  <si>
    <t>1287A10292</t>
  </si>
  <si>
    <t>1287A10293</t>
  </si>
  <si>
    <t>1287A10294</t>
  </si>
  <si>
    <t>1287A10295</t>
  </si>
  <si>
    <t>1287A10296</t>
  </si>
  <si>
    <t>1287A10297</t>
  </si>
  <si>
    <t>1287A10298</t>
  </si>
  <si>
    <t>1287A10299</t>
  </si>
  <si>
    <t>1287A10300</t>
  </si>
  <si>
    <t>1287A10301</t>
  </si>
  <si>
    <t>1287A10302</t>
  </si>
  <si>
    <t>1287A10303</t>
  </si>
  <si>
    <t>1287A10304</t>
  </si>
  <si>
    <t>1287A10305</t>
  </si>
  <si>
    <t>1287A10306</t>
  </si>
  <si>
    <t>1287A10307</t>
  </si>
  <si>
    <t>1287A10308</t>
  </si>
  <si>
    <t>1287A10309</t>
  </si>
  <si>
    <t>1287A10310</t>
  </si>
  <si>
    <t>1287A10311</t>
  </si>
  <si>
    <t>1287A10312</t>
  </si>
  <si>
    <t>1287A10313</t>
  </si>
  <si>
    <t>1287A10314</t>
  </si>
  <si>
    <t>1287A10315</t>
  </si>
  <si>
    <t>1287A10316</t>
  </si>
  <si>
    <t>1287A10317</t>
  </si>
  <si>
    <t>1287A10318</t>
  </si>
  <si>
    <t>1287A10319</t>
  </si>
  <si>
    <t>1287A10320</t>
  </si>
  <si>
    <t>1287A10321</t>
  </si>
  <si>
    <t>1287A10322</t>
  </si>
  <si>
    <t>1287A10323</t>
  </si>
  <si>
    <t>1287A10324</t>
  </si>
  <si>
    <t>1287A10325</t>
  </si>
  <si>
    <t>1287A10326</t>
  </si>
  <si>
    <t>1287A10327</t>
  </si>
  <si>
    <t>1287A10328</t>
  </si>
  <si>
    <t>1287A10329</t>
  </si>
  <si>
    <t>1287A10330</t>
  </si>
  <si>
    <t>1287A10331</t>
  </si>
  <si>
    <t>1287A10332</t>
  </si>
  <si>
    <t>1287A10333</t>
  </si>
  <si>
    <t>1287A10334</t>
  </si>
  <si>
    <t>1287A10335</t>
  </si>
  <si>
    <t>1287A10336</t>
  </si>
  <si>
    <t>1287A10337</t>
  </si>
  <si>
    <t>1287A10338</t>
  </si>
  <si>
    <t>1287A10339</t>
  </si>
  <si>
    <t>1287A10340</t>
  </si>
  <si>
    <t>1287A10341</t>
  </si>
  <si>
    <t>1287A10342</t>
  </si>
  <si>
    <t>1287A10343</t>
  </si>
  <si>
    <t>1287A10344</t>
  </si>
  <si>
    <t>1287A10345</t>
  </si>
  <si>
    <t>1287A10346</t>
  </si>
  <si>
    <t>1287A10347</t>
  </si>
  <si>
    <t>1287A10348</t>
  </si>
  <si>
    <t>1287A10349</t>
  </si>
  <si>
    <t>1287A10350</t>
  </si>
  <si>
    <t>1287A10351</t>
  </si>
  <si>
    <t>1287A10352</t>
  </si>
  <si>
    <t>1287A10353</t>
  </si>
  <si>
    <t>1287A10354</t>
  </si>
  <si>
    <t>1287A10355</t>
  </si>
  <si>
    <t>1287A10356</t>
  </si>
  <si>
    <t>1287A10357</t>
  </si>
  <si>
    <t>1287A10358</t>
  </si>
  <si>
    <t>1287A10359</t>
  </si>
  <si>
    <t>1287A10360</t>
  </si>
  <si>
    <t>1287A10361</t>
  </si>
  <si>
    <t>1287A10362</t>
  </si>
  <si>
    <t>1287A10363</t>
  </si>
  <si>
    <t>1287A10364</t>
  </si>
  <si>
    <t>1287A10365</t>
  </si>
  <si>
    <t>1287A10366</t>
  </si>
  <si>
    <t>1287A10367</t>
  </si>
  <si>
    <t>1287A10368</t>
  </si>
  <si>
    <t>1287A10369</t>
  </si>
  <si>
    <t>1287A10370</t>
  </si>
  <si>
    <t>1287A10371</t>
  </si>
  <si>
    <t>1287A10372</t>
  </si>
  <si>
    <t>1287A10373</t>
  </si>
  <si>
    <t>1287A10374</t>
  </si>
  <si>
    <t>1287A10375</t>
  </si>
  <si>
    <t>1287A10376</t>
  </si>
  <si>
    <t>1287A10377</t>
  </si>
  <si>
    <t>1287A10378</t>
  </si>
  <si>
    <t>1287A10379</t>
  </si>
  <si>
    <t>1287A10380</t>
  </si>
  <si>
    <t>1287A10381</t>
  </si>
  <si>
    <t>1287A10382</t>
  </si>
  <si>
    <t>1287A10383</t>
  </si>
  <si>
    <t>1287A10384</t>
  </si>
  <si>
    <t>1287A10385</t>
  </si>
  <si>
    <t>1287A10386</t>
  </si>
  <si>
    <t>1287A10387</t>
  </si>
  <si>
    <t>1287A10388</t>
  </si>
  <si>
    <t>1287A10389</t>
  </si>
  <si>
    <t>1287A10390</t>
  </si>
  <si>
    <t>1287A10391</t>
  </si>
  <si>
    <t>1287A10392</t>
  </si>
  <si>
    <t>1287A10393</t>
  </si>
  <si>
    <t>1287A10394</t>
  </si>
  <si>
    <t>1287A10395</t>
  </si>
  <si>
    <t>1287A10396</t>
  </si>
  <si>
    <t>1287A10397</t>
  </si>
  <si>
    <t>1287A10398</t>
  </si>
  <si>
    <t>1287A10399</t>
  </si>
  <si>
    <t>1287A10400</t>
  </si>
  <si>
    <t>1287A10401</t>
  </si>
  <si>
    <t>1287A10402</t>
  </si>
  <si>
    <t>1287A10403</t>
  </si>
  <si>
    <t>1287A10404</t>
  </si>
  <si>
    <t>1287A10405</t>
  </si>
  <si>
    <t>1287A10406</t>
  </si>
  <si>
    <t>1287A10407</t>
  </si>
  <si>
    <t>1287A10408</t>
  </si>
  <si>
    <t>1287A10409</t>
  </si>
  <si>
    <t>1287A10410</t>
  </si>
  <si>
    <t>1287A10411</t>
  </si>
  <si>
    <t>1287A10412</t>
  </si>
  <si>
    <t>1287A10413</t>
  </si>
  <si>
    <t>1287A10414</t>
  </si>
  <si>
    <t>1287A10415</t>
  </si>
  <si>
    <t>1287A10416</t>
  </si>
  <si>
    <t>1287A10417</t>
  </si>
  <si>
    <t>1287A10418</t>
  </si>
  <si>
    <t>1287A10419</t>
  </si>
  <si>
    <t>1287A10420</t>
  </si>
  <si>
    <t>1287A10421</t>
  </si>
  <si>
    <t>1287A10422</t>
  </si>
  <si>
    <t>1287A10423</t>
  </si>
  <si>
    <t>1287A10424</t>
  </si>
  <si>
    <t>1287A10425</t>
  </si>
  <si>
    <t>1287A10426</t>
  </si>
  <si>
    <t>1287A10427</t>
  </si>
  <si>
    <t>1287A10428</t>
  </si>
  <si>
    <t>1287A10429</t>
  </si>
  <si>
    <t>1287A10430</t>
  </si>
  <si>
    <t>1287A10431</t>
  </si>
  <si>
    <t>1287A10432</t>
  </si>
  <si>
    <t>1287A10433</t>
  </si>
  <si>
    <t>1287A10434</t>
  </si>
  <si>
    <t>1287A10435</t>
  </si>
  <si>
    <t>1287A10436</t>
  </si>
  <si>
    <t>1287A10437</t>
  </si>
  <si>
    <t>1287A10438</t>
  </si>
  <si>
    <t>1287A10439</t>
  </si>
  <si>
    <t>1287A10440</t>
  </si>
  <si>
    <t>1287A10441</t>
  </si>
  <si>
    <t>1287A10442</t>
  </si>
  <si>
    <t>1287A10443</t>
  </si>
  <si>
    <t>1287A10444</t>
  </si>
  <si>
    <t>1287A10445</t>
  </si>
  <si>
    <t>1287A10446</t>
  </si>
  <si>
    <t>1287A10447</t>
  </si>
  <si>
    <t>1287A10448</t>
  </si>
  <si>
    <t>1287A10449</t>
  </si>
  <si>
    <t>1287A10450</t>
  </si>
  <si>
    <t>1287A10451</t>
  </si>
  <si>
    <t>1287A10452</t>
  </si>
  <si>
    <t>1287A10453</t>
  </si>
  <si>
    <t>1287A10454</t>
  </si>
  <si>
    <t>1287A10455</t>
  </si>
  <si>
    <t>1287A10456</t>
  </si>
  <si>
    <t>1287A10457</t>
  </si>
  <si>
    <t>1287A10458</t>
  </si>
  <si>
    <t>1287A10459</t>
  </si>
  <si>
    <t>1287A10460</t>
  </si>
  <si>
    <t>1287A10461</t>
  </si>
  <si>
    <t>1287A10462</t>
  </si>
  <si>
    <t>1287A10463</t>
  </si>
  <si>
    <t>1287A10464</t>
  </si>
  <si>
    <t>1287A10465</t>
  </si>
  <si>
    <t>1287A10466</t>
  </si>
  <si>
    <t>1287A10467</t>
  </si>
  <si>
    <t>1287A10468</t>
  </si>
  <si>
    <t>1287A10469</t>
  </si>
  <si>
    <t>1287A10470</t>
  </si>
  <si>
    <t>1287A10471</t>
  </si>
  <si>
    <t>1287A10472</t>
  </si>
  <si>
    <t>1287A10473</t>
  </si>
  <si>
    <t>1287A10474</t>
  </si>
  <si>
    <t>1287A10475</t>
  </si>
  <si>
    <t>1287A10476</t>
  </si>
  <si>
    <t>1287A10477</t>
  </si>
  <si>
    <t>1287A10478</t>
  </si>
  <si>
    <t>1287A10479</t>
  </si>
  <si>
    <t>1287A10480</t>
  </si>
  <si>
    <t>1287A10481</t>
  </si>
  <si>
    <t>1287A10482</t>
  </si>
  <si>
    <t>1287A10483</t>
  </si>
  <si>
    <t>1287A10484</t>
  </si>
  <si>
    <t>1287A10485</t>
  </si>
  <si>
    <t>1287A10486</t>
  </si>
  <si>
    <t>1287A10487</t>
  </si>
  <si>
    <t>1287A10488</t>
  </si>
  <si>
    <t>1287A10489</t>
  </si>
  <si>
    <t>1287A10490</t>
  </si>
  <si>
    <t>1287A10491</t>
  </si>
  <si>
    <t>1287A10492</t>
  </si>
  <si>
    <t>1287A10493</t>
  </si>
  <si>
    <t>1287A10494</t>
  </si>
  <si>
    <t>1287A10495</t>
  </si>
  <si>
    <t>1287A10496</t>
  </si>
  <si>
    <t>1287A10497</t>
  </si>
  <si>
    <t>1287A10498</t>
  </si>
  <si>
    <t>1287A10499</t>
  </si>
  <si>
    <t>1287A10500</t>
  </si>
  <si>
    <t>1287A10501</t>
  </si>
  <si>
    <t>1287A10502</t>
  </si>
  <si>
    <t>1287A10503</t>
  </si>
  <si>
    <t>1287A10504</t>
  </si>
  <si>
    <t>1287A10505</t>
  </si>
  <si>
    <t>1287A10506</t>
  </si>
  <si>
    <t>1287A10507</t>
  </si>
  <si>
    <t>1287A10508</t>
  </si>
  <si>
    <t>1287A10509</t>
  </si>
  <si>
    <t>1287A10510</t>
  </si>
  <si>
    <t>1287A10511</t>
  </si>
  <si>
    <t>1287A10512</t>
  </si>
  <si>
    <t>1287A10513</t>
  </si>
  <si>
    <t>1287A10514</t>
  </si>
  <si>
    <t>1287A10515</t>
  </si>
  <si>
    <t>1287A10516</t>
  </si>
  <si>
    <t>1287A10517</t>
  </si>
  <si>
    <t>1287A10518</t>
  </si>
  <si>
    <t>1287A10519</t>
  </si>
  <si>
    <t>1287A10520</t>
  </si>
  <si>
    <t>1287A10521</t>
  </si>
  <si>
    <t>1287A10522</t>
  </si>
  <si>
    <t>1287A10523</t>
  </si>
  <si>
    <t>1287A10524</t>
  </si>
  <si>
    <t>1287A10525</t>
  </si>
  <si>
    <t>1287A10526</t>
  </si>
  <si>
    <t>1287A10527</t>
  </si>
  <si>
    <t>1287A10528</t>
  </si>
  <si>
    <t>1287A10529</t>
  </si>
  <si>
    <t>1287A10530</t>
  </si>
  <si>
    <t>1287A10531</t>
  </si>
  <si>
    <t>1287A10532</t>
  </si>
  <si>
    <t>1287A10533</t>
  </si>
  <si>
    <t>1287A10534</t>
  </si>
  <si>
    <t>1287A10535</t>
  </si>
  <si>
    <t>1287A10536</t>
  </si>
  <si>
    <t>1287A10537</t>
  </si>
  <si>
    <t>1287A10538</t>
  </si>
  <si>
    <t>1287A10539</t>
  </si>
  <si>
    <t>1287A10540</t>
  </si>
  <si>
    <t>1287A10541</t>
  </si>
  <si>
    <t>1287A10542</t>
  </si>
  <si>
    <t>1287A10543</t>
  </si>
  <si>
    <t>1287A10544</t>
  </si>
  <si>
    <t>1287A10545</t>
  </si>
  <si>
    <t>1287A10546</t>
  </si>
  <si>
    <t>1287A10547</t>
  </si>
  <si>
    <t>1287A10548</t>
  </si>
  <si>
    <t>1287A10549</t>
  </si>
  <si>
    <t>1287A10550</t>
  </si>
  <si>
    <t>1287A10551</t>
  </si>
  <si>
    <t>1287A10552</t>
  </si>
  <si>
    <t>1287A10553</t>
  </si>
  <si>
    <t>1287A10554</t>
  </si>
  <si>
    <t>1287A10555</t>
  </si>
  <si>
    <t>1287A10556</t>
  </si>
  <si>
    <t>1287A10557</t>
  </si>
  <si>
    <t>1287A10558</t>
  </si>
  <si>
    <t>1287A10559</t>
  </si>
  <si>
    <t>1287A10560</t>
  </si>
  <si>
    <t>1287A10561</t>
  </si>
  <si>
    <t>1287A10562</t>
  </si>
  <si>
    <t>1287A10563</t>
  </si>
  <si>
    <t>1287A10564</t>
  </si>
  <si>
    <t>1287A10565</t>
  </si>
  <si>
    <t>1287A10566</t>
  </si>
  <si>
    <t>1287A10567</t>
  </si>
  <si>
    <t>1287A10568</t>
  </si>
  <si>
    <t>1287A10569</t>
  </si>
  <si>
    <t>1287A10570</t>
  </si>
  <si>
    <t>1287A10571</t>
  </si>
  <si>
    <t>1287A10572</t>
  </si>
  <si>
    <t>1287A10573</t>
  </si>
  <si>
    <t>1287A10574</t>
  </si>
  <si>
    <t>1287A10575</t>
  </si>
  <si>
    <t>1287A10576</t>
  </si>
  <si>
    <t>1287A10577</t>
  </si>
  <si>
    <t>1287A10578</t>
  </si>
  <si>
    <t>1287A10579</t>
  </si>
  <si>
    <t>1287A10580</t>
  </si>
  <si>
    <t>1287A10581</t>
  </si>
  <si>
    <t>1287A10582</t>
  </si>
  <si>
    <t>1287A10583</t>
  </si>
  <si>
    <t>1287A10584</t>
  </si>
  <si>
    <t>1287A10585</t>
  </si>
  <si>
    <t>1287A10586</t>
  </si>
  <si>
    <t>1287A10587</t>
  </si>
  <si>
    <t>1287A10588</t>
  </si>
  <si>
    <t>1287A10589</t>
  </si>
  <si>
    <t>1287A10590</t>
  </si>
  <si>
    <t>1287A10591</t>
  </si>
  <si>
    <t>1287A10592</t>
  </si>
  <si>
    <t>1287A10593</t>
  </si>
  <si>
    <t>1287A10594</t>
  </si>
  <si>
    <t>1287A10595</t>
  </si>
  <si>
    <t>1287A10596</t>
  </si>
  <si>
    <t>1287A10597</t>
  </si>
  <si>
    <t>1287A10598</t>
  </si>
  <si>
    <t>1287A10599</t>
  </si>
  <si>
    <t>1287A10600</t>
  </si>
  <si>
    <t>1287A10601</t>
  </si>
  <si>
    <t>1287A10602</t>
  </si>
  <si>
    <t>1287A10603</t>
  </si>
  <si>
    <t>1287A10604</t>
  </si>
  <si>
    <t>1287A10605</t>
  </si>
  <si>
    <t>1287A10606</t>
  </si>
  <si>
    <t>1287A10607</t>
  </si>
  <si>
    <t>1287A10608</t>
  </si>
  <si>
    <t>1287A10609</t>
  </si>
  <si>
    <t>1287A10610</t>
  </si>
  <si>
    <t>1287A10611</t>
  </si>
  <si>
    <t>1287A10612</t>
  </si>
  <si>
    <t>1287A10613</t>
  </si>
  <si>
    <t>1287A10614</t>
  </si>
  <si>
    <t>1287A10615</t>
  </si>
  <si>
    <t>1287A10616</t>
  </si>
  <si>
    <t>1287A10617</t>
  </si>
  <si>
    <t>1287A10618</t>
  </si>
  <si>
    <t>1287A10619</t>
  </si>
  <si>
    <t>1287A10620</t>
  </si>
  <si>
    <t>1287A10621</t>
  </si>
  <si>
    <t>1287A10622</t>
  </si>
  <si>
    <t>1287A10623</t>
  </si>
  <si>
    <t>1287A10624</t>
  </si>
  <si>
    <t>1287A10625</t>
  </si>
  <si>
    <t>1287A10626</t>
  </si>
  <si>
    <t>1287A10627</t>
  </si>
  <si>
    <t>1287A10628</t>
  </si>
  <si>
    <t>1287A10629</t>
  </si>
  <si>
    <t>1287A10630</t>
  </si>
  <si>
    <t>1287A10631</t>
  </si>
  <si>
    <t>1287A10632</t>
  </si>
  <si>
    <t>1287A10633</t>
  </si>
  <si>
    <t>1287A10634</t>
  </si>
  <si>
    <t>1287A10635</t>
  </si>
  <si>
    <t>1287A10636</t>
  </si>
  <si>
    <t>1287A10637</t>
  </si>
  <si>
    <t>1287A10638</t>
  </si>
  <si>
    <t>1287A10639</t>
  </si>
  <si>
    <t>1287A10640</t>
  </si>
  <si>
    <t>1287A10641</t>
  </si>
  <si>
    <t>1287A10642</t>
  </si>
  <si>
    <t>1287A10643</t>
  </si>
  <si>
    <t>1287A10644</t>
  </si>
  <si>
    <t>1287A10645</t>
  </si>
  <si>
    <t>1287A10646</t>
  </si>
  <si>
    <t>1287A10647</t>
  </si>
  <si>
    <t>1287A10648</t>
  </si>
  <si>
    <t>1287A10649</t>
  </si>
  <si>
    <t>1287A10650</t>
  </si>
  <si>
    <t>1287A10651</t>
  </si>
  <si>
    <t>1287A10652</t>
  </si>
  <si>
    <t>1287A10653</t>
  </si>
  <si>
    <t>STT in sổ</t>
  </si>
  <si>
    <t>Họ và tên</t>
  </si>
  <si>
    <t>Lê Thị Hồng Hạnh</t>
  </si>
  <si>
    <t>Nguyễn Trí Tân</t>
  </si>
  <si>
    <t>Vũ Tiến Tú</t>
  </si>
  <si>
    <t>Lưu Ngọc Hiểu</t>
  </si>
  <si>
    <t>Nguyễn Xuân Thành</t>
  </si>
  <si>
    <t>Lê Huy Cường</t>
  </si>
  <si>
    <t>Vũ Đình Dũng</t>
  </si>
  <si>
    <t>Trần Hoàng Hải</t>
  </si>
  <si>
    <t>Phạm Trung Kiên</t>
  </si>
  <si>
    <t>Nguyễn Chí Phúc</t>
  </si>
  <si>
    <t>Đỗ Thị Lâm</t>
  </si>
  <si>
    <t>Mã Chí Hiếu</t>
  </si>
  <si>
    <t>Bùi Thị Giang</t>
  </si>
  <si>
    <t>Đinh Quang Vinh</t>
  </si>
  <si>
    <t>Lưu Phương Dung</t>
  </si>
  <si>
    <t>Nguyễn Thị Như Quỳnh</t>
  </si>
  <si>
    <t>Phạm Huyền Minh</t>
  </si>
  <si>
    <t>Đỗ Thị Thu Hằng</t>
  </si>
  <si>
    <t>Trịnh Thị Mai</t>
  </si>
  <si>
    <t>Lê Ngọc Linh Nhi</t>
  </si>
  <si>
    <t>Nguyễn Thị Hường</t>
  </si>
  <si>
    <t>Cao Thị Minh</t>
  </si>
  <si>
    <t>Lê Thị Hường</t>
  </si>
  <si>
    <t>Lại Thị Thi</t>
  </si>
  <si>
    <t>Hà Văn Thái</t>
  </si>
  <si>
    <t>Đồng Thị Lan Hương</t>
  </si>
  <si>
    <t>Nguyễn Sĩ Đạt</t>
  </si>
  <si>
    <t>Tạ Phương Nam</t>
  </si>
  <si>
    <t>Trần Văn Chiêm</t>
  </si>
  <si>
    <t>Bùi Thị Chung</t>
  </si>
  <si>
    <t>Dương Văn Nhất</t>
  </si>
  <si>
    <t>Trần Đức Ngọc</t>
  </si>
  <si>
    <t>Đỗ Thị Nhung</t>
  </si>
  <si>
    <t>Nguyễn Thị Minh Anh</t>
  </si>
  <si>
    <t>Bùi Thị Trang</t>
  </si>
  <si>
    <t>Phạm Thị Nhung</t>
  </si>
  <si>
    <t>Nguyễn Thị Thu Hằng</t>
  </si>
  <si>
    <t>Nguyễn Thu Phương</t>
  </si>
  <si>
    <t>Phạm Thị Hải Yến</t>
  </si>
  <si>
    <t>Phạm Phương Lam</t>
  </si>
  <si>
    <t>Trần Thị Thu Hà</t>
  </si>
  <si>
    <t>Phạm Thị Dịu</t>
  </si>
  <si>
    <t>Lê Thu Phương</t>
  </si>
  <si>
    <t>Nguyễn Quỳnh Anh</t>
  </si>
  <si>
    <t>Lưu Thị Dung</t>
  </si>
  <si>
    <t>Cao Thị Tuyền</t>
  </si>
  <si>
    <t>Lê Đức Dũng</t>
  </si>
  <si>
    <t>Nguyễn Văn Bính</t>
  </si>
  <si>
    <t>Phan Thị Hằng</t>
  </si>
  <si>
    <t>Nguyễn Thành Quảng</t>
  </si>
  <si>
    <t>Nguyễn Thị Hà Trang</t>
  </si>
  <si>
    <t>Phan Thị Hảo</t>
  </si>
  <si>
    <t>Lưu Thị Thanh Hường</t>
  </si>
  <si>
    <t>Lê Thị Phương</t>
  </si>
  <si>
    <t>Đặng Phương Nam</t>
  </si>
  <si>
    <t>Phạm Tiến Lực</t>
  </si>
  <si>
    <t>Nguyễn Bá Điềm</t>
  </si>
  <si>
    <t>Vũ Thái Hải</t>
  </si>
  <si>
    <t>Phạm Văn Hoàng</t>
  </si>
  <si>
    <t>Đồng Huy Trưởng</t>
  </si>
  <si>
    <t>Trần Thị Phương</t>
  </si>
  <si>
    <t>Trịnh Thị Xuân</t>
  </si>
  <si>
    <t>Tạ Thị Thơm</t>
  </si>
  <si>
    <t>Lưu Thị Kim Dung</t>
  </si>
  <si>
    <t>Nguyễn Thị Liễu</t>
  </si>
  <si>
    <t>Nguyễn Đức Duy</t>
  </si>
  <si>
    <t>Phạm Minh Tuấn</t>
  </si>
  <si>
    <t>Nguyễn Hồng Khanh</t>
  </si>
  <si>
    <t>Quàng Văn Phương</t>
  </si>
  <si>
    <t>Phạm Thị Mai Sao</t>
  </si>
  <si>
    <t>Phạm Bá Trường</t>
  </si>
  <si>
    <t>Đinh Thị Lệ Thuỷ</t>
  </si>
  <si>
    <t>Đào Đình Luyện</t>
  </si>
  <si>
    <t>Trần Thu Hiền</t>
  </si>
  <si>
    <t>Phạm Thị Thơm</t>
  </si>
  <si>
    <t>Bùi Thị Nga</t>
  </si>
  <si>
    <t>Phạm Thị Tuyết</t>
  </si>
  <si>
    <t>Nguyễn Thị Thu Ngàn</t>
  </si>
  <si>
    <t>Nguyễn Văn Chiển</t>
  </si>
  <si>
    <t>Phan Thị Liên</t>
  </si>
  <si>
    <t>Đặng Ngọc Lan</t>
  </si>
  <si>
    <t>Tường Duy Công</t>
  </si>
  <si>
    <t>Lý Trần Sơn</t>
  </si>
  <si>
    <t>Đinh Thị Như Quỳnh</t>
  </si>
  <si>
    <t>Nguyễn Trung Anh</t>
  </si>
  <si>
    <t>Nguyễn Văn Lĩnh</t>
  </si>
  <si>
    <t>Phạm Thị Thắm</t>
  </si>
  <si>
    <t>Quách Công Vinh</t>
  </si>
  <si>
    <t>Phạm Bảo Khánh</t>
  </si>
  <si>
    <t>Quang Thị Anh Phương</t>
  </si>
  <si>
    <t>Nguyễn Văn Lâm</t>
  </si>
  <si>
    <t>Lại Quang Toàn</t>
  </si>
  <si>
    <t>Bùi Thị Nhân</t>
  </si>
  <si>
    <t>Trần Thị Nhung</t>
  </si>
  <si>
    <t>Đào Văn Duyến</t>
  </si>
  <si>
    <t>Vũ Thị Hằng</t>
  </si>
  <si>
    <t>Trử Thị Lan</t>
  </si>
  <si>
    <t>Doãn Thị Hải Hà</t>
  </si>
  <si>
    <t>Khúc Mạnh Tùng</t>
  </si>
  <si>
    <t>Phạm Văn Thắng</t>
  </si>
  <si>
    <t>Đào Thị Vân Anh</t>
  </si>
  <si>
    <t>Triệu Thủy Tiên</t>
  </si>
  <si>
    <t>Nguyễn Văn Hải</t>
  </si>
  <si>
    <t>Triệu Thị Nhất</t>
  </si>
  <si>
    <t>Lò Thị Hương</t>
  </si>
  <si>
    <t>Lê Văn Thức</t>
  </si>
  <si>
    <t>Nguyễn Xuân Hưng</t>
  </si>
  <si>
    <t>Phạm Thị Dung</t>
  </si>
  <si>
    <t>Vũ Mạnh Quý</t>
  </si>
  <si>
    <t>Lê Văn Phúc</t>
  </si>
  <si>
    <t>Vũ Đình Thưởng</t>
  </si>
  <si>
    <t>Vũ Văn Hiếu</t>
  </si>
  <si>
    <t>Lê Nguyễn Hải Anh</t>
  </si>
  <si>
    <t>Phạm Văn Hậu</t>
  </si>
  <si>
    <t>Lưu Phương Quỳnh</t>
  </si>
  <si>
    <t>Đỗ Thị Ly</t>
  </si>
  <si>
    <t>Dương Văn Dân</t>
  </si>
  <si>
    <t>Mai Thị Thuý</t>
  </si>
  <si>
    <t>Nguyễn Thị Thu Trang</t>
  </si>
  <si>
    <t>15/12/1985</t>
  </si>
  <si>
    <t>01/07/1986</t>
  </si>
  <si>
    <t>21/09/1998</t>
  </si>
  <si>
    <t>29/01/1990</t>
  </si>
  <si>
    <t>02/01/1988</t>
  </si>
  <si>
    <t>24/06/1996</t>
  </si>
  <si>
    <t>03/02/1996</t>
  </si>
  <si>
    <t>03/05/1995</t>
  </si>
  <si>
    <t>19/08/1997</t>
  </si>
  <si>
    <t>04/04/1997</t>
  </si>
  <si>
    <t>27/08/1988</t>
  </si>
  <si>
    <t>02/05/1994</t>
  </si>
  <si>
    <t>10/10/1997</t>
  </si>
  <si>
    <t>13/11/2000</t>
  </si>
  <si>
    <t>19/10/1998</t>
  </si>
  <si>
    <t>26/10/1999</t>
  </si>
  <si>
    <t>23/09/2001</t>
  </si>
  <si>
    <t>26/04/1996</t>
  </si>
  <si>
    <t>10/12/1999</t>
  </si>
  <si>
    <t>05/03/2001</t>
  </si>
  <si>
    <t>13/11/2002</t>
  </si>
  <si>
    <t>07/01/2002</t>
  </si>
  <si>
    <t>20/09/2002</t>
  </si>
  <si>
    <t>02/11/1998</t>
  </si>
  <si>
    <t>05/02/2005</t>
  </si>
  <si>
    <t>27/12/1999</t>
  </si>
  <si>
    <t>09/04/2000</t>
  </si>
  <si>
    <t>02/10/2000</t>
  </si>
  <si>
    <t>16/02/1998</t>
  </si>
  <si>
    <t>09/02/1995</t>
  </si>
  <si>
    <t>04/04/1995</t>
  </si>
  <si>
    <t>30/01/1992</t>
  </si>
  <si>
    <t>20/02/2001</t>
  </si>
  <si>
    <t>29/12/2001</t>
  </si>
  <si>
    <t>26/01/2002</t>
  </si>
  <si>
    <t>27/05/1995</t>
  </si>
  <si>
    <t>20/01/1999</t>
  </si>
  <si>
    <t>14/08/1987</t>
  </si>
  <si>
    <t>08/01/1995</t>
  </si>
  <si>
    <t>21/11/1995</t>
  </si>
  <si>
    <t>24/08/1993</t>
  </si>
  <si>
    <t>03/03/1994</t>
  </si>
  <si>
    <t>26/02/1995</t>
  </si>
  <si>
    <t>27/02/1999</t>
  </si>
  <si>
    <t>26/01/2003</t>
  </si>
  <si>
    <t>26/01/1995</t>
  </si>
  <si>
    <t>14/09/1996</t>
  </si>
  <si>
    <t>06/11/1981</t>
  </si>
  <si>
    <t>04/03/1998</t>
  </si>
  <si>
    <t>21/10/2002</t>
  </si>
  <si>
    <t>24/12/1997</t>
  </si>
  <si>
    <t>12/12/1999</t>
  </si>
  <si>
    <t>02/04/1991</t>
  </si>
  <si>
    <t>04/01/1987</t>
  </si>
  <si>
    <t>11/06/1991</t>
  </si>
  <si>
    <t>09/04/1984</t>
  </si>
  <si>
    <t>13/10/2002</t>
  </si>
  <si>
    <t>18/03/1988</t>
  </si>
  <si>
    <t>13/06/1992</t>
  </si>
  <si>
    <t>27/09/1990</t>
  </si>
  <si>
    <t>16/09/1992</t>
  </si>
  <si>
    <t>17/05/1996</t>
  </si>
  <si>
    <t>24/12/1998</t>
  </si>
  <si>
    <t>14/03/2006</t>
  </si>
  <si>
    <t>27/03/1984</t>
  </si>
  <si>
    <t>26/03/1988</t>
  </si>
  <si>
    <t>07/08/1996</t>
  </si>
  <si>
    <t>14/01/1992</t>
  </si>
  <si>
    <t>27/07/1993</t>
  </si>
  <si>
    <t>02/06/2000</t>
  </si>
  <si>
    <t>24/05/1993</t>
  </si>
  <si>
    <t>27/02/2000</t>
  </si>
  <si>
    <t>29/03/1992</t>
  </si>
  <si>
    <t>19/10/2000</t>
  </si>
  <si>
    <t>30/11/1999</t>
  </si>
  <si>
    <t>09/11/2000</t>
  </si>
  <si>
    <t>04/09/1993</t>
  </si>
  <si>
    <t>21/09/2001</t>
  </si>
  <si>
    <t>24/03/1990</t>
  </si>
  <si>
    <t>24/04/1991</t>
  </si>
  <si>
    <t>06/09/1999</t>
  </si>
  <si>
    <t>23/03/2002</t>
  </si>
  <si>
    <t>11/12/1992</t>
  </si>
  <si>
    <t>25/04/1994</t>
  </si>
  <si>
    <t>15/08/1995</t>
  </si>
  <si>
    <t>07/01/2004</t>
  </si>
  <si>
    <t>10/01/1992</t>
  </si>
  <si>
    <t>22/06/2002</t>
  </si>
  <si>
    <t>19/04/2001</t>
  </si>
  <si>
    <t>20/10/2003</t>
  </si>
  <si>
    <t>29/02/2000</t>
  </si>
  <si>
    <t>29/07/1997</t>
  </si>
  <si>
    <t>02/05/1989</t>
  </si>
  <si>
    <t>30/08/2000</t>
  </si>
  <si>
    <t>05/11/1998</t>
  </si>
  <si>
    <t>27/12/1998</t>
  </si>
  <si>
    <t>07/05/1999</t>
  </si>
  <si>
    <t>17/09/1985</t>
  </si>
  <si>
    <t>03/11/1990</t>
  </si>
  <si>
    <t>29/08/1995</t>
  </si>
  <si>
    <t>03/02/1991</t>
  </si>
  <si>
    <t>06/10/1992</t>
  </si>
  <si>
    <t>27/01/1997</t>
  </si>
  <si>
    <t>15/09/1999</t>
  </si>
  <si>
    <t>30/03/2000</t>
  </si>
  <si>
    <t>10/09/2002</t>
  </si>
  <si>
    <t>21/10/1993</t>
  </si>
  <si>
    <t>23/10/1979</t>
  </si>
  <si>
    <t>22/02/1995</t>
  </si>
  <si>
    <t>02/11/2001</t>
  </si>
  <si>
    <t>29/07/2002</t>
  </si>
  <si>
    <t>11/11/2002</t>
  </si>
  <si>
    <t>26/02/2003</t>
  </si>
  <si>
    <t>09/05/1987</t>
  </si>
  <si>
    <t>28/11/2000</t>
  </si>
  <si>
    <t>30/06/2001</t>
  </si>
  <si>
    <t>11/11/1999</t>
  </si>
  <si>
    <t>10/08/2002</t>
  </si>
  <si>
    <t>19/11/2000</t>
  </si>
  <si>
    <t>25/01/2001</t>
  </si>
  <si>
    <t>27/11/2001</t>
  </si>
  <si>
    <t>30/10/2003</t>
  </si>
  <si>
    <t>28/07/2002</t>
  </si>
  <si>
    <t>08/12/2003</t>
  </si>
  <si>
    <t>28/01/2003</t>
  </si>
  <si>
    <t>21/02/2003</t>
  </si>
  <si>
    <t>08/04/2003</t>
  </si>
  <si>
    <t>30/08/1997</t>
  </si>
  <si>
    <t>05/04/1999</t>
  </si>
  <si>
    <t>17/04/1994</t>
  </si>
  <si>
    <t>31/08/2001</t>
  </si>
  <si>
    <t>09/12/1994</t>
  </si>
  <si>
    <t>15/04/1989</t>
  </si>
  <si>
    <t>25/03/1998</t>
  </si>
  <si>
    <t>12/06/1993</t>
  </si>
  <si>
    <t>11/05/1988</t>
  </si>
  <si>
    <t>22/07/1993</t>
  </si>
  <si>
    <t>09/10/1982</t>
  </si>
  <si>
    <t>09/11/1984</t>
  </si>
  <si>
    <t>25/02/1994</t>
  </si>
  <si>
    <t>01/05/1991</t>
  </si>
  <si>
    <t>13/12/1995</t>
  </si>
  <si>
    <t>22/08/1988</t>
  </si>
  <si>
    <t>28/02/1989</t>
  </si>
  <si>
    <t>06/10/1984</t>
  </si>
  <si>
    <t>07/12/1999</t>
  </si>
  <si>
    <t>08/07/1995</t>
  </si>
  <si>
    <t>09/05/1996</t>
  </si>
  <si>
    <t>22/06/1983</t>
  </si>
  <si>
    <t>24/02/1984</t>
  </si>
  <si>
    <t>20/09/1997</t>
  </si>
  <si>
    <t>23/04/1992</t>
  </si>
  <si>
    <t>17/10/1983</t>
  </si>
  <si>
    <t>14/10/1982</t>
  </si>
  <si>
    <t>04/04/2000</t>
  </si>
  <si>
    <t>26/10/1983</t>
  </si>
  <si>
    <t>29/08/1986</t>
  </si>
  <si>
    <t>08/07/1996</t>
  </si>
  <si>
    <t>26/03/1993</t>
  </si>
  <si>
    <t>01/02/1999</t>
  </si>
  <si>
    <t>05/02/1998</t>
  </si>
  <si>
    <t>07/07/1986</t>
  </si>
  <si>
    <t>21/06/1994</t>
  </si>
  <si>
    <t>06/01/1993</t>
  </si>
  <si>
    <t>22/09/1986</t>
  </si>
  <si>
    <t>26/09/1997</t>
  </si>
  <si>
    <t>08/09/1996</t>
  </si>
  <si>
    <t>14/01/1999</t>
  </si>
  <si>
    <t>11/10/1981</t>
  </si>
  <si>
    <t>10/12/2001</t>
  </si>
  <si>
    <t>23/02/2000</t>
  </si>
  <si>
    <t>22/10/1992</t>
  </si>
  <si>
    <t>01/06/1991</t>
  </si>
  <si>
    <t>30/01/2001</t>
  </si>
  <si>
    <t>09/05/1998</t>
  </si>
  <si>
    <t>05/02/2004</t>
  </si>
  <si>
    <t>14/07/1985</t>
  </si>
  <si>
    <t>08/06/1992</t>
  </si>
  <si>
    <t>01/02/1990</t>
  </si>
  <si>
    <t>06/09/2001</t>
  </si>
  <si>
    <t>09/06/2000</t>
  </si>
  <si>
    <t>18/01/1996</t>
  </si>
  <si>
    <t>28/01/1985</t>
  </si>
  <si>
    <t>18/01/1997</t>
  </si>
  <si>
    <t>12/03/2000</t>
  </si>
  <si>
    <t>24/03/1987</t>
  </si>
  <si>
    <t>17/08/1996</t>
  </si>
  <si>
    <t>20/08/2004</t>
  </si>
  <si>
    <t>18/01/2001</t>
  </si>
  <si>
    <t>10/03/2002</t>
  </si>
  <si>
    <t>23/06/1999</t>
  </si>
  <si>
    <t>20/05/2002</t>
  </si>
  <si>
    <t>21/04/2004</t>
  </si>
  <si>
    <t>23/01/2002</t>
  </si>
  <si>
    <t>01/11/2003</t>
  </si>
  <si>
    <t>04/11/1995</t>
  </si>
  <si>
    <t>11/05/2006</t>
  </si>
  <si>
    <t>13/09/2002</t>
  </si>
  <si>
    <t>02/01/2005</t>
  </si>
  <si>
    <t>16/04/2006</t>
  </si>
  <si>
    <t>17/10/1996</t>
  </si>
  <si>
    <t>05/12/2003</t>
  </si>
  <si>
    <t>30/10/2006</t>
  </si>
  <si>
    <t>15/11/1980</t>
  </si>
  <si>
    <t>07/06/1990</t>
  </si>
  <si>
    <t>02/09/1990</t>
  </si>
  <si>
    <t>27/03/1991</t>
  </si>
  <si>
    <t>24/01/1997</t>
  </si>
  <si>
    <t>04/10/1983</t>
  </si>
  <si>
    <t>02/09/1987</t>
  </si>
  <si>
    <t>05/01/1997</t>
  </si>
  <si>
    <t>05/08/1996</t>
  </si>
  <si>
    <t>06/02/1988</t>
  </si>
  <si>
    <t>08/07/1982</t>
  </si>
  <si>
    <t>09/06/1996</t>
  </si>
  <si>
    <t>21/05/1995</t>
  </si>
  <si>
    <t>25/11/1996</t>
  </si>
  <si>
    <t>17/04/1980</t>
  </si>
  <si>
    <t>12/07/2000</t>
  </si>
  <si>
    <t>10/06/1994</t>
  </si>
  <si>
    <t>07/03/1994</t>
  </si>
  <si>
    <t>29/09/1985</t>
  </si>
  <si>
    <t>02/02/1995</t>
  </si>
  <si>
    <t>31/01/1995</t>
  </si>
  <si>
    <t>19/08/1995</t>
  </si>
  <si>
    <t>31/10/1987</t>
  </si>
  <si>
    <t>07/04/1997</t>
  </si>
  <si>
    <t>26/07/1990</t>
  </si>
  <si>
    <t>03/04/1992</t>
  </si>
  <si>
    <t>03/07/1994</t>
  </si>
  <si>
    <t>18/12/1998</t>
  </si>
  <si>
    <t>07/02/1997</t>
  </si>
  <si>
    <t>20/12/2002</t>
  </si>
  <si>
    <t>24/02/2000</t>
  </si>
  <si>
    <t>15/04/1988</t>
  </si>
  <si>
    <t>06/03/1992</t>
  </si>
  <si>
    <t>24/01/2001</t>
  </si>
  <si>
    <t>05/05/1982</t>
  </si>
  <si>
    <t>20/03/1988</t>
  </si>
  <si>
    <t>29/10/2002</t>
  </si>
  <si>
    <t>23/12/1996</t>
  </si>
  <si>
    <t>05/06/1986</t>
  </si>
  <si>
    <t>22/08/2001</t>
  </si>
  <si>
    <t>04/09/1986</t>
  </si>
  <si>
    <t>07/04/1985</t>
  </si>
  <si>
    <t>20/09/1999</t>
  </si>
  <si>
    <t>19/12/1994</t>
  </si>
  <si>
    <t>07/08/1984</t>
  </si>
  <si>
    <t>24/08/1991</t>
  </si>
  <si>
    <t>19/12/1990</t>
  </si>
  <si>
    <t>24/01/2000</t>
  </si>
  <si>
    <t>20/01/2002</t>
  </si>
  <si>
    <t>15/11/2004</t>
  </si>
  <si>
    <t>27/05/1996</t>
  </si>
  <si>
    <t>21/12/2001</t>
  </si>
  <si>
    <t>01/06/1980</t>
  </si>
  <si>
    <t>16/05/2000</t>
  </si>
  <si>
    <t>23/03/2001</t>
  </si>
  <si>
    <t>04/09/2004</t>
  </si>
  <si>
    <t>12/10/1996</t>
  </si>
  <si>
    <t>08/08/2003</t>
  </si>
  <si>
    <t>12/07/2003</t>
  </si>
  <si>
    <t>02/09/1988</t>
  </si>
  <si>
    <t>19/03/2006</t>
  </si>
  <si>
    <t>06/11/2006</t>
  </si>
  <si>
    <t>17/09/2006</t>
  </si>
  <si>
    <t>11/08/2005</t>
  </si>
  <si>
    <t>04/10/1984</t>
  </si>
  <si>
    <t>11/04/1981</t>
  </si>
  <si>
    <t>09/12/1990</t>
  </si>
  <si>
    <t>19/12/1993</t>
  </si>
  <si>
    <t>03/07/1993</t>
  </si>
  <si>
    <t>30/11/1984</t>
  </si>
  <si>
    <t>19/04/1987</t>
  </si>
  <si>
    <t>24/09/1984</t>
  </si>
  <si>
    <t>03/02/1998</t>
  </si>
  <si>
    <t>17/11/1987</t>
  </si>
  <si>
    <t>13/02/1991</t>
  </si>
  <si>
    <t>21/09/1989</t>
  </si>
  <si>
    <t>18/09/1994</t>
  </si>
  <si>
    <t>29/11/1979</t>
  </si>
  <si>
    <t>16/08/1996</t>
  </si>
  <si>
    <t>24/11/1998</t>
  </si>
  <si>
    <t>15/09/1996</t>
  </si>
  <si>
    <t>01/04/1993</t>
  </si>
  <si>
    <t>20/08/1999</t>
  </si>
  <si>
    <t>25/09/1997</t>
  </si>
  <si>
    <t>16/09/1985</t>
  </si>
  <si>
    <t>21/04/1997</t>
  </si>
  <si>
    <t>10/11/1998</t>
  </si>
  <si>
    <t>30/05/1984</t>
  </si>
  <si>
    <t>16/11/1984</t>
  </si>
  <si>
    <t>30/09/1984</t>
  </si>
  <si>
    <t>15/09/1998</t>
  </si>
  <si>
    <t>21/08/1995</t>
  </si>
  <si>
    <t>21/04/1992</t>
  </si>
  <si>
    <t>12/05/1997</t>
  </si>
  <si>
    <t>07/05/2001</t>
  </si>
  <si>
    <t>04/08/1983</t>
  </si>
  <si>
    <t>12/04/1998</t>
  </si>
  <si>
    <t>16/09/1988</t>
  </si>
  <si>
    <t>12/04/1989</t>
  </si>
  <si>
    <t>07/08/1982</t>
  </si>
  <si>
    <t>27/08/1980</t>
  </si>
  <si>
    <t>26/09/1985</t>
  </si>
  <si>
    <t>17/02/1990</t>
  </si>
  <si>
    <t>04/09/1985</t>
  </si>
  <si>
    <t>11/05/1989</t>
  </si>
  <si>
    <t>06/06/1982</t>
  </si>
  <si>
    <t>21/06/1987</t>
  </si>
  <si>
    <t>01/08/1984</t>
  </si>
  <si>
    <t>16/11/2000</t>
  </si>
  <si>
    <t>07/07/1989</t>
  </si>
  <si>
    <t>26/10/2000</t>
  </si>
  <si>
    <t>11/08/1992</t>
  </si>
  <si>
    <t>08/05/2001</t>
  </si>
  <si>
    <t>15/10/1994</t>
  </si>
  <si>
    <t>05/04/1988</t>
  </si>
  <si>
    <t>30/08/1983</t>
  </si>
  <si>
    <t>02/10/1984</t>
  </si>
  <si>
    <t>31/07/1999</t>
  </si>
  <si>
    <t>29/08/2003</t>
  </si>
  <si>
    <t>28/06/1985</t>
  </si>
  <si>
    <t>04/11/2002</t>
  </si>
  <si>
    <t>21/07/2000</t>
  </si>
  <si>
    <t>03/02/1987</t>
  </si>
  <si>
    <t>26/05/2002</t>
  </si>
  <si>
    <t>21/07/1987</t>
  </si>
  <si>
    <t>21/08/1993</t>
  </si>
  <si>
    <t>02/06/2001</t>
  </si>
  <si>
    <t>30/03/2004</t>
  </si>
  <si>
    <t>02/07/2003</t>
  </si>
  <si>
    <t>21/10/2004</t>
  </si>
  <si>
    <t>27/06/1993</t>
  </si>
  <si>
    <t>10/03/1994</t>
  </si>
  <si>
    <t>02/07/2004</t>
  </si>
  <si>
    <t>24/08/2002</t>
  </si>
  <si>
    <t>08/03/1995</t>
  </si>
  <si>
    <t>25/08/1997</t>
  </si>
  <si>
    <t>27/02/1995</t>
  </si>
  <si>
    <t>13/07/2004</t>
  </si>
  <si>
    <t>12/10/2000</t>
  </si>
  <si>
    <t>19/08/2002</t>
  </si>
  <si>
    <t>02/08/2002</t>
  </si>
  <si>
    <t>17/05/2001</t>
  </si>
  <si>
    <t>07/11/1991</t>
  </si>
  <si>
    <t>24/03/2006</t>
  </si>
  <si>
    <t>27/04/2005</t>
  </si>
  <si>
    <t>24/09/1994</t>
  </si>
  <si>
    <t>26/08/2001</t>
  </si>
  <si>
    <t>03/01/2005</t>
  </si>
  <si>
    <t>09/03/2005</t>
  </si>
  <si>
    <t>10/03/2000</t>
  </si>
  <si>
    <t>19/08/1982</t>
  </si>
  <si>
    <t>22/06/1997</t>
  </si>
  <si>
    <t>04/12/2004</t>
  </si>
  <si>
    <t>17/11/2006</t>
  </si>
  <si>
    <t>15/07/2003</t>
  </si>
  <si>
    <t>01/12/1995</t>
  </si>
  <si>
    <t>25/12/2004</t>
  </si>
  <si>
    <t>06/09/2005</t>
  </si>
  <si>
    <t>12/06/2007</t>
  </si>
  <si>
    <t>15/07/2007</t>
  </si>
  <si>
    <t>10/10/2004</t>
  </si>
  <si>
    <t>05/09/2004</t>
  </si>
  <si>
    <t>24/04/1992</t>
  </si>
  <si>
    <t>02/10/1998</t>
  </si>
  <si>
    <t>17/04/1985</t>
  </si>
  <si>
    <t>07/05/1993</t>
  </si>
  <si>
    <t>26/05/2001</t>
  </si>
  <si>
    <t>02/09/1996</t>
  </si>
  <si>
    <t>05/01/2001</t>
  </si>
  <si>
    <t>16/02/2001</t>
  </si>
  <si>
    <t>21/12/1992</t>
  </si>
  <si>
    <t>12/05/1990</t>
  </si>
  <si>
    <t>28/07/1999</t>
  </si>
  <si>
    <t>12/03/2002</t>
  </si>
  <si>
    <t>30/07/2002</t>
  </si>
  <si>
    <t>13/05/2002</t>
  </si>
  <si>
    <t>15/01/2002</t>
  </si>
  <si>
    <t>08/07/1999</t>
  </si>
  <si>
    <t>03/04/1987</t>
  </si>
  <si>
    <t>29/11/1995</t>
  </si>
  <si>
    <t>08/06/2000</t>
  </si>
  <si>
    <t>11/09/1999</t>
  </si>
  <si>
    <t>Bộ phận</t>
  </si>
  <si>
    <t>Assembly</t>
  </si>
  <si>
    <t>Development</t>
  </si>
  <si>
    <t>General Affairs</t>
  </si>
  <si>
    <t>Human Resource</t>
  </si>
  <si>
    <t>Information Technology</t>
  </si>
  <si>
    <t>Logistics</t>
  </si>
  <si>
    <t>Manufacturing Quality Control</t>
  </si>
  <si>
    <t>Mono - Kyo</t>
  </si>
  <si>
    <t>Parts Fabrication</t>
  </si>
  <si>
    <t>Planning &amp; Finance</t>
  </si>
  <si>
    <t>Procurement</t>
  </si>
  <si>
    <t>Production Control</t>
  </si>
  <si>
    <t>Quality Control Planning</t>
  </si>
  <si>
    <t>Section 1</t>
  </si>
  <si>
    <t>Section 2</t>
  </si>
  <si>
    <t>Section 3</t>
  </si>
  <si>
    <t>Supplier Quality Control</t>
  </si>
  <si>
    <t>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</si>
</sst>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000"/>
    <numFmt numFmtId="166" formatCode="[$-1010000]d/m/yyyy;@"/>
    <numFmt numFmtId="167" formatCode="00000"/>
    <numFmt numFmtId="168" formatCode="dd/mm"/>
  </numFmts>
  <fonts count="55">
    <font>
      <sz val="11"/>
      <color theme="1"/>
      <name val="Arial"/>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Arial"/>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Arial"/>
      <family val="2"/>
      <scheme val="minor"/>
    </font>
    <font>
      <sz val="11"/>
      <name val="Arial"/>
      <family val="2"/>
      <scheme val="minor"/>
    </font>
    <font>
      <b/>
      <sz val="16"/>
      <color rgb="FFFF0000"/>
      <name val="Arial"/>
      <family val="2"/>
      <scheme val="minor"/>
    </font>
    <font>
      <sz val="8"/>
      <name val="Arial"/>
      <family val="2"/>
      <scheme val="minor"/>
    </font>
    <font>
      <b/>
      <sz val="20"/>
      <color rgb="FF7030A0"/>
      <name val="Cambria"/>
      <family val="1"/>
    </font>
    <font>
      <sz val="11"/>
      <color rgb="FFFF0000"/>
      <name val="Arial"/>
      <family val="2"/>
      <scheme val="minor"/>
    </font>
    <font>
      <b/>
      <sz val="11"/>
      <color rgb="FFFF0000"/>
      <name val="Arial"/>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Arial"/>
      <family val="2"/>
      <charset val="128"/>
      <scheme val="minor"/>
    </font>
    <font>
      <sz val="11"/>
      <color theme="1"/>
      <name val="Arial"/>
      <family val="2"/>
      <charset val="163"/>
      <scheme val="minor"/>
    </font>
    <font>
      <sz val="11"/>
      <color theme="1"/>
      <name val="Arial"/>
      <family val="2"/>
      <scheme val="minor"/>
    </font>
    <font>
      <sz val="10"/>
      <color rgb="FF000000"/>
      <name val="Arial"/>
      <family val="2"/>
      <scheme val="minor"/>
    </font>
    <font>
      <sz val="12"/>
      <color theme="1"/>
      <name val="Times New Roman"/>
      <family val="1"/>
      <scheme val="major"/>
    </font>
    <font>
      <b/>
      <sz val="12"/>
      <color theme="1"/>
      <name val="Times New Roman"/>
      <family val="1"/>
      <scheme val="major"/>
    </font>
    <font>
      <b/>
      <sz val="12"/>
      <color rgb="FFC00000"/>
      <name val="Times New Roman"/>
      <family val="1"/>
      <scheme val="major"/>
    </font>
    <font>
      <sz val="12"/>
      <color rgb="FF000000"/>
      <name val="Times New Roman"/>
      <family val="1"/>
      <charset val="163"/>
    </font>
    <font>
      <sz val="11"/>
      <color theme="1"/>
      <name val="Times New Roman"/>
      <family val="1"/>
      <scheme val="major"/>
    </font>
    <font>
      <b/>
      <sz val="13"/>
      <color theme="1"/>
      <name val="Times New Roman"/>
      <family val="1"/>
    </font>
    <font>
      <sz val="11"/>
      <color theme="1"/>
      <name val="Times New Roman"/>
      <family val="1"/>
    </font>
    <font>
      <b/>
      <i/>
      <sz val="13"/>
      <color theme="1"/>
      <name val="Times New Roman"/>
      <family val="1"/>
    </font>
    <font>
      <b/>
      <sz val="10"/>
      <name val="Times New Roman"/>
      <family val="1"/>
    </font>
    <font>
      <b/>
      <sz val="10"/>
      <color theme="1"/>
      <name val="Times New Roman"/>
      <family val="1"/>
    </font>
    <font>
      <b/>
      <sz val="14"/>
      <color theme="1"/>
      <name val="Times New Roman"/>
      <family val="1"/>
      <scheme val="major"/>
    </font>
    <font>
      <sz val="11"/>
      <name val="Times New Roman"/>
      <family val="1"/>
    </font>
  </fonts>
  <fills count="13">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s>
  <borders count="30">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0" fontId="1" fillId="0" borderId="0"/>
  </cellStyleXfs>
  <cellXfs count="274">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27" fillId="2" borderId="2" xfId="0" applyFont="1" applyFill="1" applyBorder="1" applyProtection="1">
      <protection locked="0"/>
    </xf>
    <xf numFmtId="14" fontId="27" fillId="0" borderId="2" xfId="0" applyNumberFormat="1" applyFont="1" applyBorder="1" applyProtection="1">
      <protection locked="0"/>
    </xf>
    <xf numFmtId="0" fontId="27" fillId="0" borderId="0" xfId="0" applyFont="1" applyAlignment="1" applyProtection="1">
      <alignment horizontal="left"/>
      <protection locked="0"/>
    </xf>
    <xf numFmtId="0" fontId="27" fillId="0" borderId="0" xfId="0" applyFont="1" applyProtection="1">
      <protection locked="0"/>
    </xf>
    <xf numFmtId="166" fontId="27" fillId="0" borderId="2" xfId="0" applyNumberFormat="1" applyFont="1" applyBorder="1" applyProtection="1">
      <protection locked="0"/>
    </xf>
    <xf numFmtId="0" fontId="23" fillId="2" borderId="2" xfId="0" applyFont="1" applyFill="1" applyBorder="1" applyProtection="1">
      <protection locked="0"/>
    </xf>
    <xf numFmtId="14" fontId="23" fillId="0" borderId="2" xfId="0" applyNumberFormat="1" applyFont="1" applyBorder="1" applyProtection="1">
      <protection locked="0"/>
    </xf>
    <xf numFmtId="0" fontId="23" fillId="0" borderId="0" xfId="0" applyFont="1" applyAlignment="1" applyProtection="1">
      <alignment horizontal="left"/>
      <protection locked="0"/>
    </xf>
    <xf numFmtId="0" fontId="23" fillId="0" borderId="0" xfId="0" applyFont="1" applyProtection="1">
      <protection locked="0"/>
    </xf>
    <xf numFmtId="0" fontId="4" fillId="0" borderId="0" xfId="0" applyFont="1" applyProtection="1">
      <protection locked="0"/>
    </xf>
    <xf numFmtId="0" fontId="4" fillId="0" borderId="0" xfId="0" applyFont="1" applyAlignment="1" applyProtection="1">
      <alignment horizontal="left"/>
      <protection locked="0"/>
    </xf>
    <xf numFmtId="0" fontId="4" fillId="2" borderId="2" xfId="0" applyFont="1" applyFill="1" applyBorder="1" applyProtection="1">
      <protection locked="0"/>
    </xf>
    <xf numFmtId="166" fontId="4" fillId="0" borderId="2" xfId="0" applyNumberFormat="1" applyFont="1" applyBorder="1" applyProtection="1">
      <protection locked="0"/>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27" fillId="10" borderId="15" xfId="0" applyFont="1" applyFill="1" applyBorder="1" applyAlignment="1">
      <alignment horizontal="center" vertical="center"/>
    </xf>
    <xf numFmtId="0" fontId="46" fillId="0" borderId="15" xfId="0" applyFont="1" applyBorder="1"/>
    <xf numFmtId="0" fontId="49" fillId="0" borderId="0" xfId="0" applyFont="1"/>
    <xf numFmtId="0" fontId="50" fillId="0" borderId="15" xfId="0" applyFont="1" applyBorder="1" applyAlignment="1">
      <alignment vertical="center" wrapText="1"/>
    </xf>
    <xf numFmtId="0" fontId="50" fillId="0" borderId="15" xfId="0" applyFont="1" applyBorder="1" applyAlignment="1">
      <alignment horizontal="center" vertical="center" wrapText="1"/>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27" fillId="0" borderId="15" xfId="0" applyFont="1" applyBorder="1" applyAlignment="1">
      <alignment vertical="center"/>
    </xf>
    <xf numFmtId="0" fontId="27" fillId="0" borderId="15" xfId="0" applyFont="1" applyBorder="1" applyAlignment="1">
      <alignment horizontal="center" vertical="center"/>
    </xf>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24" fillId="0" borderId="2" xfId="0" applyFont="1" applyBorder="1"/>
    <xf numFmtId="0" fontId="24" fillId="0" borderId="4" xfId="0" applyFont="1" applyBorder="1"/>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24" fillId="0" borderId="6" xfId="0" applyFont="1" applyBorder="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2" fillId="0" borderId="0" xfId="0" applyFont="1"/>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vertical="center"/>
    </xf>
    <xf numFmtId="0" fontId="3" fillId="0" borderId="15" xfId="0" applyFont="1" applyBorder="1" applyAlignment="1">
      <alignment horizontal="center" vertical="center"/>
    </xf>
    <xf numFmtId="0" fontId="4" fillId="0" borderId="0" xfId="0" applyFont="1" applyAlignment="1">
      <alignment horizontal="left" vertical="top"/>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2" xfId="0" applyFont="1" applyBorder="1"/>
    <xf numFmtId="0" fontId="34" fillId="0" borderId="4" xfId="0" applyFont="1" applyBorder="1"/>
    <xf numFmtId="0" fontId="34" fillId="0" borderId="5" xfId="0" applyFont="1" applyBorder="1" applyAlignment="1">
      <alignment horizontal="left" indent="1"/>
    </xf>
    <xf numFmtId="0" fontId="34" fillId="0" borderId="0" xfId="0" applyFont="1"/>
    <xf numFmtId="0" fontId="34" fillId="0" borderId="6" xfId="0" applyFont="1" applyBorder="1"/>
    <xf numFmtId="0" fontId="35"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0" borderId="17" xfId="0" applyFont="1" applyBorder="1" applyAlignment="1">
      <alignment vertical="center"/>
    </xf>
    <xf numFmtId="0" fontId="3" fillId="2" borderId="0" xfId="0" applyFont="1" applyFill="1"/>
    <xf numFmtId="0" fontId="47" fillId="0" borderId="0" xfId="0" applyFont="1" applyAlignment="1">
      <alignment horizontal="center" vertical="center"/>
    </xf>
    <xf numFmtId="0" fontId="47" fillId="0" borderId="0" xfId="0" applyFont="1"/>
    <xf numFmtId="0" fontId="47" fillId="0" borderId="15" xfId="0" applyFont="1" applyBorder="1"/>
    <xf numFmtId="0" fontId="47" fillId="0" borderId="21" xfId="0" applyFont="1" applyBorder="1"/>
    <xf numFmtId="0" fontId="47" fillId="0" borderId="19" xfId="0" applyFont="1" applyBorder="1"/>
    <xf numFmtId="0" fontId="53" fillId="0" borderId="15" xfId="0" applyFont="1" applyBorder="1" applyAlignment="1">
      <alignment horizontal="center" vertical="center"/>
    </xf>
    <xf numFmtId="0" fontId="53" fillId="0" borderId="0" xfId="0" applyFont="1" applyAlignment="1">
      <alignment horizontal="center" vertical="center" wrapText="1"/>
    </xf>
    <xf numFmtId="0" fontId="54" fillId="0" borderId="15" xfId="0" applyFont="1" applyBorder="1" applyAlignment="1">
      <alignment horizontal="center" vertical="center" wrapText="1"/>
    </xf>
    <xf numFmtId="0" fontId="54" fillId="11" borderId="15" xfId="0" applyFont="1" applyFill="1" applyBorder="1" applyAlignment="1">
      <alignment horizontal="center" vertical="center" wrapText="1"/>
    </xf>
    <xf numFmtId="168" fontId="51" fillId="12" borderId="15" xfId="11" quotePrefix="1" applyNumberFormat="1" applyFont="1" applyFill="1" applyBorder="1" applyAlignment="1">
      <alignment horizontal="center" vertical="center" wrapText="1"/>
    </xf>
    <xf numFmtId="0" fontId="49" fillId="0" borderId="15" xfId="0" applyFont="1" applyBorder="1" applyAlignment="1">
      <alignment horizontal="center" vertical="center"/>
    </xf>
    <xf numFmtId="0" fontId="54" fillId="0" borderId="15" xfId="10" applyFont="1" applyBorder="1" applyAlignment="1">
      <alignment horizontal="center" vertical="center"/>
    </xf>
    <xf numFmtId="1" fontId="0" fillId="0" borderId="0" xfId="0" applyNumberFormat="1"/>
    <xf numFmtId="1" fontId="51" fillId="12" borderId="15" xfId="11" quotePrefix="1" applyNumberFormat="1" applyFont="1" applyFill="1" applyBorder="1" applyAlignment="1">
      <alignment horizontal="center" vertical="center" wrapText="1"/>
    </xf>
    <xf numFmtId="0" fontId="54" fillId="0" borderId="15" xfId="11" applyFont="1" applyBorder="1" applyAlignment="1">
      <alignment horizontal="left" vertical="center" wrapText="1"/>
    </xf>
    <xf numFmtId="0" fontId="54" fillId="0" borderId="15" xfId="11" applyFont="1" applyBorder="1" applyAlignment="1">
      <alignment horizontal="center" vertical="center" wrapText="1"/>
    </xf>
    <xf numFmtId="14" fontId="52" fillId="12" borderId="15" xfId="0" applyNumberFormat="1" applyFont="1" applyFill="1" applyBorder="1" applyAlignment="1">
      <alignment horizontal="center" vertical="center"/>
    </xf>
    <xf numFmtId="49" fontId="54" fillId="0" borderId="15" xfId="11" applyNumberFormat="1" applyFont="1" applyBorder="1" applyAlignment="1">
      <alignment horizontal="left" vertical="center" wrapText="1"/>
    </xf>
    <xf numFmtId="0" fontId="51" fillId="12" borderId="15" xfId="11" applyFont="1" applyFill="1" applyBorder="1" applyAlignment="1">
      <alignment horizontal="center" vertical="center" wrapText="1"/>
    </xf>
    <xf numFmtId="0" fontId="54" fillId="0" borderId="23" xfId="10" applyFont="1" applyBorder="1" applyAlignment="1">
      <alignment horizontal="center" vertical="center"/>
    </xf>
    <xf numFmtId="0" fontId="49" fillId="0" borderId="23" xfId="0" applyFont="1" applyBorder="1" applyAlignment="1">
      <alignment horizontal="center" vertical="center"/>
    </xf>
    <xf numFmtId="0" fontId="54" fillId="0" borderId="23" xfId="11" applyFont="1" applyBorder="1" applyAlignment="1">
      <alignment horizontal="left" vertical="center" wrapText="1"/>
    </xf>
    <xf numFmtId="0" fontId="54" fillId="0" borderId="23" xfId="11" applyFont="1" applyBorder="1" applyAlignment="1">
      <alignment horizontal="center" vertical="center" wrapText="1"/>
    </xf>
    <xf numFmtId="49" fontId="54" fillId="0" borderId="23" xfId="11" applyNumberFormat="1" applyFont="1" applyBorder="1" applyAlignment="1">
      <alignment horizontal="left" vertical="center" wrapText="1"/>
    </xf>
    <xf numFmtId="0" fontId="46" fillId="0" borderId="23" xfId="0" applyFont="1" applyBorder="1"/>
    <xf numFmtId="0" fontId="54" fillId="0" borderId="23" xfId="0" applyFont="1" applyBorder="1" applyAlignment="1">
      <alignment horizontal="center" vertical="center" wrapText="1"/>
    </xf>
    <xf numFmtId="0" fontId="46" fillId="0" borderId="0" xfId="0" applyFont="1"/>
    <xf numFmtId="0" fontId="54" fillId="0" borderId="0" xfId="0" applyFont="1" applyAlignment="1">
      <alignment horizontal="center" vertical="center" wrapText="1"/>
    </xf>
    <xf numFmtId="0" fontId="54" fillId="11" borderId="0" xfId="0" applyFont="1" applyFill="1" applyAlignment="1">
      <alignment horizontal="center" vertical="center" wrapText="1"/>
    </xf>
    <xf numFmtId="0" fontId="47" fillId="0" borderId="0" xfId="0" applyFont="1" applyAlignment="1">
      <alignment wrapText="1"/>
    </xf>
    <xf numFmtId="0" fontId="25" fillId="9" borderId="0" xfId="0" applyFont="1" applyFill="1" applyAlignment="1">
      <alignment horizontal="center" vertical="center"/>
    </xf>
    <xf numFmtId="0" fontId="50" fillId="0" borderId="15" xfId="0" applyFont="1" applyBorder="1" applyAlignment="1">
      <alignment horizontal="left" vertical="center" wrapText="1"/>
    </xf>
    <xf numFmtId="0" fontId="48" fillId="0" borderId="16" xfId="0" applyFont="1" applyBorder="1" applyAlignment="1">
      <alignment horizontal="center" vertical="center" wrapText="1"/>
    </xf>
    <xf numFmtId="0" fontId="48" fillId="0" borderId="18"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4" fillId="0" borderId="0" xfId="0" applyFont="1" applyAlignment="1" applyProtection="1">
      <alignment vertical="center"/>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15" xfId="0" applyFont="1" applyBorder="1" applyAlignment="1">
      <alignment horizontal="center" vertical="center"/>
    </xf>
    <xf numFmtId="0" fontId="33" fillId="0" borderId="15" xfId="0" applyFont="1" applyBorder="1" applyAlignment="1">
      <alignment horizontal="center" vertical="center" wrapText="1"/>
    </xf>
    <xf numFmtId="0" fontId="2" fillId="0" borderId="0" xfId="0" applyFont="1" applyAlignment="1">
      <alignment horizontal="center" wrapText="1"/>
    </xf>
    <xf numFmtId="0" fontId="2" fillId="0" borderId="0" xfId="0" applyFont="1" applyAlignment="1">
      <alignment horizontal="center"/>
    </xf>
    <xf numFmtId="0" fontId="27" fillId="0" borderId="0" xfId="0" applyFont="1" applyAlignment="1">
      <alignment horizontal="left"/>
    </xf>
    <xf numFmtId="0" fontId="2" fillId="0" borderId="0" xfId="0" applyFont="1" applyAlignment="1">
      <alignment horizontal="center" vertical="center"/>
    </xf>
    <xf numFmtId="0" fontId="4" fillId="0" borderId="0" xfId="0" applyFont="1" applyAlignment="1" applyProtection="1">
      <alignment vertical="center" wrapText="1"/>
      <protection locked="0"/>
    </xf>
    <xf numFmtId="0" fontId="2" fillId="0" borderId="16" xfId="0" applyFont="1" applyBorder="1" applyAlignment="1">
      <alignment horizontal="center" vertical="center"/>
    </xf>
    <xf numFmtId="0" fontId="3" fillId="0" borderId="0" xfId="0" applyFont="1" applyAlignment="1">
      <alignment horizontal="center" vertical="center"/>
    </xf>
    <xf numFmtId="0" fontId="11" fillId="0" borderId="1" xfId="0" applyFont="1" applyBorder="1" applyAlignment="1">
      <alignment horizontal="center"/>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 fillId="0" borderId="15" xfId="0" applyFont="1" applyBorder="1" applyAlignment="1">
      <alignment horizontal="center" vertical="center"/>
    </xf>
    <xf numFmtId="0" fontId="24" fillId="0" borderId="0" xfId="0" applyFont="1" applyAlignment="1" applyProtection="1">
      <alignment horizontal="left" vertical="top" wrapText="1" indent="1"/>
      <protection locked="0"/>
    </xf>
    <xf numFmtId="0" fontId="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19" fillId="0" borderId="1" xfId="0" applyFont="1" applyBorder="1" applyAlignment="1">
      <alignment horizont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4" fillId="0" borderId="0" xfId="0" applyFont="1" applyAlignment="1">
      <alignment horizontal="left"/>
    </xf>
    <xf numFmtId="0" fontId="34" fillId="0" borderId="0" xfId="0" applyFont="1" applyAlignment="1" applyProtection="1">
      <alignment horizontal="left" vertical="top" wrapText="1" indent="1"/>
      <protection locked="0"/>
    </xf>
    <xf numFmtId="0" fontId="5" fillId="0" borderId="0" xfId="0" applyFont="1" applyAlignment="1" applyProtection="1">
      <alignment horizontal="left" vertical="top" wrapText="1" indent="1"/>
      <protection locked="0"/>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165" fontId="5" fillId="3" borderId="10" xfId="0" applyNumberFormat="1" applyFont="1" applyFill="1" applyBorder="1" applyAlignment="1" applyProtection="1">
      <alignment vertical="center"/>
      <protection locked="0"/>
    </xf>
    <xf numFmtId="165" fontId="5" fillId="3" borderId="12" xfId="0" applyNumberFormat="1" applyFont="1" applyFill="1" applyBorder="1" applyAlignment="1" applyProtection="1">
      <alignment vertical="center"/>
      <protection locked="0"/>
    </xf>
    <xf numFmtId="0" fontId="37" fillId="0" borderId="1" xfId="0" applyFont="1" applyBorder="1" applyAlignment="1">
      <alignment horizontal="center"/>
    </xf>
    <xf numFmtId="0" fontId="4" fillId="0" borderId="2" xfId="0" applyFont="1" applyBorder="1" applyAlignment="1">
      <alignment horizontal="center" vertical="center"/>
    </xf>
    <xf numFmtId="0" fontId="53" fillId="0" borderId="15" xfId="0" applyFont="1" applyBorder="1" applyAlignment="1">
      <alignment horizontal="center" vertical="center"/>
    </xf>
    <xf numFmtId="0" fontId="47" fillId="0" borderId="22" xfId="0" applyFont="1" applyBorder="1" applyAlignment="1">
      <alignment horizontal="center" vertical="center"/>
    </xf>
    <xf numFmtId="0" fontId="47" fillId="0" borderId="15" xfId="0" applyFont="1" applyBorder="1" applyAlignment="1">
      <alignment horizontal="center" vertical="center"/>
    </xf>
    <xf numFmtId="0" fontId="47" fillId="0" borderId="21" xfId="0" applyFont="1" applyBorder="1" applyAlignment="1">
      <alignment horizontal="center" vertical="center"/>
    </xf>
    <xf numFmtId="0" fontId="47" fillId="0" borderId="23" xfId="0" applyFont="1" applyBorder="1" applyAlignment="1">
      <alignment horizontal="center" vertical="center"/>
    </xf>
    <xf numFmtId="0" fontId="47" fillId="0" borderId="24" xfId="0" applyFont="1" applyBorder="1" applyAlignment="1">
      <alignment horizontal="center" vertical="center"/>
    </xf>
    <xf numFmtId="0" fontId="47" fillId="0" borderId="28" xfId="0" applyFont="1" applyBorder="1" applyAlignment="1">
      <alignment horizontal="center" vertical="center"/>
    </xf>
    <xf numFmtId="0" fontId="47" fillId="0" borderId="29" xfId="0" applyFont="1" applyBorder="1" applyAlignment="1">
      <alignment horizontal="center" vertical="center"/>
    </xf>
    <xf numFmtId="0" fontId="47" fillId="0" borderId="27" xfId="0" applyFont="1" applyBorder="1" applyAlignment="1">
      <alignment horizontal="center" vertical="center"/>
    </xf>
    <xf numFmtId="0" fontId="47" fillId="0" borderId="25" xfId="0" applyFont="1" applyBorder="1" applyAlignment="1">
      <alignment horizontal="center" vertical="center"/>
    </xf>
    <xf numFmtId="0" fontId="47" fillId="0" borderId="20" xfId="0" applyFont="1" applyBorder="1" applyAlignment="1">
      <alignment horizontal="center" vertical="center"/>
    </xf>
    <xf numFmtId="0" fontId="47" fillId="0" borderId="26" xfId="0" applyFont="1" applyBorder="1" applyAlignment="1">
      <alignment horizontal="center" vertical="center"/>
    </xf>
    <xf numFmtId="0" fontId="47" fillId="0" borderId="19"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0" borderId="0" xfId="0" applyFont="1" applyAlignment="1">
      <alignment horizontal="left" vertical="top" wrapText="1" indent="1"/>
    </xf>
    <xf numFmtId="0" fontId="44" fillId="0" borderId="0" xfId="0" applyFont="1" applyAlignment="1">
      <alignment vertical="center"/>
    </xf>
    <xf numFmtId="0" fontId="44" fillId="0" borderId="2" xfId="0" applyFont="1" applyBorder="1" applyAlignment="1">
      <alignment horizontal="center" vertic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cellXfs>
  <cellStyles count="12">
    <cellStyle name="Comma 2" xfId="8" xr:uid="{00000000-0005-0000-0000-000000000000}"/>
    <cellStyle name="Normal" xfId="0" builtinId="0"/>
    <cellStyle name="Normal 2" xfId="7" xr:uid="{00000000-0005-0000-0000-000002000000}"/>
    <cellStyle name="Normal 2 10" xfId="1" xr:uid="{00000000-0005-0000-0000-000003000000}"/>
    <cellStyle name="Normal 2 2 2" xfId="4" xr:uid="{00000000-0005-0000-0000-000004000000}"/>
    <cellStyle name="Normal 3" xfId="2" xr:uid="{00000000-0005-0000-0000-000005000000}"/>
    <cellStyle name="Normal 3 2" xfId="6" xr:uid="{00000000-0005-0000-0000-000006000000}"/>
    <cellStyle name="Normal 4 2" xfId="5" xr:uid="{00000000-0005-0000-0000-000007000000}"/>
    <cellStyle name="Normal 6" xfId="11" xr:uid="{00000000-0005-0000-0000-000008000000}"/>
    <cellStyle name="Normal 6 10" xfId="3" xr:uid="{00000000-0005-0000-0000-000009000000}"/>
    <cellStyle name="Normal_Section Details" xfId="10" xr:uid="{00000000-0005-0000-0000-00000A000000}"/>
    <cellStyle name="標準_全社従業員_1" xfId="9" xr:uid="{00000000-0005-0000-0000-00000B00000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8.png"/></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5.emf"/><Relationship Id="rId1" Type="http://schemas.openxmlformats.org/officeDocument/2006/relationships/image" Target="../media/image10.emf"/><Relationship Id="rId5" Type="http://schemas.openxmlformats.org/officeDocument/2006/relationships/image" Target="../media/image8.emf"/><Relationship Id="rId4"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10.emf"/><Relationship Id="rId4"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5.emf"/><Relationship Id="rId1" Type="http://schemas.openxmlformats.org/officeDocument/2006/relationships/image" Target="../media/image14.emf"/><Relationship Id="rId4"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285750</xdr:colOff>
          <xdr:row>2</xdr:row>
          <xdr:rowOff>152400</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1962150</xdr:colOff>
          <xdr:row>10</xdr:row>
          <xdr:rowOff>76200</xdr:rowOff>
        </xdr:from>
        <xdr:to>
          <xdr:col>8</xdr:col>
          <xdr:colOff>990600</xdr:colOff>
          <xdr:row>10</xdr:row>
          <xdr:rowOff>447675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1981200</xdr:colOff>
          <xdr:row>10</xdr:row>
          <xdr:rowOff>76200</xdr:rowOff>
        </xdr:from>
        <xdr:to>
          <xdr:col>8</xdr:col>
          <xdr:colOff>3095625</xdr:colOff>
          <xdr:row>10</xdr:row>
          <xdr:rowOff>428625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385233</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65150" y="0"/>
          <a:ext cx="7852833" cy="1198032"/>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95250</xdr:rowOff>
        </xdr:from>
        <xdr:to>
          <xdr:col>7</xdr:col>
          <xdr:colOff>1504950</xdr:colOff>
          <xdr:row>10</xdr:row>
          <xdr:rowOff>447675</xdr:rowOff>
        </xdr:to>
        <xdr:sp macro="" textlink="">
          <xdr:nvSpPr>
            <xdr:cNvPr id="1035" name="btnBt"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209550</xdr:rowOff>
        </xdr:from>
        <xdr:to>
          <xdr:col>7</xdr:col>
          <xdr:colOff>1123950</xdr:colOff>
          <xdr:row>11</xdr:row>
          <xdr:rowOff>561975</xdr:rowOff>
        </xdr:to>
        <xdr:sp macro="" textlink="">
          <xdr:nvSpPr>
            <xdr:cNvPr id="1036" name="btnBly"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1924050</xdr:colOff>
          <xdr:row>10</xdr:row>
          <xdr:rowOff>57150</xdr:rowOff>
        </xdr:from>
        <xdr:to>
          <xdr:col>8</xdr:col>
          <xdr:colOff>952500</xdr:colOff>
          <xdr:row>10</xdr:row>
          <xdr:rowOff>428625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1876425</xdr:colOff>
          <xdr:row>10</xdr:row>
          <xdr:rowOff>57150</xdr:rowOff>
        </xdr:from>
        <xdr:to>
          <xdr:col>9</xdr:col>
          <xdr:colOff>0</xdr:colOff>
          <xdr:row>10</xdr:row>
          <xdr:rowOff>409575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15</xdr:row>
          <xdr:rowOff>257175</xdr:rowOff>
        </xdr:from>
        <xdr:to>
          <xdr:col>7</xdr:col>
          <xdr:colOff>952500</xdr:colOff>
          <xdr:row>16</xdr:row>
          <xdr:rowOff>171450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19125" y="0"/>
          <a:ext cx="7924800" cy="1198032"/>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657225</xdr:colOff>
          <xdr:row>10</xdr:row>
          <xdr:rowOff>66675</xdr:rowOff>
        </xdr:from>
        <xdr:to>
          <xdr:col>7</xdr:col>
          <xdr:colOff>1485900</xdr:colOff>
          <xdr:row>10</xdr:row>
          <xdr:rowOff>419100</xdr:rowOff>
        </xdr:to>
        <xdr:sp macro="" textlink="">
          <xdr:nvSpPr>
            <xdr:cNvPr id="2054" name="btnBt"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657225</xdr:colOff>
          <xdr:row>11</xdr:row>
          <xdr:rowOff>161925</xdr:rowOff>
        </xdr:from>
        <xdr:to>
          <xdr:col>7</xdr:col>
          <xdr:colOff>1076325</xdr:colOff>
          <xdr:row>11</xdr:row>
          <xdr:rowOff>514350</xdr:rowOff>
        </xdr:to>
        <xdr:sp macro="" textlink="">
          <xdr:nvSpPr>
            <xdr:cNvPr id="2055" name="btnBly"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257175</xdr:colOff>
          <xdr:row>10</xdr:row>
          <xdr:rowOff>38100</xdr:rowOff>
        </xdr:from>
        <xdr:to>
          <xdr:col>8</xdr:col>
          <xdr:colOff>1257300</xdr:colOff>
          <xdr:row>10</xdr:row>
          <xdr:rowOff>409575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2038350</xdr:colOff>
          <xdr:row>10</xdr:row>
          <xdr:rowOff>76200</xdr:rowOff>
        </xdr:from>
        <xdr:to>
          <xdr:col>9</xdr:col>
          <xdr:colOff>9525</xdr:colOff>
          <xdr:row>10</xdr:row>
          <xdr:rowOff>428625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53303" y="0"/>
          <a:ext cx="7925360" cy="1191184"/>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85725</xdr:rowOff>
        </xdr:from>
        <xdr:to>
          <xdr:col>7</xdr:col>
          <xdr:colOff>1504950</xdr:colOff>
          <xdr:row>10</xdr:row>
          <xdr:rowOff>438150</xdr:rowOff>
        </xdr:to>
        <xdr:sp macro="" textlink="">
          <xdr:nvSpPr>
            <xdr:cNvPr id="3076" name="btnBt" hidden="1">
              <a:extLst>
                <a:ext uri="{63B3BB69-23CF-44E3-9099-C40C66FF867C}">
                  <a14:compatExt spid="_x0000_s3076"/>
                </a:ext>
                <a:ext uri="{FF2B5EF4-FFF2-40B4-BE49-F238E27FC236}">
                  <a16:creationId xmlns:a16="http://schemas.microsoft.com/office/drawing/2014/main" id="{00000000-0008-0000-05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657225</xdr:colOff>
          <xdr:row>11</xdr:row>
          <xdr:rowOff>85725</xdr:rowOff>
        </xdr:from>
        <xdr:to>
          <xdr:col>7</xdr:col>
          <xdr:colOff>1095375</xdr:colOff>
          <xdr:row>11</xdr:row>
          <xdr:rowOff>438150</xdr:rowOff>
        </xdr:to>
        <xdr:sp macro="" textlink="">
          <xdr:nvSpPr>
            <xdr:cNvPr id="3077" name="btnBly"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1952625</xdr:colOff>
          <xdr:row>10</xdr:row>
          <xdr:rowOff>76200</xdr:rowOff>
        </xdr:from>
        <xdr:to>
          <xdr:col>8</xdr:col>
          <xdr:colOff>990600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2162175</xdr:colOff>
          <xdr:row>10</xdr:row>
          <xdr:rowOff>57150</xdr:rowOff>
        </xdr:from>
        <xdr:to>
          <xdr:col>9</xdr:col>
          <xdr:colOff>0</xdr:colOff>
          <xdr:row>10</xdr:row>
          <xdr:rowOff>409575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609600" y="0"/>
          <a:ext cx="7931150" cy="1198032"/>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85725</xdr:rowOff>
        </xdr:from>
        <xdr:to>
          <xdr:col>7</xdr:col>
          <xdr:colOff>1504950</xdr:colOff>
          <xdr:row>10</xdr:row>
          <xdr:rowOff>438150</xdr:rowOff>
        </xdr:to>
        <xdr:sp macro="" textlink="">
          <xdr:nvSpPr>
            <xdr:cNvPr id="4100" name="btnBt"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676275</xdr:colOff>
          <xdr:row>11</xdr:row>
          <xdr:rowOff>295275</xdr:rowOff>
        </xdr:from>
        <xdr:to>
          <xdr:col>7</xdr:col>
          <xdr:colOff>1095375</xdr:colOff>
          <xdr:row>11</xdr:row>
          <xdr:rowOff>647700</xdr:rowOff>
        </xdr:to>
        <xdr:sp macro="" textlink="">
          <xdr:nvSpPr>
            <xdr:cNvPr id="4101" name="btnBly"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xdr:colOff>
          <xdr:row>10</xdr:row>
          <xdr:rowOff>95250</xdr:rowOff>
        </xdr:from>
        <xdr:to>
          <xdr:col>8</xdr:col>
          <xdr:colOff>1019175</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2047875</xdr:colOff>
          <xdr:row>10</xdr:row>
          <xdr:rowOff>85725</xdr:rowOff>
        </xdr:from>
        <xdr:to>
          <xdr:col>9</xdr:col>
          <xdr:colOff>19050</xdr:colOff>
          <xdr:row>10</xdr:row>
          <xdr:rowOff>438150</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34278" y="0"/>
          <a:ext cx="7920878" cy="1191184"/>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85725</xdr:rowOff>
        </xdr:from>
        <xdr:to>
          <xdr:col>7</xdr:col>
          <xdr:colOff>1514475</xdr:colOff>
          <xdr:row>10</xdr:row>
          <xdr:rowOff>438150</xdr:rowOff>
        </xdr:to>
        <xdr:sp macro="" textlink="">
          <xdr:nvSpPr>
            <xdr:cNvPr id="5124" name="btnBt" hidden="1">
              <a:extLst>
                <a:ext uri="{63B3BB69-23CF-44E3-9099-C40C66FF867C}">
                  <a14:compatExt spid="_x0000_s5124"/>
                </a:ext>
                <a:ext uri="{FF2B5EF4-FFF2-40B4-BE49-F238E27FC236}">
                  <a16:creationId xmlns:a16="http://schemas.microsoft.com/office/drawing/2014/main" id="{00000000-0008-0000-07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361950</xdr:rowOff>
        </xdr:from>
        <xdr:to>
          <xdr:col>7</xdr:col>
          <xdr:colOff>1123950</xdr:colOff>
          <xdr:row>11</xdr:row>
          <xdr:rowOff>714375</xdr:rowOff>
        </xdr:to>
        <xdr:sp macro="" textlink="">
          <xdr:nvSpPr>
            <xdr:cNvPr id="5125" name="btnBly" hidden="1">
              <a:extLst>
                <a:ext uri="{63B3BB69-23CF-44E3-9099-C40C66FF867C}">
                  <a14:compatExt spid="_x0000_s5125"/>
                </a:ext>
                <a:ext uri="{FF2B5EF4-FFF2-40B4-BE49-F238E27FC236}">
                  <a16:creationId xmlns:a16="http://schemas.microsoft.com/office/drawing/2014/main" id="{00000000-0008-0000-07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28625" y="66676"/>
          <a:ext cx="7839075" cy="1190624"/>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14350" y="0"/>
          <a:ext cx="8330687" cy="1104900"/>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5.emf"/><Relationship Id="rId3" Type="http://schemas.openxmlformats.org/officeDocument/2006/relationships/vmlDrawing" Target="../drawings/vmlDrawing3.vml"/><Relationship Id="rId7" Type="http://schemas.openxmlformats.org/officeDocument/2006/relationships/image" Target="../media/image3.emf"/><Relationship Id="rId12" Type="http://schemas.openxmlformats.org/officeDocument/2006/relationships/control" Target="../activeX/activeX10.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7.xml"/><Relationship Id="rId11" Type="http://schemas.openxmlformats.org/officeDocument/2006/relationships/image" Target="../media/image10.emf"/><Relationship Id="rId5" Type="http://schemas.openxmlformats.org/officeDocument/2006/relationships/image" Target="../media/image8.emf"/><Relationship Id="rId10" Type="http://schemas.openxmlformats.org/officeDocument/2006/relationships/control" Target="../activeX/activeX9.xml"/><Relationship Id="rId4" Type="http://schemas.openxmlformats.org/officeDocument/2006/relationships/control" Target="../activeX/activeX6.xml"/><Relationship Id="rId9" Type="http://schemas.openxmlformats.org/officeDocument/2006/relationships/image" Target="../media/image9.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0.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5.vml"/><Relationship Id="rId7" Type="http://schemas.openxmlformats.org/officeDocument/2006/relationships/image" Target="../media/image13.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16.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8.xml"/><Relationship Id="rId4" Type="http://schemas.openxmlformats.org/officeDocument/2006/relationships/control" Target="../activeX/activeX15.xml"/><Relationship Id="rId9" Type="http://schemas.openxmlformats.org/officeDocument/2006/relationships/image" Target="../media/image14.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ntrol" Target="../activeX/activeX20.xml"/><Relationship Id="rId11" Type="http://schemas.openxmlformats.org/officeDocument/2006/relationships/image" Target="../media/image5.emf"/><Relationship Id="rId5" Type="http://schemas.openxmlformats.org/officeDocument/2006/relationships/image" Target="../media/image16.emf"/><Relationship Id="rId10" Type="http://schemas.openxmlformats.org/officeDocument/2006/relationships/control" Target="../activeX/activeX22.xml"/><Relationship Id="rId4" Type="http://schemas.openxmlformats.org/officeDocument/2006/relationships/control" Target="../activeX/activeX19.xml"/><Relationship Id="rId9" Type="http://schemas.openxmlformats.org/officeDocument/2006/relationships/image" Target="../media/image4.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5042"/>
  <sheetViews>
    <sheetView zoomScale="80" zoomScaleNormal="80" workbookViewId="0">
      <selection activeCell="I26" sqref="I26"/>
    </sheetView>
  </sheetViews>
  <sheetFormatPr defaultColWidth="9.125" defaultRowHeight="14.25"/>
  <cols>
    <col min="1" max="1" width="8.75" style="79"/>
    <col min="2" max="2" width="9"/>
    <col min="3" max="3" width="17.125" customWidth="1"/>
    <col min="4" max="4" width="9.125" style="188"/>
    <col min="5" max="5" width="24.375" customWidth="1"/>
    <col min="6" max="6" width="9"/>
    <col min="7" max="7" width="12.875" customWidth="1"/>
    <col min="8" max="8" width="74.375" style="77" customWidth="1"/>
    <col min="9" max="9" width="13.75" customWidth="1"/>
    <col min="10" max="10" width="28.125" style="77" customWidth="1"/>
    <col min="11" max="11" width="26.375" style="77" customWidth="1"/>
    <col min="12" max="12" width="25.375" style="77" customWidth="1"/>
    <col min="13" max="16" width="20" style="77" customWidth="1"/>
    <col min="17" max="16384" width="9.125" style="77"/>
  </cols>
  <sheetData>
    <row r="1" spans="1:13" ht="20.25" customHeight="1">
      <c r="A1" s="206" t="s">
        <v>61</v>
      </c>
    </row>
    <row r="2" spans="1:13" s="78" customFormat="1" ht="33.75" customHeight="1">
      <c r="A2" s="206"/>
      <c r="B2" s="185" t="s">
        <v>1573</v>
      </c>
      <c r="C2" s="185" t="s">
        <v>919</v>
      </c>
      <c r="D2" s="189" t="s">
        <v>2</v>
      </c>
      <c r="E2" s="185" t="s">
        <v>1574</v>
      </c>
      <c r="F2" s="185" t="s">
        <v>3</v>
      </c>
      <c r="G2" s="192" t="s">
        <v>4</v>
      </c>
      <c r="H2" s="80" t="s">
        <v>0</v>
      </c>
      <c r="I2" s="194" t="s">
        <v>2079</v>
      </c>
      <c r="J2" s="80" t="s">
        <v>56</v>
      </c>
      <c r="K2" s="80" t="s">
        <v>57</v>
      </c>
      <c r="L2" s="80" t="s">
        <v>58</v>
      </c>
      <c r="M2" s="80" t="s">
        <v>59</v>
      </c>
    </row>
    <row r="3" spans="1:13" ht="15.75">
      <c r="A3" s="79">
        <f t="shared" ref="A3:A66" si="0">IFERROR(VALUE(RIGHT(C3,4)),"")</f>
        <v>332</v>
      </c>
      <c r="B3" s="187">
        <v>1</v>
      </c>
      <c r="C3" s="186" t="s">
        <v>1251</v>
      </c>
      <c r="D3" s="187">
        <v>32152</v>
      </c>
      <c r="E3" s="190" t="s">
        <v>1645</v>
      </c>
      <c r="F3" s="191" t="s">
        <v>60</v>
      </c>
      <c r="G3" s="193" t="s">
        <v>321</v>
      </c>
      <c r="H3" s="81" t="s">
        <v>918</v>
      </c>
      <c r="I3" s="190" t="s">
        <v>2094</v>
      </c>
      <c r="J3" s="184"/>
      <c r="K3" s="183"/>
      <c r="L3" s="183"/>
      <c r="M3" s="183"/>
    </row>
    <row r="4" spans="1:13" ht="15.75">
      <c r="A4" s="79">
        <f t="shared" si="0"/>
        <v>453</v>
      </c>
      <c r="B4" s="187">
        <v>2</v>
      </c>
      <c r="C4" s="186" t="s">
        <v>1372</v>
      </c>
      <c r="D4" s="187">
        <v>32186</v>
      </c>
      <c r="E4" s="190" t="s">
        <v>1662</v>
      </c>
      <c r="F4" s="191" t="s">
        <v>60</v>
      </c>
      <c r="G4" s="193" t="s">
        <v>1957</v>
      </c>
      <c r="H4" s="81" t="s">
        <v>918</v>
      </c>
      <c r="I4" s="190" t="s">
        <v>2095</v>
      </c>
      <c r="J4" s="183"/>
      <c r="K4" s="183"/>
      <c r="L4" s="183"/>
      <c r="M4" s="183"/>
    </row>
    <row r="5" spans="1:13" ht="15.75">
      <c r="A5" s="79">
        <f t="shared" si="0"/>
        <v>333</v>
      </c>
      <c r="B5" s="187">
        <v>3</v>
      </c>
      <c r="C5" s="186" t="s">
        <v>1252</v>
      </c>
      <c r="D5" s="187">
        <v>32199</v>
      </c>
      <c r="E5" s="190" t="s">
        <v>785</v>
      </c>
      <c r="F5" s="191" t="s">
        <v>60</v>
      </c>
      <c r="G5" s="193" t="s">
        <v>1893</v>
      </c>
      <c r="H5" s="81" t="s">
        <v>918</v>
      </c>
      <c r="I5" s="190" t="s">
        <v>2094</v>
      </c>
      <c r="J5" s="183"/>
      <c r="K5" s="183"/>
      <c r="L5" s="183"/>
      <c r="M5" s="183"/>
    </row>
    <row r="6" spans="1:13" ht="15.75">
      <c r="A6" s="79">
        <f t="shared" si="0"/>
        <v>200</v>
      </c>
      <c r="B6" s="187">
        <v>4</v>
      </c>
      <c r="C6" s="186" t="s">
        <v>1119</v>
      </c>
      <c r="D6" s="187">
        <v>32211</v>
      </c>
      <c r="E6" s="190" t="s">
        <v>1622</v>
      </c>
      <c r="F6" s="191" t="s">
        <v>60</v>
      </c>
      <c r="G6" s="193" t="s">
        <v>205</v>
      </c>
      <c r="H6" s="81" t="s">
        <v>918</v>
      </c>
      <c r="I6" s="190" t="s">
        <v>2093</v>
      </c>
      <c r="J6" s="184"/>
      <c r="K6" s="183"/>
      <c r="L6" s="183"/>
      <c r="M6" s="183"/>
    </row>
    <row r="7" spans="1:13" ht="15.75">
      <c r="A7" s="79">
        <f t="shared" si="0"/>
        <v>128</v>
      </c>
      <c r="B7" s="187">
        <v>5</v>
      </c>
      <c r="C7" s="186" t="s">
        <v>1047</v>
      </c>
      <c r="D7" s="187">
        <v>32228</v>
      </c>
      <c r="E7" s="190" t="s">
        <v>426</v>
      </c>
      <c r="F7" s="191" t="s">
        <v>60</v>
      </c>
      <c r="G7" s="193" t="s">
        <v>1784</v>
      </c>
      <c r="H7" s="81" t="s">
        <v>918</v>
      </c>
      <c r="I7" s="190" t="s">
        <v>2087</v>
      </c>
      <c r="J7" s="183"/>
      <c r="K7" s="183"/>
      <c r="L7" s="183"/>
      <c r="M7" s="183"/>
    </row>
    <row r="8" spans="1:13" ht="15.75">
      <c r="A8" s="79">
        <f t="shared" si="0"/>
        <v>454</v>
      </c>
      <c r="B8" s="187">
        <v>6</v>
      </c>
      <c r="C8" s="186" t="s">
        <v>1373</v>
      </c>
      <c r="D8" s="187">
        <v>32264</v>
      </c>
      <c r="E8" s="190" t="s">
        <v>1663</v>
      </c>
      <c r="F8" s="191" t="s">
        <v>60</v>
      </c>
      <c r="G8" s="193" t="s">
        <v>1958</v>
      </c>
      <c r="H8" s="81" t="s">
        <v>918</v>
      </c>
      <c r="I8" s="190" t="s">
        <v>2095</v>
      </c>
      <c r="J8" s="183"/>
      <c r="K8" s="183"/>
      <c r="L8" s="183"/>
      <c r="M8" s="183"/>
    </row>
    <row r="9" spans="1:13" ht="15.75">
      <c r="A9" s="79">
        <f t="shared" si="0"/>
        <v>129</v>
      </c>
      <c r="B9" s="187">
        <v>7</v>
      </c>
      <c r="C9" s="186" t="s">
        <v>1048</v>
      </c>
      <c r="D9" s="187">
        <v>32271</v>
      </c>
      <c r="E9" s="190" t="s">
        <v>1602</v>
      </c>
      <c r="F9" s="191" t="s">
        <v>60</v>
      </c>
      <c r="G9" s="193" t="s">
        <v>309</v>
      </c>
      <c r="H9" s="81" t="s">
        <v>918</v>
      </c>
      <c r="I9" s="190" t="s">
        <v>2087</v>
      </c>
      <c r="J9" s="184"/>
      <c r="K9" s="183"/>
      <c r="L9" s="183"/>
      <c r="M9" s="183"/>
    </row>
    <row r="10" spans="1:13" ht="15.75">
      <c r="A10" s="79">
        <f t="shared" si="0"/>
        <v>334</v>
      </c>
      <c r="B10" s="187">
        <v>8</v>
      </c>
      <c r="C10" s="186" t="s">
        <v>1253</v>
      </c>
      <c r="D10" s="187">
        <v>71370</v>
      </c>
      <c r="E10" s="190" t="s">
        <v>1646</v>
      </c>
      <c r="F10" s="191" t="s">
        <v>114</v>
      </c>
      <c r="G10" s="193" t="s">
        <v>1894</v>
      </c>
      <c r="H10" s="81" t="s">
        <v>918</v>
      </c>
      <c r="I10" s="190" t="s">
        <v>2094</v>
      </c>
      <c r="J10" s="183"/>
      <c r="K10" s="183"/>
      <c r="L10" s="183"/>
      <c r="M10" s="183"/>
    </row>
    <row r="11" spans="1:13" ht="15.75">
      <c r="A11" s="79">
        <f t="shared" si="0"/>
        <v>335</v>
      </c>
      <c r="B11" s="187">
        <v>9</v>
      </c>
      <c r="C11" s="186" t="s">
        <v>1254</v>
      </c>
      <c r="D11" s="187">
        <v>71412</v>
      </c>
      <c r="E11" s="190" t="s">
        <v>1647</v>
      </c>
      <c r="F11" s="191" t="s">
        <v>60</v>
      </c>
      <c r="G11" s="193" t="s">
        <v>1895</v>
      </c>
      <c r="H11" s="81" t="s">
        <v>918</v>
      </c>
      <c r="I11" s="190" t="s">
        <v>2094</v>
      </c>
      <c r="J11" s="183"/>
      <c r="K11" s="183"/>
      <c r="L11" s="183"/>
      <c r="M11" s="183"/>
    </row>
    <row r="12" spans="1:13" ht="15.75">
      <c r="A12" s="79">
        <f t="shared" si="0"/>
        <v>455</v>
      </c>
      <c r="B12" s="187">
        <v>10</v>
      </c>
      <c r="C12" s="186" t="s">
        <v>1374</v>
      </c>
      <c r="D12" s="187">
        <v>71429</v>
      </c>
      <c r="E12" s="190" t="s">
        <v>1664</v>
      </c>
      <c r="F12" s="191" t="s">
        <v>114</v>
      </c>
      <c r="G12" s="193" t="s">
        <v>1959</v>
      </c>
      <c r="H12" s="81" t="s">
        <v>918</v>
      </c>
      <c r="I12" s="190" t="s">
        <v>2095</v>
      </c>
      <c r="J12" s="184"/>
      <c r="K12" s="183"/>
      <c r="L12" s="183"/>
      <c r="M12" s="183"/>
    </row>
    <row r="13" spans="1:13" ht="15.75">
      <c r="A13" s="79">
        <f t="shared" si="0"/>
        <v>201</v>
      </c>
      <c r="B13" s="187">
        <v>11</v>
      </c>
      <c r="C13" s="186" t="s">
        <v>1120</v>
      </c>
      <c r="D13" s="187">
        <v>71520</v>
      </c>
      <c r="E13" s="190" t="s">
        <v>1623</v>
      </c>
      <c r="F13" s="191" t="s">
        <v>114</v>
      </c>
      <c r="G13" s="193" t="s">
        <v>310</v>
      </c>
      <c r="H13" s="81" t="s">
        <v>918</v>
      </c>
      <c r="I13" s="190" t="s">
        <v>2093</v>
      </c>
      <c r="J13" s="183"/>
      <c r="K13" s="183"/>
      <c r="L13" s="183"/>
      <c r="M13" s="183"/>
    </row>
    <row r="14" spans="1:13" ht="30">
      <c r="A14" s="79">
        <f t="shared" si="0"/>
        <v>86</v>
      </c>
      <c r="B14" s="187">
        <v>12</v>
      </c>
      <c r="C14" s="186" t="s">
        <v>1005</v>
      </c>
      <c r="D14" s="187">
        <v>71539</v>
      </c>
      <c r="E14" s="190" t="s">
        <v>602</v>
      </c>
      <c r="F14" s="191" t="s">
        <v>114</v>
      </c>
      <c r="G14" s="193" t="s">
        <v>1755</v>
      </c>
      <c r="H14" s="81" t="s">
        <v>918</v>
      </c>
      <c r="I14" s="190" t="s">
        <v>2086</v>
      </c>
      <c r="J14" s="184"/>
      <c r="K14" s="183"/>
      <c r="L14" s="183"/>
      <c r="M14" s="183"/>
    </row>
    <row r="15" spans="1:13" ht="15.75">
      <c r="A15" s="79">
        <f t="shared" si="0"/>
        <v>456</v>
      </c>
      <c r="B15" s="187">
        <v>13</v>
      </c>
      <c r="C15" s="186" t="s">
        <v>1375</v>
      </c>
      <c r="D15" s="187">
        <v>71546</v>
      </c>
      <c r="E15" s="190" t="s">
        <v>1665</v>
      </c>
      <c r="F15" s="191" t="s">
        <v>60</v>
      </c>
      <c r="G15" s="193" t="s">
        <v>1960</v>
      </c>
      <c r="H15" s="81" t="s">
        <v>918</v>
      </c>
      <c r="I15" s="190" t="s">
        <v>2095</v>
      </c>
      <c r="J15" s="183"/>
      <c r="K15" s="183"/>
      <c r="L15" s="183"/>
      <c r="M15" s="183"/>
    </row>
    <row r="16" spans="1:13" ht="15.75">
      <c r="A16" s="79">
        <f t="shared" si="0"/>
        <v>336</v>
      </c>
      <c r="B16" s="187">
        <v>14</v>
      </c>
      <c r="C16" s="186" t="s">
        <v>1255</v>
      </c>
      <c r="D16" s="187">
        <v>81392</v>
      </c>
      <c r="E16" s="190" t="s">
        <v>1648</v>
      </c>
      <c r="F16" s="191" t="s">
        <v>114</v>
      </c>
      <c r="G16" s="193" t="s">
        <v>1896</v>
      </c>
      <c r="H16" s="81" t="s">
        <v>918</v>
      </c>
      <c r="I16" s="190" t="s">
        <v>2094</v>
      </c>
      <c r="J16" s="183"/>
      <c r="K16" s="183"/>
      <c r="L16" s="183"/>
      <c r="M16" s="183"/>
    </row>
    <row r="17" spans="1:13" ht="30">
      <c r="A17" s="79">
        <f t="shared" si="0"/>
        <v>87</v>
      </c>
      <c r="B17" s="187">
        <v>15</v>
      </c>
      <c r="C17" s="186" t="s">
        <v>1006</v>
      </c>
      <c r="D17" s="187">
        <v>81405</v>
      </c>
      <c r="E17" s="190" t="s">
        <v>1593</v>
      </c>
      <c r="F17" s="191" t="s">
        <v>114</v>
      </c>
      <c r="G17" s="193" t="s">
        <v>1756</v>
      </c>
      <c r="H17" s="81" t="s">
        <v>918</v>
      </c>
      <c r="I17" s="190" t="s">
        <v>2086</v>
      </c>
      <c r="J17" s="184"/>
      <c r="K17" s="183"/>
      <c r="L17" s="183"/>
      <c r="M17" s="183"/>
    </row>
    <row r="18" spans="1:13" ht="15.75">
      <c r="A18" s="79">
        <f t="shared" si="0"/>
        <v>457</v>
      </c>
      <c r="B18" s="187">
        <v>16</v>
      </c>
      <c r="C18" s="186" t="s">
        <v>1376</v>
      </c>
      <c r="D18" s="187">
        <v>81457</v>
      </c>
      <c r="E18" s="190" t="s">
        <v>1666</v>
      </c>
      <c r="F18" s="191" t="s">
        <v>60</v>
      </c>
      <c r="G18" s="193" t="s">
        <v>1757</v>
      </c>
      <c r="H18" s="81" t="s">
        <v>918</v>
      </c>
      <c r="I18" s="190" t="s">
        <v>2095</v>
      </c>
      <c r="J18" s="183"/>
      <c r="K18" s="183"/>
      <c r="L18" s="183"/>
      <c r="M18" s="183"/>
    </row>
    <row r="19" spans="1:13" ht="15.75">
      <c r="A19" s="79">
        <f t="shared" si="0"/>
        <v>337</v>
      </c>
      <c r="B19" s="187">
        <v>17</v>
      </c>
      <c r="C19" s="186" t="s">
        <v>1256</v>
      </c>
      <c r="D19" s="187">
        <v>81475</v>
      </c>
      <c r="E19" s="190" t="s">
        <v>423</v>
      </c>
      <c r="F19" s="191" t="s">
        <v>60</v>
      </c>
      <c r="G19" s="193" t="s">
        <v>374</v>
      </c>
      <c r="H19" s="81" t="s">
        <v>918</v>
      </c>
      <c r="I19" s="190" t="s">
        <v>2094</v>
      </c>
      <c r="J19" s="183"/>
      <c r="K19" s="183"/>
      <c r="L19" s="183"/>
      <c r="M19" s="183"/>
    </row>
    <row r="20" spans="1:13" ht="30">
      <c r="A20" s="79">
        <f t="shared" si="0"/>
        <v>88</v>
      </c>
      <c r="B20" s="187">
        <v>18</v>
      </c>
      <c r="C20" s="186" t="s">
        <v>1007</v>
      </c>
      <c r="D20" s="187">
        <v>81479</v>
      </c>
      <c r="E20" s="190" t="s">
        <v>1594</v>
      </c>
      <c r="F20" s="191" t="s">
        <v>114</v>
      </c>
      <c r="G20" s="193" t="s">
        <v>1757</v>
      </c>
      <c r="H20" s="81" t="s">
        <v>918</v>
      </c>
      <c r="I20" s="190" t="s">
        <v>2086</v>
      </c>
      <c r="J20" s="183"/>
      <c r="K20" s="183"/>
      <c r="L20" s="183"/>
      <c r="M20" s="183"/>
    </row>
    <row r="21" spans="1:13" ht="15.75">
      <c r="A21" s="79">
        <f t="shared" si="0"/>
        <v>202</v>
      </c>
      <c r="B21" s="187">
        <v>19</v>
      </c>
      <c r="C21" s="186" t="s">
        <v>1121</v>
      </c>
      <c r="D21" s="187">
        <v>90496</v>
      </c>
      <c r="E21" s="190" t="s">
        <v>1624</v>
      </c>
      <c r="F21" s="191" t="s">
        <v>60</v>
      </c>
      <c r="G21" s="193" t="s">
        <v>1830</v>
      </c>
      <c r="H21" s="81" t="s">
        <v>918</v>
      </c>
      <c r="I21" s="190" t="s">
        <v>2093</v>
      </c>
      <c r="J21" s="183"/>
      <c r="K21" s="183"/>
      <c r="L21" s="183"/>
      <c r="M21" s="183"/>
    </row>
    <row r="22" spans="1:13" ht="15.75">
      <c r="A22" s="79">
        <f t="shared" si="0"/>
        <v>48</v>
      </c>
      <c r="B22" s="187">
        <v>20</v>
      </c>
      <c r="C22" s="186" t="s">
        <v>967</v>
      </c>
      <c r="D22" s="187">
        <v>100014</v>
      </c>
      <c r="E22" s="190" t="s">
        <v>917</v>
      </c>
      <c r="F22" s="191" t="s">
        <v>114</v>
      </c>
      <c r="G22" s="193" t="s">
        <v>1731</v>
      </c>
      <c r="H22" s="81" t="s">
        <v>918</v>
      </c>
      <c r="I22" s="190" t="s">
        <v>2082</v>
      </c>
      <c r="J22" s="184"/>
      <c r="K22" s="183"/>
      <c r="L22" s="183"/>
      <c r="M22" s="183"/>
    </row>
    <row r="23" spans="1:13" ht="15.75">
      <c r="A23" s="79">
        <f t="shared" si="0"/>
        <v>144</v>
      </c>
      <c r="B23" s="187">
        <v>21</v>
      </c>
      <c r="C23" s="186" t="s">
        <v>1063</v>
      </c>
      <c r="D23" s="187">
        <v>100038</v>
      </c>
      <c r="E23" s="190" t="s">
        <v>427</v>
      </c>
      <c r="F23" s="191" t="s">
        <v>60</v>
      </c>
      <c r="G23" s="193" t="s">
        <v>291</v>
      </c>
      <c r="H23" s="81" t="s">
        <v>918</v>
      </c>
      <c r="I23" s="190" t="s">
        <v>2088</v>
      </c>
      <c r="J23" s="183"/>
      <c r="K23" s="183"/>
      <c r="L23" s="183"/>
      <c r="M23" s="183"/>
    </row>
    <row r="24" spans="1:13" ht="15.75">
      <c r="A24" s="79">
        <f t="shared" si="0"/>
        <v>1</v>
      </c>
      <c r="B24" s="187">
        <v>22</v>
      </c>
      <c r="C24" s="186" t="s">
        <v>920</v>
      </c>
      <c r="D24" s="187">
        <v>100135</v>
      </c>
      <c r="E24" s="190" t="s">
        <v>428</v>
      </c>
      <c r="F24" s="191" t="s">
        <v>60</v>
      </c>
      <c r="G24" s="193" t="s">
        <v>1694</v>
      </c>
      <c r="H24" s="81" t="s">
        <v>918</v>
      </c>
      <c r="I24" s="190" t="s">
        <v>2080</v>
      </c>
      <c r="J24" s="183"/>
      <c r="K24" s="183"/>
      <c r="L24" s="183"/>
      <c r="M24" s="183"/>
    </row>
    <row r="25" spans="1:13" ht="30">
      <c r="A25" s="79">
        <f t="shared" si="0"/>
        <v>89</v>
      </c>
      <c r="B25" s="187">
        <v>23</v>
      </c>
      <c r="C25" s="186" t="s">
        <v>1008</v>
      </c>
      <c r="D25" s="187">
        <v>100159</v>
      </c>
      <c r="E25" s="190" t="s">
        <v>429</v>
      </c>
      <c r="F25" s="191" t="s">
        <v>60</v>
      </c>
      <c r="G25" s="193" t="s">
        <v>1758</v>
      </c>
      <c r="H25" s="81" t="s">
        <v>918</v>
      </c>
      <c r="I25" s="190" t="s">
        <v>2086</v>
      </c>
      <c r="J25" s="183"/>
      <c r="K25" s="183"/>
      <c r="L25" s="183"/>
      <c r="M25" s="183"/>
    </row>
    <row r="26" spans="1:13" ht="15.75">
      <c r="A26" s="79">
        <f t="shared" si="0"/>
        <v>145</v>
      </c>
      <c r="B26" s="187">
        <v>24</v>
      </c>
      <c r="C26" s="186" t="s">
        <v>1064</v>
      </c>
      <c r="D26" s="187">
        <v>100166</v>
      </c>
      <c r="E26" s="190" t="s">
        <v>430</v>
      </c>
      <c r="F26" s="191" t="s">
        <v>60</v>
      </c>
      <c r="G26" s="193" t="s">
        <v>1792</v>
      </c>
      <c r="H26" s="81" t="s">
        <v>918</v>
      </c>
      <c r="I26" s="190" t="s">
        <v>2088</v>
      </c>
      <c r="J26" s="183"/>
      <c r="K26" s="183"/>
      <c r="L26" s="183"/>
      <c r="M26" s="183"/>
    </row>
    <row r="27" spans="1:13" ht="15.75">
      <c r="A27" s="79">
        <f t="shared" si="0"/>
        <v>165</v>
      </c>
      <c r="B27" s="187">
        <v>25</v>
      </c>
      <c r="C27" s="186" t="s">
        <v>1084</v>
      </c>
      <c r="D27" s="187">
        <v>100249</v>
      </c>
      <c r="E27" s="190" t="s">
        <v>431</v>
      </c>
      <c r="F27" s="191" t="s">
        <v>114</v>
      </c>
      <c r="G27" s="193" t="s">
        <v>1807</v>
      </c>
      <c r="H27" s="81" t="s">
        <v>918</v>
      </c>
      <c r="I27" s="190" t="s">
        <v>2090</v>
      </c>
      <c r="J27" s="184"/>
      <c r="K27" s="183"/>
      <c r="L27" s="183"/>
      <c r="M27" s="183"/>
    </row>
    <row r="28" spans="1:13" ht="30">
      <c r="A28" s="79">
        <f t="shared" si="0"/>
        <v>620</v>
      </c>
      <c r="B28" s="187">
        <v>26</v>
      </c>
      <c r="C28" s="186" t="s">
        <v>1539</v>
      </c>
      <c r="D28" s="187">
        <v>100270</v>
      </c>
      <c r="E28" s="190" t="s">
        <v>432</v>
      </c>
      <c r="F28" s="191" t="s">
        <v>60</v>
      </c>
      <c r="G28" s="193" t="s">
        <v>355</v>
      </c>
      <c r="H28" s="81" t="s">
        <v>918</v>
      </c>
      <c r="I28" s="190" t="s">
        <v>2096</v>
      </c>
      <c r="J28" s="183"/>
      <c r="K28" s="183"/>
      <c r="L28" s="183"/>
      <c r="M28" s="183"/>
    </row>
    <row r="29" spans="1:13" ht="15.75">
      <c r="A29" s="79">
        <f t="shared" si="0"/>
        <v>166</v>
      </c>
      <c r="B29" s="187">
        <v>27</v>
      </c>
      <c r="C29" s="186" t="s">
        <v>1085</v>
      </c>
      <c r="D29" s="187">
        <v>100346</v>
      </c>
      <c r="E29" s="190" t="s">
        <v>433</v>
      </c>
      <c r="F29" s="191" t="s">
        <v>114</v>
      </c>
      <c r="G29" s="193" t="s">
        <v>235</v>
      </c>
      <c r="H29" s="81" t="s">
        <v>918</v>
      </c>
      <c r="I29" s="190" t="s">
        <v>2090</v>
      </c>
      <c r="J29" s="184"/>
      <c r="K29" s="183"/>
      <c r="L29" s="183"/>
      <c r="M29" s="183"/>
    </row>
    <row r="30" spans="1:13" ht="15.75">
      <c r="A30" s="79">
        <f t="shared" si="0"/>
        <v>338</v>
      </c>
      <c r="B30" s="187">
        <v>28</v>
      </c>
      <c r="C30" s="186" t="s">
        <v>1257</v>
      </c>
      <c r="D30" s="187">
        <v>100360</v>
      </c>
      <c r="E30" s="190" t="s">
        <v>434</v>
      </c>
      <c r="F30" s="191" t="s">
        <v>60</v>
      </c>
      <c r="G30" s="193" t="s">
        <v>178</v>
      </c>
      <c r="H30" s="81" t="s">
        <v>918</v>
      </c>
      <c r="I30" s="190" t="s">
        <v>2094</v>
      </c>
      <c r="J30" s="184"/>
      <c r="K30" s="183"/>
      <c r="L30" s="183"/>
      <c r="M30" s="183"/>
    </row>
    <row r="31" spans="1:13" ht="15.75">
      <c r="A31" s="79">
        <f t="shared" si="0"/>
        <v>130</v>
      </c>
      <c r="B31" s="187">
        <v>29</v>
      </c>
      <c r="C31" s="186" t="s">
        <v>1049</v>
      </c>
      <c r="D31" s="187">
        <v>100384</v>
      </c>
      <c r="E31" s="190" t="s">
        <v>435</v>
      </c>
      <c r="F31" s="191" t="s">
        <v>60</v>
      </c>
      <c r="G31" s="193" t="s">
        <v>227</v>
      </c>
      <c r="H31" s="81" t="s">
        <v>918</v>
      </c>
      <c r="I31" s="190" t="s">
        <v>2087</v>
      </c>
      <c r="J31" s="183"/>
      <c r="K31" s="183"/>
      <c r="L31" s="183"/>
      <c r="M31" s="183"/>
    </row>
    <row r="32" spans="1:13" ht="15.75">
      <c r="A32" s="79">
        <f t="shared" si="0"/>
        <v>458</v>
      </c>
      <c r="B32" s="187">
        <v>30</v>
      </c>
      <c r="C32" s="186" t="s">
        <v>1377</v>
      </c>
      <c r="D32" s="187">
        <v>100391</v>
      </c>
      <c r="E32" s="190" t="s">
        <v>436</v>
      </c>
      <c r="F32" s="191" t="s">
        <v>60</v>
      </c>
      <c r="G32" s="193" t="s">
        <v>1961</v>
      </c>
      <c r="H32" s="81" t="s">
        <v>918</v>
      </c>
      <c r="I32" s="190" t="s">
        <v>2095</v>
      </c>
      <c r="J32" s="183"/>
      <c r="K32" s="183"/>
      <c r="L32" s="183"/>
      <c r="M32" s="183"/>
    </row>
    <row r="33" spans="1:13" ht="15.75">
      <c r="A33" s="79">
        <f t="shared" si="0"/>
        <v>339</v>
      </c>
      <c r="B33" s="187">
        <v>31</v>
      </c>
      <c r="C33" s="186" t="s">
        <v>1258</v>
      </c>
      <c r="D33" s="187">
        <v>100429</v>
      </c>
      <c r="E33" s="190" t="s">
        <v>437</v>
      </c>
      <c r="F33" s="191" t="s">
        <v>60</v>
      </c>
      <c r="G33" s="193" t="s">
        <v>1897</v>
      </c>
      <c r="H33" s="81" t="s">
        <v>918</v>
      </c>
      <c r="I33" s="190" t="s">
        <v>2094</v>
      </c>
      <c r="J33" s="183"/>
      <c r="K33" s="183"/>
      <c r="L33" s="183"/>
      <c r="M33" s="183"/>
    </row>
    <row r="34" spans="1:13" ht="15.75">
      <c r="A34" s="79">
        <f t="shared" si="0"/>
        <v>459</v>
      </c>
      <c r="B34" s="187">
        <v>32</v>
      </c>
      <c r="C34" s="186" t="s">
        <v>1378</v>
      </c>
      <c r="D34" s="187">
        <v>100450</v>
      </c>
      <c r="E34" s="190" t="s">
        <v>438</v>
      </c>
      <c r="F34" s="191" t="s">
        <v>60</v>
      </c>
      <c r="G34" s="193" t="s">
        <v>152</v>
      </c>
      <c r="H34" s="81" t="s">
        <v>918</v>
      </c>
      <c r="I34" s="190" t="s">
        <v>2095</v>
      </c>
      <c r="J34" s="183"/>
      <c r="K34" s="183"/>
      <c r="L34" s="183"/>
      <c r="M34" s="183"/>
    </row>
    <row r="35" spans="1:13" ht="30">
      <c r="A35" s="79">
        <f t="shared" si="0"/>
        <v>58</v>
      </c>
      <c r="B35" s="187">
        <v>33</v>
      </c>
      <c r="C35" s="186" t="s">
        <v>977</v>
      </c>
      <c r="D35" s="187">
        <v>100467</v>
      </c>
      <c r="E35" s="190" t="s">
        <v>439</v>
      </c>
      <c r="F35" s="191" t="s">
        <v>60</v>
      </c>
      <c r="G35" s="193" t="s">
        <v>270</v>
      </c>
      <c r="H35" s="81" t="s">
        <v>918</v>
      </c>
      <c r="I35" s="190" t="s">
        <v>2083</v>
      </c>
      <c r="J35" s="184"/>
      <c r="K35" s="183"/>
      <c r="L35" s="183"/>
      <c r="M35" s="183"/>
    </row>
    <row r="36" spans="1:13" ht="15.75">
      <c r="A36" s="79">
        <f t="shared" si="0"/>
        <v>2</v>
      </c>
      <c r="B36" s="187">
        <v>34</v>
      </c>
      <c r="C36" s="186" t="s">
        <v>921</v>
      </c>
      <c r="D36" s="187">
        <v>100474</v>
      </c>
      <c r="E36" s="190" t="s">
        <v>440</v>
      </c>
      <c r="F36" s="191" t="s">
        <v>114</v>
      </c>
      <c r="G36" s="193" t="s">
        <v>174</v>
      </c>
      <c r="H36" s="81" t="s">
        <v>918</v>
      </c>
      <c r="I36" s="190" t="s">
        <v>2080</v>
      </c>
      <c r="J36" s="183"/>
      <c r="K36" s="183"/>
      <c r="L36" s="183"/>
      <c r="M36" s="183"/>
    </row>
    <row r="37" spans="1:13" ht="15.75">
      <c r="A37" s="79">
        <f t="shared" si="0"/>
        <v>203</v>
      </c>
      <c r="B37" s="187">
        <v>35</v>
      </c>
      <c r="C37" s="186" t="s">
        <v>1122</v>
      </c>
      <c r="D37" s="187">
        <v>100481</v>
      </c>
      <c r="E37" s="190" t="s">
        <v>441</v>
      </c>
      <c r="F37" s="191" t="s">
        <v>60</v>
      </c>
      <c r="G37" s="193" t="s">
        <v>1831</v>
      </c>
      <c r="H37" s="81" t="s">
        <v>918</v>
      </c>
      <c r="I37" s="190" t="s">
        <v>2093</v>
      </c>
      <c r="J37" s="183"/>
      <c r="K37" s="183"/>
      <c r="L37" s="183"/>
      <c r="M37" s="183"/>
    </row>
    <row r="38" spans="1:13" ht="15.75">
      <c r="A38" s="79">
        <f t="shared" si="0"/>
        <v>204</v>
      </c>
      <c r="B38" s="187">
        <v>36</v>
      </c>
      <c r="C38" s="186" t="s">
        <v>1123</v>
      </c>
      <c r="D38" s="187">
        <v>100498</v>
      </c>
      <c r="E38" s="190" t="s">
        <v>442</v>
      </c>
      <c r="F38" s="191" t="s">
        <v>60</v>
      </c>
      <c r="G38" s="193" t="s">
        <v>1832</v>
      </c>
      <c r="H38" s="81" t="s">
        <v>918</v>
      </c>
      <c r="I38" s="190" t="s">
        <v>2093</v>
      </c>
      <c r="J38" s="183"/>
      <c r="K38" s="183"/>
      <c r="L38" s="183"/>
      <c r="M38" s="183"/>
    </row>
    <row r="39" spans="1:13" ht="15.75">
      <c r="A39" s="79">
        <f t="shared" si="0"/>
        <v>131</v>
      </c>
      <c r="B39" s="187">
        <v>37</v>
      </c>
      <c r="C39" s="186" t="s">
        <v>1050</v>
      </c>
      <c r="D39" s="187">
        <v>100519</v>
      </c>
      <c r="E39" s="190" t="s">
        <v>443</v>
      </c>
      <c r="F39" s="191" t="s">
        <v>60</v>
      </c>
      <c r="G39" s="193" t="s">
        <v>166</v>
      </c>
      <c r="H39" s="81" t="s">
        <v>918</v>
      </c>
      <c r="I39" s="190" t="s">
        <v>2087</v>
      </c>
      <c r="J39" s="183"/>
      <c r="K39" s="183"/>
      <c r="L39" s="183"/>
      <c r="M39" s="183"/>
    </row>
    <row r="40" spans="1:13" ht="15.75">
      <c r="A40" s="79">
        <f t="shared" si="0"/>
        <v>3</v>
      </c>
      <c r="B40" s="187">
        <v>38</v>
      </c>
      <c r="C40" s="186" t="s">
        <v>922</v>
      </c>
      <c r="D40" s="187">
        <v>100557</v>
      </c>
      <c r="E40" s="190" t="s">
        <v>444</v>
      </c>
      <c r="F40" s="191" t="s">
        <v>60</v>
      </c>
      <c r="G40" s="193" t="s">
        <v>332</v>
      </c>
      <c r="H40" s="81" t="s">
        <v>918</v>
      </c>
      <c r="I40" s="190" t="s">
        <v>2080</v>
      </c>
      <c r="J40" s="183"/>
      <c r="K40" s="183"/>
      <c r="L40" s="183"/>
      <c r="M40" s="183"/>
    </row>
    <row r="41" spans="1:13" ht="30">
      <c r="A41" s="79">
        <f t="shared" si="0"/>
        <v>59</v>
      </c>
      <c r="B41" s="187">
        <v>39</v>
      </c>
      <c r="C41" s="186" t="s">
        <v>978</v>
      </c>
      <c r="D41" s="187">
        <v>100595</v>
      </c>
      <c r="E41" s="190" t="s">
        <v>445</v>
      </c>
      <c r="F41" s="191" t="s">
        <v>114</v>
      </c>
      <c r="G41" s="193" t="s">
        <v>1739</v>
      </c>
      <c r="H41" s="81" t="s">
        <v>918</v>
      </c>
      <c r="I41" s="190" t="s">
        <v>2083</v>
      </c>
      <c r="J41" s="183"/>
      <c r="K41" s="183"/>
      <c r="L41" s="183"/>
      <c r="M41" s="183"/>
    </row>
    <row r="42" spans="1:13" ht="15.75">
      <c r="A42" s="79">
        <f t="shared" si="0"/>
        <v>460</v>
      </c>
      <c r="B42" s="187">
        <v>40</v>
      </c>
      <c r="C42" s="186" t="s">
        <v>1379</v>
      </c>
      <c r="D42" s="187">
        <v>100630</v>
      </c>
      <c r="E42" s="190" t="s">
        <v>446</v>
      </c>
      <c r="F42" s="191" t="s">
        <v>60</v>
      </c>
      <c r="G42" s="193" t="s">
        <v>1962</v>
      </c>
      <c r="H42" s="81" t="s">
        <v>918</v>
      </c>
      <c r="I42" s="190" t="s">
        <v>2095</v>
      </c>
      <c r="J42" s="183"/>
      <c r="K42" s="183"/>
      <c r="L42" s="183"/>
      <c r="M42" s="183"/>
    </row>
    <row r="43" spans="1:13" ht="15.75">
      <c r="A43" s="79">
        <f t="shared" si="0"/>
        <v>461</v>
      </c>
      <c r="B43" s="187">
        <v>41</v>
      </c>
      <c r="C43" s="186" t="s">
        <v>1380</v>
      </c>
      <c r="D43" s="187">
        <v>100647</v>
      </c>
      <c r="E43" s="190" t="s">
        <v>447</v>
      </c>
      <c r="F43" s="191" t="s">
        <v>60</v>
      </c>
      <c r="G43" s="193" t="s">
        <v>147</v>
      </c>
      <c r="H43" s="81" t="s">
        <v>918</v>
      </c>
      <c r="I43" s="190" t="s">
        <v>2095</v>
      </c>
      <c r="J43" s="183"/>
      <c r="K43" s="183"/>
      <c r="L43" s="183"/>
      <c r="M43" s="183"/>
    </row>
    <row r="44" spans="1:13" ht="15.75">
      <c r="A44" s="79">
        <f t="shared" si="0"/>
        <v>647</v>
      </c>
      <c r="B44" s="187">
        <v>42</v>
      </c>
      <c r="C44" s="186" t="s">
        <v>1566</v>
      </c>
      <c r="D44" s="187">
        <v>100661</v>
      </c>
      <c r="E44" s="190" t="s">
        <v>448</v>
      </c>
      <c r="F44" s="191" t="s">
        <v>60</v>
      </c>
      <c r="G44" s="193" t="s">
        <v>244</v>
      </c>
      <c r="H44" s="81" t="s">
        <v>918</v>
      </c>
      <c r="I44" s="190" t="s">
        <v>2097</v>
      </c>
      <c r="J44" s="183"/>
      <c r="K44" s="183"/>
      <c r="L44" s="183"/>
      <c r="M44" s="183"/>
    </row>
    <row r="45" spans="1:13" ht="30">
      <c r="A45" s="79">
        <f t="shared" si="0"/>
        <v>60</v>
      </c>
      <c r="B45" s="187">
        <v>43</v>
      </c>
      <c r="C45" s="186" t="s">
        <v>979</v>
      </c>
      <c r="D45" s="187">
        <v>100692</v>
      </c>
      <c r="E45" s="190" t="s">
        <v>449</v>
      </c>
      <c r="F45" s="191" t="s">
        <v>60</v>
      </c>
      <c r="G45" s="193" t="s">
        <v>212</v>
      </c>
      <c r="H45" s="81" t="s">
        <v>918</v>
      </c>
      <c r="I45" s="190" t="s">
        <v>2083</v>
      </c>
      <c r="J45" s="184"/>
      <c r="K45" s="183"/>
      <c r="L45" s="183"/>
      <c r="M45" s="183"/>
    </row>
    <row r="46" spans="1:13" ht="15.75">
      <c r="A46" s="79">
        <f t="shared" si="0"/>
        <v>4</v>
      </c>
      <c r="B46" s="187">
        <v>44</v>
      </c>
      <c r="C46" s="186" t="s">
        <v>923</v>
      </c>
      <c r="D46" s="187">
        <v>100751</v>
      </c>
      <c r="E46" s="190" t="s">
        <v>451</v>
      </c>
      <c r="F46" s="191" t="s">
        <v>60</v>
      </c>
      <c r="G46" s="193" t="s">
        <v>362</v>
      </c>
      <c r="H46" s="81" t="s">
        <v>918</v>
      </c>
      <c r="I46" s="190" t="s">
        <v>2080</v>
      </c>
      <c r="J46" s="183"/>
      <c r="K46" s="183"/>
      <c r="L46" s="183"/>
      <c r="M46" s="183"/>
    </row>
    <row r="47" spans="1:13" ht="15.75">
      <c r="A47" s="79">
        <f t="shared" si="0"/>
        <v>5</v>
      </c>
      <c r="B47" s="187">
        <v>45</v>
      </c>
      <c r="C47" s="186" t="s">
        <v>924</v>
      </c>
      <c r="D47" s="187">
        <v>100768</v>
      </c>
      <c r="E47" s="190" t="s">
        <v>452</v>
      </c>
      <c r="F47" s="191" t="s">
        <v>60</v>
      </c>
      <c r="G47" s="193" t="s">
        <v>240</v>
      </c>
      <c r="H47" s="81" t="s">
        <v>918</v>
      </c>
      <c r="I47" s="190" t="s">
        <v>2080</v>
      </c>
      <c r="J47" s="183"/>
      <c r="K47" s="183"/>
      <c r="L47" s="183"/>
      <c r="M47" s="183"/>
    </row>
    <row r="48" spans="1:13" ht="30">
      <c r="A48" s="79">
        <f t="shared" si="0"/>
        <v>155</v>
      </c>
      <c r="B48" s="187">
        <v>46</v>
      </c>
      <c r="C48" s="186" t="s">
        <v>1074</v>
      </c>
      <c r="D48" s="187">
        <v>100799</v>
      </c>
      <c r="E48" s="190" t="s">
        <v>453</v>
      </c>
      <c r="F48" s="191" t="s">
        <v>114</v>
      </c>
      <c r="G48" s="193" t="s">
        <v>1800</v>
      </c>
      <c r="H48" s="81" t="s">
        <v>918</v>
      </c>
      <c r="I48" s="190" t="s">
        <v>2089</v>
      </c>
      <c r="J48" s="184"/>
      <c r="K48" s="183"/>
      <c r="L48" s="183"/>
      <c r="M48" s="183"/>
    </row>
    <row r="49" spans="1:13" ht="15.75">
      <c r="A49" s="79">
        <f t="shared" si="0"/>
        <v>6</v>
      </c>
      <c r="B49" s="187">
        <v>47</v>
      </c>
      <c r="C49" s="186" t="s">
        <v>925</v>
      </c>
      <c r="D49" s="187">
        <v>100803</v>
      </c>
      <c r="E49" s="190" t="s">
        <v>454</v>
      </c>
      <c r="F49" s="191" t="s">
        <v>60</v>
      </c>
      <c r="G49" s="193" t="s">
        <v>1695</v>
      </c>
      <c r="H49" s="81" t="s">
        <v>918</v>
      </c>
      <c r="I49" s="190" t="s">
        <v>2080</v>
      </c>
      <c r="J49" s="183"/>
      <c r="K49" s="183"/>
      <c r="L49" s="183"/>
      <c r="M49" s="183"/>
    </row>
    <row r="50" spans="1:13" ht="15.75">
      <c r="A50" s="79">
        <f t="shared" si="0"/>
        <v>340</v>
      </c>
      <c r="B50" s="187">
        <v>48</v>
      </c>
      <c r="C50" s="186" t="s">
        <v>1259</v>
      </c>
      <c r="D50" s="187">
        <v>100979</v>
      </c>
      <c r="E50" s="190" t="s">
        <v>455</v>
      </c>
      <c r="F50" s="191" t="s">
        <v>114</v>
      </c>
      <c r="G50" s="193" t="s">
        <v>246</v>
      </c>
      <c r="H50" s="81" t="s">
        <v>918</v>
      </c>
      <c r="I50" s="190" t="s">
        <v>2094</v>
      </c>
      <c r="J50" s="184"/>
      <c r="K50" s="183"/>
      <c r="L50" s="183"/>
      <c r="M50" s="183"/>
    </row>
    <row r="51" spans="1:13" ht="15.75">
      <c r="A51" s="79">
        <f t="shared" si="0"/>
        <v>341</v>
      </c>
      <c r="B51" s="187">
        <v>49</v>
      </c>
      <c r="C51" s="186" t="s">
        <v>1260</v>
      </c>
      <c r="D51" s="187">
        <v>100986</v>
      </c>
      <c r="E51" s="190" t="s">
        <v>456</v>
      </c>
      <c r="F51" s="191" t="s">
        <v>114</v>
      </c>
      <c r="G51" s="193" t="s">
        <v>254</v>
      </c>
      <c r="H51" s="81" t="s">
        <v>918</v>
      </c>
      <c r="I51" s="190" t="s">
        <v>2094</v>
      </c>
      <c r="J51" s="184"/>
      <c r="K51" s="183"/>
      <c r="L51" s="183"/>
      <c r="M51" s="183"/>
    </row>
    <row r="52" spans="1:13" ht="15.75">
      <c r="A52" s="79">
        <f t="shared" si="0"/>
        <v>462</v>
      </c>
      <c r="B52" s="187">
        <v>50</v>
      </c>
      <c r="C52" s="186" t="s">
        <v>1381</v>
      </c>
      <c r="D52" s="187">
        <v>100993</v>
      </c>
      <c r="E52" s="190" t="s">
        <v>457</v>
      </c>
      <c r="F52" s="191" t="s">
        <v>114</v>
      </c>
      <c r="G52" s="193" t="s">
        <v>1963</v>
      </c>
      <c r="H52" s="81" t="s">
        <v>918</v>
      </c>
      <c r="I52" s="190" t="s">
        <v>2095</v>
      </c>
      <c r="J52" s="184"/>
      <c r="K52" s="183"/>
      <c r="L52" s="183"/>
      <c r="M52" s="183"/>
    </row>
    <row r="53" spans="1:13" ht="15.75">
      <c r="A53" s="79">
        <f t="shared" si="0"/>
        <v>205</v>
      </c>
      <c r="B53" s="187">
        <v>51</v>
      </c>
      <c r="C53" s="186" t="s">
        <v>1124</v>
      </c>
      <c r="D53" s="187">
        <v>101004</v>
      </c>
      <c r="E53" s="190" t="s">
        <v>458</v>
      </c>
      <c r="F53" s="191" t="s">
        <v>114</v>
      </c>
      <c r="G53" s="193" t="s">
        <v>313</v>
      </c>
      <c r="H53" s="81" t="s">
        <v>918</v>
      </c>
      <c r="I53" s="190" t="s">
        <v>2093</v>
      </c>
      <c r="J53" s="184"/>
      <c r="K53" s="183"/>
      <c r="L53" s="183"/>
      <c r="M53" s="183"/>
    </row>
    <row r="54" spans="1:13" ht="15.75">
      <c r="A54" s="79">
        <f t="shared" si="0"/>
        <v>342</v>
      </c>
      <c r="B54" s="187">
        <v>52</v>
      </c>
      <c r="C54" s="186" t="s">
        <v>1261</v>
      </c>
      <c r="D54" s="187">
        <v>101035</v>
      </c>
      <c r="E54" s="190" t="s">
        <v>459</v>
      </c>
      <c r="F54" s="191" t="s">
        <v>114</v>
      </c>
      <c r="G54" s="193" t="s">
        <v>151</v>
      </c>
      <c r="H54" s="81" t="s">
        <v>918</v>
      </c>
      <c r="I54" s="190" t="s">
        <v>2094</v>
      </c>
      <c r="J54" s="183"/>
      <c r="K54" s="183"/>
      <c r="L54" s="183"/>
      <c r="M54" s="183"/>
    </row>
    <row r="55" spans="1:13" ht="15.75">
      <c r="A55" s="79">
        <f t="shared" si="0"/>
        <v>206</v>
      </c>
      <c r="B55" s="187">
        <v>53</v>
      </c>
      <c r="C55" s="186" t="s">
        <v>1125</v>
      </c>
      <c r="D55" s="187">
        <v>101059</v>
      </c>
      <c r="E55" s="190" t="s">
        <v>460</v>
      </c>
      <c r="F55" s="191" t="s">
        <v>114</v>
      </c>
      <c r="G55" s="193" t="s">
        <v>194</v>
      </c>
      <c r="H55" s="81" t="s">
        <v>918</v>
      </c>
      <c r="I55" s="190" t="s">
        <v>2093</v>
      </c>
      <c r="J55" s="183"/>
      <c r="K55" s="183"/>
      <c r="L55" s="183"/>
      <c r="M55" s="183"/>
    </row>
    <row r="56" spans="1:13" ht="15.75">
      <c r="A56" s="79">
        <f t="shared" si="0"/>
        <v>49</v>
      </c>
      <c r="B56" s="187">
        <v>54</v>
      </c>
      <c r="C56" s="186" t="s">
        <v>968</v>
      </c>
      <c r="D56" s="187">
        <v>101080</v>
      </c>
      <c r="E56" s="190" t="s">
        <v>461</v>
      </c>
      <c r="F56" s="191" t="s">
        <v>114</v>
      </c>
      <c r="G56" s="193" t="s">
        <v>371</v>
      </c>
      <c r="H56" s="81" t="s">
        <v>918</v>
      </c>
      <c r="I56" s="190" t="s">
        <v>2082</v>
      </c>
      <c r="J56" s="184"/>
      <c r="K56" s="183"/>
      <c r="L56" s="183"/>
      <c r="M56" s="183"/>
    </row>
    <row r="57" spans="1:13" ht="15.75">
      <c r="A57" s="79">
        <f t="shared" si="0"/>
        <v>463</v>
      </c>
      <c r="B57" s="187">
        <v>55</v>
      </c>
      <c r="C57" s="186" t="s">
        <v>1382</v>
      </c>
      <c r="D57" s="187">
        <v>101097</v>
      </c>
      <c r="E57" s="190" t="s">
        <v>462</v>
      </c>
      <c r="F57" s="191" t="s">
        <v>114</v>
      </c>
      <c r="G57" s="193" t="s">
        <v>1964</v>
      </c>
      <c r="H57" s="81" t="s">
        <v>918</v>
      </c>
      <c r="I57" s="190" t="s">
        <v>2095</v>
      </c>
      <c r="J57" s="183"/>
      <c r="K57" s="183"/>
      <c r="L57" s="183"/>
      <c r="M57" s="183"/>
    </row>
    <row r="58" spans="1:13" ht="15.75">
      <c r="A58" s="79">
        <f t="shared" si="0"/>
        <v>648</v>
      </c>
      <c r="B58" s="187">
        <v>56</v>
      </c>
      <c r="C58" s="186" t="s">
        <v>1567</v>
      </c>
      <c r="D58" s="187">
        <v>101194</v>
      </c>
      <c r="E58" s="190" t="s">
        <v>463</v>
      </c>
      <c r="F58" s="191" t="s">
        <v>60</v>
      </c>
      <c r="G58" s="193" t="s">
        <v>322</v>
      </c>
      <c r="H58" s="81" t="s">
        <v>918</v>
      </c>
      <c r="I58" s="190" t="s">
        <v>2097</v>
      </c>
      <c r="J58" s="183"/>
      <c r="K58" s="183"/>
      <c r="L58" s="183"/>
      <c r="M58" s="183"/>
    </row>
    <row r="59" spans="1:13" ht="30">
      <c r="A59" s="79">
        <f t="shared" si="0"/>
        <v>156</v>
      </c>
      <c r="B59" s="187">
        <v>57</v>
      </c>
      <c r="C59" s="186" t="s">
        <v>1075</v>
      </c>
      <c r="D59" s="187">
        <v>101208</v>
      </c>
      <c r="E59" s="190" t="s">
        <v>464</v>
      </c>
      <c r="F59" s="191" t="s">
        <v>114</v>
      </c>
      <c r="G59" s="193" t="s">
        <v>1761</v>
      </c>
      <c r="H59" s="81" t="s">
        <v>918</v>
      </c>
      <c r="I59" s="190" t="s">
        <v>2089</v>
      </c>
      <c r="J59" s="184"/>
      <c r="K59" s="183"/>
      <c r="L59" s="183"/>
      <c r="M59" s="183"/>
    </row>
    <row r="60" spans="1:13" ht="15.75">
      <c r="A60" s="79">
        <f t="shared" si="0"/>
        <v>207</v>
      </c>
      <c r="B60" s="187">
        <v>58</v>
      </c>
      <c r="C60" s="186" t="s">
        <v>1126</v>
      </c>
      <c r="D60" s="187">
        <v>101222</v>
      </c>
      <c r="E60" s="190" t="s">
        <v>465</v>
      </c>
      <c r="F60" s="191" t="s">
        <v>60</v>
      </c>
      <c r="G60" s="193" t="s">
        <v>152</v>
      </c>
      <c r="H60" s="81" t="s">
        <v>918</v>
      </c>
      <c r="I60" s="190" t="s">
        <v>2093</v>
      </c>
      <c r="J60" s="183"/>
      <c r="K60" s="183"/>
      <c r="L60" s="183"/>
      <c r="M60" s="183"/>
    </row>
    <row r="61" spans="1:13" ht="15.75">
      <c r="A61" s="79">
        <f t="shared" si="0"/>
        <v>208</v>
      </c>
      <c r="B61" s="187">
        <v>59</v>
      </c>
      <c r="C61" s="186" t="s">
        <v>1127</v>
      </c>
      <c r="D61" s="187">
        <v>101239</v>
      </c>
      <c r="E61" s="190" t="s">
        <v>466</v>
      </c>
      <c r="F61" s="191" t="s">
        <v>60</v>
      </c>
      <c r="G61" s="193" t="s">
        <v>164</v>
      </c>
      <c r="H61" s="81" t="s">
        <v>918</v>
      </c>
      <c r="I61" s="190" t="s">
        <v>2093</v>
      </c>
      <c r="J61" s="183"/>
      <c r="K61" s="183"/>
      <c r="L61" s="183"/>
      <c r="M61" s="183"/>
    </row>
    <row r="62" spans="1:13" ht="15.75">
      <c r="A62" s="79">
        <f t="shared" si="0"/>
        <v>132</v>
      </c>
      <c r="B62" s="187">
        <v>60</v>
      </c>
      <c r="C62" s="186" t="s">
        <v>1051</v>
      </c>
      <c r="D62" s="187">
        <v>101246</v>
      </c>
      <c r="E62" s="190" t="s">
        <v>467</v>
      </c>
      <c r="F62" s="191" t="s">
        <v>60</v>
      </c>
      <c r="G62" s="193" t="s">
        <v>282</v>
      </c>
      <c r="H62" s="81" t="s">
        <v>918</v>
      </c>
      <c r="I62" s="190" t="s">
        <v>2087</v>
      </c>
      <c r="J62" s="184"/>
      <c r="K62" s="183"/>
      <c r="L62" s="183"/>
      <c r="M62" s="183"/>
    </row>
    <row r="63" spans="1:13" ht="15.75">
      <c r="A63" s="79">
        <f t="shared" si="0"/>
        <v>209</v>
      </c>
      <c r="B63" s="187">
        <v>61</v>
      </c>
      <c r="C63" s="186" t="s">
        <v>1128</v>
      </c>
      <c r="D63" s="187">
        <v>101253</v>
      </c>
      <c r="E63" s="190" t="s">
        <v>468</v>
      </c>
      <c r="F63" s="191" t="s">
        <v>60</v>
      </c>
      <c r="G63" s="193" t="s">
        <v>1833</v>
      </c>
      <c r="H63" s="81" t="s">
        <v>918</v>
      </c>
      <c r="I63" s="190" t="s">
        <v>2093</v>
      </c>
      <c r="J63" s="183"/>
      <c r="K63" s="183"/>
      <c r="L63" s="183"/>
      <c r="M63" s="183"/>
    </row>
    <row r="64" spans="1:13" ht="15.75">
      <c r="A64" s="79">
        <f t="shared" si="0"/>
        <v>210</v>
      </c>
      <c r="B64" s="187">
        <v>62</v>
      </c>
      <c r="C64" s="186" t="s">
        <v>1129</v>
      </c>
      <c r="D64" s="187">
        <v>101260</v>
      </c>
      <c r="E64" s="190" t="s">
        <v>469</v>
      </c>
      <c r="F64" s="191" t="s">
        <v>114</v>
      </c>
      <c r="G64" s="193" t="s">
        <v>252</v>
      </c>
      <c r="H64" s="81" t="s">
        <v>918</v>
      </c>
      <c r="I64" s="190" t="s">
        <v>2093</v>
      </c>
      <c r="J64" s="183"/>
      <c r="K64" s="183"/>
      <c r="L64" s="183"/>
      <c r="M64" s="183"/>
    </row>
    <row r="65" spans="1:13" ht="15.75">
      <c r="A65" s="79">
        <f t="shared" si="0"/>
        <v>343</v>
      </c>
      <c r="B65" s="187">
        <v>63</v>
      </c>
      <c r="C65" s="186" t="s">
        <v>1262</v>
      </c>
      <c r="D65" s="187">
        <v>101277</v>
      </c>
      <c r="E65" s="190" t="s">
        <v>470</v>
      </c>
      <c r="F65" s="191" t="s">
        <v>114</v>
      </c>
      <c r="G65" s="193" t="s">
        <v>304</v>
      </c>
      <c r="H65" s="81" t="s">
        <v>918</v>
      </c>
      <c r="I65" s="190" t="s">
        <v>2094</v>
      </c>
      <c r="J65" s="183"/>
      <c r="K65" s="183"/>
      <c r="L65" s="183"/>
      <c r="M65" s="183"/>
    </row>
    <row r="66" spans="1:13" ht="15.75">
      <c r="A66" s="79">
        <f t="shared" si="0"/>
        <v>211</v>
      </c>
      <c r="B66" s="187">
        <v>64</v>
      </c>
      <c r="C66" s="186" t="s">
        <v>1130</v>
      </c>
      <c r="D66" s="187">
        <v>101381</v>
      </c>
      <c r="E66" s="190" t="s">
        <v>471</v>
      </c>
      <c r="F66" s="191" t="s">
        <v>60</v>
      </c>
      <c r="G66" s="193" t="s">
        <v>1834</v>
      </c>
      <c r="H66" s="81" t="s">
        <v>918</v>
      </c>
      <c r="I66" s="190" t="s">
        <v>2093</v>
      </c>
      <c r="J66" s="183"/>
      <c r="K66" s="183"/>
      <c r="L66" s="183"/>
      <c r="M66" s="183"/>
    </row>
    <row r="67" spans="1:13" ht="15.75">
      <c r="A67" s="79">
        <f t="shared" ref="A67:A130" si="1">IFERROR(VALUE(RIGHT(C67,4)),"")</f>
        <v>212</v>
      </c>
      <c r="B67" s="187">
        <v>65</v>
      </c>
      <c r="C67" s="186" t="s">
        <v>1131</v>
      </c>
      <c r="D67" s="187">
        <v>101426</v>
      </c>
      <c r="E67" s="190" t="s">
        <v>472</v>
      </c>
      <c r="F67" s="191" t="s">
        <v>60</v>
      </c>
      <c r="G67" s="193" t="s">
        <v>312</v>
      </c>
      <c r="H67" s="81" t="s">
        <v>918</v>
      </c>
      <c r="I67" s="190" t="s">
        <v>2093</v>
      </c>
      <c r="J67" s="183"/>
      <c r="K67" s="183"/>
      <c r="L67" s="183"/>
      <c r="M67" s="183"/>
    </row>
    <row r="68" spans="1:13" ht="15.75">
      <c r="A68" s="79">
        <f t="shared" si="1"/>
        <v>464</v>
      </c>
      <c r="B68" s="187">
        <v>66</v>
      </c>
      <c r="C68" s="186" t="s">
        <v>1383</v>
      </c>
      <c r="D68" s="187">
        <v>101433</v>
      </c>
      <c r="E68" s="190" t="s">
        <v>473</v>
      </c>
      <c r="F68" s="191" t="s">
        <v>60</v>
      </c>
      <c r="G68" s="193" t="s">
        <v>1965</v>
      </c>
      <c r="H68" s="81" t="s">
        <v>918</v>
      </c>
      <c r="I68" s="190" t="s">
        <v>2095</v>
      </c>
      <c r="J68" s="184"/>
      <c r="K68" s="183"/>
      <c r="L68" s="183"/>
      <c r="M68" s="183"/>
    </row>
    <row r="69" spans="1:13" ht="15.75">
      <c r="A69" s="79">
        <f t="shared" si="1"/>
        <v>213</v>
      </c>
      <c r="B69" s="187">
        <v>67</v>
      </c>
      <c r="C69" s="186" t="s">
        <v>1132</v>
      </c>
      <c r="D69" s="187">
        <v>101495</v>
      </c>
      <c r="E69" s="190" t="s">
        <v>474</v>
      </c>
      <c r="F69" s="191" t="s">
        <v>114</v>
      </c>
      <c r="G69" s="193" t="s">
        <v>222</v>
      </c>
      <c r="H69" s="81" t="s">
        <v>918</v>
      </c>
      <c r="I69" s="190" t="s">
        <v>2093</v>
      </c>
      <c r="J69" s="183"/>
      <c r="K69" s="183"/>
      <c r="L69" s="183"/>
      <c r="M69" s="183"/>
    </row>
    <row r="70" spans="1:13" ht="15.75">
      <c r="A70" s="79">
        <f t="shared" si="1"/>
        <v>167</v>
      </c>
      <c r="B70" s="187">
        <v>68</v>
      </c>
      <c r="C70" s="186" t="s">
        <v>1086</v>
      </c>
      <c r="D70" s="187">
        <v>101644</v>
      </c>
      <c r="E70" s="190" t="s">
        <v>1610</v>
      </c>
      <c r="F70" s="191" t="s">
        <v>114</v>
      </c>
      <c r="G70" s="193" t="s">
        <v>366</v>
      </c>
      <c r="H70" s="81" t="s">
        <v>918</v>
      </c>
      <c r="I70" s="190" t="s">
        <v>2090</v>
      </c>
      <c r="J70" s="184"/>
      <c r="K70" s="183"/>
      <c r="L70" s="183"/>
      <c r="M70" s="183"/>
    </row>
    <row r="71" spans="1:13" ht="30">
      <c r="A71" s="79">
        <f t="shared" si="1"/>
        <v>90</v>
      </c>
      <c r="B71" s="187">
        <v>69</v>
      </c>
      <c r="C71" s="186" t="s">
        <v>1009</v>
      </c>
      <c r="D71" s="187">
        <v>101710</v>
      </c>
      <c r="E71" s="190" t="s">
        <v>476</v>
      </c>
      <c r="F71" s="191" t="s">
        <v>114</v>
      </c>
      <c r="G71" s="193" t="s">
        <v>1759</v>
      </c>
      <c r="H71" s="81" t="s">
        <v>918</v>
      </c>
      <c r="I71" s="190" t="s">
        <v>2086</v>
      </c>
      <c r="J71" s="183"/>
      <c r="K71" s="183"/>
      <c r="L71" s="183"/>
      <c r="M71" s="183"/>
    </row>
    <row r="72" spans="1:13" ht="30">
      <c r="A72" s="79">
        <f t="shared" si="1"/>
        <v>621</v>
      </c>
      <c r="B72" s="187">
        <v>70</v>
      </c>
      <c r="C72" s="186" t="s">
        <v>1540</v>
      </c>
      <c r="D72" s="187">
        <v>101727</v>
      </c>
      <c r="E72" s="190" t="s">
        <v>477</v>
      </c>
      <c r="F72" s="191" t="s">
        <v>114</v>
      </c>
      <c r="G72" s="193" t="s">
        <v>311</v>
      </c>
      <c r="H72" s="81" t="s">
        <v>918</v>
      </c>
      <c r="I72" s="190" t="s">
        <v>2096</v>
      </c>
      <c r="J72" s="183"/>
      <c r="K72" s="183"/>
      <c r="L72" s="183"/>
      <c r="M72" s="183"/>
    </row>
    <row r="73" spans="1:13" ht="30">
      <c r="A73" s="79">
        <f t="shared" si="1"/>
        <v>622</v>
      </c>
      <c r="B73" s="187">
        <v>71</v>
      </c>
      <c r="C73" s="186" t="s">
        <v>1541</v>
      </c>
      <c r="D73" s="187">
        <v>101758</v>
      </c>
      <c r="E73" s="190" t="s">
        <v>478</v>
      </c>
      <c r="F73" s="191" t="s">
        <v>60</v>
      </c>
      <c r="G73" s="193" t="s">
        <v>2059</v>
      </c>
      <c r="H73" s="81" t="s">
        <v>918</v>
      </c>
      <c r="I73" s="190" t="s">
        <v>2096</v>
      </c>
      <c r="J73" s="184"/>
      <c r="K73" s="183"/>
      <c r="L73" s="183"/>
      <c r="M73" s="183"/>
    </row>
    <row r="74" spans="1:13" ht="30">
      <c r="A74" s="79">
        <f t="shared" si="1"/>
        <v>91</v>
      </c>
      <c r="B74" s="187">
        <v>72</v>
      </c>
      <c r="C74" s="186" t="s">
        <v>1010</v>
      </c>
      <c r="D74" s="187">
        <v>101772</v>
      </c>
      <c r="E74" s="190" t="s">
        <v>479</v>
      </c>
      <c r="F74" s="191" t="s">
        <v>114</v>
      </c>
      <c r="G74" s="193" t="s">
        <v>1760</v>
      </c>
      <c r="H74" s="81" t="s">
        <v>918</v>
      </c>
      <c r="I74" s="190" t="s">
        <v>2086</v>
      </c>
      <c r="J74" s="183"/>
      <c r="K74" s="183"/>
      <c r="L74" s="183"/>
      <c r="M74" s="183"/>
    </row>
    <row r="75" spans="1:13" ht="30">
      <c r="A75" s="79">
        <f t="shared" si="1"/>
        <v>92</v>
      </c>
      <c r="B75" s="187">
        <v>73</v>
      </c>
      <c r="C75" s="186" t="s">
        <v>1011</v>
      </c>
      <c r="D75" s="187">
        <v>101817</v>
      </c>
      <c r="E75" s="190" t="s">
        <v>480</v>
      </c>
      <c r="F75" s="191" t="s">
        <v>114</v>
      </c>
      <c r="G75" s="193" t="s">
        <v>284</v>
      </c>
      <c r="H75" s="81" t="s">
        <v>918</v>
      </c>
      <c r="I75" s="190" t="s">
        <v>2086</v>
      </c>
      <c r="J75" s="183"/>
      <c r="K75" s="183"/>
      <c r="L75" s="183"/>
      <c r="M75" s="183"/>
    </row>
    <row r="76" spans="1:13" ht="30">
      <c r="A76" s="79">
        <f t="shared" si="1"/>
        <v>623</v>
      </c>
      <c r="B76" s="187">
        <v>74</v>
      </c>
      <c r="C76" s="186" t="s">
        <v>1542</v>
      </c>
      <c r="D76" s="187">
        <v>101824</v>
      </c>
      <c r="E76" s="190" t="s">
        <v>481</v>
      </c>
      <c r="F76" s="191" t="s">
        <v>114</v>
      </c>
      <c r="G76" s="193" t="s">
        <v>2060</v>
      </c>
      <c r="H76" s="81" t="s">
        <v>918</v>
      </c>
      <c r="I76" s="190" t="s">
        <v>2096</v>
      </c>
      <c r="J76" s="183"/>
      <c r="K76" s="183"/>
      <c r="L76" s="183"/>
      <c r="M76" s="183"/>
    </row>
    <row r="77" spans="1:13" ht="30">
      <c r="A77" s="79">
        <f t="shared" si="1"/>
        <v>93</v>
      </c>
      <c r="B77" s="187">
        <v>75</v>
      </c>
      <c r="C77" s="186" t="s">
        <v>1012</v>
      </c>
      <c r="D77" s="187">
        <v>101831</v>
      </c>
      <c r="E77" s="190" t="s">
        <v>482</v>
      </c>
      <c r="F77" s="191" t="s">
        <v>114</v>
      </c>
      <c r="G77" s="193" t="s">
        <v>161</v>
      </c>
      <c r="H77" s="81" t="s">
        <v>918</v>
      </c>
      <c r="I77" s="190" t="s">
        <v>2086</v>
      </c>
      <c r="J77" s="184"/>
      <c r="K77" s="183"/>
      <c r="L77" s="183"/>
      <c r="M77" s="183"/>
    </row>
    <row r="78" spans="1:13" ht="15.75">
      <c r="A78" s="79">
        <f t="shared" si="1"/>
        <v>146</v>
      </c>
      <c r="B78" s="187">
        <v>76</v>
      </c>
      <c r="C78" s="186" t="s">
        <v>1065</v>
      </c>
      <c r="D78" s="187">
        <v>101893</v>
      </c>
      <c r="E78" s="190" t="s">
        <v>483</v>
      </c>
      <c r="F78" s="191" t="s">
        <v>60</v>
      </c>
      <c r="G78" s="193" t="s">
        <v>1793</v>
      </c>
      <c r="H78" s="81" t="s">
        <v>918</v>
      </c>
      <c r="I78" s="190" t="s">
        <v>2088</v>
      </c>
      <c r="J78" s="184"/>
      <c r="K78" s="183"/>
      <c r="L78" s="183"/>
      <c r="M78" s="183"/>
    </row>
    <row r="79" spans="1:13" ht="15.75">
      <c r="A79" s="79">
        <f t="shared" si="1"/>
        <v>344</v>
      </c>
      <c r="B79" s="187">
        <v>77</v>
      </c>
      <c r="C79" s="186" t="s">
        <v>1263</v>
      </c>
      <c r="D79" s="187">
        <v>101907</v>
      </c>
      <c r="E79" s="190" t="s">
        <v>484</v>
      </c>
      <c r="F79" s="191" t="s">
        <v>60</v>
      </c>
      <c r="G79" s="193" t="s">
        <v>1898</v>
      </c>
      <c r="H79" s="81" t="s">
        <v>918</v>
      </c>
      <c r="I79" s="190" t="s">
        <v>2094</v>
      </c>
      <c r="J79" s="184"/>
      <c r="K79" s="183"/>
      <c r="L79" s="183"/>
      <c r="M79" s="183"/>
    </row>
    <row r="80" spans="1:13" ht="15.75">
      <c r="A80" s="79">
        <f t="shared" si="1"/>
        <v>465</v>
      </c>
      <c r="B80" s="187">
        <v>78</v>
      </c>
      <c r="C80" s="186" t="s">
        <v>1384</v>
      </c>
      <c r="D80" s="187">
        <v>101952</v>
      </c>
      <c r="E80" s="190" t="s">
        <v>485</v>
      </c>
      <c r="F80" s="191" t="s">
        <v>60</v>
      </c>
      <c r="G80" s="193" t="s">
        <v>213</v>
      </c>
      <c r="H80" s="81" t="s">
        <v>918</v>
      </c>
      <c r="I80" s="190" t="s">
        <v>2095</v>
      </c>
      <c r="J80" s="183"/>
      <c r="K80" s="183"/>
      <c r="L80" s="183"/>
      <c r="M80" s="183"/>
    </row>
    <row r="81" spans="1:13" ht="15.75">
      <c r="A81" s="79">
        <f t="shared" si="1"/>
        <v>466</v>
      </c>
      <c r="B81" s="187">
        <v>79</v>
      </c>
      <c r="C81" s="186" t="s">
        <v>1385</v>
      </c>
      <c r="D81" s="187">
        <v>102049</v>
      </c>
      <c r="E81" s="190" t="s">
        <v>486</v>
      </c>
      <c r="F81" s="191" t="s">
        <v>114</v>
      </c>
      <c r="G81" s="193" t="s">
        <v>275</v>
      </c>
      <c r="H81" s="81" t="s">
        <v>918</v>
      </c>
      <c r="I81" s="190" t="s">
        <v>2095</v>
      </c>
      <c r="J81" s="183"/>
      <c r="K81" s="183"/>
      <c r="L81" s="183"/>
      <c r="M81" s="183"/>
    </row>
    <row r="82" spans="1:13" ht="15.75">
      <c r="A82" s="79">
        <f t="shared" si="1"/>
        <v>345</v>
      </c>
      <c r="B82" s="187">
        <v>80</v>
      </c>
      <c r="C82" s="186" t="s">
        <v>1264</v>
      </c>
      <c r="D82" s="187">
        <v>102070</v>
      </c>
      <c r="E82" s="190" t="s">
        <v>487</v>
      </c>
      <c r="F82" s="191" t="s">
        <v>114</v>
      </c>
      <c r="G82" s="193" t="s">
        <v>1899</v>
      </c>
      <c r="H82" s="81" t="s">
        <v>918</v>
      </c>
      <c r="I82" s="190" t="s">
        <v>2094</v>
      </c>
      <c r="J82" s="183"/>
      <c r="K82" s="183"/>
      <c r="L82" s="183"/>
      <c r="M82" s="183"/>
    </row>
    <row r="83" spans="1:13" ht="15.75">
      <c r="A83" s="79">
        <f t="shared" si="1"/>
        <v>346</v>
      </c>
      <c r="B83" s="187">
        <v>81</v>
      </c>
      <c r="C83" s="186" t="s">
        <v>1265</v>
      </c>
      <c r="D83" s="187">
        <v>102122</v>
      </c>
      <c r="E83" s="190" t="s">
        <v>488</v>
      </c>
      <c r="F83" s="191" t="s">
        <v>60</v>
      </c>
      <c r="G83" s="193" t="s">
        <v>1900</v>
      </c>
      <c r="H83" s="81" t="s">
        <v>918</v>
      </c>
      <c r="I83" s="190" t="s">
        <v>2094</v>
      </c>
      <c r="J83" s="183"/>
      <c r="K83" s="183"/>
      <c r="L83" s="183"/>
      <c r="M83" s="183"/>
    </row>
    <row r="84" spans="1:13" ht="15.75">
      <c r="A84" s="79">
        <f t="shared" si="1"/>
        <v>214</v>
      </c>
      <c r="B84" s="187">
        <v>82</v>
      </c>
      <c r="C84" s="186" t="s">
        <v>1133</v>
      </c>
      <c r="D84" s="187">
        <v>102153</v>
      </c>
      <c r="E84" s="190" t="s">
        <v>489</v>
      </c>
      <c r="F84" s="191" t="s">
        <v>114</v>
      </c>
      <c r="G84" s="193" t="s">
        <v>1835</v>
      </c>
      <c r="H84" s="81" t="s">
        <v>918</v>
      </c>
      <c r="I84" s="190" t="s">
        <v>2093</v>
      </c>
      <c r="J84" s="183"/>
      <c r="K84" s="183"/>
      <c r="L84" s="183"/>
      <c r="M84" s="183"/>
    </row>
    <row r="85" spans="1:13" ht="30">
      <c r="A85" s="79">
        <f t="shared" si="1"/>
        <v>94</v>
      </c>
      <c r="B85" s="187">
        <v>83</v>
      </c>
      <c r="C85" s="186" t="s">
        <v>1013</v>
      </c>
      <c r="D85" s="187">
        <v>102229</v>
      </c>
      <c r="E85" s="190" t="s">
        <v>490</v>
      </c>
      <c r="F85" s="191" t="s">
        <v>114</v>
      </c>
      <c r="G85" s="193" t="s">
        <v>1761</v>
      </c>
      <c r="H85" s="81" t="s">
        <v>918</v>
      </c>
      <c r="I85" s="190" t="s">
        <v>2086</v>
      </c>
      <c r="J85" s="183"/>
      <c r="K85" s="183"/>
      <c r="L85" s="183"/>
      <c r="M85" s="183"/>
    </row>
    <row r="86" spans="1:13" ht="15.75">
      <c r="A86" s="79">
        <f t="shared" si="1"/>
        <v>50</v>
      </c>
      <c r="B86" s="187">
        <v>84</v>
      </c>
      <c r="C86" s="186" t="s">
        <v>969</v>
      </c>
      <c r="D86" s="187">
        <v>102267</v>
      </c>
      <c r="E86" s="190" t="s">
        <v>491</v>
      </c>
      <c r="F86" s="191" t="s">
        <v>114</v>
      </c>
      <c r="G86" s="193" t="s">
        <v>359</v>
      </c>
      <c r="H86" s="81" t="s">
        <v>918</v>
      </c>
      <c r="I86" s="190" t="s">
        <v>2082</v>
      </c>
      <c r="J86" s="183"/>
      <c r="K86" s="183"/>
      <c r="L86" s="183"/>
      <c r="M86" s="183"/>
    </row>
    <row r="87" spans="1:13" ht="15.75">
      <c r="A87" s="79">
        <f t="shared" si="1"/>
        <v>467</v>
      </c>
      <c r="B87" s="187">
        <v>85</v>
      </c>
      <c r="C87" s="186" t="s">
        <v>1386</v>
      </c>
      <c r="D87" s="187">
        <v>102298</v>
      </c>
      <c r="E87" s="190" t="s">
        <v>1667</v>
      </c>
      <c r="F87" s="191" t="s">
        <v>114</v>
      </c>
      <c r="G87" s="193" t="s">
        <v>155</v>
      </c>
      <c r="H87" s="81" t="s">
        <v>918</v>
      </c>
      <c r="I87" s="190" t="s">
        <v>2095</v>
      </c>
      <c r="J87" s="183"/>
      <c r="K87" s="183"/>
      <c r="L87" s="183"/>
      <c r="M87" s="183"/>
    </row>
    <row r="88" spans="1:13" ht="30">
      <c r="A88" s="79">
        <f t="shared" si="1"/>
        <v>95</v>
      </c>
      <c r="B88" s="187">
        <v>86</v>
      </c>
      <c r="C88" s="186" t="s">
        <v>1014</v>
      </c>
      <c r="D88" s="187">
        <v>102319</v>
      </c>
      <c r="E88" s="190" t="s">
        <v>492</v>
      </c>
      <c r="F88" s="191" t="s">
        <v>114</v>
      </c>
      <c r="G88" s="193" t="s">
        <v>303</v>
      </c>
      <c r="H88" s="81" t="s">
        <v>918</v>
      </c>
      <c r="I88" s="190" t="s">
        <v>2086</v>
      </c>
      <c r="J88" s="183"/>
      <c r="K88" s="183"/>
      <c r="L88" s="183"/>
      <c r="M88" s="183"/>
    </row>
    <row r="89" spans="1:13" ht="15.75">
      <c r="A89" s="79">
        <f t="shared" si="1"/>
        <v>347</v>
      </c>
      <c r="B89" s="187">
        <v>87</v>
      </c>
      <c r="C89" s="186" t="s">
        <v>1266</v>
      </c>
      <c r="D89" s="187">
        <v>102395</v>
      </c>
      <c r="E89" s="190" t="s">
        <v>493</v>
      </c>
      <c r="F89" s="191" t="s">
        <v>114</v>
      </c>
      <c r="G89" s="193" t="s">
        <v>307</v>
      </c>
      <c r="H89" s="81" t="s">
        <v>918</v>
      </c>
      <c r="I89" s="190" t="s">
        <v>2094</v>
      </c>
      <c r="J89" s="183"/>
      <c r="K89" s="183"/>
      <c r="L89" s="183"/>
      <c r="M89" s="183"/>
    </row>
    <row r="90" spans="1:13" ht="15.75">
      <c r="A90" s="79">
        <f t="shared" si="1"/>
        <v>215</v>
      </c>
      <c r="B90" s="187">
        <v>88</v>
      </c>
      <c r="C90" s="186" t="s">
        <v>1134</v>
      </c>
      <c r="D90" s="187">
        <v>102461</v>
      </c>
      <c r="E90" s="190" t="s">
        <v>494</v>
      </c>
      <c r="F90" s="191" t="s">
        <v>114</v>
      </c>
      <c r="G90" s="193" t="s">
        <v>239</v>
      </c>
      <c r="H90" s="81" t="s">
        <v>918</v>
      </c>
      <c r="I90" s="190" t="s">
        <v>2093</v>
      </c>
      <c r="J90" s="184"/>
      <c r="K90" s="183"/>
      <c r="L90" s="183"/>
      <c r="M90" s="183"/>
    </row>
    <row r="91" spans="1:13" ht="15.75">
      <c r="A91" s="79">
        <f t="shared" si="1"/>
        <v>216</v>
      </c>
      <c r="B91" s="187">
        <v>89</v>
      </c>
      <c r="C91" s="186" t="s">
        <v>1135</v>
      </c>
      <c r="D91" s="187">
        <v>102492</v>
      </c>
      <c r="E91" s="190" t="s">
        <v>495</v>
      </c>
      <c r="F91" s="191" t="s">
        <v>114</v>
      </c>
      <c r="G91" s="193" t="s">
        <v>171</v>
      </c>
      <c r="H91" s="81" t="s">
        <v>918</v>
      </c>
      <c r="I91" s="190" t="s">
        <v>2093</v>
      </c>
      <c r="J91" s="183"/>
      <c r="K91" s="183"/>
      <c r="L91" s="183"/>
      <c r="M91" s="183"/>
    </row>
    <row r="92" spans="1:13" ht="15.75">
      <c r="A92" s="79">
        <f t="shared" si="1"/>
        <v>217</v>
      </c>
      <c r="B92" s="187">
        <v>90</v>
      </c>
      <c r="C92" s="186" t="s">
        <v>1136</v>
      </c>
      <c r="D92" s="187">
        <v>102520</v>
      </c>
      <c r="E92" s="190" t="s">
        <v>496</v>
      </c>
      <c r="F92" s="191" t="s">
        <v>114</v>
      </c>
      <c r="G92" s="193" t="s">
        <v>195</v>
      </c>
      <c r="H92" s="81" t="s">
        <v>918</v>
      </c>
      <c r="I92" s="190" t="s">
        <v>2093</v>
      </c>
      <c r="J92" s="184"/>
      <c r="K92" s="183"/>
      <c r="L92" s="183"/>
      <c r="M92" s="183"/>
    </row>
    <row r="93" spans="1:13" ht="15.75">
      <c r="A93" s="79">
        <f t="shared" si="1"/>
        <v>51</v>
      </c>
      <c r="B93" s="187">
        <v>91</v>
      </c>
      <c r="C93" s="186" t="s">
        <v>970</v>
      </c>
      <c r="D93" s="187">
        <v>102599</v>
      </c>
      <c r="E93" s="190" t="s">
        <v>1587</v>
      </c>
      <c r="F93" s="191" t="s">
        <v>114</v>
      </c>
      <c r="G93" s="193" t="s">
        <v>1732</v>
      </c>
      <c r="H93" s="81" t="s">
        <v>918</v>
      </c>
      <c r="I93" s="190" t="s">
        <v>2082</v>
      </c>
      <c r="J93" s="183"/>
      <c r="K93" s="183"/>
      <c r="L93" s="183"/>
      <c r="M93" s="183"/>
    </row>
    <row r="94" spans="1:13" ht="15.75">
      <c r="A94" s="79">
        <f t="shared" si="1"/>
        <v>218</v>
      </c>
      <c r="B94" s="187">
        <v>92</v>
      </c>
      <c r="C94" s="186" t="s">
        <v>1137</v>
      </c>
      <c r="D94" s="187">
        <v>102672</v>
      </c>
      <c r="E94" s="190" t="s">
        <v>498</v>
      </c>
      <c r="F94" s="191" t="s">
        <v>114</v>
      </c>
      <c r="G94" s="193" t="s">
        <v>1836</v>
      </c>
      <c r="H94" s="81" t="s">
        <v>918</v>
      </c>
      <c r="I94" s="190" t="s">
        <v>2093</v>
      </c>
      <c r="J94" s="183"/>
      <c r="K94" s="183"/>
      <c r="L94" s="183"/>
      <c r="M94" s="183"/>
    </row>
    <row r="95" spans="1:13" ht="15.75">
      <c r="A95" s="79">
        <f t="shared" si="1"/>
        <v>348</v>
      </c>
      <c r="B95" s="187">
        <v>93</v>
      </c>
      <c r="C95" s="186" t="s">
        <v>1267</v>
      </c>
      <c r="D95" s="187">
        <v>102696</v>
      </c>
      <c r="E95" s="190" t="s">
        <v>499</v>
      </c>
      <c r="F95" s="191" t="s">
        <v>114</v>
      </c>
      <c r="G95" s="193" t="s">
        <v>1901</v>
      </c>
      <c r="H95" s="81" t="s">
        <v>918</v>
      </c>
      <c r="I95" s="190" t="s">
        <v>2094</v>
      </c>
      <c r="J95" s="184"/>
      <c r="K95" s="183"/>
      <c r="L95" s="183"/>
      <c r="M95" s="183"/>
    </row>
    <row r="96" spans="1:13" ht="15.75">
      <c r="A96" s="79">
        <f t="shared" si="1"/>
        <v>349</v>
      </c>
      <c r="B96" s="187">
        <v>94</v>
      </c>
      <c r="C96" s="186" t="s">
        <v>1268</v>
      </c>
      <c r="D96" s="187">
        <v>102731</v>
      </c>
      <c r="E96" s="190" t="s">
        <v>500</v>
      </c>
      <c r="F96" s="191" t="s">
        <v>114</v>
      </c>
      <c r="G96" s="193" t="s">
        <v>1902</v>
      </c>
      <c r="H96" s="81" t="s">
        <v>918</v>
      </c>
      <c r="I96" s="190" t="s">
        <v>2094</v>
      </c>
      <c r="J96" s="183"/>
      <c r="K96" s="183"/>
      <c r="L96" s="183"/>
      <c r="M96" s="183"/>
    </row>
    <row r="97" spans="1:13" ht="15.75">
      <c r="A97" s="79">
        <f t="shared" si="1"/>
        <v>468</v>
      </c>
      <c r="B97" s="187">
        <v>95</v>
      </c>
      <c r="C97" s="186" t="s">
        <v>1387</v>
      </c>
      <c r="D97" s="187">
        <v>102748</v>
      </c>
      <c r="E97" s="190" t="s">
        <v>501</v>
      </c>
      <c r="F97" s="191" t="s">
        <v>114</v>
      </c>
      <c r="G97" s="193" t="s">
        <v>1966</v>
      </c>
      <c r="H97" s="81" t="s">
        <v>918</v>
      </c>
      <c r="I97" s="190" t="s">
        <v>2095</v>
      </c>
      <c r="J97" s="184"/>
      <c r="K97" s="183"/>
      <c r="L97" s="183"/>
      <c r="M97" s="183"/>
    </row>
    <row r="98" spans="1:13" ht="30">
      <c r="A98" s="79">
        <f t="shared" si="1"/>
        <v>96</v>
      </c>
      <c r="B98" s="187">
        <v>96</v>
      </c>
      <c r="C98" s="186" t="s">
        <v>1015</v>
      </c>
      <c r="D98" s="187">
        <v>102762</v>
      </c>
      <c r="E98" s="190" t="s">
        <v>502</v>
      </c>
      <c r="F98" s="191" t="s">
        <v>114</v>
      </c>
      <c r="G98" s="193" t="s">
        <v>358</v>
      </c>
      <c r="H98" s="81" t="s">
        <v>918</v>
      </c>
      <c r="I98" s="190" t="s">
        <v>2086</v>
      </c>
      <c r="J98" s="183"/>
      <c r="K98" s="183"/>
      <c r="L98" s="183"/>
      <c r="M98" s="183"/>
    </row>
    <row r="99" spans="1:13" ht="15.75">
      <c r="A99" s="79">
        <f t="shared" si="1"/>
        <v>350</v>
      </c>
      <c r="B99" s="187">
        <v>97</v>
      </c>
      <c r="C99" s="186" t="s">
        <v>1269</v>
      </c>
      <c r="D99" s="187">
        <v>102786</v>
      </c>
      <c r="E99" s="190" t="s">
        <v>503</v>
      </c>
      <c r="F99" s="191" t="s">
        <v>114</v>
      </c>
      <c r="G99" s="193" t="s">
        <v>1903</v>
      </c>
      <c r="H99" s="81" t="s">
        <v>918</v>
      </c>
      <c r="I99" s="190" t="s">
        <v>2094</v>
      </c>
      <c r="J99" s="183"/>
      <c r="K99" s="183"/>
      <c r="L99" s="183"/>
      <c r="M99" s="183"/>
    </row>
    <row r="100" spans="1:13" ht="15.75">
      <c r="A100" s="79">
        <f t="shared" si="1"/>
        <v>469</v>
      </c>
      <c r="B100" s="187">
        <v>98</v>
      </c>
      <c r="C100" s="186" t="s">
        <v>1388</v>
      </c>
      <c r="D100" s="187">
        <v>102876</v>
      </c>
      <c r="E100" s="190" t="s">
        <v>504</v>
      </c>
      <c r="F100" s="191" t="s">
        <v>114</v>
      </c>
      <c r="G100" s="193" t="s">
        <v>180</v>
      </c>
      <c r="H100" s="81" t="s">
        <v>918</v>
      </c>
      <c r="I100" s="190" t="s">
        <v>2095</v>
      </c>
      <c r="J100" s="184"/>
      <c r="K100" s="183"/>
      <c r="L100" s="183"/>
      <c r="M100" s="183"/>
    </row>
    <row r="101" spans="1:13" ht="15.75">
      <c r="A101" s="79">
        <f t="shared" si="1"/>
        <v>219</v>
      </c>
      <c r="B101" s="187">
        <v>99</v>
      </c>
      <c r="C101" s="186" t="s">
        <v>1138</v>
      </c>
      <c r="D101" s="187">
        <v>102911</v>
      </c>
      <c r="E101" s="190" t="s">
        <v>505</v>
      </c>
      <c r="F101" s="191" t="s">
        <v>60</v>
      </c>
      <c r="G101" s="193" t="s">
        <v>189</v>
      </c>
      <c r="H101" s="81" t="s">
        <v>918</v>
      </c>
      <c r="I101" s="190" t="s">
        <v>2093</v>
      </c>
      <c r="J101" s="183"/>
      <c r="K101" s="183"/>
      <c r="L101" s="183"/>
      <c r="M101" s="183"/>
    </row>
    <row r="102" spans="1:13" ht="15.75">
      <c r="A102" s="79">
        <f t="shared" si="1"/>
        <v>220</v>
      </c>
      <c r="B102" s="187">
        <v>100</v>
      </c>
      <c r="C102" s="186" t="s">
        <v>1139</v>
      </c>
      <c r="D102" s="187">
        <v>102942</v>
      </c>
      <c r="E102" s="190" t="s">
        <v>506</v>
      </c>
      <c r="F102" s="191" t="s">
        <v>60</v>
      </c>
      <c r="G102" s="193" t="s">
        <v>293</v>
      </c>
      <c r="H102" s="81" t="s">
        <v>918</v>
      </c>
      <c r="I102" s="190" t="s">
        <v>2093</v>
      </c>
      <c r="J102" s="183"/>
      <c r="K102" s="183"/>
      <c r="L102" s="183"/>
      <c r="M102" s="183"/>
    </row>
    <row r="103" spans="1:13" ht="15.75">
      <c r="A103" s="79">
        <f t="shared" si="1"/>
        <v>470</v>
      </c>
      <c r="B103" s="187">
        <v>101</v>
      </c>
      <c r="C103" s="186" t="s">
        <v>1389</v>
      </c>
      <c r="D103" s="187">
        <v>103039</v>
      </c>
      <c r="E103" s="190" t="s">
        <v>507</v>
      </c>
      <c r="F103" s="191" t="s">
        <v>114</v>
      </c>
      <c r="G103" s="193" t="s">
        <v>167</v>
      </c>
      <c r="H103" s="81" t="s">
        <v>918</v>
      </c>
      <c r="I103" s="190" t="s">
        <v>2095</v>
      </c>
      <c r="J103" s="183"/>
      <c r="K103" s="183"/>
      <c r="L103" s="183"/>
      <c r="M103" s="183"/>
    </row>
    <row r="104" spans="1:13" ht="15.75">
      <c r="A104" s="79">
        <f t="shared" si="1"/>
        <v>471</v>
      </c>
      <c r="B104" s="187">
        <v>102</v>
      </c>
      <c r="C104" s="186" t="s">
        <v>1390</v>
      </c>
      <c r="D104" s="187">
        <v>103112</v>
      </c>
      <c r="E104" s="190" t="s">
        <v>508</v>
      </c>
      <c r="F104" s="191" t="s">
        <v>114</v>
      </c>
      <c r="G104" s="193" t="s">
        <v>1967</v>
      </c>
      <c r="H104" s="81" t="s">
        <v>918</v>
      </c>
      <c r="I104" s="190" t="s">
        <v>2095</v>
      </c>
      <c r="J104" s="183"/>
      <c r="K104" s="183"/>
      <c r="L104" s="183"/>
      <c r="M104" s="183"/>
    </row>
    <row r="105" spans="1:13" ht="15.75">
      <c r="A105" s="79">
        <f t="shared" si="1"/>
        <v>221</v>
      </c>
      <c r="B105" s="187">
        <v>103</v>
      </c>
      <c r="C105" s="186" t="s">
        <v>1140</v>
      </c>
      <c r="D105" s="187">
        <v>103202</v>
      </c>
      <c r="E105" s="190" t="s">
        <v>509</v>
      </c>
      <c r="F105" s="191" t="s">
        <v>114</v>
      </c>
      <c r="G105" s="193" t="s">
        <v>282</v>
      </c>
      <c r="H105" s="81" t="s">
        <v>918</v>
      </c>
      <c r="I105" s="190" t="s">
        <v>2093</v>
      </c>
      <c r="J105" s="183"/>
      <c r="K105" s="183"/>
      <c r="L105" s="183"/>
      <c r="M105" s="183"/>
    </row>
    <row r="106" spans="1:13" ht="15.75">
      <c r="A106" s="79">
        <f t="shared" si="1"/>
        <v>351</v>
      </c>
      <c r="B106" s="187">
        <v>104</v>
      </c>
      <c r="C106" s="186" t="s">
        <v>1270</v>
      </c>
      <c r="D106" s="187">
        <v>103233</v>
      </c>
      <c r="E106" s="190" t="s">
        <v>510</v>
      </c>
      <c r="F106" s="191" t="s">
        <v>114</v>
      </c>
      <c r="G106" s="193" t="s">
        <v>375</v>
      </c>
      <c r="H106" s="81" t="s">
        <v>918</v>
      </c>
      <c r="I106" s="190" t="s">
        <v>2094</v>
      </c>
      <c r="J106" s="183"/>
      <c r="K106" s="183"/>
      <c r="L106" s="183"/>
      <c r="M106" s="183"/>
    </row>
    <row r="107" spans="1:13" ht="15.75">
      <c r="A107" s="79">
        <f t="shared" si="1"/>
        <v>222</v>
      </c>
      <c r="B107" s="187">
        <v>105</v>
      </c>
      <c r="C107" s="186" t="s">
        <v>1141</v>
      </c>
      <c r="D107" s="187">
        <v>103323</v>
      </c>
      <c r="E107" s="190" t="s">
        <v>511</v>
      </c>
      <c r="F107" s="191" t="s">
        <v>60</v>
      </c>
      <c r="G107" s="193" t="s">
        <v>1837</v>
      </c>
      <c r="H107" s="81" t="s">
        <v>918</v>
      </c>
      <c r="I107" s="190" t="s">
        <v>2093</v>
      </c>
      <c r="J107" s="183"/>
      <c r="K107" s="183"/>
      <c r="L107" s="183"/>
      <c r="M107" s="183"/>
    </row>
    <row r="108" spans="1:13" ht="15.75">
      <c r="A108" s="79">
        <f t="shared" si="1"/>
        <v>352</v>
      </c>
      <c r="B108" s="187">
        <v>106</v>
      </c>
      <c r="C108" s="186" t="s">
        <v>1271</v>
      </c>
      <c r="D108" s="187">
        <v>103420</v>
      </c>
      <c r="E108" s="190" t="s">
        <v>512</v>
      </c>
      <c r="F108" s="191" t="s">
        <v>114</v>
      </c>
      <c r="G108" s="193" t="s">
        <v>1904</v>
      </c>
      <c r="H108" s="81" t="s">
        <v>918</v>
      </c>
      <c r="I108" s="190" t="s">
        <v>2094</v>
      </c>
      <c r="J108" s="183"/>
      <c r="K108" s="183"/>
      <c r="L108" s="183"/>
      <c r="M108" s="183"/>
    </row>
    <row r="109" spans="1:13" ht="15.75">
      <c r="A109" s="79">
        <f t="shared" si="1"/>
        <v>472</v>
      </c>
      <c r="B109" s="187">
        <v>107</v>
      </c>
      <c r="C109" s="186" t="s">
        <v>1391</v>
      </c>
      <c r="D109" s="187">
        <v>103527</v>
      </c>
      <c r="E109" s="190" t="s">
        <v>513</v>
      </c>
      <c r="F109" s="191" t="s">
        <v>114</v>
      </c>
      <c r="G109" s="193" t="s">
        <v>1968</v>
      </c>
      <c r="H109" s="81" t="s">
        <v>918</v>
      </c>
      <c r="I109" s="190" t="s">
        <v>2095</v>
      </c>
      <c r="J109" s="183"/>
      <c r="K109" s="183"/>
      <c r="L109" s="183"/>
      <c r="M109" s="183"/>
    </row>
    <row r="110" spans="1:13" ht="15.75">
      <c r="A110" s="79">
        <f t="shared" si="1"/>
        <v>473</v>
      </c>
      <c r="B110" s="187">
        <v>108</v>
      </c>
      <c r="C110" s="186" t="s">
        <v>1392</v>
      </c>
      <c r="D110" s="187">
        <v>103558</v>
      </c>
      <c r="E110" s="190" t="s">
        <v>514</v>
      </c>
      <c r="F110" s="191" t="s">
        <v>114</v>
      </c>
      <c r="G110" s="193" t="s">
        <v>359</v>
      </c>
      <c r="H110" s="81" t="s">
        <v>918</v>
      </c>
      <c r="I110" s="190" t="s">
        <v>2095</v>
      </c>
      <c r="J110" s="183"/>
      <c r="K110" s="183"/>
      <c r="L110" s="183"/>
      <c r="M110" s="183"/>
    </row>
    <row r="111" spans="1:13" ht="15.75">
      <c r="A111" s="79">
        <f t="shared" si="1"/>
        <v>474</v>
      </c>
      <c r="B111" s="187">
        <v>109</v>
      </c>
      <c r="C111" s="186" t="s">
        <v>1393</v>
      </c>
      <c r="D111" s="187">
        <v>103589</v>
      </c>
      <c r="E111" s="190" t="s">
        <v>515</v>
      </c>
      <c r="F111" s="191" t="s">
        <v>114</v>
      </c>
      <c r="G111" s="193" t="s">
        <v>223</v>
      </c>
      <c r="H111" s="81" t="s">
        <v>918</v>
      </c>
      <c r="I111" s="190" t="s">
        <v>2095</v>
      </c>
      <c r="J111" s="183"/>
      <c r="K111" s="183"/>
      <c r="L111" s="183"/>
      <c r="M111" s="183"/>
    </row>
    <row r="112" spans="1:13" ht="15.75">
      <c r="A112" s="79">
        <f t="shared" si="1"/>
        <v>223</v>
      </c>
      <c r="B112" s="187">
        <v>110</v>
      </c>
      <c r="C112" s="186" t="s">
        <v>1142</v>
      </c>
      <c r="D112" s="187">
        <v>103679</v>
      </c>
      <c r="E112" s="190" t="s">
        <v>516</v>
      </c>
      <c r="F112" s="191" t="s">
        <v>114</v>
      </c>
      <c r="G112" s="193" t="s">
        <v>198</v>
      </c>
      <c r="H112" s="81" t="s">
        <v>918</v>
      </c>
      <c r="I112" s="190" t="s">
        <v>2093</v>
      </c>
      <c r="J112" s="183"/>
      <c r="K112" s="183"/>
      <c r="L112" s="183"/>
      <c r="M112" s="183"/>
    </row>
    <row r="113" spans="1:13" ht="15.75">
      <c r="A113" s="79">
        <f t="shared" si="1"/>
        <v>224</v>
      </c>
      <c r="B113" s="187">
        <v>111</v>
      </c>
      <c r="C113" s="186" t="s">
        <v>1143</v>
      </c>
      <c r="D113" s="187">
        <v>103804</v>
      </c>
      <c r="E113" s="190" t="s">
        <v>517</v>
      </c>
      <c r="F113" s="191" t="s">
        <v>114</v>
      </c>
      <c r="G113" s="193" t="s">
        <v>181</v>
      </c>
      <c r="H113" s="81" t="s">
        <v>918</v>
      </c>
      <c r="I113" s="190" t="s">
        <v>2093</v>
      </c>
      <c r="J113" s="183"/>
      <c r="K113" s="183"/>
      <c r="L113" s="183"/>
      <c r="M113" s="183"/>
    </row>
    <row r="114" spans="1:13" ht="15.75">
      <c r="A114" s="79">
        <f t="shared" si="1"/>
        <v>475</v>
      </c>
      <c r="B114" s="187">
        <v>112</v>
      </c>
      <c r="C114" s="186" t="s">
        <v>1394</v>
      </c>
      <c r="D114" s="187">
        <v>103828</v>
      </c>
      <c r="E114" s="190" t="s">
        <v>518</v>
      </c>
      <c r="F114" s="191" t="s">
        <v>60</v>
      </c>
      <c r="G114" s="193" t="s">
        <v>351</v>
      </c>
      <c r="H114" s="81" t="s">
        <v>918</v>
      </c>
      <c r="I114" s="190" t="s">
        <v>2095</v>
      </c>
      <c r="J114" s="183"/>
      <c r="K114" s="183"/>
      <c r="L114" s="183"/>
      <c r="M114" s="183"/>
    </row>
    <row r="115" spans="1:13" ht="15.75">
      <c r="A115" s="79">
        <f t="shared" si="1"/>
        <v>225</v>
      </c>
      <c r="B115" s="187">
        <v>113</v>
      </c>
      <c r="C115" s="186" t="s">
        <v>1144</v>
      </c>
      <c r="D115" s="187">
        <v>103932</v>
      </c>
      <c r="E115" s="190" t="s">
        <v>519</v>
      </c>
      <c r="F115" s="191" t="s">
        <v>60</v>
      </c>
      <c r="G115" s="193" t="s">
        <v>1838</v>
      </c>
      <c r="H115" s="81" t="s">
        <v>918</v>
      </c>
      <c r="I115" s="190" t="s">
        <v>2093</v>
      </c>
      <c r="J115" s="183"/>
      <c r="K115" s="183"/>
      <c r="L115" s="183"/>
      <c r="M115" s="183"/>
    </row>
    <row r="116" spans="1:13" ht="15.75">
      <c r="A116" s="79">
        <f t="shared" si="1"/>
        <v>133</v>
      </c>
      <c r="B116" s="187">
        <v>114</v>
      </c>
      <c r="C116" s="186" t="s">
        <v>1052</v>
      </c>
      <c r="D116" s="187">
        <v>104074</v>
      </c>
      <c r="E116" s="190" t="s">
        <v>520</v>
      </c>
      <c r="F116" s="191" t="s">
        <v>114</v>
      </c>
      <c r="G116" s="193" t="s">
        <v>295</v>
      </c>
      <c r="H116" s="81" t="s">
        <v>918</v>
      </c>
      <c r="I116" s="190" t="s">
        <v>2087</v>
      </c>
      <c r="J116" s="183"/>
      <c r="K116" s="183"/>
      <c r="L116" s="183"/>
      <c r="M116" s="183"/>
    </row>
    <row r="117" spans="1:13" ht="15.75">
      <c r="A117" s="79">
        <f t="shared" si="1"/>
        <v>7</v>
      </c>
      <c r="B117" s="187">
        <v>115</v>
      </c>
      <c r="C117" s="186" t="s">
        <v>926</v>
      </c>
      <c r="D117" s="187">
        <v>104081</v>
      </c>
      <c r="E117" s="190" t="s">
        <v>521</v>
      </c>
      <c r="F117" s="191" t="s">
        <v>114</v>
      </c>
      <c r="G117" s="193" t="s">
        <v>1696</v>
      </c>
      <c r="H117" s="81" t="s">
        <v>918</v>
      </c>
      <c r="I117" s="190" t="s">
        <v>2080</v>
      </c>
      <c r="J117" s="183"/>
      <c r="K117" s="183"/>
      <c r="L117" s="183"/>
      <c r="M117" s="183"/>
    </row>
    <row r="118" spans="1:13" ht="15.75">
      <c r="A118" s="79">
        <f t="shared" si="1"/>
        <v>226</v>
      </c>
      <c r="B118" s="187">
        <v>116</v>
      </c>
      <c r="C118" s="186" t="s">
        <v>1145</v>
      </c>
      <c r="D118" s="187">
        <v>104098</v>
      </c>
      <c r="E118" s="190" t="s">
        <v>522</v>
      </c>
      <c r="F118" s="191" t="s">
        <v>114</v>
      </c>
      <c r="G118" s="193" t="s">
        <v>1839</v>
      </c>
      <c r="H118" s="81" t="s">
        <v>918</v>
      </c>
      <c r="I118" s="190" t="s">
        <v>2093</v>
      </c>
      <c r="J118" s="183"/>
      <c r="K118" s="183"/>
      <c r="L118" s="183"/>
      <c r="M118" s="183"/>
    </row>
    <row r="119" spans="1:13" ht="15.75">
      <c r="A119" s="79">
        <f t="shared" si="1"/>
        <v>227</v>
      </c>
      <c r="B119" s="187">
        <v>117</v>
      </c>
      <c r="C119" s="186" t="s">
        <v>1146</v>
      </c>
      <c r="D119" s="187">
        <v>104140</v>
      </c>
      <c r="E119" s="190" t="s">
        <v>523</v>
      </c>
      <c r="F119" s="191" t="s">
        <v>114</v>
      </c>
      <c r="G119" s="193" t="s">
        <v>260</v>
      </c>
      <c r="H119" s="81" t="s">
        <v>918</v>
      </c>
      <c r="I119" s="190" t="s">
        <v>2093</v>
      </c>
      <c r="J119" s="183"/>
      <c r="K119" s="183"/>
      <c r="L119" s="183"/>
      <c r="M119" s="183"/>
    </row>
    <row r="120" spans="1:13" ht="15.75">
      <c r="A120" s="79">
        <f t="shared" si="1"/>
        <v>476</v>
      </c>
      <c r="B120" s="187">
        <v>118</v>
      </c>
      <c r="C120" s="186" t="s">
        <v>1395</v>
      </c>
      <c r="D120" s="187">
        <v>104188</v>
      </c>
      <c r="E120" s="190" t="s">
        <v>524</v>
      </c>
      <c r="F120" s="191" t="s">
        <v>114</v>
      </c>
      <c r="G120" s="193" t="s">
        <v>1969</v>
      </c>
      <c r="H120" s="81" t="s">
        <v>918</v>
      </c>
      <c r="I120" s="190" t="s">
        <v>2095</v>
      </c>
      <c r="J120" s="183"/>
      <c r="K120" s="183"/>
      <c r="L120" s="183"/>
      <c r="M120" s="183"/>
    </row>
    <row r="121" spans="1:13" ht="15.75">
      <c r="A121" s="79">
        <f t="shared" si="1"/>
        <v>353</v>
      </c>
      <c r="B121" s="187">
        <v>119</v>
      </c>
      <c r="C121" s="186" t="s">
        <v>1272</v>
      </c>
      <c r="D121" s="187">
        <v>104313</v>
      </c>
      <c r="E121" s="190" t="s">
        <v>525</v>
      </c>
      <c r="F121" s="191" t="s">
        <v>60</v>
      </c>
      <c r="G121" s="193" t="s">
        <v>1905</v>
      </c>
      <c r="H121" s="81" t="s">
        <v>918</v>
      </c>
      <c r="I121" s="190" t="s">
        <v>2094</v>
      </c>
      <c r="J121" s="183"/>
      <c r="K121" s="183"/>
      <c r="L121" s="183"/>
      <c r="M121" s="183"/>
    </row>
    <row r="122" spans="1:13" ht="15.75">
      <c r="A122" s="79">
        <f t="shared" si="1"/>
        <v>477</v>
      </c>
      <c r="B122" s="187">
        <v>120</v>
      </c>
      <c r="C122" s="186" t="s">
        <v>1396</v>
      </c>
      <c r="D122" s="187">
        <v>104344</v>
      </c>
      <c r="E122" s="190" t="s">
        <v>526</v>
      </c>
      <c r="F122" s="191" t="s">
        <v>114</v>
      </c>
      <c r="G122" s="193" t="s">
        <v>1970</v>
      </c>
      <c r="H122" s="81" t="s">
        <v>918</v>
      </c>
      <c r="I122" s="190" t="s">
        <v>2095</v>
      </c>
      <c r="J122" s="184"/>
      <c r="K122" s="183"/>
      <c r="L122" s="183"/>
      <c r="M122" s="183"/>
    </row>
    <row r="123" spans="1:13" ht="15.75">
      <c r="A123" s="79">
        <f t="shared" si="1"/>
        <v>228</v>
      </c>
      <c r="B123" s="187">
        <v>121</v>
      </c>
      <c r="C123" s="186" t="s">
        <v>1147</v>
      </c>
      <c r="D123" s="187">
        <v>104403</v>
      </c>
      <c r="E123" s="190" t="s">
        <v>527</v>
      </c>
      <c r="F123" s="191" t="s">
        <v>114</v>
      </c>
      <c r="G123" s="193" t="s">
        <v>1840</v>
      </c>
      <c r="H123" s="81" t="s">
        <v>918</v>
      </c>
      <c r="I123" s="190" t="s">
        <v>2093</v>
      </c>
      <c r="J123" s="183"/>
      <c r="K123" s="183"/>
      <c r="L123" s="183"/>
      <c r="M123" s="183"/>
    </row>
    <row r="124" spans="1:13" ht="15.75">
      <c r="A124" s="79">
        <f t="shared" si="1"/>
        <v>8</v>
      </c>
      <c r="B124" s="187">
        <v>122</v>
      </c>
      <c r="C124" s="186" t="s">
        <v>927</v>
      </c>
      <c r="D124" s="187">
        <v>104434</v>
      </c>
      <c r="E124" s="190" t="s">
        <v>528</v>
      </c>
      <c r="F124" s="191" t="s">
        <v>60</v>
      </c>
      <c r="G124" s="193" t="s">
        <v>1697</v>
      </c>
      <c r="H124" s="81" t="s">
        <v>918</v>
      </c>
      <c r="I124" s="190" t="s">
        <v>2080</v>
      </c>
      <c r="J124" s="183"/>
      <c r="K124" s="183"/>
      <c r="L124" s="183"/>
      <c r="M124" s="183"/>
    </row>
    <row r="125" spans="1:13" ht="15.75">
      <c r="A125" s="79">
        <f t="shared" si="1"/>
        <v>478</v>
      </c>
      <c r="B125" s="187">
        <v>123</v>
      </c>
      <c r="C125" s="186" t="s">
        <v>1397</v>
      </c>
      <c r="D125" s="187">
        <v>104472</v>
      </c>
      <c r="E125" s="190" t="s">
        <v>529</v>
      </c>
      <c r="F125" s="191" t="s">
        <v>114</v>
      </c>
      <c r="G125" s="193" t="s">
        <v>1971</v>
      </c>
      <c r="H125" s="81" t="s">
        <v>918</v>
      </c>
      <c r="I125" s="190" t="s">
        <v>2095</v>
      </c>
      <c r="J125" s="183"/>
      <c r="K125" s="183"/>
      <c r="L125" s="183"/>
      <c r="M125" s="183"/>
    </row>
    <row r="126" spans="1:13" ht="15.75">
      <c r="A126" s="79">
        <f t="shared" si="1"/>
        <v>354</v>
      </c>
      <c r="B126" s="187">
        <v>124</v>
      </c>
      <c r="C126" s="186" t="s">
        <v>1273</v>
      </c>
      <c r="D126" s="187">
        <v>104531</v>
      </c>
      <c r="E126" s="190" t="s">
        <v>530</v>
      </c>
      <c r="F126" s="191" t="s">
        <v>60</v>
      </c>
      <c r="G126" s="193" t="s">
        <v>1906</v>
      </c>
      <c r="H126" s="81" t="s">
        <v>918</v>
      </c>
      <c r="I126" s="190" t="s">
        <v>2094</v>
      </c>
      <c r="J126" s="183"/>
      <c r="K126" s="183"/>
      <c r="L126" s="183"/>
      <c r="M126" s="183"/>
    </row>
    <row r="127" spans="1:13" ht="15.75">
      <c r="A127" s="79">
        <f t="shared" si="1"/>
        <v>355</v>
      </c>
      <c r="B127" s="187">
        <v>125</v>
      </c>
      <c r="C127" s="186" t="s">
        <v>1274</v>
      </c>
      <c r="D127" s="187">
        <v>104548</v>
      </c>
      <c r="E127" s="190" t="s">
        <v>531</v>
      </c>
      <c r="F127" s="191" t="s">
        <v>114</v>
      </c>
      <c r="G127" s="193" t="s">
        <v>380</v>
      </c>
      <c r="H127" s="81" t="s">
        <v>918</v>
      </c>
      <c r="I127" s="190" t="s">
        <v>2094</v>
      </c>
      <c r="J127" s="183"/>
      <c r="K127" s="183"/>
      <c r="L127" s="183"/>
      <c r="M127" s="183"/>
    </row>
    <row r="128" spans="1:13" ht="15.75">
      <c r="A128" s="79">
        <f t="shared" si="1"/>
        <v>229</v>
      </c>
      <c r="B128" s="187">
        <v>126</v>
      </c>
      <c r="C128" s="186" t="s">
        <v>1148</v>
      </c>
      <c r="D128" s="187">
        <v>104676</v>
      </c>
      <c r="E128" s="190" t="s">
        <v>532</v>
      </c>
      <c r="F128" s="191" t="s">
        <v>60</v>
      </c>
      <c r="G128" s="193" t="s">
        <v>245</v>
      </c>
      <c r="H128" s="81" t="s">
        <v>918</v>
      </c>
      <c r="I128" s="190" t="s">
        <v>2093</v>
      </c>
      <c r="J128" s="183"/>
      <c r="K128" s="183"/>
      <c r="L128" s="183"/>
      <c r="M128" s="183"/>
    </row>
    <row r="129" spans="1:13" ht="15.75">
      <c r="A129" s="79">
        <f t="shared" si="1"/>
        <v>356</v>
      </c>
      <c r="B129" s="187">
        <v>127</v>
      </c>
      <c r="C129" s="186" t="s">
        <v>1275</v>
      </c>
      <c r="D129" s="187">
        <v>104683</v>
      </c>
      <c r="E129" s="190" t="s">
        <v>533</v>
      </c>
      <c r="F129" s="191" t="s">
        <v>114</v>
      </c>
      <c r="G129" s="193" t="s">
        <v>1907</v>
      </c>
      <c r="H129" s="81" t="s">
        <v>918</v>
      </c>
      <c r="I129" s="190" t="s">
        <v>2094</v>
      </c>
      <c r="J129" s="184"/>
      <c r="K129" s="183"/>
      <c r="L129" s="183"/>
      <c r="M129" s="183"/>
    </row>
    <row r="130" spans="1:13" ht="15.75">
      <c r="A130" s="79">
        <f t="shared" si="1"/>
        <v>230</v>
      </c>
      <c r="B130" s="187">
        <v>128</v>
      </c>
      <c r="C130" s="186" t="s">
        <v>1149</v>
      </c>
      <c r="D130" s="187">
        <v>104797</v>
      </c>
      <c r="E130" s="190" t="s">
        <v>534</v>
      </c>
      <c r="F130" s="191" t="s">
        <v>60</v>
      </c>
      <c r="G130" s="193" t="s">
        <v>292</v>
      </c>
      <c r="H130" s="81" t="s">
        <v>918</v>
      </c>
      <c r="I130" s="190" t="s">
        <v>2093</v>
      </c>
      <c r="J130" s="183"/>
      <c r="K130" s="183"/>
      <c r="L130" s="183"/>
      <c r="M130" s="183"/>
    </row>
    <row r="131" spans="1:13" ht="15.75">
      <c r="A131" s="79">
        <f t="shared" ref="A131:A194" si="2">IFERROR(VALUE(RIGHT(C131,4)),"")</f>
        <v>479</v>
      </c>
      <c r="B131" s="187">
        <v>129</v>
      </c>
      <c r="C131" s="186" t="s">
        <v>1398</v>
      </c>
      <c r="D131" s="187">
        <v>104818</v>
      </c>
      <c r="E131" s="190" t="s">
        <v>535</v>
      </c>
      <c r="F131" s="191" t="s">
        <v>114</v>
      </c>
      <c r="G131" s="193" t="s">
        <v>253</v>
      </c>
      <c r="H131" s="81" t="s">
        <v>918</v>
      </c>
      <c r="I131" s="190" t="s">
        <v>2095</v>
      </c>
      <c r="J131" s="183"/>
      <c r="K131" s="183"/>
      <c r="L131" s="183"/>
      <c r="M131" s="183"/>
    </row>
    <row r="132" spans="1:13" ht="15.75">
      <c r="A132" s="79">
        <f t="shared" si="2"/>
        <v>231</v>
      </c>
      <c r="B132" s="187">
        <v>130</v>
      </c>
      <c r="C132" s="186" t="s">
        <v>1150</v>
      </c>
      <c r="D132" s="187">
        <v>104825</v>
      </c>
      <c r="E132" s="190" t="s">
        <v>536</v>
      </c>
      <c r="F132" s="191" t="s">
        <v>114</v>
      </c>
      <c r="G132" s="193" t="s">
        <v>1841</v>
      </c>
      <c r="H132" s="81" t="s">
        <v>918</v>
      </c>
      <c r="I132" s="190" t="s">
        <v>2093</v>
      </c>
      <c r="J132" s="184"/>
      <c r="K132" s="183"/>
      <c r="L132" s="183"/>
      <c r="M132" s="183"/>
    </row>
    <row r="133" spans="1:13" ht="15.75">
      <c r="A133" s="79">
        <f t="shared" si="2"/>
        <v>480</v>
      </c>
      <c r="B133" s="187">
        <v>131</v>
      </c>
      <c r="C133" s="186" t="s">
        <v>1399</v>
      </c>
      <c r="D133" s="187">
        <v>104915</v>
      </c>
      <c r="E133" s="190" t="s">
        <v>537</v>
      </c>
      <c r="F133" s="191" t="s">
        <v>60</v>
      </c>
      <c r="G133" s="193" t="s">
        <v>369</v>
      </c>
      <c r="H133" s="81" t="s">
        <v>918</v>
      </c>
      <c r="I133" s="190" t="s">
        <v>2095</v>
      </c>
      <c r="J133" s="183"/>
      <c r="K133" s="183"/>
      <c r="L133" s="183"/>
      <c r="M133" s="183"/>
    </row>
    <row r="134" spans="1:13" ht="15.75">
      <c r="A134" s="79">
        <f t="shared" si="2"/>
        <v>75</v>
      </c>
      <c r="B134" s="187">
        <v>132</v>
      </c>
      <c r="C134" s="186" t="s">
        <v>994</v>
      </c>
      <c r="D134" s="187">
        <v>105095</v>
      </c>
      <c r="E134" s="190" t="s">
        <v>538</v>
      </c>
      <c r="F134" s="191" t="s">
        <v>60</v>
      </c>
      <c r="G134" s="193" t="s">
        <v>191</v>
      </c>
      <c r="H134" s="81" t="s">
        <v>918</v>
      </c>
      <c r="I134" s="190" t="s">
        <v>2085</v>
      </c>
      <c r="J134" s="184"/>
      <c r="K134" s="183"/>
      <c r="L134" s="183"/>
      <c r="M134" s="183"/>
    </row>
    <row r="135" spans="1:13" ht="15.75">
      <c r="A135" s="79">
        <f t="shared" si="2"/>
        <v>76</v>
      </c>
      <c r="B135" s="187">
        <v>133</v>
      </c>
      <c r="C135" s="186" t="s">
        <v>995</v>
      </c>
      <c r="D135" s="187">
        <v>105109</v>
      </c>
      <c r="E135" s="190" t="s">
        <v>539</v>
      </c>
      <c r="F135" s="191" t="s">
        <v>114</v>
      </c>
      <c r="G135" s="193" t="s">
        <v>343</v>
      </c>
      <c r="H135" s="81" t="s">
        <v>918</v>
      </c>
      <c r="I135" s="190" t="s">
        <v>2085</v>
      </c>
      <c r="J135" s="184"/>
      <c r="K135" s="183"/>
      <c r="L135" s="183"/>
      <c r="M135" s="183"/>
    </row>
    <row r="136" spans="1:13" ht="15.75">
      <c r="A136" s="79">
        <f t="shared" si="2"/>
        <v>77</v>
      </c>
      <c r="B136" s="187">
        <v>134</v>
      </c>
      <c r="C136" s="186" t="s">
        <v>996</v>
      </c>
      <c r="D136" s="187">
        <v>105116</v>
      </c>
      <c r="E136" s="190" t="s">
        <v>540</v>
      </c>
      <c r="F136" s="191" t="s">
        <v>114</v>
      </c>
      <c r="G136" s="193" t="s">
        <v>176</v>
      </c>
      <c r="H136" s="81" t="s">
        <v>918</v>
      </c>
      <c r="I136" s="190" t="s">
        <v>2085</v>
      </c>
      <c r="J136" s="183"/>
      <c r="K136" s="183"/>
      <c r="L136" s="183"/>
      <c r="M136" s="183"/>
    </row>
    <row r="137" spans="1:13" ht="15.75">
      <c r="A137" s="79">
        <f t="shared" si="2"/>
        <v>357</v>
      </c>
      <c r="B137" s="187">
        <v>135</v>
      </c>
      <c r="C137" s="186" t="s">
        <v>1276</v>
      </c>
      <c r="D137" s="187">
        <v>105275</v>
      </c>
      <c r="E137" s="190" t="s">
        <v>541</v>
      </c>
      <c r="F137" s="191" t="s">
        <v>114</v>
      </c>
      <c r="G137" s="193" t="s">
        <v>183</v>
      </c>
      <c r="H137" s="81" t="s">
        <v>918</v>
      </c>
      <c r="I137" s="190" t="s">
        <v>2094</v>
      </c>
      <c r="J137" s="183"/>
      <c r="K137" s="183"/>
      <c r="L137" s="183"/>
      <c r="M137" s="183"/>
    </row>
    <row r="138" spans="1:13" ht="15.75">
      <c r="A138" s="79">
        <f t="shared" si="2"/>
        <v>134</v>
      </c>
      <c r="B138" s="187">
        <v>136</v>
      </c>
      <c r="C138" s="186" t="s">
        <v>1053</v>
      </c>
      <c r="D138" s="187">
        <v>105389</v>
      </c>
      <c r="E138" s="190" t="s">
        <v>542</v>
      </c>
      <c r="F138" s="191" t="s">
        <v>60</v>
      </c>
      <c r="G138" s="193" t="s">
        <v>1785</v>
      </c>
      <c r="H138" s="81" t="s">
        <v>918</v>
      </c>
      <c r="I138" s="190" t="s">
        <v>2087</v>
      </c>
      <c r="J138" s="183"/>
      <c r="K138" s="183"/>
      <c r="L138" s="183"/>
      <c r="M138" s="183"/>
    </row>
    <row r="139" spans="1:13" ht="15.75">
      <c r="A139" s="79">
        <f t="shared" si="2"/>
        <v>481</v>
      </c>
      <c r="B139" s="187">
        <v>137</v>
      </c>
      <c r="C139" s="186" t="s">
        <v>1400</v>
      </c>
      <c r="D139" s="187">
        <v>105396</v>
      </c>
      <c r="E139" s="190" t="s">
        <v>543</v>
      </c>
      <c r="F139" s="191" t="s">
        <v>60</v>
      </c>
      <c r="G139" s="193" t="s">
        <v>1972</v>
      </c>
      <c r="H139" s="81" t="s">
        <v>918</v>
      </c>
      <c r="I139" s="190" t="s">
        <v>2095</v>
      </c>
      <c r="J139" s="183"/>
      <c r="K139" s="183"/>
      <c r="L139" s="183"/>
      <c r="M139" s="183"/>
    </row>
    <row r="140" spans="1:13" ht="15.75">
      <c r="A140" s="79">
        <f t="shared" si="2"/>
        <v>482</v>
      </c>
      <c r="B140" s="187">
        <v>138</v>
      </c>
      <c r="C140" s="186" t="s">
        <v>1401</v>
      </c>
      <c r="D140" s="187">
        <v>105507</v>
      </c>
      <c r="E140" s="190" t="s">
        <v>470</v>
      </c>
      <c r="F140" s="191" t="s">
        <v>114</v>
      </c>
      <c r="G140" s="193" t="s">
        <v>236</v>
      </c>
      <c r="H140" s="81" t="s">
        <v>918</v>
      </c>
      <c r="I140" s="190" t="s">
        <v>2095</v>
      </c>
      <c r="J140" s="183"/>
      <c r="K140" s="183"/>
      <c r="L140" s="183"/>
      <c r="M140" s="183"/>
    </row>
    <row r="141" spans="1:13" ht="15.75">
      <c r="A141" s="79">
        <f t="shared" si="2"/>
        <v>483</v>
      </c>
      <c r="B141" s="187">
        <v>139</v>
      </c>
      <c r="C141" s="186" t="s">
        <v>1402</v>
      </c>
      <c r="D141" s="187">
        <v>105545</v>
      </c>
      <c r="E141" s="190" t="s">
        <v>544</v>
      </c>
      <c r="F141" s="191" t="s">
        <v>114</v>
      </c>
      <c r="G141" s="193" t="s">
        <v>1973</v>
      </c>
      <c r="H141" s="81" t="s">
        <v>918</v>
      </c>
      <c r="I141" s="190" t="s">
        <v>2095</v>
      </c>
      <c r="J141" s="183"/>
      <c r="K141" s="183"/>
      <c r="L141" s="183"/>
      <c r="M141" s="183"/>
    </row>
    <row r="142" spans="1:13" ht="15.75">
      <c r="A142" s="79">
        <f t="shared" si="2"/>
        <v>358</v>
      </c>
      <c r="B142" s="187">
        <v>140</v>
      </c>
      <c r="C142" s="186" t="s">
        <v>1277</v>
      </c>
      <c r="D142" s="187">
        <v>105569</v>
      </c>
      <c r="E142" s="190" t="s">
        <v>545</v>
      </c>
      <c r="F142" s="191" t="s">
        <v>60</v>
      </c>
      <c r="G142" s="193" t="s">
        <v>1908</v>
      </c>
      <c r="H142" s="81" t="s">
        <v>918</v>
      </c>
      <c r="I142" s="190" t="s">
        <v>2094</v>
      </c>
      <c r="J142" s="183"/>
      <c r="K142" s="183"/>
      <c r="L142" s="183"/>
      <c r="M142" s="183"/>
    </row>
    <row r="143" spans="1:13" ht="15.75">
      <c r="A143" s="79">
        <f t="shared" si="2"/>
        <v>359</v>
      </c>
      <c r="B143" s="187">
        <v>141</v>
      </c>
      <c r="C143" s="186" t="s">
        <v>1278</v>
      </c>
      <c r="D143" s="187">
        <v>105583</v>
      </c>
      <c r="E143" s="190" t="s">
        <v>546</v>
      </c>
      <c r="F143" s="191" t="s">
        <v>114</v>
      </c>
      <c r="G143" s="193" t="s">
        <v>196</v>
      </c>
      <c r="H143" s="81" t="s">
        <v>918</v>
      </c>
      <c r="I143" s="190" t="s">
        <v>2094</v>
      </c>
      <c r="J143" s="183"/>
      <c r="K143" s="183"/>
      <c r="L143" s="183"/>
      <c r="M143" s="183"/>
    </row>
    <row r="144" spans="1:13" ht="15.75">
      <c r="A144" s="79">
        <f t="shared" si="2"/>
        <v>484</v>
      </c>
      <c r="B144" s="187">
        <v>142</v>
      </c>
      <c r="C144" s="186" t="s">
        <v>1403</v>
      </c>
      <c r="D144" s="187">
        <v>105604</v>
      </c>
      <c r="E144" s="190" t="s">
        <v>547</v>
      </c>
      <c r="F144" s="191" t="s">
        <v>60</v>
      </c>
      <c r="G144" s="193" t="s">
        <v>1974</v>
      </c>
      <c r="H144" s="81" t="s">
        <v>918</v>
      </c>
      <c r="I144" s="190" t="s">
        <v>2095</v>
      </c>
      <c r="J144" s="183"/>
      <c r="K144" s="183"/>
      <c r="L144" s="183"/>
      <c r="M144" s="183"/>
    </row>
    <row r="145" spans="1:13" ht="15.75">
      <c r="A145" s="79">
        <f t="shared" si="2"/>
        <v>232</v>
      </c>
      <c r="B145" s="187">
        <v>143</v>
      </c>
      <c r="C145" s="186" t="s">
        <v>1151</v>
      </c>
      <c r="D145" s="187">
        <v>105659</v>
      </c>
      <c r="E145" s="190" t="s">
        <v>548</v>
      </c>
      <c r="F145" s="191" t="s">
        <v>114</v>
      </c>
      <c r="G145" s="193" t="s">
        <v>273</v>
      </c>
      <c r="H145" s="81" t="s">
        <v>918</v>
      </c>
      <c r="I145" s="190" t="s">
        <v>2093</v>
      </c>
      <c r="J145" s="184"/>
      <c r="K145" s="183"/>
      <c r="L145" s="183"/>
      <c r="M145" s="183"/>
    </row>
    <row r="146" spans="1:13" ht="15.75">
      <c r="A146" s="79">
        <f t="shared" si="2"/>
        <v>485</v>
      </c>
      <c r="B146" s="187">
        <v>144</v>
      </c>
      <c r="C146" s="186" t="s">
        <v>1404</v>
      </c>
      <c r="D146" s="187">
        <v>105666</v>
      </c>
      <c r="E146" s="190" t="s">
        <v>531</v>
      </c>
      <c r="F146" s="191" t="s">
        <v>114</v>
      </c>
      <c r="G146" s="193" t="s">
        <v>219</v>
      </c>
      <c r="H146" s="81" t="s">
        <v>918</v>
      </c>
      <c r="I146" s="190" t="s">
        <v>2095</v>
      </c>
      <c r="J146" s="183"/>
      <c r="K146" s="183"/>
      <c r="L146" s="183"/>
      <c r="M146" s="183"/>
    </row>
    <row r="147" spans="1:13" ht="15.75">
      <c r="A147" s="79">
        <f t="shared" si="2"/>
        <v>486</v>
      </c>
      <c r="B147" s="187">
        <v>145</v>
      </c>
      <c r="C147" s="186" t="s">
        <v>1405</v>
      </c>
      <c r="D147" s="187">
        <v>105725</v>
      </c>
      <c r="E147" s="190" t="s">
        <v>549</v>
      </c>
      <c r="F147" s="191" t="s">
        <v>114</v>
      </c>
      <c r="G147" s="193" t="s">
        <v>319</v>
      </c>
      <c r="H147" s="81" t="s">
        <v>918</v>
      </c>
      <c r="I147" s="190" t="s">
        <v>2095</v>
      </c>
      <c r="J147" s="183"/>
      <c r="K147" s="183"/>
      <c r="L147" s="183"/>
      <c r="M147" s="183"/>
    </row>
    <row r="148" spans="1:13" ht="15.75">
      <c r="A148" s="79">
        <f t="shared" si="2"/>
        <v>233</v>
      </c>
      <c r="B148" s="187">
        <v>146</v>
      </c>
      <c r="C148" s="186" t="s">
        <v>1152</v>
      </c>
      <c r="D148" s="187">
        <v>105815</v>
      </c>
      <c r="E148" s="190" t="s">
        <v>550</v>
      </c>
      <c r="F148" s="191" t="s">
        <v>60</v>
      </c>
      <c r="G148" s="193" t="s">
        <v>1842</v>
      </c>
      <c r="H148" s="81" t="s">
        <v>918</v>
      </c>
      <c r="I148" s="190" t="s">
        <v>2093</v>
      </c>
      <c r="J148" s="184"/>
      <c r="K148" s="183"/>
      <c r="L148" s="183"/>
      <c r="M148" s="183"/>
    </row>
    <row r="149" spans="1:13" ht="15.75">
      <c r="A149" s="79">
        <f t="shared" si="2"/>
        <v>487</v>
      </c>
      <c r="B149" s="187">
        <v>147</v>
      </c>
      <c r="C149" s="186" t="s">
        <v>1406</v>
      </c>
      <c r="D149" s="187">
        <v>105853</v>
      </c>
      <c r="E149" s="190" t="s">
        <v>551</v>
      </c>
      <c r="F149" s="191" t="s">
        <v>114</v>
      </c>
      <c r="G149" s="193" t="s">
        <v>303</v>
      </c>
      <c r="H149" s="81" t="s">
        <v>918</v>
      </c>
      <c r="I149" s="190" t="s">
        <v>2095</v>
      </c>
      <c r="J149" s="184"/>
      <c r="K149" s="183"/>
      <c r="L149" s="183"/>
      <c r="M149" s="183"/>
    </row>
    <row r="150" spans="1:13" ht="15.75">
      <c r="A150" s="79">
        <f t="shared" si="2"/>
        <v>360</v>
      </c>
      <c r="B150" s="187">
        <v>148</v>
      </c>
      <c r="C150" s="186" t="s">
        <v>1279</v>
      </c>
      <c r="D150" s="187">
        <v>105891</v>
      </c>
      <c r="E150" s="190" t="s">
        <v>552</v>
      </c>
      <c r="F150" s="191" t="s">
        <v>114</v>
      </c>
      <c r="G150" s="193" t="s">
        <v>300</v>
      </c>
      <c r="H150" s="81" t="s">
        <v>918</v>
      </c>
      <c r="I150" s="190" t="s">
        <v>2094</v>
      </c>
      <c r="J150" s="183"/>
      <c r="K150" s="183"/>
      <c r="L150" s="183"/>
      <c r="M150" s="183"/>
    </row>
    <row r="151" spans="1:13" ht="30">
      <c r="A151" s="79">
        <f t="shared" si="2"/>
        <v>157</v>
      </c>
      <c r="B151" s="187">
        <v>149</v>
      </c>
      <c r="C151" s="186" t="s">
        <v>1076</v>
      </c>
      <c r="D151" s="187">
        <v>105936</v>
      </c>
      <c r="E151" s="190" t="s">
        <v>553</v>
      </c>
      <c r="F151" s="191" t="s">
        <v>114</v>
      </c>
      <c r="G151" s="193" t="s">
        <v>1801</v>
      </c>
      <c r="H151" s="81" t="s">
        <v>918</v>
      </c>
      <c r="I151" s="190" t="s">
        <v>2089</v>
      </c>
      <c r="J151" s="183"/>
      <c r="K151" s="183"/>
      <c r="L151" s="183"/>
      <c r="M151" s="183"/>
    </row>
    <row r="152" spans="1:13" ht="30">
      <c r="A152" s="79">
        <f t="shared" si="2"/>
        <v>97</v>
      </c>
      <c r="B152" s="187">
        <v>150</v>
      </c>
      <c r="C152" s="186" t="s">
        <v>1016</v>
      </c>
      <c r="D152" s="187">
        <v>105943</v>
      </c>
      <c r="E152" s="190" t="s">
        <v>554</v>
      </c>
      <c r="F152" s="191" t="s">
        <v>114</v>
      </c>
      <c r="G152" s="193" t="s">
        <v>1762</v>
      </c>
      <c r="H152" s="81" t="s">
        <v>918</v>
      </c>
      <c r="I152" s="190" t="s">
        <v>2086</v>
      </c>
      <c r="J152" s="183"/>
      <c r="K152" s="183"/>
      <c r="L152" s="183"/>
      <c r="M152" s="183"/>
    </row>
    <row r="153" spans="1:13" ht="15.75">
      <c r="A153" s="79">
        <f t="shared" si="2"/>
        <v>9</v>
      </c>
      <c r="B153" s="187">
        <v>151</v>
      </c>
      <c r="C153" s="186" t="s">
        <v>928</v>
      </c>
      <c r="D153" s="187">
        <v>105967</v>
      </c>
      <c r="E153" s="190" t="s">
        <v>555</v>
      </c>
      <c r="F153" s="191" t="s">
        <v>114</v>
      </c>
      <c r="G153" s="193" t="s">
        <v>384</v>
      </c>
      <c r="H153" s="81" t="s">
        <v>918</v>
      </c>
      <c r="I153" s="190" t="s">
        <v>2080</v>
      </c>
      <c r="J153" s="183"/>
      <c r="K153" s="183"/>
      <c r="L153" s="183"/>
      <c r="M153" s="183"/>
    </row>
    <row r="154" spans="1:13" ht="15.75">
      <c r="A154" s="79">
        <f t="shared" si="2"/>
        <v>649</v>
      </c>
      <c r="B154" s="187">
        <v>152</v>
      </c>
      <c r="C154" s="186" t="s">
        <v>1568</v>
      </c>
      <c r="D154" s="187">
        <v>106023</v>
      </c>
      <c r="E154" s="190" t="s">
        <v>1693</v>
      </c>
      <c r="F154" s="191" t="s">
        <v>114</v>
      </c>
      <c r="G154" s="193" t="s">
        <v>1740</v>
      </c>
      <c r="H154" s="81" t="s">
        <v>918</v>
      </c>
      <c r="I154" s="190" t="s">
        <v>2097</v>
      </c>
      <c r="J154" s="183"/>
      <c r="K154" s="183"/>
      <c r="L154" s="183"/>
      <c r="M154" s="183"/>
    </row>
    <row r="155" spans="1:13" ht="15.75">
      <c r="A155" s="79">
        <f t="shared" si="2"/>
        <v>650</v>
      </c>
      <c r="B155" s="187">
        <v>153</v>
      </c>
      <c r="C155" s="186" t="s">
        <v>1569</v>
      </c>
      <c r="D155" s="187">
        <v>106047</v>
      </c>
      <c r="E155" s="190" t="s">
        <v>556</v>
      </c>
      <c r="F155" s="191" t="s">
        <v>60</v>
      </c>
      <c r="G155" s="193" t="s">
        <v>2076</v>
      </c>
      <c r="H155" s="81" t="s">
        <v>918</v>
      </c>
      <c r="I155" s="190" t="s">
        <v>2097</v>
      </c>
      <c r="J155" s="183"/>
      <c r="K155" s="183"/>
      <c r="L155" s="183"/>
      <c r="M155" s="183"/>
    </row>
    <row r="156" spans="1:13" ht="15.75">
      <c r="A156" s="79">
        <f t="shared" si="2"/>
        <v>361</v>
      </c>
      <c r="B156" s="187">
        <v>154</v>
      </c>
      <c r="C156" s="186" t="s">
        <v>1280</v>
      </c>
      <c r="D156" s="187">
        <v>106113</v>
      </c>
      <c r="E156" s="190" t="s">
        <v>557</v>
      </c>
      <c r="F156" s="191" t="s">
        <v>114</v>
      </c>
      <c r="G156" s="193" t="s">
        <v>272</v>
      </c>
      <c r="H156" s="81" t="s">
        <v>918</v>
      </c>
      <c r="I156" s="190" t="s">
        <v>2094</v>
      </c>
      <c r="J156" s="183"/>
      <c r="K156" s="183"/>
      <c r="L156" s="183"/>
      <c r="M156" s="183"/>
    </row>
    <row r="157" spans="1:13" ht="15.75">
      <c r="A157" s="79">
        <f t="shared" si="2"/>
        <v>488</v>
      </c>
      <c r="B157" s="187">
        <v>155</v>
      </c>
      <c r="C157" s="186" t="s">
        <v>1407</v>
      </c>
      <c r="D157" s="187">
        <v>106144</v>
      </c>
      <c r="E157" s="190" t="s">
        <v>558</v>
      </c>
      <c r="F157" s="191" t="s">
        <v>114</v>
      </c>
      <c r="G157" s="193" t="s">
        <v>177</v>
      </c>
      <c r="H157" s="81" t="s">
        <v>918</v>
      </c>
      <c r="I157" s="190" t="s">
        <v>2095</v>
      </c>
      <c r="J157" s="184"/>
      <c r="K157" s="183"/>
      <c r="L157" s="183"/>
      <c r="M157" s="183"/>
    </row>
    <row r="158" spans="1:13" ht="15.75">
      <c r="A158" s="79">
        <f t="shared" si="2"/>
        <v>10</v>
      </c>
      <c r="B158" s="187">
        <v>156</v>
      </c>
      <c r="C158" s="186" t="s">
        <v>929</v>
      </c>
      <c r="D158" s="187">
        <v>106300</v>
      </c>
      <c r="E158" s="190" t="s">
        <v>559</v>
      </c>
      <c r="F158" s="191" t="s">
        <v>60</v>
      </c>
      <c r="G158" s="193" t="s">
        <v>218</v>
      </c>
      <c r="H158" s="81" t="s">
        <v>918</v>
      </c>
      <c r="I158" s="190" t="s">
        <v>2080</v>
      </c>
      <c r="J158" s="183"/>
      <c r="K158" s="183"/>
      <c r="L158" s="183"/>
      <c r="M158" s="183"/>
    </row>
    <row r="159" spans="1:13" ht="15.75">
      <c r="A159" s="79">
        <f t="shared" si="2"/>
        <v>362</v>
      </c>
      <c r="B159" s="187">
        <v>157</v>
      </c>
      <c r="C159" s="186" t="s">
        <v>1281</v>
      </c>
      <c r="D159" s="187">
        <v>106438</v>
      </c>
      <c r="E159" s="190" t="s">
        <v>560</v>
      </c>
      <c r="F159" s="191" t="s">
        <v>114</v>
      </c>
      <c r="G159" s="193" t="s">
        <v>1909</v>
      </c>
      <c r="H159" s="81" t="s">
        <v>918</v>
      </c>
      <c r="I159" s="190" t="s">
        <v>2094</v>
      </c>
      <c r="J159" s="184"/>
      <c r="K159" s="183"/>
      <c r="L159" s="183"/>
      <c r="M159" s="183"/>
    </row>
    <row r="160" spans="1:13" ht="15.75">
      <c r="A160" s="79">
        <f t="shared" si="2"/>
        <v>234</v>
      </c>
      <c r="B160" s="187">
        <v>158</v>
      </c>
      <c r="C160" s="186" t="s">
        <v>1153</v>
      </c>
      <c r="D160" s="187">
        <v>106452</v>
      </c>
      <c r="E160" s="190" t="s">
        <v>561</v>
      </c>
      <c r="F160" s="191" t="s">
        <v>114</v>
      </c>
      <c r="G160" s="193" t="s">
        <v>1843</v>
      </c>
      <c r="H160" s="81" t="s">
        <v>918</v>
      </c>
      <c r="I160" s="190" t="s">
        <v>2093</v>
      </c>
      <c r="J160" s="183"/>
      <c r="K160" s="183"/>
      <c r="L160" s="183"/>
      <c r="M160" s="183"/>
    </row>
    <row r="161" spans="1:13" ht="15.75">
      <c r="A161" s="79">
        <f t="shared" si="2"/>
        <v>363</v>
      </c>
      <c r="B161" s="187">
        <v>159</v>
      </c>
      <c r="C161" s="186" t="s">
        <v>1282</v>
      </c>
      <c r="D161" s="187">
        <v>106528</v>
      </c>
      <c r="E161" s="190" t="s">
        <v>562</v>
      </c>
      <c r="F161" s="191" t="s">
        <v>114</v>
      </c>
      <c r="G161" s="193" t="s">
        <v>215</v>
      </c>
      <c r="H161" s="81" t="s">
        <v>918</v>
      </c>
      <c r="I161" s="190" t="s">
        <v>2094</v>
      </c>
      <c r="J161" s="183"/>
      <c r="K161" s="183"/>
      <c r="L161" s="183"/>
      <c r="M161" s="183"/>
    </row>
    <row r="162" spans="1:13" ht="15.75">
      <c r="A162" s="79">
        <f t="shared" si="2"/>
        <v>489</v>
      </c>
      <c r="B162" s="187">
        <v>160</v>
      </c>
      <c r="C162" s="186" t="s">
        <v>1408</v>
      </c>
      <c r="D162" s="187">
        <v>106535</v>
      </c>
      <c r="E162" s="190" t="s">
        <v>563</v>
      </c>
      <c r="F162" s="191" t="s">
        <v>60</v>
      </c>
      <c r="G162" s="193" t="s">
        <v>203</v>
      </c>
      <c r="H162" s="81" t="s">
        <v>918</v>
      </c>
      <c r="I162" s="190" t="s">
        <v>2095</v>
      </c>
      <c r="J162" s="183"/>
      <c r="K162" s="183"/>
      <c r="L162" s="183"/>
      <c r="M162" s="183"/>
    </row>
    <row r="163" spans="1:13" ht="15.75">
      <c r="A163" s="79">
        <f t="shared" si="2"/>
        <v>490</v>
      </c>
      <c r="B163" s="187">
        <v>161</v>
      </c>
      <c r="C163" s="186" t="s">
        <v>1409</v>
      </c>
      <c r="D163" s="187">
        <v>106559</v>
      </c>
      <c r="E163" s="190" t="s">
        <v>1668</v>
      </c>
      <c r="F163" s="191" t="s">
        <v>114</v>
      </c>
      <c r="G163" s="193" t="s">
        <v>1975</v>
      </c>
      <c r="H163" s="81" t="s">
        <v>918</v>
      </c>
      <c r="I163" s="190" t="s">
        <v>2095</v>
      </c>
      <c r="J163" s="183"/>
      <c r="K163" s="183"/>
      <c r="L163" s="183"/>
      <c r="M163" s="183"/>
    </row>
    <row r="164" spans="1:13" ht="30">
      <c r="A164" s="79">
        <f t="shared" si="2"/>
        <v>98</v>
      </c>
      <c r="B164" s="187">
        <v>162</v>
      </c>
      <c r="C164" s="186" t="s">
        <v>1017</v>
      </c>
      <c r="D164" s="187">
        <v>106694</v>
      </c>
      <c r="E164" s="190" t="s">
        <v>557</v>
      </c>
      <c r="F164" s="191" t="s">
        <v>114</v>
      </c>
      <c r="G164" s="193" t="s">
        <v>264</v>
      </c>
      <c r="H164" s="81" t="s">
        <v>918</v>
      </c>
      <c r="I164" s="190" t="s">
        <v>2086</v>
      </c>
      <c r="J164" s="184"/>
      <c r="K164" s="183"/>
      <c r="L164" s="183"/>
      <c r="M164" s="183"/>
    </row>
    <row r="165" spans="1:13" ht="30">
      <c r="A165" s="79">
        <f t="shared" si="2"/>
        <v>158</v>
      </c>
      <c r="B165" s="187">
        <v>163</v>
      </c>
      <c r="C165" s="186" t="s">
        <v>1077</v>
      </c>
      <c r="D165" s="187">
        <v>106722</v>
      </c>
      <c r="E165" s="190" t="s">
        <v>1607</v>
      </c>
      <c r="F165" s="191" t="s">
        <v>114</v>
      </c>
      <c r="G165" s="193" t="s">
        <v>153</v>
      </c>
      <c r="H165" s="81" t="s">
        <v>918</v>
      </c>
      <c r="I165" s="190" t="s">
        <v>2089</v>
      </c>
      <c r="J165" s="183"/>
      <c r="K165" s="183"/>
      <c r="L165" s="183"/>
      <c r="M165" s="183"/>
    </row>
    <row r="166" spans="1:13" ht="15.75">
      <c r="A166" s="79">
        <f t="shared" si="2"/>
        <v>364</v>
      </c>
      <c r="B166" s="187">
        <v>164</v>
      </c>
      <c r="C166" s="186" t="s">
        <v>1283</v>
      </c>
      <c r="D166" s="187">
        <v>106812</v>
      </c>
      <c r="E166" s="190" t="s">
        <v>564</v>
      </c>
      <c r="F166" s="191" t="s">
        <v>60</v>
      </c>
      <c r="G166" s="193" t="s">
        <v>1910</v>
      </c>
      <c r="H166" s="81" t="s">
        <v>918</v>
      </c>
      <c r="I166" s="190" t="s">
        <v>2094</v>
      </c>
      <c r="J166" s="183"/>
      <c r="K166" s="183"/>
      <c r="L166" s="183"/>
      <c r="M166" s="183"/>
    </row>
    <row r="167" spans="1:13" ht="15.75">
      <c r="A167" s="79">
        <f t="shared" si="2"/>
        <v>365</v>
      </c>
      <c r="B167" s="187">
        <v>165</v>
      </c>
      <c r="C167" s="186" t="s">
        <v>1284</v>
      </c>
      <c r="D167" s="187">
        <v>106881</v>
      </c>
      <c r="E167" s="190" t="s">
        <v>565</v>
      </c>
      <c r="F167" s="191" t="s">
        <v>114</v>
      </c>
      <c r="G167" s="193" t="s">
        <v>183</v>
      </c>
      <c r="H167" s="81" t="s">
        <v>918</v>
      </c>
      <c r="I167" s="190" t="s">
        <v>2094</v>
      </c>
      <c r="J167" s="183"/>
      <c r="K167" s="183"/>
      <c r="L167" s="183"/>
      <c r="M167" s="183"/>
    </row>
    <row r="168" spans="1:13" ht="15.75">
      <c r="A168" s="79">
        <f t="shared" si="2"/>
        <v>491</v>
      </c>
      <c r="B168" s="187">
        <v>166</v>
      </c>
      <c r="C168" s="186" t="s">
        <v>1410</v>
      </c>
      <c r="D168" s="187">
        <v>106988</v>
      </c>
      <c r="E168" s="190" t="s">
        <v>566</v>
      </c>
      <c r="F168" s="191" t="s">
        <v>114</v>
      </c>
      <c r="G168" s="193" t="s">
        <v>1976</v>
      </c>
      <c r="H168" s="81" t="s">
        <v>918</v>
      </c>
      <c r="I168" s="190" t="s">
        <v>2095</v>
      </c>
      <c r="J168" s="183"/>
      <c r="K168" s="183"/>
      <c r="L168" s="183"/>
      <c r="M168" s="183"/>
    </row>
    <row r="169" spans="1:13" ht="15.75">
      <c r="A169" s="79">
        <f t="shared" si="2"/>
        <v>235</v>
      </c>
      <c r="B169" s="187">
        <v>167</v>
      </c>
      <c r="C169" s="186" t="s">
        <v>1154</v>
      </c>
      <c r="D169" s="187">
        <v>107165</v>
      </c>
      <c r="E169" s="190" t="s">
        <v>567</v>
      </c>
      <c r="F169" s="191" t="s">
        <v>114</v>
      </c>
      <c r="G169" s="193" t="s">
        <v>1844</v>
      </c>
      <c r="H169" s="81" t="s">
        <v>918</v>
      </c>
      <c r="I169" s="190" t="s">
        <v>2093</v>
      </c>
      <c r="J169" s="183"/>
      <c r="K169" s="183"/>
      <c r="L169" s="183"/>
      <c r="M169" s="183"/>
    </row>
    <row r="170" spans="1:13" ht="15.75">
      <c r="A170" s="79">
        <f t="shared" si="2"/>
        <v>492</v>
      </c>
      <c r="B170" s="187">
        <v>168</v>
      </c>
      <c r="C170" s="186" t="s">
        <v>1411</v>
      </c>
      <c r="D170" s="187">
        <v>107200</v>
      </c>
      <c r="E170" s="190" t="s">
        <v>568</v>
      </c>
      <c r="F170" s="191" t="s">
        <v>114</v>
      </c>
      <c r="G170" s="193" t="s">
        <v>1977</v>
      </c>
      <c r="H170" s="81" t="s">
        <v>918</v>
      </c>
      <c r="I170" s="190" t="s">
        <v>2095</v>
      </c>
      <c r="J170" s="183"/>
      <c r="K170" s="183"/>
      <c r="L170" s="183"/>
      <c r="M170" s="183"/>
    </row>
    <row r="171" spans="1:13" ht="15.75">
      <c r="A171" s="79">
        <f t="shared" si="2"/>
        <v>493</v>
      </c>
      <c r="B171" s="187">
        <v>169</v>
      </c>
      <c r="C171" s="186" t="s">
        <v>1412</v>
      </c>
      <c r="D171" s="187">
        <v>107217</v>
      </c>
      <c r="E171" s="190" t="s">
        <v>565</v>
      </c>
      <c r="F171" s="191" t="s">
        <v>114</v>
      </c>
      <c r="G171" s="193" t="s">
        <v>1978</v>
      </c>
      <c r="H171" s="81" t="s">
        <v>918</v>
      </c>
      <c r="I171" s="190" t="s">
        <v>2095</v>
      </c>
      <c r="J171" s="183"/>
      <c r="K171" s="183"/>
      <c r="L171" s="183"/>
      <c r="M171" s="183"/>
    </row>
    <row r="172" spans="1:13" ht="15.75">
      <c r="A172" s="79">
        <f t="shared" si="2"/>
        <v>236</v>
      </c>
      <c r="B172" s="187">
        <v>170</v>
      </c>
      <c r="C172" s="186" t="s">
        <v>1155</v>
      </c>
      <c r="D172" s="187">
        <v>107293</v>
      </c>
      <c r="E172" s="190" t="s">
        <v>569</v>
      </c>
      <c r="F172" s="191" t="s">
        <v>60</v>
      </c>
      <c r="G172" s="193" t="s">
        <v>163</v>
      </c>
      <c r="H172" s="81" t="s">
        <v>918</v>
      </c>
      <c r="I172" s="190" t="s">
        <v>2093</v>
      </c>
      <c r="J172" s="183"/>
      <c r="K172" s="183"/>
      <c r="L172" s="183"/>
      <c r="M172" s="183"/>
    </row>
    <row r="173" spans="1:13" ht="15.75">
      <c r="A173" s="79">
        <f t="shared" si="2"/>
        <v>494</v>
      </c>
      <c r="B173" s="187">
        <v>171</v>
      </c>
      <c r="C173" s="186" t="s">
        <v>1413</v>
      </c>
      <c r="D173" s="187">
        <v>107411</v>
      </c>
      <c r="E173" s="190" t="s">
        <v>570</v>
      </c>
      <c r="F173" s="191" t="s">
        <v>114</v>
      </c>
      <c r="G173" s="193" t="s">
        <v>306</v>
      </c>
      <c r="H173" s="81" t="s">
        <v>918</v>
      </c>
      <c r="I173" s="190" t="s">
        <v>2095</v>
      </c>
      <c r="J173" s="183"/>
      <c r="K173" s="183"/>
      <c r="L173" s="183"/>
      <c r="M173" s="183"/>
    </row>
    <row r="174" spans="1:13" ht="30">
      <c r="A174" s="79">
        <f t="shared" si="2"/>
        <v>99</v>
      </c>
      <c r="B174" s="187">
        <v>172</v>
      </c>
      <c r="C174" s="186" t="s">
        <v>1018</v>
      </c>
      <c r="D174" s="187">
        <v>107556</v>
      </c>
      <c r="E174" s="190" t="s">
        <v>470</v>
      </c>
      <c r="F174" s="191" t="s">
        <v>114</v>
      </c>
      <c r="G174" s="193" t="s">
        <v>156</v>
      </c>
      <c r="H174" s="81" t="s">
        <v>918</v>
      </c>
      <c r="I174" s="190" t="s">
        <v>2086</v>
      </c>
      <c r="J174" s="183"/>
      <c r="K174" s="183"/>
      <c r="L174" s="183"/>
      <c r="M174" s="183"/>
    </row>
    <row r="175" spans="1:13" ht="15.75">
      <c r="A175" s="79">
        <f t="shared" si="2"/>
        <v>237</v>
      </c>
      <c r="B175" s="187">
        <v>173</v>
      </c>
      <c r="C175" s="186" t="s">
        <v>1156</v>
      </c>
      <c r="D175" s="187">
        <v>107736</v>
      </c>
      <c r="E175" s="190" t="s">
        <v>571</v>
      </c>
      <c r="F175" s="191" t="s">
        <v>114</v>
      </c>
      <c r="G175" s="193" t="s">
        <v>1845</v>
      </c>
      <c r="H175" s="81" t="s">
        <v>918</v>
      </c>
      <c r="I175" s="190" t="s">
        <v>2093</v>
      </c>
      <c r="J175" s="183"/>
      <c r="K175" s="183"/>
      <c r="L175" s="183"/>
      <c r="M175" s="183"/>
    </row>
    <row r="176" spans="1:13" ht="15.75">
      <c r="A176" s="79">
        <f t="shared" si="2"/>
        <v>238</v>
      </c>
      <c r="B176" s="187">
        <v>174</v>
      </c>
      <c r="C176" s="186" t="s">
        <v>1157</v>
      </c>
      <c r="D176" s="187">
        <v>107833</v>
      </c>
      <c r="E176" s="190" t="s">
        <v>572</v>
      </c>
      <c r="F176" s="191" t="s">
        <v>60</v>
      </c>
      <c r="G176" s="193" t="s">
        <v>285</v>
      </c>
      <c r="H176" s="81" t="s">
        <v>918</v>
      </c>
      <c r="I176" s="190" t="s">
        <v>2093</v>
      </c>
      <c r="J176" s="183"/>
      <c r="K176" s="183"/>
      <c r="L176" s="183"/>
      <c r="M176" s="183"/>
    </row>
    <row r="177" spans="1:13" ht="15.75">
      <c r="A177" s="79">
        <f t="shared" si="2"/>
        <v>366</v>
      </c>
      <c r="B177" s="187">
        <v>175</v>
      </c>
      <c r="C177" s="186" t="s">
        <v>1285</v>
      </c>
      <c r="D177" s="187">
        <v>107871</v>
      </c>
      <c r="E177" s="190" t="s">
        <v>573</v>
      </c>
      <c r="F177" s="191" t="s">
        <v>114</v>
      </c>
      <c r="G177" s="193" t="s">
        <v>356</v>
      </c>
      <c r="H177" s="81" t="s">
        <v>918</v>
      </c>
      <c r="I177" s="190" t="s">
        <v>2094</v>
      </c>
      <c r="J177" s="183"/>
      <c r="K177" s="183"/>
      <c r="L177" s="183"/>
      <c r="M177" s="183"/>
    </row>
    <row r="178" spans="1:13" ht="15.75">
      <c r="A178" s="79">
        <f t="shared" si="2"/>
        <v>495</v>
      </c>
      <c r="B178" s="187">
        <v>176</v>
      </c>
      <c r="C178" s="186" t="s">
        <v>1414</v>
      </c>
      <c r="D178" s="187">
        <v>107961</v>
      </c>
      <c r="E178" s="190" t="s">
        <v>574</v>
      </c>
      <c r="F178" s="191" t="s">
        <v>114</v>
      </c>
      <c r="G178" s="193" t="s">
        <v>1979</v>
      </c>
      <c r="H178" s="81" t="s">
        <v>918</v>
      </c>
      <c r="I178" s="190" t="s">
        <v>2095</v>
      </c>
      <c r="J178" s="183"/>
      <c r="K178" s="183"/>
      <c r="L178" s="183"/>
      <c r="M178" s="183"/>
    </row>
    <row r="179" spans="1:13" ht="30">
      <c r="A179" s="79">
        <f t="shared" si="2"/>
        <v>66</v>
      </c>
      <c r="B179" s="187">
        <v>177</v>
      </c>
      <c r="C179" s="186" t="s">
        <v>985</v>
      </c>
      <c r="D179" s="187">
        <v>108034</v>
      </c>
      <c r="E179" s="190" t="s">
        <v>575</v>
      </c>
      <c r="F179" s="191" t="s">
        <v>114</v>
      </c>
      <c r="G179" s="193" t="s">
        <v>385</v>
      </c>
      <c r="H179" s="81" t="s">
        <v>918</v>
      </c>
      <c r="I179" s="190" t="s">
        <v>2084</v>
      </c>
      <c r="J179" s="184"/>
      <c r="K179" s="183"/>
      <c r="L179" s="183"/>
      <c r="M179" s="183"/>
    </row>
    <row r="180" spans="1:13" ht="30">
      <c r="A180" s="79">
        <f t="shared" si="2"/>
        <v>624</v>
      </c>
      <c r="B180" s="187">
        <v>178</v>
      </c>
      <c r="C180" s="186" t="s">
        <v>1543</v>
      </c>
      <c r="D180" s="187">
        <v>108041</v>
      </c>
      <c r="E180" s="190" t="s">
        <v>576</v>
      </c>
      <c r="F180" s="191" t="s">
        <v>114</v>
      </c>
      <c r="G180" s="193" t="s">
        <v>249</v>
      </c>
      <c r="H180" s="81" t="s">
        <v>918</v>
      </c>
      <c r="I180" s="190" t="s">
        <v>2096</v>
      </c>
      <c r="J180" s="183"/>
      <c r="K180" s="183"/>
      <c r="L180" s="183"/>
      <c r="M180" s="183"/>
    </row>
    <row r="181" spans="1:13" ht="30">
      <c r="A181" s="79">
        <f t="shared" si="2"/>
        <v>100</v>
      </c>
      <c r="B181" s="187">
        <v>179</v>
      </c>
      <c r="C181" s="186" t="s">
        <v>1019</v>
      </c>
      <c r="D181" s="187">
        <v>108058</v>
      </c>
      <c r="E181" s="190" t="s">
        <v>577</v>
      </c>
      <c r="F181" s="191" t="s">
        <v>114</v>
      </c>
      <c r="G181" s="193" t="s">
        <v>372</v>
      </c>
      <c r="H181" s="81" t="s">
        <v>918</v>
      </c>
      <c r="I181" s="190" t="s">
        <v>2086</v>
      </c>
      <c r="J181" s="183"/>
      <c r="K181" s="183"/>
      <c r="L181" s="183"/>
      <c r="M181" s="183"/>
    </row>
    <row r="182" spans="1:13" ht="15.75">
      <c r="A182" s="79">
        <f t="shared" si="2"/>
        <v>52</v>
      </c>
      <c r="B182" s="187">
        <v>180</v>
      </c>
      <c r="C182" s="186" t="s">
        <v>971</v>
      </c>
      <c r="D182" s="187">
        <v>108072</v>
      </c>
      <c r="E182" s="190" t="s">
        <v>578</v>
      </c>
      <c r="F182" s="191" t="s">
        <v>114</v>
      </c>
      <c r="G182" s="193" t="s">
        <v>1733</v>
      </c>
      <c r="H182" s="81" t="s">
        <v>918</v>
      </c>
      <c r="I182" s="190" t="s">
        <v>2082</v>
      </c>
      <c r="J182" s="183"/>
      <c r="K182" s="183"/>
      <c r="L182" s="183"/>
      <c r="M182" s="183"/>
    </row>
    <row r="183" spans="1:13" ht="15.75">
      <c r="A183" s="79">
        <f t="shared" si="2"/>
        <v>496</v>
      </c>
      <c r="B183" s="187">
        <v>181</v>
      </c>
      <c r="C183" s="186" t="s">
        <v>1415</v>
      </c>
      <c r="D183" s="187">
        <v>108100</v>
      </c>
      <c r="E183" s="190" t="s">
        <v>579</v>
      </c>
      <c r="F183" s="191" t="s">
        <v>60</v>
      </c>
      <c r="G183" s="193" t="s">
        <v>1980</v>
      </c>
      <c r="H183" s="81" t="s">
        <v>918</v>
      </c>
      <c r="I183" s="190" t="s">
        <v>2095</v>
      </c>
      <c r="J183" s="183"/>
      <c r="K183" s="183"/>
      <c r="L183" s="183"/>
      <c r="M183" s="183"/>
    </row>
    <row r="184" spans="1:13" ht="15.75">
      <c r="A184" s="79">
        <f t="shared" si="2"/>
        <v>239</v>
      </c>
      <c r="B184" s="187">
        <v>182</v>
      </c>
      <c r="C184" s="186" t="s">
        <v>1158</v>
      </c>
      <c r="D184" s="187">
        <v>108238</v>
      </c>
      <c r="E184" s="190" t="s">
        <v>580</v>
      </c>
      <c r="F184" s="191" t="s">
        <v>114</v>
      </c>
      <c r="G184" s="193" t="s">
        <v>162</v>
      </c>
      <c r="H184" s="81" t="s">
        <v>918</v>
      </c>
      <c r="I184" s="190" t="s">
        <v>2093</v>
      </c>
      <c r="J184" s="183"/>
      <c r="K184" s="183"/>
      <c r="L184" s="183"/>
      <c r="M184" s="183"/>
    </row>
    <row r="185" spans="1:13" ht="15.75">
      <c r="A185" s="79">
        <f t="shared" si="2"/>
        <v>240</v>
      </c>
      <c r="B185" s="187">
        <v>183</v>
      </c>
      <c r="C185" s="186" t="s">
        <v>1159</v>
      </c>
      <c r="D185" s="187">
        <v>108283</v>
      </c>
      <c r="E185" s="190" t="s">
        <v>581</v>
      </c>
      <c r="F185" s="191" t="s">
        <v>114</v>
      </c>
      <c r="G185" s="193" t="s">
        <v>387</v>
      </c>
      <c r="H185" s="81" t="s">
        <v>918</v>
      </c>
      <c r="I185" s="190" t="s">
        <v>2093</v>
      </c>
      <c r="J185" s="183"/>
      <c r="K185" s="183"/>
      <c r="L185" s="183"/>
      <c r="M185" s="183"/>
    </row>
    <row r="186" spans="1:13" ht="15.75">
      <c r="A186" s="79">
        <f t="shared" si="2"/>
        <v>241</v>
      </c>
      <c r="B186" s="187">
        <v>184</v>
      </c>
      <c r="C186" s="186" t="s">
        <v>1160</v>
      </c>
      <c r="D186" s="187">
        <v>108304</v>
      </c>
      <c r="E186" s="190" t="s">
        <v>582</v>
      </c>
      <c r="F186" s="191" t="s">
        <v>60</v>
      </c>
      <c r="G186" s="193" t="s">
        <v>1846</v>
      </c>
      <c r="H186" s="81" t="s">
        <v>918</v>
      </c>
      <c r="I186" s="190" t="s">
        <v>2093</v>
      </c>
      <c r="J186" s="183"/>
      <c r="K186" s="183"/>
      <c r="L186" s="183"/>
      <c r="M186" s="183"/>
    </row>
    <row r="187" spans="1:13" ht="15.75">
      <c r="A187" s="79">
        <f t="shared" si="2"/>
        <v>497</v>
      </c>
      <c r="B187" s="187">
        <v>185</v>
      </c>
      <c r="C187" s="186" t="s">
        <v>1416</v>
      </c>
      <c r="D187" s="187">
        <v>108359</v>
      </c>
      <c r="E187" s="190" t="s">
        <v>583</v>
      </c>
      <c r="F187" s="191" t="s">
        <v>114</v>
      </c>
      <c r="G187" s="193" t="s">
        <v>1981</v>
      </c>
      <c r="H187" s="81" t="s">
        <v>918</v>
      </c>
      <c r="I187" s="190" t="s">
        <v>2095</v>
      </c>
      <c r="J187" s="183"/>
      <c r="K187" s="183"/>
      <c r="L187" s="183"/>
      <c r="M187" s="183"/>
    </row>
    <row r="188" spans="1:13" ht="15.75">
      <c r="A188" s="79">
        <f t="shared" si="2"/>
        <v>498</v>
      </c>
      <c r="B188" s="187">
        <v>186</v>
      </c>
      <c r="C188" s="186" t="s">
        <v>1417</v>
      </c>
      <c r="D188" s="187">
        <v>108432</v>
      </c>
      <c r="E188" s="190" t="s">
        <v>584</v>
      </c>
      <c r="F188" s="191" t="s">
        <v>114</v>
      </c>
      <c r="G188" s="193" t="s">
        <v>232</v>
      </c>
      <c r="H188" s="81" t="s">
        <v>918</v>
      </c>
      <c r="I188" s="190" t="s">
        <v>2095</v>
      </c>
      <c r="J188" s="183"/>
      <c r="K188" s="183"/>
      <c r="L188" s="183"/>
      <c r="M188" s="183"/>
    </row>
    <row r="189" spans="1:13" ht="15.75">
      <c r="A189" s="79">
        <f t="shared" si="2"/>
        <v>367</v>
      </c>
      <c r="B189" s="187">
        <v>187</v>
      </c>
      <c r="C189" s="186" t="s">
        <v>1286</v>
      </c>
      <c r="D189" s="187">
        <v>108508</v>
      </c>
      <c r="E189" s="190" t="s">
        <v>585</v>
      </c>
      <c r="F189" s="191" t="s">
        <v>114</v>
      </c>
      <c r="G189" s="193" t="s">
        <v>314</v>
      </c>
      <c r="H189" s="81" t="s">
        <v>918</v>
      </c>
      <c r="I189" s="190" t="s">
        <v>2094</v>
      </c>
      <c r="J189" s="183"/>
      <c r="K189" s="183"/>
      <c r="L189" s="183"/>
      <c r="M189" s="183"/>
    </row>
    <row r="190" spans="1:13" ht="15.75">
      <c r="A190" s="79">
        <f t="shared" si="2"/>
        <v>135</v>
      </c>
      <c r="B190" s="187">
        <v>188</v>
      </c>
      <c r="C190" s="186" t="s">
        <v>1054</v>
      </c>
      <c r="D190" s="187">
        <v>108522</v>
      </c>
      <c r="E190" s="190" t="s">
        <v>586</v>
      </c>
      <c r="F190" s="191" t="s">
        <v>114</v>
      </c>
      <c r="G190" s="193" t="s">
        <v>1786</v>
      </c>
      <c r="H190" s="81" t="s">
        <v>918</v>
      </c>
      <c r="I190" s="190" t="s">
        <v>2087</v>
      </c>
      <c r="J190" s="183"/>
      <c r="K190" s="183"/>
      <c r="L190" s="183"/>
      <c r="M190" s="183"/>
    </row>
    <row r="191" spans="1:13" ht="30">
      <c r="A191" s="79">
        <f t="shared" si="2"/>
        <v>61</v>
      </c>
      <c r="B191" s="187">
        <v>189</v>
      </c>
      <c r="C191" s="186" t="s">
        <v>980</v>
      </c>
      <c r="D191" s="187">
        <v>108577</v>
      </c>
      <c r="E191" s="190" t="s">
        <v>587</v>
      </c>
      <c r="F191" s="191" t="s">
        <v>114</v>
      </c>
      <c r="G191" s="193" t="s">
        <v>1740</v>
      </c>
      <c r="H191" s="81" t="s">
        <v>918</v>
      </c>
      <c r="I191" s="190" t="s">
        <v>2083</v>
      </c>
      <c r="J191" s="183"/>
      <c r="K191" s="183"/>
      <c r="L191" s="183"/>
      <c r="M191" s="183"/>
    </row>
    <row r="192" spans="1:13" ht="15.75">
      <c r="A192" s="79">
        <f t="shared" si="2"/>
        <v>242</v>
      </c>
      <c r="B192" s="187">
        <v>190</v>
      </c>
      <c r="C192" s="186" t="s">
        <v>1161</v>
      </c>
      <c r="D192" s="187">
        <v>108650</v>
      </c>
      <c r="E192" s="190" t="s">
        <v>588</v>
      </c>
      <c r="F192" s="191" t="s">
        <v>60</v>
      </c>
      <c r="G192" s="193" t="s">
        <v>325</v>
      </c>
      <c r="H192" s="81" t="s">
        <v>918</v>
      </c>
      <c r="I192" s="190" t="s">
        <v>2093</v>
      </c>
      <c r="J192" s="183"/>
      <c r="K192" s="183"/>
      <c r="L192" s="183"/>
      <c r="M192" s="183"/>
    </row>
    <row r="193" spans="1:13" ht="15.75">
      <c r="A193" s="79">
        <f t="shared" si="2"/>
        <v>499</v>
      </c>
      <c r="B193" s="187">
        <v>191</v>
      </c>
      <c r="C193" s="186" t="s">
        <v>1418</v>
      </c>
      <c r="D193" s="187">
        <v>108702</v>
      </c>
      <c r="E193" s="190" t="s">
        <v>589</v>
      </c>
      <c r="F193" s="191" t="s">
        <v>114</v>
      </c>
      <c r="G193" s="193" t="s">
        <v>308</v>
      </c>
      <c r="H193" s="81" t="s">
        <v>918</v>
      </c>
      <c r="I193" s="190" t="s">
        <v>2095</v>
      </c>
      <c r="J193" s="183"/>
      <c r="K193" s="183"/>
      <c r="L193" s="183"/>
      <c r="M193" s="183"/>
    </row>
    <row r="194" spans="1:13" ht="15.75">
      <c r="A194" s="79">
        <f t="shared" si="2"/>
        <v>168</v>
      </c>
      <c r="B194" s="187">
        <v>192</v>
      </c>
      <c r="C194" s="186" t="s">
        <v>1087</v>
      </c>
      <c r="D194" s="187">
        <v>109086</v>
      </c>
      <c r="E194" s="190" t="s">
        <v>590</v>
      </c>
      <c r="F194" s="191" t="s">
        <v>114</v>
      </c>
      <c r="G194" s="193" t="s">
        <v>185</v>
      </c>
      <c r="H194" s="81" t="s">
        <v>918</v>
      </c>
      <c r="I194" s="190" t="s">
        <v>2090</v>
      </c>
      <c r="J194" s="184"/>
      <c r="K194" s="183"/>
      <c r="L194" s="183"/>
      <c r="M194" s="183"/>
    </row>
    <row r="195" spans="1:13" ht="15.75">
      <c r="A195" s="79">
        <f t="shared" ref="A195:A258" si="3">IFERROR(VALUE(RIGHT(C195,4)),"")</f>
        <v>500</v>
      </c>
      <c r="B195" s="187">
        <v>193</v>
      </c>
      <c r="C195" s="186" t="s">
        <v>1419</v>
      </c>
      <c r="D195" s="187">
        <v>109228</v>
      </c>
      <c r="E195" s="190" t="s">
        <v>591</v>
      </c>
      <c r="F195" s="191" t="s">
        <v>114</v>
      </c>
      <c r="G195" s="193" t="s">
        <v>290</v>
      </c>
      <c r="H195" s="81" t="s">
        <v>918</v>
      </c>
      <c r="I195" s="190" t="s">
        <v>2095</v>
      </c>
      <c r="J195" s="183"/>
      <c r="K195" s="183"/>
      <c r="L195" s="183"/>
      <c r="M195" s="183"/>
    </row>
    <row r="196" spans="1:13" ht="15.75">
      <c r="A196" s="79">
        <f t="shared" si="3"/>
        <v>243</v>
      </c>
      <c r="B196" s="187">
        <v>194</v>
      </c>
      <c r="C196" s="186" t="s">
        <v>1162</v>
      </c>
      <c r="D196" s="187">
        <v>109370</v>
      </c>
      <c r="E196" s="190" t="s">
        <v>592</v>
      </c>
      <c r="F196" s="191" t="s">
        <v>60</v>
      </c>
      <c r="G196" s="193" t="s">
        <v>193</v>
      </c>
      <c r="H196" s="81" t="s">
        <v>918</v>
      </c>
      <c r="I196" s="190" t="s">
        <v>2093</v>
      </c>
      <c r="J196" s="183"/>
      <c r="K196" s="183"/>
      <c r="L196" s="183"/>
      <c r="M196" s="183"/>
    </row>
    <row r="197" spans="1:13" ht="15.75">
      <c r="A197" s="79">
        <f t="shared" si="3"/>
        <v>651</v>
      </c>
      <c r="B197" s="187">
        <v>195</v>
      </c>
      <c r="C197" s="186" t="s">
        <v>1570</v>
      </c>
      <c r="D197" s="187">
        <v>109619</v>
      </c>
      <c r="E197" s="190" t="s">
        <v>593</v>
      </c>
      <c r="F197" s="191" t="s">
        <v>114</v>
      </c>
      <c r="G197" s="193" t="s">
        <v>224</v>
      </c>
      <c r="H197" s="81" t="s">
        <v>918</v>
      </c>
      <c r="I197" s="190" t="s">
        <v>2097</v>
      </c>
      <c r="J197" s="183"/>
      <c r="K197" s="183"/>
      <c r="L197" s="183"/>
      <c r="M197" s="183"/>
    </row>
    <row r="198" spans="1:13" ht="15.75">
      <c r="A198" s="79">
        <f t="shared" si="3"/>
        <v>78</v>
      </c>
      <c r="B198" s="187">
        <v>196</v>
      </c>
      <c r="C198" s="186" t="s">
        <v>997</v>
      </c>
      <c r="D198" s="187">
        <v>109633</v>
      </c>
      <c r="E198" s="190" t="s">
        <v>594</v>
      </c>
      <c r="F198" s="191" t="s">
        <v>60</v>
      </c>
      <c r="G198" s="193" t="s">
        <v>261</v>
      </c>
      <c r="H198" s="81" t="s">
        <v>918</v>
      </c>
      <c r="I198" s="190" t="s">
        <v>2085</v>
      </c>
      <c r="J198" s="184"/>
      <c r="K198" s="183"/>
      <c r="L198" s="183"/>
      <c r="M198" s="183"/>
    </row>
    <row r="199" spans="1:13" ht="30">
      <c r="A199" s="79">
        <f t="shared" si="3"/>
        <v>625</v>
      </c>
      <c r="B199" s="187">
        <v>197</v>
      </c>
      <c r="C199" s="186" t="s">
        <v>1544</v>
      </c>
      <c r="D199" s="187">
        <v>109730</v>
      </c>
      <c r="E199" s="190" t="s">
        <v>595</v>
      </c>
      <c r="F199" s="191" t="s">
        <v>60</v>
      </c>
      <c r="G199" s="193" t="s">
        <v>320</v>
      </c>
      <c r="H199" s="81" t="s">
        <v>918</v>
      </c>
      <c r="I199" s="190" t="s">
        <v>2096</v>
      </c>
      <c r="J199" s="183"/>
      <c r="K199" s="183"/>
      <c r="L199" s="183"/>
      <c r="M199" s="183"/>
    </row>
    <row r="200" spans="1:13" ht="15.75">
      <c r="A200" s="79">
        <f t="shared" si="3"/>
        <v>368</v>
      </c>
      <c r="B200" s="187">
        <v>198</v>
      </c>
      <c r="C200" s="186" t="s">
        <v>1287</v>
      </c>
      <c r="D200" s="187">
        <v>109958</v>
      </c>
      <c r="E200" s="190" t="s">
        <v>596</v>
      </c>
      <c r="F200" s="191" t="s">
        <v>114</v>
      </c>
      <c r="G200" s="193" t="s">
        <v>1911</v>
      </c>
      <c r="H200" s="81" t="s">
        <v>918</v>
      </c>
      <c r="I200" s="190" t="s">
        <v>2094</v>
      </c>
      <c r="J200" s="183"/>
      <c r="K200" s="183"/>
      <c r="L200" s="183"/>
      <c r="M200" s="183"/>
    </row>
    <row r="201" spans="1:13" ht="15.75">
      <c r="A201" s="79">
        <f t="shared" si="3"/>
        <v>244</v>
      </c>
      <c r="B201" s="187">
        <v>199</v>
      </c>
      <c r="C201" s="186" t="s">
        <v>1163</v>
      </c>
      <c r="D201" s="187">
        <v>110042</v>
      </c>
      <c r="E201" s="190" t="s">
        <v>597</v>
      </c>
      <c r="F201" s="191" t="s">
        <v>60</v>
      </c>
      <c r="G201" s="193" t="s">
        <v>1847</v>
      </c>
      <c r="H201" s="81" t="s">
        <v>918</v>
      </c>
      <c r="I201" s="190" t="s">
        <v>2093</v>
      </c>
      <c r="J201" s="184"/>
      <c r="K201" s="183"/>
      <c r="L201" s="183"/>
      <c r="M201" s="183"/>
    </row>
    <row r="202" spans="1:13" ht="15.75">
      <c r="A202" s="79">
        <f t="shared" si="3"/>
        <v>369</v>
      </c>
      <c r="B202" s="187">
        <v>200</v>
      </c>
      <c r="C202" s="186" t="s">
        <v>1288</v>
      </c>
      <c r="D202" s="187">
        <v>110215</v>
      </c>
      <c r="E202" s="190" t="s">
        <v>598</v>
      </c>
      <c r="F202" s="191" t="s">
        <v>60</v>
      </c>
      <c r="G202" s="193" t="s">
        <v>148</v>
      </c>
      <c r="H202" s="81" t="s">
        <v>918</v>
      </c>
      <c r="I202" s="190" t="s">
        <v>2094</v>
      </c>
      <c r="J202" s="183"/>
      <c r="K202" s="183"/>
      <c r="L202" s="183"/>
      <c r="M202" s="183"/>
    </row>
    <row r="203" spans="1:13" ht="15.75">
      <c r="A203" s="79">
        <f t="shared" si="3"/>
        <v>501</v>
      </c>
      <c r="B203" s="187">
        <v>201</v>
      </c>
      <c r="C203" s="186" t="s">
        <v>1420</v>
      </c>
      <c r="D203" s="187">
        <v>110398</v>
      </c>
      <c r="E203" s="190" t="s">
        <v>599</v>
      </c>
      <c r="F203" s="191" t="s">
        <v>114</v>
      </c>
      <c r="G203" s="193" t="s">
        <v>1932</v>
      </c>
      <c r="H203" s="81" t="s">
        <v>918</v>
      </c>
      <c r="I203" s="190" t="s">
        <v>2095</v>
      </c>
      <c r="J203" s="183"/>
      <c r="K203" s="183"/>
      <c r="L203" s="183"/>
      <c r="M203" s="183"/>
    </row>
    <row r="204" spans="1:13" ht="15.75">
      <c r="A204" s="79">
        <f t="shared" si="3"/>
        <v>502</v>
      </c>
      <c r="B204" s="187">
        <v>202</v>
      </c>
      <c r="C204" s="186" t="s">
        <v>1421</v>
      </c>
      <c r="D204" s="187">
        <v>110426</v>
      </c>
      <c r="E204" s="190" t="s">
        <v>600</v>
      </c>
      <c r="F204" s="191" t="s">
        <v>114</v>
      </c>
      <c r="G204" s="193" t="s">
        <v>187</v>
      </c>
      <c r="H204" s="81" t="s">
        <v>918</v>
      </c>
      <c r="I204" s="190" t="s">
        <v>2095</v>
      </c>
      <c r="J204" s="183"/>
      <c r="K204" s="183"/>
      <c r="L204" s="183"/>
      <c r="M204" s="183"/>
    </row>
    <row r="205" spans="1:13" ht="15.75">
      <c r="A205" s="79">
        <f t="shared" si="3"/>
        <v>503</v>
      </c>
      <c r="B205" s="187">
        <v>203</v>
      </c>
      <c r="C205" s="186" t="s">
        <v>1422</v>
      </c>
      <c r="D205" s="187">
        <v>110523</v>
      </c>
      <c r="E205" s="190" t="s">
        <v>601</v>
      </c>
      <c r="F205" s="191" t="s">
        <v>114</v>
      </c>
      <c r="G205" s="193" t="s">
        <v>199</v>
      </c>
      <c r="H205" s="81" t="s">
        <v>918</v>
      </c>
      <c r="I205" s="190" t="s">
        <v>2095</v>
      </c>
      <c r="J205" s="183"/>
      <c r="K205" s="183"/>
      <c r="L205" s="183"/>
      <c r="M205" s="183"/>
    </row>
    <row r="206" spans="1:13" ht="15.75">
      <c r="A206" s="79">
        <f t="shared" si="3"/>
        <v>504</v>
      </c>
      <c r="B206" s="187">
        <v>204</v>
      </c>
      <c r="C206" s="186" t="s">
        <v>1423</v>
      </c>
      <c r="D206" s="187">
        <v>110561</v>
      </c>
      <c r="E206" s="190" t="s">
        <v>602</v>
      </c>
      <c r="F206" s="191" t="s">
        <v>114</v>
      </c>
      <c r="G206" s="193" t="s">
        <v>1982</v>
      </c>
      <c r="H206" s="81" t="s">
        <v>918</v>
      </c>
      <c r="I206" s="190" t="s">
        <v>2095</v>
      </c>
      <c r="J206" s="184"/>
      <c r="K206" s="183"/>
      <c r="L206" s="183"/>
      <c r="M206" s="183"/>
    </row>
    <row r="207" spans="1:13" ht="30">
      <c r="A207" s="79">
        <f t="shared" si="3"/>
        <v>191</v>
      </c>
      <c r="B207" s="187">
        <v>205</v>
      </c>
      <c r="C207" s="186" t="s">
        <v>1110</v>
      </c>
      <c r="D207" s="187">
        <v>110592</v>
      </c>
      <c r="E207" s="190" t="s">
        <v>603</v>
      </c>
      <c r="F207" s="191" t="s">
        <v>114</v>
      </c>
      <c r="G207" s="193" t="s">
        <v>179</v>
      </c>
      <c r="H207" s="81" t="s">
        <v>918</v>
      </c>
      <c r="I207" s="190" t="s">
        <v>2092</v>
      </c>
      <c r="J207" s="183"/>
      <c r="K207" s="183"/>
      <c r="L207" s="183"/>
      <c r="M207" s="183"/>
    </row>
    <row r="208" spans="1:13" ht="15.75">
      <c r="A208" s="79">
        <f t="shared" si="3"/>
        <v>370</v>
      </c>
      <c r="B208" s="187">
        <v>206</v>
      </c>
      <c r="C208" s="186" t="s">
        <v>1289</v>
      </c>
      <c r="D208" s="187">
        <v>110637</v>
      </c>
      <c r="E208" s="190" t="s">
        <v>604</v>
      </c>
      <c r="F208" s="191" t="s">
        <v>60</v>
      </c>
      <c r="G208" s="193" t="s">
        <v>170</v>
      </c>
      <c r="H208" s="81" t="s">
        <v>918</v>
      </c>
      <c r="I208" s="190" t="s">
        <v>2094</v>
      </c>
      <c r="J208" s="183"/>
      <c r="K208" s="183"/>
      <c r="L208" s="183"/>
      <c r="M208" s="183"/>
    </row>
    <row r="209" spans="1:13" ht="15.75">
      <c r="A209" s="79">
        <f t="shared" si="3"/>
        <v>371</v>
      </c>
      <c r="B209" s="187">
        <v>207</v>
      </c>
      <c r="C209" s="186" t="s">
        <v>1290</v>
      </c>
      <c r="D209" s="187">
        <v>110682</v>
      </c>
      <c r="E209" s="190" t="s">
        <v>605</v>
      </c>
      <c r="F209" s="191" t="s">
        <v>60</v>
      </c>
      <c r="G209" s="193" t="s">
        <v>159</v>
      </c>
      <c r="H209" s="81" t="s">
        <v>918</v>
      </c>
      <c r="I209" s="190" t="s">
        <v>2094</v>
      </c>
      <c r="J209" s="183"/>
      <c r="K209" s="183"/>
      <c r="L209" s="183"/>
      <c r="M209" s="183"/>
    </row>
    <row r="210" spans="1:13" ht="15.75">
      <c r="A210" s="79">
        <f t="shared" si="3"/>
        <v>245</v>
      </c>
      <c r="B210" s="187">
        <v>208</v>
      </c>
      <c r="C210" s="186" t="s">
        <v>1164</v>
      </c>
      <c r="D210" s="187">
        <v>110703</v>
      </c>
      <c r="E210" s="190" t="s">
        <v>606</v>
      </c>
      <c r="F210" s="191" t="s">
        <v>60</v>
      </c>
      <c r="G210" s="193" t="s">
        <v>220</v>
      </c>
      <c r="H210" s="81" t="s">
        <v>918</v>
      </c>
      <c r="I210" s="190" t="s">
        <v>2093</v>
      </c>
      <c r="J210" s="184"/>
      <c r="K210" s="183"/>
      <c r="L210" s="183"/>
      <c r="M210" s="183"/>
    </row>
    <row r="211" spans="1:13" ht="15.75">
      <c r="A211" s="79">
        <f t="shared" si="3"/>
        <v>505</v>
      </c>
      <c r="B211" s="187">
        <v>209</v>
      </c>
      <c r="C211" s="186" t="s">
        <v>1424</v>
      </c>
      <c r="D211" s="187">
        <v>110727</v>
      </c>
      <c r="E211" s="190" t="s">
        <v>607</v>
      </c>
      <c r="F211" s="191" t="s">
        <v>114</v>
      </c>
      <c r="G211" s="193" t="s">
        <v>1983</v>
      </c>
      <c r="H211" s="81" t="s">
        <v>918</v>
      </c>
      <c r="I211" s="190" t="s">
        <v>2095</v>
      </c>
      <c r="J211" s="183"/>
      <c r="K211" s="183"/>
      <c r="L211" s="183"/>
      <c r="M211" s="183"/>
    </row>
    <row r="212" spans="1:13" ht="15.75">
      <c r="A212" s="79">
        <f t="shared" si="3"/>
        <v>372</v>
      </c>
      <c r="B212" s="187">
        <v>210</v>
      </c>
      <c r="C212" s="186" t="s">
        <v>1291</v>
      </c>
      <c r="D212" s="187">
        <v>110983</v>
      </c>
      <c r="E212" s="190" t="s">
        <v>608</v>
      </c>
      <c r="F212" s="191" t="s">
        <v>114</v>
      </c>
      <c r="G212" s="193" t="s">
        <v>214</v>
      </c>
      <c r="H212" s="81" t="s">
        <v>918</v>
      </c>
      <c r="I212" s="190" t="s">
        <v>2094</v>
      </c>
      <c r="J212" s="184"/>
      <c r="K212" s="183"/>
      <c r="L212" s="183"/>
      <c r="M212" s="183"/>
    </row>
    <row r="213" spans="1:13" ht="15.75">
      <c r="A213" s="79">
        <f t="shared" si="3"/>
        <v>53</v>
      </c>
      <c r="B213" s="187">
        <v>211</v>
      </c>
      <c r="C213" s="186" t="s">
        <v>972</v>
      </c>
      <c r="D213" s="187">
        <v>111146</v>
      </c>
      <c r="E213" s="190" t="s">
        <v>609</v>
      </c>
      <c r="F213" s="191" t="s">
        <v>114</v>
      </c>
      <c r="G213" s="193" t="s">
        <v>1734</v>
      </c>
      <c r="H213" s="81" t="s">
        <v>918</v>
      </c>
      <c r="I213" s="190" t="s">
        <v>2082</v>
      </c>
      <c r="J213" s="184"/>
      <c r="K213" s="183"/>
      <c r="L213" s="183"/>
      <c r="M213" s="183"/>
    </row>
    <row r="214" spans="1:13" ht="30">
      <c r="A214" s="79">
        <f t="shared" si="3"/>
        <v>186</v>
      </c>
      <c r="B214" s="187">
        <v>212</v>
      </c>
      <c r="C214" s="186" t="s">
        <v>1105</v>
      </c>
      <c r="D214" s="187">
        <v>111153</v>
      </c>
      <c r="E214" s="190" t="s">
        <v>470</v>
      </c>
      <c r="F214" s="191" t="s">
        <v>114</v>
      </c>
      <c r="G214" s="193" t="s">
        <v>294</v>
      </c>
      <c r="H214" s="81" t="s">
        <v>918</v>
      </c>
      <c r="I214" s="190" t="s">
        <v>2091</v>
      </c>
      <c r="J214" s="183"/>
      <c r="K214" s="183"/>
      <c r="L214" s="183"/>
      <c r="M214" s="183"/>
    </row>
    <row r="215" spans="1:13" ht="15.75">
      <c r="A215" s="79">
        <f t="shared" si="3"/>
        <v>11</v>
      </c>
      <c r="B215" s="187">
        <v>213</v>
      </c>
      <c r="C215" s="186" t="s">
        <v>930</v>
      </c>
      <c r="D215" s="187">
        <v>111160</v>
      </c>
      <c r="E215" s="190" t="s">
        <v>610</v>
      </c>
      <c r="F215" s="191" t="s">
        <v>60</v>
      </c>
      <c r="G215" s="193" t="s">
        <v>297</v>
      </c>
      <c r="H215" s="81" t="s">
        <v>918</v>
      </c>
      <c r="I215" s="190" t="s">
        <v>2080</v>
      </c>
      <c r="J215" s="183"/>
      <c r="K215" s="183"/>
      <c r="L215" s="183"/>
      <c r="M215" s="183"/>
    </row>
    <row r="216" spans="1:13" ht="15.75">
      <c r="A216" s="79">
        <f t="shared" si="3"/>
        <v>12</v>
      </c>
      <c r="B216" s="187">
        <v>214</v>
      </c>
      <c r="C216" s="186" t="s">
        <v>931</v>
      </c>
      <c r="D216" s="187">
        <v>111177</v>
      </c>
      <c r="E216" s="190" t="s">
        <v>611</v>
      </c>
      <c r="F216" s="191" t="s">
        <v>60</v>
      </c>
      <c r="G216" s="193" t="s">
        <v>1698</v>
      </c>
      <c r="H216" s="81" t="s">
        <v>918</v>
      </c>
      <c r="I216" s="190" t="s">
        <v>2080</v>
      </c>
      <c r="J216" s="183"/>
      <c r="K216" s="183"/>
      <c r="L216" s="183"/>
      <c r="M216" s="183"/>
    </row>
    <row r="217" spans="1:13" ht="15.75">
      <c r="A217" s="79">
        <f t="shared" si="3"/>
        <v>373</v>
      </c>
      <c r="B217" s="187">
        <v>215</v>
      </c>
      <c r="C217" s="186" t="s">
        <v>1292</v>
      </c>
      <c r="D217" s="187">
        <v>111229</v>
      </c>
      <c r="E217" s="190" t="s">
        <v>612</v>
      </c>
      <c r="F217" s="191" t="s">
        <v>60</v>
      </c>
      <c r="G217" s="193" t="s">
        <v>1912</v>
      </c>
      <c r="H217" s="81" t="s">
        <v>918</v>
      </c>
      <c r="I217" s="190" t="s">
        <v>2094</v>
      </c>
      <c r="J217" s="184"/>
      <c r="K217" s="183"/>
      <c r="L217" s="183"/>
      <c r="M217" s="183"/>
    </row>
    <row r="218" spans="1:13" ht="15.75">
      <c r="A218" s="79">
        <f t="shared" si="3"/>
        <v>246</v>
      </c>
      <c r="B218" s="187">
        <v>216</v>
      </c>
      <c r="C218" s="186" t="s">
        <v>1165</v>
      </c>
      <c r="D218" s="187">
        <v>111423</v>
      </c>
      <c r="E218" s="190" t="s">
        <v>613</v>
      </c>
      <c r="F218" s="191" t="s">
        <v>114</v>
      </c>
      <c r="G218" s="193" t="s">
        <v>1848</v>
      </c>
      <c r="H218" s="81" t="s">
        <v>918</v>
      </c>
      <c r="I218" s="190" t="s">
        <v>2093</v>
      </c>
      <c r="J218" s="183"/>
      <c r="K218" s="183"/>
      <c r="L218" s="183"/>
      <c r="M218" s="183"/>
    </row>
    <row r="219" spans="1:13" ht="15.75">
      <c r="A219" s="79">
        <f t="shared" si="3"/>
        <v>506</v>
      </c>
      <c r="B219" s="187">
        <v>217</v>
      </c>
      <c r="C219" s="186" t="s">
        <v>1425</v>
      </c>
      <c r="D219" s="187">
        <v>111492</v>
      </c>
      <c r="E219" s="190" t="s">
        <v>614</v>
      </c>
      <c r="F219" s="191" t="s">
        <v>114</v>
      </c>
      <c r="G219" s="193" t="s">
        <v>1984</v>
      </c>
      <c r="H219" s="81" t="s">
        <v>918</v>
      </c>
      <c r="I219" s="190" t="s">
        <v>2095</v>
      </c>
      <c r="J219" s="183"/>
      <c r="K219" s="183"/>
      <c r="L219" s="183"/>
      <c r="M219" s="183"/>
    </row>
    <row r="220" spans="1:13" ht="15.75">
      <c r="A220" s="79">
        <f t="shared" si="3"/>
        <v>247</v>
      </c>
      <c r="B220" s="187">
        <v>218</v>
      </c>
      <c r="C220" s="186" t="s">
        <v>1166</v>
      </c>
      <c r="D220" s="187">
        <v>112039</v>
      </c>
      <c r="E220" s="190" t="s">
        <v>615</v>
      </c>
      <c r="F220" s="191" t="s">
        <v>114</v>
      </c>
      <c r="G220" s="193" t="s">
        <v>1849</v>
      </c>
      <c r="H220" s="81" t="s">
        <v>918</v>
      </c>
      <c r="I220" s="190" t="s">
        <v>2093</v>
      </c>
      <c r="J220" s="183"/>
      <c r="K220" s="183"/>
      <c r="L220" s="183"/>
      <c r="M220" s="183"/>
    </row>
    <row r="221" spans="1:13" ht="15.75">
      <c r="A221" s="79">
        <f t="shared" si="3"/>
        <v>248</v>
      </c>
      <c r="B221" s="187">
        <v>219</v>
      </c>
      <c r="C221" s="186" t="s">
        <v>1167</v>
      </c>
      <c r="D221" s="187">
        <v>112046</v>
      </c>
      <c r="E221" s="190" t="s">
        <v>616</v>
      </c>
      <c r="F221" s="191" t="s">
        <v>114</v>
      </c>
      <c r="G221" s="193" t="s">
        <v>1850</v>
      </c>
      <c r="H221" s="81" t="s">
        <v>918</v>
      </c>
      <c r="I221" s="190" t="s">
        <v>2093</v>
      </c>
      <c r="J221" s="183"/>
      <c r="K221" s="183"/>
      <c r="L221" s="183"/>
      <c r="M221" s="183"/>
    </row>
    <row r="222" spans="1:13" ht="15.75">
      <c r="A222" s="79">
        <f t="shared" si="3"/>
        <v>249</v>
      </c>
      <c r="B222" s="187">
        <v>220</v>
      </c>
      <c r="C222" s="186" t="s">
        <v>1168</v>
      </c>
      <c r="D222" s="187">
        <v>112077</v>
      </c>
      <c r="E222" s="190" t="s">
        <v>617</v>
      </c>
      <c r="F222" s="191" t="s">
        <v>60</v>
      </c>
      <c r="G222" s="193" t="s">
        <v>1851</v>
      </c>
      <c r="H222" s="81" t="s">
        <v>918</v>
      </c>
      <c r="I222" s="190" t="s">
        <v>2093</v>
      </c>
      <c r="J222" s="183"/>
      <c r="K222" s="183"/>
      <c r="L222" s="183"/>
      <c r="M222" s="183"/>
    </row>
    <row r="223" spans="1:13" ht="15.75">
      <c r="A223" s="79">
        <f t="shared" si="3"/>
        <v>250</v>
      </c>
      <c r="B223" s="187">
        <v>221</v>
      </c>
      <c r="C223" s="186" t="s">
        <v>1169</v>
      </c>
      <c r="D223" s="187">
        <v>112091</v>
      </c>
      <c r="E223" s="190" t="s">
        <v>618</v>
      </c>
      <c r="F223" s="191" t="s">
        <v>60</v>
      </c>
      <c r="G223" s="193" t="s">
        <v>241</v>
      </c>
      <c r="H223" s="81" t="s">
        <v>918</v>
      </c>
      <c r="I223" s="190" t="s">
        <v>2093</v>
      </c>
      <c r="J223" s="183"/>
      <c r="K223" s="183"/>
      <c r="L223" s="183"/>
      <c r="M223" s="183"/>
    </row>
    <row r="224" spans="1:13" ht="15.75">
      <c r="A224" s="79">
        <f t="shared" si="3"/>
        <v>374</v>
      </c>
      <c r="B224" s="187">
        <v>222</v>
      </c>
      <c r="C224" s="186" t="s">
        <v>1293</v>
      </c>
      <c r="D224" s="187">
        <v>112406</v>
      </c>
      <c r="E224" s="190" t="s">
        <v>619</v>
      </c>
      <c r="F224" s="191" t="s">
        <v>60</v>
      </c>
      <c r="G224" s="193" t="s">
        <v>1913</v>
      </c>
      <c r="H224" s="81" t="s">
        <v>918</v>
      </c>
      <c r="I224" s="190" t="s">
        <v>2094</v>
      </c>
      <c r="J224" s="183"/>
      <c r="K224" s="183"/>
      <c r="L224" s="183"/>
      <c r="M224" s="183"/>
    </row>
    <row r="225" spans="1:13" ht="15.75">
      <c r="A225" s="79">
        <f t="shared" si="3"/>
        <v>375</v>
      </c>
      <c r="B225" s="187">
        <v>223</v>
      </c>
      <c r="C225" s="186" t="s">
        <v>1294</v>
      </c>
      <c r="D225" s="187">
        <v>112420</v>
      </c>
      <c r="E225" s="190" t="s">
        <v>620</v>
      </c>
      <c r="F225" s="191" t="s">
        <v>114</v>
      </c>
      <c r="G225" s="193" t="s">
        <v>158</v>
      </c>
      <c r="H225" s="81" t="s">
        <v>918</v>
      </c>
      <c r="I225" s="190" t="s">
        <v>2094</v>
      </c>
      <c r="J225" s="183"/>
      <c r="K225" s="183"/>
      <c r="L225" s="183"/>
      <c r="M225" s="183"/>
    </row>
    <row r="226" spans="1:13" ht="15.75">
      <c r="A226" s="79">
        <f t="shared" si="3"/>
        <v>376</v>
      </c>
      <c r="B226" s="187">
        <v>224</v>
      </c>
      <c r="C226" s="186" t="s">
        <v>1295</v>
      </c>
      <c r="D226" s="187">
        <v>112451</v>
      </c>
      <c r="E226" s="190" t="s">
        <v>621</v>
      </c>
      <c r="F226" s="191" t="s">
        <v>114</v>
      </c>
      <c r="G226" s="193" t="s">
        <v>361</v>
      </c>
      <c r="H226" s="81" t="s">
        <v>918</v>
      </c>
      <c r="I226" s="190" t="s">
        <v>2094</v>
      </c>
      <c r="J226" s="184"/>
      <c r="K226" s="183"/>
      <c r="L226" s="183"/>
      <c r="M226" s="183"/>
    </row>
    <row r="227" spans="1:13" ht="15.75">
      <c r="A227" s="79">
        <f t="shared" si="3"/>
        <v>377</v>
      </c>
      <c r="B227" s="187">
        <v>225</v>
      </c>
      <c r="C227" s="186" t="s">
        <v>1296</v>
      </c>
      <c r="D227" s="187">
        <v>112482</v>
      </c>
      <c r="E227" s="190" t="s">
        <v>622</v>
      </c>
      <c r="F227" s="191" t="s">
        <v>60</v>
      </c>
      <c r="G227" s="193" t="s">
        <v>1914</v>
      </c>
      <c r="H227" s="81" t="s">
        <v>918</v>
      </c>
      <c r="I227" s="190" t="s">
        <v>2094</v>
      </c>
      <c r="J227" s="183"/>
      <c r="K227" s="183"/>
      <c r="L227" s="183"/>
      <c r="M227" s="183"/>
    </row>
    <row r="228" spans="1:13" ht="15.75">
      <c r="A228" s="79">
        <f t="shared" si="3"/>
        <v>378</v>
      </c>
      <c r="B228" s="187">
        <v>226</v>
      </c>
      <c r="C228" s="186" t="s">
        <v>1297</v>
      </c>
      <c r="D228" s="187">
        <v>112510</v>
      </c>
      <c r="E228" s="190" t="s">
        <v>623</v>
      </c>
      <c r="F228" s="191" t="s">
        <v>60</v>
      </c>
      <c r="G228" s="193" t="s">
        <v>238</v>
      </c>
      <c r="H228" s="81" t="s">
        <v>918</v>
      </c>
      <c r="I228" s="190" t="s">
        <v>2094</v>
      </c>
      <c r="J228" s="183"/>
      <c r="K228" s="183"/>
      <c r="L228" s="183"/>
      <c r="M228" s="183"/>
    </row>
    <row r="229" spans="1:13" ht="30">
      <c r="A229" s="79">
        <f t="shared" si="3"/>
        <v>101</v>
      </c>
      <c r="B229" s="187">
        <v>227</v>
      </c>
      <c r="C229" s="186" t="s">
        <v>1020</v>
      </c>
      <c r="D229" s="187">
        <v>112596</v>
      </c>
      <c r="E229" s="190" t="s">
        <v>624</v>
      </c>
      <c r="F229" s="191" t="s">
        <v>114</v>
      </c>
      <c r="G229" s="193" t="s">
        <v>1763</v>
      </c>
      <c r="H229" s="81" t="s">
        <v>918</v>
      </c>
      <c r="I229" s="190" t="s">
        <v>2086</v>
      </c>
      <c r="J229" s="183"/>
      <c r="K229" s="183"/>
      <c r="L229" s="183"/>
      <c r="M229" s="183"/>
    </row>
    <row r="230" spans="1:13" ht="15.75">
      <c r="A230" s="79">
        <f t="shared" si="3"/>
        <v>507</v>
      </c>
      <c r="B230" s="187">
        <v>228</v>
      </c>
      <c r="C230" s="186" t="s">
        <v>1426</v>
      </c>
      <c r="D230" s="187">
        <v>112624</v>
      </c>
      <c r="E230" s="190" t="s">
        <v>625</v>
      </c>
      <c r="F230" s="191" t="s">
        <v>60</v>
      </c>
      <c r="G230" s="193" t="s">
        <v>179</v>
      </c>
      <c r="H230" s="81" t="s">
        <v>918</v>
      </c>
      <c r="I230" s="190" t="s">
        <v>2095</v>
      </c>
      <c r="J230" s="184"/>
      <c r="K230" s="183"/>
      <c r="L230" s="183"/>
      <c r="M230" s="183"/>
    </row>
    <row r="231" spans="1:13" ht="15.75">
      <c r="A231" s="79">
        <f t="shared" si="3"/>
        <v>251</v>
      </c>
      <c r="B231" s="187">
        <v>229</v>
      </c>
      <c r="C231" s="186" t="s">
        <v>1170</v>
      </c>
      <c r="D231" s="187">
        <v>112752</v>
      </c>
      <c r="E231" s="190" t="s">
        <v>626</v>
      </c>
      <c r="F231" s="191" t="s">
        <v>114</v>
      </c>
      <c r="G231" s="193" t="s">
        <v>169</v>
      </c>
      <c r="H231" s="81" t="s">
        <v>918</v>
      </c>
      <c r="I231" s="190" t="s">
        <v>2093</v>
      </c>
      <c r="J231" s="183"/>
      <c r="K231" s="183"/>
      <c r="L231" s="183"/>
      <c r="M231" s="183"/>
    </row>
    <row r="232" spans="1:13" ht="15.75">
      <c r="A232" s="79">
        <f t="shared" si="3"/>
        <v>252</v>
      </c>
      <c r="B232" s="187">
        <v>230</v>
      </c>
      <c r="C232" s="186" t="s">
        <v>1171</v>
      </c>
      <c r="D232" s="187">
        <v>112776</v>
      </c>
      <c r="E232" s="190" t="s">
        <v>627</v>
      </c>
      <c r="F232" s="191" t="s">
        <v>114</v>
      </c>
      <c r="G232" s="193" t="s">
        <v>271</v>
      </c>
      <c r="H232" s="81" t="s">
        <v>918</v>
      </c>
      <c r="I232" s="190" t="s">
        <v>2093</v>
      </c>
      <c r="J232" s="183"/>
      <c r="K232" s="183"/>
      <c r="L232" s="183"/>
      <c r="M232" s="183"/>
    </row>
    <row r="233" spans="1:13" ht="15.75">
      <c r="A233" s="79">
        <f t="shared" si="3"/>
        <v>508</v>
      </c>
      <c r="B233" s="187">
        <v>231</v>
      </c>
      <c r="C233" s="186" t="s">
        <v>1427</v>
      </c>
      <c r="D233" s="187">
        <v>112859</v>
      </c>
      <c r="E233" s="190" t="s">
        <v>628</v>
      </c>
      <c r="F233" s="191" t="s">
        <v>60</v>
      </c>
      <c r="G233" s="193" t="s">
        <v>173</v>
      </c>
      <c r="H233" s="81" t="s">
        <v>918</v>
      </c>
      <c r="I233" s="190" t="s">
        <v>2095</v>
      </c>
      <c r="J233" s="183"/>
      <c r="K233" s="183"/>
      <c r="L233" s="183"/>
      <c r="M233" s="183"/>
    </row>
    <row r="234" spans="1:13" ht="15.75">
      <c r="A234" s="79">
        <f t="shared" si="3"/>
        <v>253</v>
      </c>
      <c r="B234" s="187">
        <v>232</v>
      </c>
      <c r="C234" s="186" t="s">
        <v>1172</v>
      </c>
      <c r="D234" s="187">
        <v>112963</v>
      </c>
      <c r="E234" s="190" t="s">
        <v>629</v>
      </c>
      <c r="F234" s="191" t="s">
        <v>60</v>
      </c>
      <c r="G234" s="193" t="s">
        <v>146</v>
      </c>
      <c r="H234" s="81" t="s">
        <v>918</v>
      </c>
      <c r="I234" s="190" t="s">
        <v>2093</v>
      </c>
      <c r="J234" s="183"/>
      <c r="K234" s="183"/>
      <c r="L234" s="183"/>
      <c r="M234" s="183"/>
    </row>
    <row r="235" spans="1:13" ht="15.75">
      <c r="A235" s="79">
        <f t="shared" si="3"/>
        <v>254</v>
      </c>
      <c r="B235" s="187">
        <v>233</v>
      </c>
      <c r="C235" s="186" t="s">
        <v>1173</v>
      </c>
      <c r="D235" s="187">
        <v>113164</v>
      </c>
      <c r="E235" s="190" t="s">
        <v>630</v>
      </c>
      <c r="F235" s="191" t="s">
        <v>60</v>
      </c>
      <c r="G235" s="193" t="s">
        <v>1852</v>
      </c>
      <c r="H235" s="81" t="s">
        <v>918</v>
      </c>
      <c r="I235" s="190" t="s">
        <v>2093</v>
      </c>
      <c r="J235" s="183"/>
      <c r="K235" s="183"/>
      <c r="L235" s="183"/>
      <c r="M235" s="183"/>
    </row>
    <row r="236" spans="1:13" ht="15.75">
      <c r="A236" s="79">
        <f t="shared" si="3"/>
        <v>13</v>
      </c>
      <c r="B236" s="187">
        <v>234</v>
      </c>
      <c r="C236" s="186" t="s">
        <v>932</v>
      </c>
      <c r="D236" s="187">
        <v>113320</v>
      </c>
      <c r="E236" s="190" t="s">
        <v>631</v>
      </c>
      <c r="F236" s="191" t="s">
        <v>60</v>
      </c>
      <c r="G236" s="193" t="s">
        <v>1699</v>
      </c>
      <c r="H236" s="81" t="s">
        <v>918</v>
      </c>
      <c r="I236" s="190" t="s">
        <v>2080</v>
      </c>
      <c r="J236" s="183"/>
      <c r="K236" s="183"/>
      <c r="L236" s="183"/>
      <c r="M236" s="183"/>
    </row>
    <row r="237" spans="1:13" ht="15.75">
      <c r="A237" s="79">
        <f t="shared" si="3"/>
        <v>14</v>
      </c>
      <c r="B237" s="187">
        <v>235</v>
      </c>
      <c r="C237" s="186" t="s">
        <v>933</v>
      </c>
      <c r="D237" s="187">
        <v>113337</v>
      </c>
      <c r="E237" s="190" t="s">
        <v>632</v>
      </c>
      <c r="F237" s="191" t="s">
        <v>60</v>
      </c>
      <c r="G237" s="193" t="s">
        <v>1700</v>
      </c>
      <c r="H237" s="81" t="s">
        <v>918</v>
      </c>
      <c r="I237" s="190" t="s">
        <v>2080</v>
      </c>
      <c r="J237" s="183"/>
      <c r="K237" s="183"/>
      <c r="L237" s="183"/>
      <c r="M237" s="183"/>
    </row>
    <row r="238" spans="1:13" ht="15.75">
      <c r="A238" s="79">
        <f t="shared" si="3"/>
        <v>79</v>
      </c>
      <c r="B238" s="187">
        <v>236</v>
      </c>
      <c r="C238" s="186" t="s">
        <v>998</v>
      </c>
      <c r="D238" s="187">
        <v>113375</v>
      </c>
      <c r="E238" s="190" t="s">
        <v>633</v>
      </c>
      <c r="F238" s="191" t="s">
        <v>114</v>
      </c>
      <c r="G238" s="193" t="s">
        <v>230</v>
      </c>
      <c r="H238" s="81" t="s">
        <v>918</v>
      </c>
      <c r="I238" s="190" t="s">
        <v>2085</v>
      </c>
      <c r="J238" s="184"/>
      <c r="K238" s="183"/>
      <c r="L238" s="183"/>
      <c r="M238" s="183"/>
    </row>
    <row r="239" spans="1:13" ht="30">
      <c r="A239" s="79">
        <f t="shared" si="3"/>
        <v>102</v>
      </c>
      <c r="B239" s="187">
        <v>237</v>
      </c>
      <c r="C239" s="186" t="s">
        <v>1021</v>
      </c>
      <c r="D239" s="187">
        <v>113403</v>
      </c>
      <c r="E239" s="190" t="s">
        <v>634</v>
      </c>
      <c r="F239" s="191" t="s">
        <v>60</v>
      </c>
      <c r="G239" s="193" t="s">
        <v>1764</v>
      </c>
      <c r="H239" s="81" t="s">
        <v>918</v>
      </c>
      <c r="I239" s="190" t="s">
        <v>2086</v>
      </c>
      <c r="J239" s="183"/>
      <c r="K239" s="183"/>
      <c r="L239" s="183"/>
      <c r="M239" s="183"/>
    </row>
    <row r="240" spans="1:13" ht="15.75">
      <c r="A240" s="79">
        <f t="shared" si="3"/>
        <v>379</v>
      </c>
      <c r="B240" s="187">
        <v>238</v>
      </c>
      <c r="C240" s="186" t="s">
        <v>1298</v>
      </c>
      <c r="D240" s="187">
        <v>113517</v>
      </c>
      <c r="E240" s="190" t="s">
        <v>635</v>
      </c>
      <c r="F240" s="191" t="s">
        <v>60</v>
      </c>
      <c r="G240" s="193" t="s">
        <v>326</v>
      </c>
      <c r="H240" s="81" t="s">
        <v>918</v>
      </c>
      <c r="I240" s="190" t="s">
        <v>2094</v>
      </c>
      <c r="J240" s="183"/>
      <c r="K240" s="183"/>
      <c r="L240" s="183"/>
      <c r="M240" s="183"/>
    </row>
    <row r="241" spans="1:13" ht="15.75">
      <c r="A241" s="79">
        <f t="shared" si="3"/>
        <v>380</v>
      </c>
      <c r="B241" s="187">
        <v>239</v>
      </c>
      <c r="C241" s="186" t="s">
        <v>1299</v>
      </c>
      <c r="D241" s="187">
        <v>113579</v>
      </c>
      <c r="E241" s="190" t="s">
        <v>636</v>
      </c>
      <c r="F241" s="191" t="s">
        <v>114</v>
      </c>
      <c r="G241" s="193" t="s">
        <v>1915</v>
      </c>
      <c r="H241" s="81" t="s">
        <v>918</v>
      </c>
      <c r="I241" s="190" t="s">
        <v>2094</v>
      </c>
      <c r="J241" s="183"/>
      <c r="K241" s="183"/>
      <c r="L241" s="183"/>
      <c r="M241" s="183"/>
    </row>
    <row r="242" spans="1:13" ht="15.75">
      <c r="A242" s="79">
        <f t="shared" si="3"/>
        <v>509</v>
      </c>
      <c r="B242" s="187">
        <v>240</v>
      </c>
      <c r="C242" s="186" t="s">
        <v>1428</v>
      </c>
      <c r="D242" s="187">
        <v>113669</v>
      </c>
      <c r="E242" s="190" t="s">
        <v>637</v>
      </c>
      <c r="F242" s="191" t="s">
        <v>60</v>
      </c>
      <c r="G242" s="193" t="s">
        <v>376</v>
      </c>
      <c r="H242" s="81" t="s">
        <v>918</v>
      </c>
      <c r="I242" s="190" t="s">
        <v>2095</v>
      </c>
      <c r="J242" s="183"/>
      <c r="K242" s="183"/>
      <c r="L242" s="183"/>
      <c r="M242" s="183"/>
    </row>
    <row r="243" spans="1:13" ht="15.75">
      <c r="A243" s="79">
        <f t="shared" si="3"/>
        <v>255</v>
      </c>
      <c r="B243" s="187">
        <v>241</v>
      </c>
      <c r="C243" s="186" t="s">
        <v>1174</v>
      </c>
      <c r="D243" s="187">
        <v>113773</v>
      </c>
      <c r="E243" s="190" t="s">
        <v>1625</v>
      </c>
      <c r="F243" s="191" t="s">
        <v>114</v>
      </c>
      <c r="G243" s="193" t="s">
        <v>1853</v>
      </c>
      <c r="H243" s="81" t="s">
        <v>918</v>
      </c>
      <c r="I243" s="190" t="s">
        <v>2093</v>
      </c>
      <c r="J243" s="183"/>
      <c r="K243" s="183"/>
      <c r="L243" s="183"/>
      <c r="M243" s="183"/>
    </row>
    <row r="244" spans="1:13" ht="15.75">
      <c r="A244" s="79">
        <f t="shared" si="3"/>
        <v>80</v>
      </c>
      <c r="B244" s="187">
        <v>242</v>
      </c>
      <c r="C244" s="186" t="s">
        <v>999</v>
      </c>
      <c r="D244" s="187">
        <v>113818</v>
      </c>
      <c r="E244" s="190" t="s">
        <v>638</v>
      </c>
      <c r="F244" s="191" t="s">
        <v>60</v>
      </c>
      <c r="G244" s="193" t="s">
        <v>1751</v>
      </c>
      <c r="H244" s="81" t="s">
        <v>918</v>
      </c>
      <c r="I244" s="190" t="s">
        <v>2085</v>
      </c>
      <c r="J244" s="183"/>
      <c r="K244" s="183"/>
      <c r="L244" s="183"/>
      <c r="M244" s="183"/>
    </row>
    <row r="245" spans="1:13" ht="15.75">
      <c r="A245" s="79">
        <f t="shared" si="3"/>
        <v>15</v>
      </c>
      <c r="B245" s="187">
        <v>243</v>
      </c>
      <c r="C245" s="186" t="s">
        <v>934</v>
      </c>
      <c r="D245" s="187">
        <v>113832</v>
      </c>
      <c r="E245" s="190" t="s">
        <v>639</v>
      </c>
      <c r="F245" s="191" t="s">
        <v>60</v>
      </c>
      <c r="G245" s="193" t="s">
        <v>365</v>
      </c>
      <c r="H245" s="81" t="s">
        <v>918</v>
      </c>
      <c r="I245" s="190" t="s">
        <v>2080</v>
      </c>
      <c r="J245" s="183"/>
      <c r="K245" s="183"/>
      <c r="L245" s="183"/>
      <c r="M245" s="183"/>
    </row>
    <row r="246" spans="1:13" ht="15.75">
      <c r="A246" s="79">
        <f t="shared" si="3"/>
        <v>81</v>
      </c>
      <c r="B246" s="187">
        <v>244</v>
      </c>
      <c r="C246" s="186" t="s">
        <v>1000</v>
      </c>
      <c r="D246" s="187">
        <v>113856</v>
      </c>
      <c r="E246" s="190" t="s">
        <v>1592</v>
      </c>
      <c r="F246" s="191" t="s">
        <v>114</v>
      </c>
      <c r="G246" s="193" t="s">
        <v>1752</v>
      </c>
      <c r="H246" s="81" t="s">
        <v>918</v>
      </c>
      <c r="I246" s="190" t="s">
        <v>2085</v>
      </c>
      <c r="J246" s="183"/>
      <c r="K246" s="183"/>
      <c r="L246" s="183"/>
      <c r="M246" s="183"/>
    </row>
    <row r="247" spans="1:13" ht="15.75">
      <c r="A247" s="79">
        <f t="shared" si="3"/>
        <v>510</v>
      </c>
      <c r="B247" s="187">
        <v>245</v>
      </c>
      <c r="C247" s="186" t="s">
        <v>1429</v>
      </c>
      <c r="D247" s="187">
        <v>113915</v>
      </c>
      <c r="E247" s="190" t="s">
        <v>640</v>
      </c>
      <c r="F247" s="191" t="s">
        <v>114</v>
      </c>
      <c r="G247" s="193" t="s">
        <v>202</v>
      </c>
      <c r="H247" s="81" t="s">
        <v>918</v>
      </c>
      <c r="I247" s="190" t="s">
        <v>2095</v>
      </c>
      <c r="J247" s="183"/>
      <c r="K247" s="183"/>
      <c r="L247" s="183"/>
      <c r="M247" s="183"/>
    </row>
    <row r="248" spans="1:13" ht="15.75">
      <c r="A248" s="79">
        <f t="shared" si="3"/>
        <v>511</v>
      </c>
      <c r="B248" s="187">
        <v>246</v>
      </c>
      <c r="C248" s="186" t="s">
        <v>1430</v>
      </c>
      <c r="D248" s="187">
        <v>114040</v>
      </c>
      <c r="E248" s="190" t="s">
        <v>641</v>
      </c>
      <c r="F248" s="191" t="s">
        <v>60</v>
      </c>
      <c r="G248" s="193" t="s">
        <v>1985</v>
      </c>
      <c r="H248" s="81" t="s">
        <v>918</v>
      </c>
      <c r="I248" s="190" t="s">
        <v>2095</v>
      </c>
      <c r="J248" s="183"/>
      <c r="K248" s="183"/>
      <c r="L248" s="183"/>
      <c r="M248" s="183"/>
    </row>
    <row r="249" spans="1:13" ht="15.75">
      <c r="A249" s="79">
        <f t="shared" si="3"/>
        <v>512</v>
      </c>
      <c r="B249" s="187">
        <v>247</v>
      </c>
      <c r="C249" s="186" t="s">
        <v>1431</v>
      </c>
      <c r="D249" s="187">
        <v>114244</v>
      </c>
      <c r="E249" s="190" t="s">
        <v>642</v>
      </c>
      <c r="F249" s="191" t="s">
        <v>114</v>
      </c>
      <c r="G249" s="193" t="s">
        <v>1986</v>
      </c>
      <c r="H249" s="81" t="s">
        <v>918</v>
      </c>
      <c r="I249" s="190" t="s">
        <v>2095</v>
      </c>
      <c r="J249" s="183"/>
      <c r="K249" s="183"/>
      <c r="L249" s="183"/>
      <c r="M249" s="183"/>
    </row>
    <row r="250" spans="1:13" ht="30">
      <c r="A250" s="79">
        <f t="shared" si="3"/>
        <v>103</v>
      </c>
      <c r="B250" s="187">
        <v>248</v>
      </c>
      <c r="C250" s="186" t="s">
        <v>1022</v>
      </c>
      <c r="D250" s="187">
        <v>114341</v>
      </c>
      <c r="E250" s="190" t="s">
        <v>643</v>
      </c>
      <c r="F250" s="191" t="s">
        <v>114</v>
      </c>
      <c r="G250" s="193" t="s">
        <v>381</v>
      </c>
      <c r="H250" s="81" t="s">
        <v>918</v>
      </c>
      <c r="I250" s="190" t="s">
        <v>2086</v>
      </c>
      <c r="J250" s="183"/>
      <c r="K250" s="183"/>
      <c r="L250" s="183"/>
      <c r="M250" s="183"/>
    </row>
    <row r="251" spans="1:13" ht="15.75">
      <c r="A251" s="79">
        <f t="shared" si="3"/>
        <v>381</v>
      </c>
      <c r="B251" s="187">
        <v>249</v>
      </c>
      <c r="C251" s="186" t="s">
        <v>1300</v>
      </c>
      <c r="D251" s="187">
        <v>114400</v>
      </c>
      <c r="E251" s="190" t="s">
        <v>644</v>
      </c>
      <c r="F251" s="191" t="s">
        <v>60</v>
      </c>
      <c r="G251" s="193" t="s">
        <v>1916</v>
      </c>
      <c r="H251" s="81" t="s">
        <v>918</v>
      </c>
      <c r="I251" s="190" t="s">
        <v>2094</v>
      </c>
      <c r="J251" s="183"/>
      <c r="K251" s="183"/>
      <c r="L251" s="183"/>
      <c r="M251" s="183"/>
    </row>
    <row r="252" spans="1:13" ht="15.75">
      <c r="A252" s="79">
        <f t="shared" si="3"/>
        <v>382</v>
      </c>
      <c r="B252" s="187">
        <v>250</v>
      </c>
      <c r="C252" s="186" t="s">
        <v>1301</v>
      </c>
      <c r="D252" s="187">
        <v>114462</v>
      </c>
      <c r="E252" s="190" t="s">
        <v>645</v>
      </c>
      <c r="F252" s="191" t="s">
        <v>60</v>
      </c>
      <c r="G252" s="193" t="s">
        <v>1917</v>
      </c>
      <c r="H252" s="81" t="s">
        <v>918</v>
      </c>
      <c r="I252" s="190" t="s">
        <v>2094</v>
      </c>
      <c r="J252" s="183"/>
      <c r="K252" s="183"/>
      <c r="L252" s="183"/>
      <c r="M252" s="183"/>
    </row>
    <row r="253" spans="1:13" ht="15.75">
      <c r="A253" s="79">
        <f t="shared" si="3"/>
        <v>383</v>
      </c>
      <c r="B253" s="187">
        <v>251</v>
      </c>
      <c r="C253" s="186" t="s">
        <v>1302</v>
      </c>
      <c r="D253" s="187">
        <v>114521</v>
      </c>
      <c r="E253" s="190" t="s">
        <v>516</v>
      </c>
      <c r="F253" s="191" t="s">
        <v>114</v>
      </c>
      <c r="G253" s="193" t="s">
        <v>1918</v>
      </c>
      <c r="H253" s="81" t="s">
        <v>918</v>
      </c>
      <c r="I253" s="190" t="s">
        <v>2094</v>
      </c>
      <c r="J253" s="183"/>
      <c r="K253" s="183"/>
      <c r="L253" s="183"/>
      <c r="M253" s="183"/>
    </row>
    <row r="254" spans="1:13" ht="15.75">
      <c r="A254" s="79">
        <f t="shared" si="3"/>
        <v>256</v>
      </c>
      <c r="B254" s="187">
        <v>252</v>
      </c>
      <c r="C254" s="186" t="s">
        <v>1175</v>
      </c>
      <c r="D254" s="187">
        <v>114545</v>
      </c>
      <c r="E254" s="190" t="s">
        <v>646</v>
      </c>
      <c r="F254" s="191" t="s">
        <v>60</v>
      </c>
      <c r="G254" s="193" t="s">
        <v>299</v>
      </c>
      <c r="H254" s="81" t="s">
        <v>918</v>
      </c>
      <c r="I254" s="190" t="s">
        <v>2093</v>
      </c>
      <c r="J254" s="183"/>
      <c r="K254" s="183"/>
      <c r="L254" s="183"/>
      <c r="M254" s="183"/>
    </row>
    <row r="255" spans="1:13" ht="15.75">
      <c r="A255" s="79">
        <f t="shared" si="3"/>
        <v>257</v>
      </c>
      <c r="B255" s="187">
        <v>253</v>
      </c>
      <c r="C255" s="186" t="s">
        <v>1176</v>
      </c>
      <c r="D255" s="187">
        <v>114569</v>
      </c>
      <c r="E255" s="190" t="s">
        <v>647</v>
      </c>
      <c r="F255" s="191" t="s">
        <v>60</v>
      </c>
      <c r="G255" s="193" t="s">
        <v>1703</v>
      </c>
      <c r="H255" s="81" t="s">
        <v>918</v>
      </c>
      <c r="I255" s="190" t="s">
        <v>2093</v>
      </c>
      <c r="J255" s="184"/>
      <c r="K255" s="183"/>
      <c r="L255" s="183"/>
      <c r="M255" s="183"/>
    </row>
    <row r="256" spans="1:13" ht="15.75">
      <c r="A256" s="79">
        <f t="shared" si="3"/>
        <v>384</v>
      </c>
      <c r="B256" s="187">
        <v>254</v>
      </c>
      <c r="C256" s="186" t="s">
        <v>1303</v>
      </c>
      <c r="D256" s="187">
        <v>114822</v>
      </c>
      <c r="E256" s="190" t="s">
        <v>648</v>
      </c>
      <c r="F256" s="191" t="s">
        <v>60</v>
      </c>
      <c r="G256" s="193" t="s">
        <v>209</v>
      </c>
      <c r="H256" s="81" t="s">
        <v>918</v>
      </c>
      <c r="I256" s="190" t="s">
        <v>2094</v>
      </c>
      <c r="J256" s="184"/>
      <c r="K256" s="183"/>
      <c r="L256" s="183"/>
      <c r="M256" s="183"/>
    </row>
    <row r="257" spans="1:13" ht="15.75">
      <c r="A257" s="79">
        <f t="shared" si="3"/>
        <v>513</v>
      </c>
      <c r="B257" s="187">
        <v>255</v>
      </c>
      <c r="C257" s="186" t="s">
        <v>1432</v>
      </c>
      <c r="D257" s="187">
        <v>114950</v>
      </c>
      <c r="E257" s="190" t="s">
        <v>649</v>
      </c>
      <c r="F257" s="191" t="s">
        <v>60</v>
      </c>
      <c r="G257" s="193" t="s">
        <v>1987</v>
      </c>
      <c r="H257" s="81" t="s">
        <v>918</v>
      </c>
      <c r="I257" s="190" t="s">
        <v>2095</v>
      </c>
      <c r="J257" s="183"/>
      <c r="K257" s="183"/>
      <c r="L257" s="183"/>
      <c r="M257" s="183"/>
    </row>
    <row r="258" spans="1:13" ht="15.75">
      <c r="A258" s="79">
        <f t="shared" si="3"/>
        <v>258</v>
      </c>
      <c r="B258" s="187">
        <v>256</v>
      </c>
      <c r="C258" s="186" t="s">
        <v>1177</v>
      </c>
      <c r="D258" s="187">
        <v>114967</v>
      </c>
      <c r="E258" s="190" t="s">
        <v>650</v>
      </c>
      <c r="F258" s="191" t="s">
        <v>60</v>
      </c>
      <c r="G258" s="193" t="s">
        <v>229</v>
      </c>
      <c r="H258" s="81" t="s">
        <v>918</v>
      </c>
      <c r="I258" s="190" t="s">
        <v>2093</v>
      </c>
      <c r="J258" s="183"/>
      <c r="K258" s="183"/>
      <c r="L258" s="183"/>
      <c r="M258" s="183"/>
    </row>
    <row r="259" spans="1:13" ht="30">
      <c r="A259" s="79">
        <f t="shared" ref="A259:A322" si="4">IFERROR(VALUE(RIGHT(C259,4)),"")</f>
        <v>104</v>
      </c>
      <c r="B259" s="187">
        <v>257</v>
      </c>
      <c r="C259" s="186" t="s">
        <v>1023</v>
      </c>
      <c r="D259" s="187">
        <v>114974</v>
      </c>
      <c r="E259" s="190" t="s">
        <v>651</v>
      </c>
      <c r="F259" s="191" t="s">
        <v>114</v>
      </c>
      <c r="G259" s="193" t="s">
        <v>1765</v>
      </c>
      <c r="H259" s="81" t="s">
        <v>918</v>
      </c>
      <c r="I259" s="190" t="s">
        <v>2086</v>
      </c>
      <c r="J259" s="183"/>
      <c r="K259" s="183"/>
      <c r="L259" s="183"/>
      <c r="M259" s="183"/>
    </row>
    <row r="260" spans="1:13" ht="15.75">
      <c r="A260" s="79">
        <f t="shared" si="4"/>
        <v>259</v>
      </c>
      <c r="B260" s="187">
        <v>258</v>
      </c>
      <c r="C260" s="186" t="s">
        <v>1178</v>
      </c>
      <c r="D260" s="187">
        <v>115009</v>
      </c>
      <c r="E260" s="190" t="s">
        <v>652</v>
      </c>
      <c r="F260" s="191" t="s">
        <v>60</v>
      </c>
      <c r="G260" s="193" t="s">
        <v>234</v>
      </c>
      <c r="H260" s="81" t="s">
        <v>918</v>
      </c>
      <c r="I260" s="190" t="s">
        <v>2093</v>
      </c>
      <c r="J260" s="183"/>
      <c r="K260" s="183"/>
      <c r="L260" s="183"/>
      <c r="M260" s="183"/>
    </row>
    <row r="261" spans="1:13" ht="15.75">
      <c r="A261" s="79">
        <f t="shared" si="4"/>
        <v>514</v>
      </c>
      <c r="B261" s="187">
        <v>259</v>
      </c>
      <c r="C261" s="186" t="s">
        <v>1433</v>
      </c>
      <c r="D261" s="187">
        <v>115061</v>
      </c>
      <c r="E261" s="190" t="s">
        <v>435</v>
      </c>
      <c r="F261" s="191" t="s">
        <v>60</v>
      </c>
      <c r="G261" s="193" t="s">
        <v>1988</v>
      </c>
      <c r="H261" s="81" t="s">
        <v>918</v>
      </c>
      <c r="I261" s="190" t="s">
        <v>2095</v>
      </c>
      <c r="J261" s="183"/>
      <c r="K261" s="183"/>
      <c r="L261" s="183"/>
      <c r="M261" s="183"/>
    </row>
    <row r="262" spans="1:13" ht="15.75">
      <c r="A262" s="79">
        <f t="shared" si="4"/>
        <v>385</v>
      </c>
      <c r="B262" s="187">
        <v>260</v>
      </c>
      <c r="C262" s="186" t="s">
        <v>1304</v>
      </c>
      <c r="D262" s="187">
        <v>115199</v>
      </c>
      <c r="E262" s="190" t="s">
        <v>653</v>
      </c>
      <c r="F262" s="191" t="s">
        <v>114</v>
      </c>
      <c r="G262" s="193" t="s">
        <v>186</v>
      </c>
      <c r="H262" s="81" t="s">
        <v>918</v>
      </c>
      <c r="I262" s="190" t="s">
        <v>2094</v>
      </c>
      <c r="J262" s="183"/>
      <c r="K262" s="183"/>
      <c r="L262" s="183"/>
      <c r="M262" s="183"/>
    </row>
    <row r="263" spans="1:13" ht="15.75">
      <c r="A263" s="79">
        <f t="shared" si="4"/>
        <v>260</v>
      </c>
      <c r="B263" s="187">
        <v>261</v>
      </c>
      <c r="C263" s="186" t="s">
        <v>1179</v>
      </c>
      <c r="D263" s="187">
        <v>115234</v>
      </c>
      <c r="E263" s="190" t="s">
        <v>654</v>
      </c>
      <c r="F263" s="191" t="s">
        <v>114</v>
      </c>
      <c r="G263" s="193" t="s">
        <v>1854</v>
      </c>
      <c r="H263" s="81" t="s">
        <v>918</v>
      </c>
      <c r="I263" s="190" t="s">
        <v>2093</v>
      </c>
      <c r="J263" s="183"/>
      <c r="K263" s="183"/>
      <c r="L263" s="183"/>
      <c r="M263" s="183"/>
    </row>
    <row r="264" spans="1:13" ht="15.75">
      <c r="A264" s="79">
        <f t="shared" si="4"/>
        <v>386</v>
      </c>
      <c r="B264" s="187">
        <v>262</v>
      </c>
      <c r="C264" s="186" t="s">
        <v>1305</v>
      </c>
      <c r="D264" s="187">
        <v>115407</v>
      </c>
      <c r="E264" s="190" t="s">
        <v>655</v>
      </c>
      <c r="F264" s="191" t="s">
        <v>60</v>
      </c>
      <c r="G264" s="193" t="s">
        <v>1919</v>
      </c>
      <c r="H264" s="81" t="s">
        <v>918</v>
      </c>
      <c r="I264" s="190" t="s">
        <v>2094</v>
      </c>
      <c r="J264" s="184"/>
      <c r="K264" s="183"/>
      <c r="L264" s="183"/>
      <c r="M264" s="183"/>
    </row>
    <row r="265" spans="1:13" ht="15.75">
      <c r="A265" s="79">
        <f t="shared" si="4"/>
        <v>387</v>
      </c>
      <c r="B265" s="187">
        <v>263</v>
      </c>
      <c r="C265" s="186" t="s">
        <v>1306</v>
      </c>
      <c r="D265" s="187">
        <v>115542</v>
      </c>
      <c r="E265" s="190" t="s">
        <v>656</v>
      </c>
      <c r="F265" s="191" t="s">
        <v>60</v>
      </c>
      <c r="G265" s="193" t="s">
        <v>221</v>
      </c>
      <c r="H265" s="81" t="s">
        <v>918</v>
      </c>
      <c r="I265" s="190" t="s">
        <v>2094</v>
      </c>
      <c r="J265" s="183"/>
      <c r="K265" s="183"/>
      <c r="L265" s="183"/>
      <c r="M265" s="183"/>
    </row>
    <row r="266" spans="1:13" ht="15.75">
      <c r="A266" s="79">
        <f t="shared" si="4"/>
        <v>261</v>
      </c>
      <c r="B266" s="187">
        <v>264</v>
      </c>
      <c r="C266" s="186" t="s">
        <v>1180</v>
      </c>
      <c r="D266" s="187">
        <v>115919</v>
      </c>
      <c r="E266" s="190" t="s">
        <v>657</v>
      </c>
      <c r="F266" s="191" t="s">
        <v>114</v>
      </c>
      <c r="G266" s="193" t="s">
        <v>188</v>
      </c>
      <c r="H266" s="81" t="s">
        <v>918</v>
      </c>
      <c r="I266" s="190" t="s">
        <v>2093</v>
      </c>
      <c r="J266" s="184"/>
      <c r="K266" s="183"/>
      <c r="L266" s="183"/>
      <c r="M266" s="183"/>
    </row>
    <row r="267" spans="1:13" ht="15.75">
      <c r="A267" s="79">
        <f t="shared" si="4"/>
        <v>515</v>
      </c>
      <c r="B267" s="187">
        <v>265</v>
      </c>
      <c r="C267" s="186" t="s">
        <v>1434</v>
      </c>
      <c r="D267" s="187">
        <v>115933</v>
      </c>
      <c r="E267" s="190" t="s">
        <v>1595</v>
      </c>
      <c r="F267" s="191" t="s">
        <v>114</v>
      </c>
      <c r="G267" s="193" t="s">
        <v>301</v>
      </c>
      <c r="H267" s="81" t="s">
        <v>918</v>
      </c>
      <c r="I267" s="190" t="s">
        <v>2095</v>
      </c>
      <c r="J267" s="183"/>
      <c r="K267" s="183"/>
      <c r="L267" s="183"/>
      <c r="M267" s="183"/>
    </row>
    <row r="268" spans="1:13" ht="15.75">
      <c r="A268" s="79">
        <f t="shared" si="4"/>
        <v>516</v>
      </c>
      <c r="B268" s="187">
        <v>266</v>
      </c>
      <c r="C268" s="186" t="s">
        <v>1435</v>
      </c>
      <c r="D268" s="187">
        <v>116013</v>
      </c>
      <c r="E268" s="190" t="s">
        <v>658</v>
      </c>
      <c r="F268" s="191" t="s">
        <v>114</v>
      </c>
      <c r="G268" s="193" t="s">
        <v>1989</v>
      </c>
      <c r="H268" s="81" t="s">
        <v>918</v>
      </c>
      <c r="I268" s="190" t="s">
        <v>2095</v>
      </c>
      <c r="J268" s="183"/>
      <c r="K268" s="183"/>
      <c r="L268" s="183"/>
      <c r="M268" s="183"/>
    </row>
    <row r="269" spans="1:13" ht="15.75">
      <c r="A269" s="79">
        <f t="shared" si="4"/>
        <v>517</v>
      </c>
      <c r="B269" s="187">
        <v>267</v>
      </c>
      <c r="C269" s="186" t="s">
        <v>1436</v>
      </c>
      <c r="D269" s="187">
        <v>116255</v>
      </c>
      <c r="E269" s="190" t="s">
        <v>659</v>
      </c>
      <c r="F269" s="191" t="s">
        <v>60</v>
      </c>
      <c r="G269" s="193" t="s">
        <v>1990</v>
      </c>
      <c r="H269" s="81" t="s">
        <v>918</v>
      </c>
      <c r="I269" s="190" t="s">
        <v>2095</v>
      </c>
      <c r="J269" s="183"/>
      <c r="K269" s="183"/>
      <c r="L269" s="183"/>
      <c r="M269" s="183"/>
    </row>
    <row r="270" spans="1:13" ht="15.75">
      <c r="A270" s="79">
        <f t="shared" si="4"/>
        <v>388</v>
      </c>
      <c r="B270" s="187">
        <v>268</v>
      </c>
      <c r="C270" s="186" t="s">
        <v>1307</v>
      </c>
      <c r="D270" s="187">
        <v>116262</v>
      </c>
      <c r="E270" s="190" t="s">
        <v>512</v>
      </c>
      <c r="F270" s="191" t="s">
        <v>114</v>
      </c>
      <c r="G270" s="193" t="s">
        <v>263</v>
      </c>
      <c r="H270" s="81" t="s">
        <v>918</v>
      </c>
      <c r="I270" s="190" t="s">
        <v>2094</v>
      </c>
      <c r="J270" s="183"/>
      <c r="K270" s="183"/>
      <c r="L270" s="183"/>
      <c r="M270" s="183"/>
    </row>
    <row r="271" spans="1:13" ht="15.75">
      <c r="A271" s="79">
        <f t="shared" si="4"/>
        <v>136</v>
      </c>
      <c r="B271" s="187">
        <v>269</v>
      </c>
      <c r="C271" s="186" t="s">
        <v>1055</v>
      </c>
      <c r="D271" s="187">
        <v>116376</v>
      </c>
      <c r="E271" s="190" t="s">
        <v>660</v>
      </c>
      <c r="F271" s="191" t="s">
        <v>114</v>
      </c>
      <c r="G271" s="193" t="s">
        <v>1787</v>
      </c>
      <c r="H271" s="81" t="s">
        <v>918</v>
      </c>
      <c r="I271" s="190" t="s">
        <v>2087</v>
      </c>
      <c r="J271" s="184"/>
      <c r="K271" s="183"/>
      <c r="L271" s="183"/>
      <c r="M271" s="183"/>
    </row>
    <row r="272" spans="1:13" ht="15.75">
      <c r="A272" s="79">
        <f t="shared" si="4"/>
        <v>262</v>
      </c>
      <c r="B272" s="187">
        <v>270</v>
      </c>
      <c r="C272" s="186" t="s">
        <v>1181</v>
      </c>
      <c r="D272" s="187">
        <v>116622</v>
      </c>
      <c r="E272" s="190" t="s">
        <v>661</v>
      </c>
      <c r="F272" s="191" t="s">
        <v>60</v>
      </c>
      <c r="G272" s="193" t="s">
        <v>248</v>
      </c>
      <c r="H272" s="81" t="s">
        <v>918</v>
      </c>
      <c r="I272" s="190" t="s">
        <v>2093</v>
      </c>
      <c r="J272" s="184"/>
      <c r="K272" s="183"/>
      <c r="L272" s="183"/>
      <c r="M272" s="183"/>
    </row>
    <row r="273" spans="1:13" ht="15.75">
      <c r="A273" s="79">
        <f t="shared" si="4"/>
        <v>389</v>
      </c>
      <c r="B273" s="187">
        <v>271</v>
      </c>
      <c r="C273" s="186" t="s">
        <v>1308</v>
      </c>
      <c r="D273" s="187">
        <v>116677</v>
      </c>
      <c r="E273" s="190" t="s">
        <v>662</v>
      </c>
      <c r="F273" s="191" t="s">
        <v>114</v>
      </c>
      <c r="G273" s="193" t="s">
        <v>1920</v>
      </c>
      <c r="H273" s="81" t="s">
        <v>918</v>
      </c>
      <c r="I273" s="190" t="s">
        <v>2094</v>
      </c>
      <c r="J273" s="184"/>
      <c r="K273" s="183"/>
      <c r="L273" s="183"/>
      <c r="M273" s="183"/>
    </row>
    <row r="274" spans="1:13" ht="15.75">
      <c r="A274" s="79">
        <f t="shared" si="4"/>
        <v>390</v>
      </c>
      <c r="B274" s="187">
        <v>272</v>
      </c>
      <c r="C274" s="186" t="s">
        <v>1309</v>
      </c>
      <c r="D274" s="187">
        <v>116985</v>
      </c>
      <c r="E274" s="190" t="s">
        <v>663</v>
      </c>
      <c r="F274" s="191" t="s">
        <v>60</v>
      </c>
      <c r="G274" s="193" t="s">
        <v>1921</v>
      </c>
      <c r="H274" s="81" t="s">
        <v>918</v>
      </c>
      <c r="I274" s="190" t="s">
        <v>2094</v>
      </c>
      <c r="J274" s="183"/>
      <c r="K274" s="183"/>
      <c r="L274" s="183"/>
      <c r="M274" s="183"/>
    </row>
    <row r="275" spans="1:13" ht="15.75">
      <c r="A275" s="79">
        <f t="shared" si="4"/>
        <v>391</v>
      </c>
      <c r="B275" s="187">
        <v>273</v>
      </c>
      <c r="C275" s="186" t="s">
        <v>1310</v>
      </c>
      <c r="D275" s="187">
        <v>117100</v>
      </c>
      <c r="E275" s="190" t="s">
        <v>664</v>
      </c>
      <c r="F275" s="191" t="s">
        <v>60</v>
      </c>
      <c r="G275" s="193" t="s">
        <v>1922</v>
      </c>
      <c r="H275" s="81" t="s">
        <v>918</v>
      </c>
      <c r="I275" s="190" t="s">
        <v>2094</v>
      </c>
      <c r="J275" s="183"/>
      <c r="K275" s="183"/>
      <c r="L275" s="183"/>
      <c r="M275" s="183"/>
    </row>
    <row r="276" spans="1:13" ht="15.75">
      <c r="A276" s="79">
        <f t="shared" si="4"/>
        <v>263</v>
      </c>
      <c r="B276" s="187">
        <v>274</v>
      </c>
      <c r="C276" s="186" t="s">
        <v>1182</v>
      </c>
      <c r="D276" s="187">
        <v>117117</v>
      </c>
      <c r="E276" s="190" t="s">
        <v>665</v>
      </c>
      <c r="F276" s="191" t="s">
        <v>60</v>
      </c>
      <c r="G276" s="193" t="s">
        <v>1795</v>
      </c>
      <c r="H276" s="81" t="s">
        <v>918</v>
      </c>
      <c r="I276" s="190" t="s">
        <v>2093</v>
      </c>
      <c r="J276" s="183"/>
      <c r="K276" s="183"/>
      <c r="L276" s="183"/>
      <c r="M276" s="183"/>
    </row>
    <row r="277" spans="1:13" ht="15.75">
      <c r="A277" s="79">
        <f t="shared" si="4"/>
        <v>392</v>
      </c>
      <c r="B277" s="187">
        <v>275</v>
      </c>
      <c r="C277" s="186" t="s">
        <v>1311</v>
      </c>
      <c r="D277" s="187">
        <v>117214</v>
      </c>
      <c r="E277" s="190" t="s">
        <v>666</v>
      </c>
      <c r="F277" s="191" t="s">
        <v>114</v>
      </c>
      <c r="G277" s="193" t="s">
        <v>160</v>
      </c>
      <c r="H277" s="81" t="s">
        <v>918</v>
      </c>
      <c r="I277" s="190" t="s">
        <v>2094</v>
      </c>
      <c r="J277" s="183"/>
      <c r="K277" s="183"/>
      <c r="L277" s="183"/>
      <c r="M277" s="183"/>
    </row>
    <row r="278" spans="1:13" ht="15.75">
      <c r="A278" s="79">
        <f t="shared" si="4"/>
        <v>147</v>
      </c>
      <c r="B278" s="187">
        <v>276</v>
      </c>
      <c r="C278" s="186" t="s">
        <v>1066</v>
      </c>
      <c r="D278" s="187">
        <v>117304</v>
      </c>
      <c r="E278" s="190" t="s">
        <v>667</v>
      </c>
      <c r="F278" s="191" t="s">
        <v>60</v>
      </c>
      <c r="G278" s="193" t="s">
        <v>1794</v>
      </c>
      <c r="H278" s="81" t="s">
        <v>918</v>
      </c>
      <c r="I278" s="190" t="s">
        <v>2088</v>
      </c>
      <c r="J278" s="183"/>
      <c r="K278" s="183"/>
      <c r="L278" s="183"/>
      <c r="M278" s="183"/>
    </row>
    <row r="279" spans="1:13" ht="15.75">
      <c r="A279" s="79">
        <f t="shared" si="4"/>
        <v>148</v>
      </c>
      <c r="B279" s="187">
        <v>277</v>
      </c>
      <c r="C279" s="186" t="s">
        <v>1067</v>
      </c>
      <c r="D279" s="187">
        <v>117311</v>
      </c>
      <c r="E279" s="190" t="s">
        <v>668</v>
      </c>
      <c r="F279" s="191" t="s">
        <v>60</v>
      </c>
      <c r="G279" s="193" t="s">
        <v>1795</v>
      </c>
      <c r="H279" s="81" t="s">
        <v>918</v>
      </c>
      <c r="I279" s="190" t="s">
        <v>2088</v>
      </c>
      <c r="J279" s="184"/>
      <c r="K279" s="183"/>
      <c r="L279" s="183"/>
      <c r="M279" s="183"/>
    </row>
    <row r="280" spans="1:13" ht="15.75">
      <c r="A280" s="79">
        <f t="shared" si="4"/>
        <v>16</v>
      </c>
      <c r="B280" s="187">
        <v>278</v>
      </c>
      <c r="C280" s="186" t="s">
        <v>935</v>
      </c>
      <c r="D280" s="187">
        <v>117397</v>
      </c>
      <c r="E280" s="190" t="s">
        <v>669</v>
      </c>
      <c r="F280" s="191" t="s">
        <v>60</v>
      </c>
      <c r="G280" s="193" t="s">
        <v>1701</v>
      </c>
      <c r="H280" s="81" t="s">
        <v>918</v>
      </c>
      <c r="I280" s="190" t="s">
        <v>2080</v>
      </c>
      <c r="J280" s="183"/>
      <c r="K280" s="183"/>
      <c r="L280" s="183"/>
      <c r="M280" s="183"/>
    </row>
    <row r="281" spans="1:13" ht="15.75">
      <c r="A281" s="79">
        <f t="shared" si="4"/>
        <v>17</v>
      </c>
      <c r="B281" s="187">
        <v>279</v>
      </c>
      <c r="C281" s="186" t="s">
        <v>936</v>
      </c>
      <c r="D281" s="187">
        <v>117401</v>
      </c>
      <c r="E281" s="190" t="s">
        <v>1575</v>
      </c>
      <c r="F281" s="191" t="s">
        <v>114</v>
      </c>
      <c r="G281" s="193" t="s">
        <v>1702</v>
      </c>
      <c r="H281" s="81" t="s">
        <v>918</v>
      </c>
      <c r="I281" s="190" t="s">
        <v>2080</v>
      </c>
      <c r="J281" s="183"/>
      <c r="K281" s="183"/>
      <c r="L281" s="183"/>
      <c r="M281" s="183"/>
    </row>
    <row r="282" spans="1:13" ht="15.75">
      <c r="A282" s="79">
        <f t="shared" si="4"/>
        <v>18</v>
      </c>
      <c r="B282" s="187">
        <v>280</v>
      </c>
      <c r="C282" s="186" t="s">
        <v>937</v>
      </c>
      <c r="D282" s="187">
        <v>117449</v>
      </c>
      <c r="E282" s="190" t="s">
        <v>670</v>
      </c>
      <c r="F282" s="191" t="s">
        <v>60</v>
      </c>
      <c r="G282" s="193" t="s">
        <v>1703</v>
      </c>
      <c r="H282" s="81" t="s">
        <v>918</v>
      </c>
      <c r="I282" s="190" t="s">
        <v>2080</v>
      </c>
      <c r="J282" s="183"/>
      <c r="K282" s="183"/>
      <c r="L282" s="183"/>
      <c r="M282" s="183"/>
    </row>
    <row r="283" spans="1:13" ht="15.75">
      <c r="A283" s="79">
        <f t="shared" si="4"/>
        <v>169</v>
      </c>
      <c r="B283" s="187">
        <v>281</v>
      </c>
      <c r="C283" s="186" t="s">
        <v>1088</v>
      </c>
      <c r="D283" s="187">
        <v>117494</v>
      </c>
      <c r="E283" s="190" t="s">
        <v>671</v>
      </c>
      <c r="F283" s="191" t="s">
        <v>114</v>
      </c>
      <c r="G283" s="193" t="s">
        <v>323</v>
      </c>
      <c r="H283" s="81" t="s">
        <v>918</v>
      </c>
      <c r="I283" s="190" t="s">
        <v>2090</v>
      </c>
      <c r="J283" s="183"/>
      <c r="K283" s="183"/>
      <c r="L283" s="183"/>
      <c r="M283" s="183"/>
    </row>
    <row r="284" spans="1:13" ht="30">
      <c r="A284" s="79">
        <f t="shared" si="4"/>
        <v>62</v>
      </c>
      <c r="B284" s="187">
        <v>282</v>
      </c>
      <c r="C284" s="186" t="s">
        <v>981</v>
      </c>
      <c r="D284" s="187">
        <v>117539</v>
      </c>
      <c r="E284" s="190" t="s">
        <v>672</v>
      </c>
      <c r="F284" s="191" t="s">
        <v>114</v>
      </c>
      <c r="G284" s="193" t="s">
        <v>1741</v>
      </c>
      <c r="H284" s="81" t="s">
        <v>918</v>
      </c>
      <c r="I284" s="190" t="s">
        <v>2083</v>
      </c>
      <c r="J284" s="183"/>
      <c r="K284" s="183"/>
      <c r="L284" s="183"/>
      <c r="M284" s="183"/>
    </row>
    <row r="285" spans="1:13" ht="15.75">
      <c r="A285" s="79">
        <f t="shared" si="4"/>
        <v>19</v>
      </c>
      <c r="B285" s="187">
        <v>283</v>
      </c>
      <c r="C285" s="186" t="s">
        <v>938</v>
      </c>
      <c r="D285" s="187">
        <v>117577</v>
      </c>
      <c r="E285" s="190" t="s">
        <v>426</v>
      </c>
      <c r="F285" s="191" t="s">
        <v>60</v>
      </c>
      <c r="G285" s="193" t="s">
        <v>1704</v>
      </c>
      <c r="H285" s="81" t="s">
        <v>918</v>
      </c>
      <c r="I285" s="190" t="s">
        <v>2080</v>
      </c>
      <c r="J285" s="183"/>
      <c r="K285" s="183"/>
      <c r="L285" s="183"/>
      <c r="M285" s="183"/>
    </row>
    <row r="286" spans="1:13" ht="30">
      <c r="A286" s="79">
        <f t="shared" si="4"/>
        <v>626</v>
      </c>
      <c r="B286" s="187">
        <v>284</v>
      </c>
      <c r="C286" s="186" t="s">
        <v>1545</v>
      </c>
      <c r="D286" s="187">
        <v>117591</v>
      </c>
      <c r="E286" s="190" t="s">
        <v>673</v>
      </c>
      <c r="F286" s="191" t="s">
        <v>60</v>
      </c>
      <c r="G286" s="193" t="s">
        <v>2061</v>
      </c>
      <c r="H286" s="81" t="s">
        <v>918</v>
      </c>
      <c r="I286" s="190" t="s">
        <v>2096</v>
      </c>
      <c r="J286" s="183"/>
      <c r="K286" s="183"/>
      <c r="L286" s="183"/>
      <c r="M286" s="183"/>
    </row>
    <row r="287" spans="1:13" ht="15.75">
      <c r="A287" s="79">
        <f t="shared" si="4"/>
        <v>149</v>
      </c>
      <c r="B287" s="187">
        <v>285</v>
      </c>
      <c r="C287" s="186" t="s">
        <v>1068</v>
      </c>
      <c r="D287" s="187">
        <v>117605</v>
      </c>
      <c r="E287" s="190" t="s">
        <v>674</v>
      </c>
      <c r="F287" s="191" t="s">
        <v>60</v>
      </c>
      <c r="G287" s="193" t="s">
        <v>1796</v>
      </c>
      <c r="H287" s="81" t="s">
        <v>918</v>
      </c>
      <c r="I287" s="190" t="s">
        <v>2088</v>
      </c>
      <c r="J287" s="183"/>
      <c r="K287" s="183"/>
      <c r="L287" s="183"/>
      <c r="M287" s="183"/>
    </row>
    <row r="288" spans="1:13" ht="15.75">
      <c r="A288" s="79">
        <f t="shared" si="4"/>
        <v>150</v>
      </c>
      <c r="B288" s="187">
        <v>286</v>
      </c>
      <c r="C288" s="186" t="s">
        <v>1069</v>
      </c>
      <c r="D288" s="187">
        <v>117629</v>
      </c>
      <c r="E288" s="190" t="s">
        <v>675</v>
      </c>
      <c r="F288" s="191" t="s">
        <v>60</v>
      </c>
      <c r="G288" s="193" t="s">
        <v>348</v>
      </c>
      <c r="H288" s="81" t="s">
        <v>918</v>
      </c>
      <c r="I288" s="190" t="s">
        <v>2088</v>
      </c>
      <c r="J288" s="183"/>
      <c r="K288" s="183"/>
      <c r="L288" s="183"/>
      <c r="M288" s="183"/>
    </row>
    <row r="289" spans="1:13" ht="30">
      <c r="A289" s="79">
        <f t="shared" si="4"/>
        <v>105</v>
      </c>
      <c r="B289" s="187">
        <v>287</v>
      </c>
      <c r="C289" s="186" t="s">
        <v>1024</v>
      </c>
      <c r="D289" s="187">
        <v>117681</v>
      </c>
      <c r="E289" s="190" t="s">
        <v>676</v>
      </c>
      <c r="F289" s="191" t="s">
        <v>114</v>
      </c>
      <c r="G289" s="193" t="s">
        <v>363</v>
      </c>
      <c r="H289" s="81" t="s">
        <v>918</v>
      </c>
      <c r="I289" s="190" t="s">
        <v>2086</v>
      </c>
      <c r="J289" s="183"/>
      <c r="K289" s="183"/>
      <c r="L289" s="183"/>
      <c r="M289" s="183"/>
    </row>
    <row r="290" spans="1:13" ht="15.75">
      <c r="A290" s="79">
        <f t="shared" si="4"/>
        <v>264</v>
      </c>
      <c r="B290" s="187">
        <v>288</v>
      </c>
      <c r="C290" s="186" t="s">
        <v>1183</v>
      </c>
      <c r="D290" s="187">
        <v>117726</v>
      </c>
      <c r="E290" s="190" t="s">
        <v>1626</v>
      </c>
      <c r="F290" s="191" t="s">
        <v>114</v>
      </c>
      <c r="G290" s="193" t="s">
        <v>1855</v>
      </c>
      <c r="H290" s="81" t="s">
        <v>918</v>
      </c>
      <c r="I290" s="190" t="s">
        <v>2093</v>
      </c>
      <c r="J290" s="184"/>
      <c r="K290" s="183"/>
      <c r="L290" s="183"/>
      <c r="M290" s="183"/>
    </row>
    <row r="291" spans="1:13" ht="15.75">
      <c r="A291" s="79">
        <f t="shared" si="4"/>
        <v>393</v>
      </c>
      <c r="B291" s="187">
        <v>289</v>
      </c>
      <c r="C291" s="186" t="s">
        <v>1312</v>
      </c>
      <c r="D291" s="187">
        <v>117847</v>
      </c>
      <c r="E291" s="190" t="s">
        <v>677</v>
      </c>
      <c r="F291" s="191" t="s">
        <v>114</v>
      </c>
      <c r="G291" s="193" t="s">
        <v>1721</v>
      </c>
      <c r="H291" s="81" t="s">
        <v>918</v>
      </c>
      <c r="I291" s="190" t="s">
        <v>2094</v>
      </c>
      <c r="J291" s="183"/>
      <c r="K291" s="183"/>
      <c r="L291" s="183"/>
      <c r="M291" s="183"/>
    </row>
    <row r="292" spans="1:13" ht="15.75">
      <c r="A292" s="79">
        <f t="shared" si="4"/>
        <v>265</v>
      </c>
      <c r="B292" s="187">
        <v>290</v>
      </c>
      <c r="C292" s="186" t="s">
        <v>1184</v>
      </c>
      <c r="D292" s="187">
        <v>117913</v>
      </c>
      <c r="E292" s="190" t="s">
        <v>678</v>
      </c>
      <c r="F292" s="191" t="s">
        <v>60</v>
      </c>
      <c r="G292" s="193" t="s">
        <v>1856</v>
      </c>
      <c r="H292" s="81" t="s">
        <v>918</v>
      </c>
      <c r="I292" s="190" t="s">
        <v>2093</v>
      </c>
      <c r="J292" s="183"/>
      <c r="K292" s="183"/>
      <c r="L292" s="183"/>
      <c r="M292" s="183"/>
    </row>
    <row r="293" spans="1:13" ht="30">
      <c r="A293" s="79">
        <f t="shared" si="4"/>
        <v>187</v>
      </c>
      <c r="B293" s="187">
        <v>291</v>
      </c>
      <c r="C293" s="186" t="s">
        <v>1106</v>
      </c>
      <c r="D293" s="187">
        <v>117944</v>
      </c>
      <c r="E293" s="190" t="s">
        <v>679</v>
      </c>
      <c r="F293" s="191" t="s">
        <v>60</v>
      </c>
      <c r="G293" s="193" t="s">
        <v>1821</v>
      </c>
      <c r="H293" s="81" t="s">
        <v>918</v>
      </c>
      <c r="I293" s="190" t="s">
        <v>2091</v>
      </c>
      <c r="J293" s="183"/>
      <c r="K293" s="183"/>
      <c r="L293" s="183"/>
      <c r="M293" s="183"/>
    </row>
    <row r="294" spans="1:13" ht="30">
      <c r="A294" s="79">
        <f t="shared" si="4"/>
        <v>627</v>
      </c>
      <c r="B294" s="187">
        <v>292</v>
      </c>
      <c r="C294" s="186" t="s">
        <v>1546</v>
      </c>
      <c r="D294" s="187">
        <v>118138</v>
      </c>
      <c r="E294" s="190" t="s">
        <v>680</v>
      </c>
      <c r="F294" s="191" t="s">
        <v>60</v>
      </c>
      <c r="G294" s="193" t="s">
        <v>2062</v>
      </c>
      <c r="H294" s="81" t="s">
        <v>918</v>
      </c>
      <c r="I294" s="190" t="s">
        <v>2096</v>
      </c>
      <c r="J294" s="183"/>
      <c r="K294" s="183"/>
      <c r="L294" s="183"/>
      <c r="M294" s="183"/>
    </row>
    <row r="295" spans="1:13" ht="15.75">
      <c r="A295" s="79">
        <f t="shared" si="4"/>
        <v>394</v>
      </c>
      <c r="B295" s="187">
        <v>293</v>
      </c>
      <c r="C295" s="186" t="s">
        <v>1313</v>
      </c>
      <c r="D295" s="187">
        <v>118176</v>
      </c>
      <c r="E295" s="190" t="s">
        <v>681</v>
      </c>
      <c r="F295" s="191" t="s">
        <v>114</v>
      </c>
      <c r="G295" s="193" t="s">
        <v>1923</v>
      </c>
      <c r="H295" s="81" t="s">
        <v>918</v>
      </c>
      <c r="I295" s="190" t="s">
        <v>2094</v>
      </c>
      <c r="J295" s="183"/>
      <c r="K295" s="183"/>
      <c r="L295" s="183"/>
      <c r="M295" s="183"/>
    </row>
    <row r="296" spans="1:13" ht="15.75">
      <c r="A296" s="79">
        <f t="shared" si="4"/>
        <v>395</v>
      </c>
      <c r="B296" s="187">
        <v>294</v>
      </c>
      <c r="C296" s="186" t="s">
        <v>1314</v>
      </c>
      <c r="D296" s="187">
        <v>118211</v>
      </c>
      <c r="E296" s="190" t="s">
        <v>682</v>
      </c>
      <c r="F296" s="191" t="s">
        <v>60</v>
      </c>
      <c r="G296" s="193" t="s">
        <v>274</v>
      </c>
      <c r="H296" s="81" t="s">
        <v>918</v>
      </c>
      <c r="I296" s="190" t="s">
        <v>2094</v>
      </c>
      <c r="J296" s="184"/>
      <c r="K296" s="183"/>
      <c r="L296" s="183"/>
      <c r="M296" s="183"/>
    </row>
    <row r="297" spans="1:13" ht="15.75">
      <c r="A297" s="79">
        <f t="shared" si="4"/>
        <v>396</v>
      </c>
      <c r="B297" s="187">
        <v>295</v>
      </c>
      <c r="C297" s="186" t="s">
        <v>1315</v>
      </c>
      <c r="D297" s="187">
        <v>118228</v>
      </c>
      <c r="E297" s="190" t="s">
        <v>683</v>
      </c>
      <c r="F297" s="191" t="s">
        <v>60</v>
      </c>
      <c r="G297" s="193" t="s">
        <v>1924</v>
      </c>
      <c r="H297" s="81" t="s">
        <v>918</v>
      </c>
      <c r="I297" s="190" t="s">
        <v>2094</v>
      </c>
      <c r="J297" s="184"/>
      <c r="K297" s="183"/>
      <c r="L297" s="183"/>
      <c r="M297" s="183"/>
    </row>
    <row r="298" spans="1:13" ht="15.75">
      <c r="A298" s="79">
        <f t="shared" si="4"/>
        <v>266</v>
      </c>
      <c r="B298" s="187">
        <v>296</v>
      </c>
      <c r="C298" s="186" t="s">
        <v>1185</v>
      </c>
      <c r="D298" s="187">
        <v>118259</v>
      </c>
      <c r="E298" s="190" t="s">
        <v>684</v>
      </c>
      <c r="F298" s="191" t="s">
        <v>114</v>
      </c>
      <c r="G298" s="193" t="s">
        <v>1857</v>
      </c>
      <c r="H298" s="81" t="s">
        <v>918</v>
      </c>
      <c r="I298" s="190" t="s">
        <v>2093</v>
      </c>
      <c r="J298" s="183"/>
      <c r="K298" s="183"/>
      <c r="L298" s="183"/>
      <c r="M298" s="183"/>
    </row>
    <row r="299" spans="1:13" ht="15.75">
      <c r="A299" s="79">
        <f t="shared" si="4"/>
        <v>267</v>
      </c>
      <c r="B299" s="187">
        <v>297</v>
      </c>
      <c r="C299" s="186" t="s">
        <v>1186</v>
      </c>
      <c r="D299" s="187">
        <v>118273</v>
      </c>
      <c r="E299" s="190" t="s">
        <v>685</v>
      </c>
      <c r="F299" s="191" t="s">
        <v>60</v>
      </c>
      <c r="G299" s="193" t="s">
        <v>1721</v>
      </c>
      <c r="H299" s="81" t="s">
        <v>918</v>
      </c>
      <c r="I299" s="190" t="s">
        <v>2093</v>
      </c>
      <c r="J299" s="183"/>
      <c r="K299" s="183"/>
      <c r="L299" s="183"/>
      <c r="M299" s="183"/>
    </row>
    <row r="300" spans="1:13" ht="15.75">
      <c r="A300" s="79">
        <f t="shared" si="4"/>
        <v>268</v>
      </c>
      <c r="B300" s="187">
        <v>298</v>
      </c>
      <c r="C300" s="186" t="s">
        <v>1187</v>
      </c>
      <c r="D300" s="187">
        <v>118318</v>
      </c>
      <c r="E300" s="190" t="s">
        <v>686</v>
      </c>
      <c r="F300" s="191" t="s">
        <v>60</v>
      </c>
      <c r="G300" s="193" t="s">
        <v>217</v>
      </c>
      <c r="H300" s="81" t="s">
        <v>918</v>
      </c>
      <c r="I300" s="190" t="s">
        <v>2093</v>
      </c>
      <c r="J300" s="184"/>
      <c r="K300" s="183"/>
      <c r="L300" s="183"/>
      <c r="M300" s="183"/>
    </row>
    <row r="301" spans="1:13" ht="15.75">
      <c r="A301" s="79">
        <f t="shared" si="4"/>
        <v>518</v>
      </c>
      <c r="B301" s="187">
        <v>299</v>
      </c>
      <c r="C301" s="186" t="s">
        <v>1437</v>
      </c>
      <c r="D301" s="187">
        <v>118332</v>
      </c>
      <c r="E301" s="190" t="s">
        <v>687</v>
      </c>
      <c r="F301" s="191" t="s">
        <v>114</v>
      </c>
      <c r="G301" s="193" t="s">
        <v>267</v>
      </c>
      <c r="H301" s="81" t="s">
        <v>918</v>
      </c>
      <c r="I301" s="190" t="s">
        <v>2095</v>
      </c>
      <c r="J301" s="183"/>
      <c r="K301" s="183"/>
      <c r="L301" s="183"/>
      <c r="M301" s="183"/>
    </row>
    <row r="302" spans="1:13" ht="15.75">
      <c r="A302" s="79">
        <f t="shared" si="4"/>
        <v>20</v>
      </c>
      <c r="B302" s="187">
        <v>300</v>
      </c>
      <c r="C302" s="186" t="s">
        <v>939</v>
      </c>
      <c r="D302" s="187">
        <v>118387</v>
      </c>
      <c r="E302" s="190" t="s">
        <v>688</v>
      </c>
      <c r="F302" s="191" t="s">
        <v>60</v>
      </c>
      <c r="G302" s="193" t="s">
        <v>1705</v>
      </c>
      <c r="H302" s="81" t="s">
        <v>918</v>
      </c>
      <c r="I302" s="190" t="s">
        <v>2080</v>
      </c>
      <c r="J302" s="183"/>
      <c r="K302" s="183"/>
      <c r="L302" s="183"/>
      <c r="M302" s="183"/>
    </row>
    <row r="303" spans="1:13" ht="15.75">
      <c r="A303" s="79">
        <f t="shared" si="4"/>
        <v>519</v>
      </c>
      <c r="B303" s="187">
        <v>301</v>
      </c>
      <c r="C303" s="186" t="s">
        <v>1438</v>
      </c>
      <c r="D303" s="187">
        <v>118491</v>
      </c>
      <c r="E303" s="190" t="s">
        <v>689</v>
      </c>
      <c r="F303" s="191" t="s">
        <v>114</v>
      </c>
      <c r="G303" s="193" t="s">
        <v>1991</v>
      </c>
      <c r="H303" s="81" t="s">
        <v>918</v>
      </c>
      <c r="I303" s="190" t="s">
        <v>2095</v>
      </c>
      <c r="J303" s="183"/>
      <c r="K303" s="183"/>
      <c r="L303" s="183"/>
      <c r="M303" s="183"/>
    </row>
    <row r="304" spans="1:13" ht="15.75">
      <c r="A304" s="79">
        <f t="shared" si="4"/>
        <v>82</v>
      </c>
      <c r="B304" s="187">
        <v>302</v>
      </c>
      <c r="C304" s="186" t="s">
        <v>1001</v>
      </c>
      <c r="D304" s="187">
        <v>118512</v>
      </c>
      <c r="E304" s="190" t="s">
        <v>690</v>
      </c>
      <c r="F304" s="191" t="s">
        <v>114</v>
      </c>
      <c r="G304" s="193" t="s">
        <v>1753</v>
      </c>
      <c r="H304" s="81" t="s">
        <v>918</v>
      </c>
      <c r="I304" s="190" t="s">
        <v>2085</v>
      </c>
      <c r="J304" s="184"/>
      <c r="K304" s="183"/>
      <c r="L304" s="183"/>
      <c r="M304" s="183"/>
    </row>
    <row r="305" spans="1:13" ht="15.75">
      <c r="A305" s="79">
        <f t="shared" si="4"/>
        <v>83</v>
      </c>
      <c r="B305" s="187">
        <v>303</v>
      </c>
      <c r="C305" s="186" t="s">
        <v>1002</v>
      </c>
      <c r="D305" s="187">
        <v>118581</v>
      </c>
      <c r="E305" s="190" t="s">
        <v>691</v>
      </c>
      <c r="F305" s="191" t="s">
        <v>60</v>
      </c>
      <c r="G305" s="193" t="s">
        <v>1754</v>
      </c>
      <c r="H305" s="81" t="s">
        <v>918</v>
      </c>
      <c r="I305" s="190" t="s">
        <v>2085</v>
      </c>
      <c r="J305" s="183"/>
      <c r="K305" s="183"/>
      <c r="L305" s="183"/>
      <c r="M305" s="183"/>
    </row>
    <row r="306" spans="1:13" ht="15.75">
      <c r="A306" s="79">
        <f t="shared" si="4"/>
        <v>151</v>
      </c>
      <c r="B306" s="187">
        <v>304</v>
      </c>
      <c r="C306" s="186" t="s">
        <v>1070</v>
      </c>
      <c r="D306" s="187">
        <v>118598</v>
      </c>
      <c r="E306" s="190" t="s">
        <v>692</v>
      </c>
      <c r="F306" s="191" t="s">
        <v>60</v>
      </c>
      <c r="G306" s="193" t="s">
        <v>382</v>
      </c>
      <c r="H306" s="81" t="s">
        <v>918</v>
      </c>
      <c r="I306" s="190" t="s">
        <v>2088</v>
      </c>
      <c r="J306" s="183"/>
      <c r="K306" s="183"/>
      <c r="L306" s="183"/>
      <c r="M306" s="183"/>
    </row>
    <row r="307" spans="1:13" ht="30">
      <c r="A307" s="79">
        <f t="shared" si="4"/>
        <v>106</v>
      </c>
      <c r="B307" s="187">
        <v>305</v>
      </c>
      <c r="C307" s="186" t="s">
        <v>1025</v>
      </c>
      <c r="D307" s="187">
        <v>118688</v>
      </c>
      <c r="E307" s="190" t="s">
        <v>693</v>
      </c>
      <c r="F307" s="191" t="s">
        <v>114</v>
      </c>
      <c r="G307" s="193" t="s">
        <v>1766</v>
      </c>
      <c r="H307" s="81" t="s">
        <v>918</v>
      </c>
      <c r="I307" s="190" t="s">
        <v>2086</v>
      </c>
      <c r="J307" s="183"/>
      <c r="K307" s="183"/>
      <c r="L307" s="183"/>
      <c r="M307" s="183"/>
    </row>
    <row r="308" spans="1:13" ht="15.75">
      <c r="A308" s="79">
        <f t="shared" si="4"/>
        <v>269</v>
      </c>
      <c r="B308" s="187">
        <v>306</v>
      </c>
      <c r="C308" s="186" t="s">
        <v>1188</v>
      </c>
      <c r="D308" s="187">
        <v>118792</v>
      </c>
      <c r="E308" s="190" t="s">
        <v>694</v>
      </c>
      <c r="F308" s="191" t="s">
        <v>114</v>
      </c>
      <c r="G308" s="193" t="s">
        <v>1858</v>
      </c>
      <c r="H308" s="81" t="s">
        <v>918</v>
      </c>
      <c r="I308" s="190" t="s">
        <v>2093</v>
      </c>
      <c r="J308" s="183"/>
      <c r="K308" s="183"/>
      <c r="L308" s="183"/>
      <c r="M308" s="183"/>
    </row>
    <row r="309" spans="1:13" ht="15.75">
      <c r="A309" s="79">
        <f t="shared" si="4"/>
        <v>270</v>
      </c>
      <c r="B309" s="187">
        <v>307</v>
      </c>
      <c r="C309" s="186" t="s">
        <v>1189</v>
      </c>
      <c r="D309" s="187">
        <v>118806</v>
      </c>
      <c r="E309" s="190" t="s">
        <v>695</v>
      </c>
      <c r="F309" s="191" t="s">
        <v>60</v>
      </c>
      <c r="G309" s="193" t="s">
        <v>1859</v>
      </c>
      <c r="H309" s="81" t="s">
        <v>918</v>
      </c>
      <c r="I309" s="190" t="s">
        <v>2093</v>
      </c>
      <c r="J309" s="183"/>
      <c r="K309" s="183"/>
      <c r="L309" s="183"/>
      <c r="M309" s="183"/>
    </row>
    <row r="310" spans="1:13" ht="15.75">
      <c r="A310" s="79">
        <f t="shared" si="4"/>
        <v>271</v>
      </c>
      <c r="B310" s="187">
        <v>308</v>
      </c>
      <c r="C310" s="186" t="s">
        <v>1190</v>
      </c>
      <c r="D310" s="187">
        <v>118844</v>
      </c>
      <c r="E310" s="190" t="s">
        <v>696</v>
      </c>
      <c r="F310" s="191" t="s">
        <v>60</v>
      </c>
      <c r="G310" s="193" t="s">
        <v>1860</v>
      </c>
      <c r="H310" s="81" t="s">
        <v>918</v>
      </c>
      <c r="I310" s="190" t="s">
        <v>2093</v>
      </c>
      <c r="J310" s="183"/>
      <c r="K310" s="183"/>
      <c r="L310" s="183"/>
      <c r="M310" s="183"/>
    </row>
    <row r="311" spans="1:13" ht="30">
      <c r="A311" s="79">
        <f t="shared" si="4"/>
        <v>107</v>
      </c>
      <c r="B311" s="187">
        <v>309</v>
      </c>
      <c r="C311" s="186" t="s">
        <v>1026</v>
      </c>
      <c r="D311" s="187">
        <v>118910</v>
      </c>
      <c r="E311" s="190" t="s">
        <v>697</v>
      </c>
      <c r="F311" s="191" t="s">
        <v>114</v>
      </c>
      <c r="G311" s="193" t="s">
        <v>1767</v>
      </c>
      <c r="H311" s="81" t="s">
        <v>918</v>
      </c>
      <c r="I311" s="190" t="s">
        <v>2086</v>
      </c>
      <c r="J311" s="183"/>
      <c r="K311" s="183"/>
      <c r="L311" s="183"/>
      <c r="M311" s="183"/>
    </row>
    <row r="312" spans="1:13" ht="15.75">
      <c r="A312" s="79">
        <f t="shared" si="4"/>
        <v>520</v>
      </c>
      <c r="B312" s="187">
        <v>310</v>
      </c>
      <c r="C312" s="186" t="s">
        <v>1439</v>
      </c>
      <c r="D312" s="187">
        <v>118965</v>
      </c>
      <c r="E312" s="190" t="s">
        <v>698</v>
      </c>
      <c r="F312" s="191" t="s">
        <v>60</v>
      </c>
      <c r="G312" s="193" t="s">
        <v>364</v>
      </c>
      <c r="H312" s="81" t="s">
        <v>918</v>
      </c>
      <c r="I312" s="190" t="s">
        <v>2095</v>
      </c>
      <c r="J312" s="184"/>
      <c r="K312" s="183"/>
      <c r="L312" s="183"/>
      <c r="M312" s="183"/>
    </row>
    <row r="313" spans="1:13" ht="15.75">
      <c r="A313" s="79">
        <f t="shared" si="4"/>
        <v>521</v>
      </c>
      <c r="B313" s="187">
        <v>311</v>
      </c>
      <c r="C313" s="186" t="s">
        <v>1440</v>
      </c>
      <c r="D313" s="187">
        <v>118989</v>
      </c>
      <c r="E313" s="190" t="s">
        <v>699</v>
      </c>
      <c r="F313" s="191" t="s">
        <v>114</v>
      </c>
      <c r="G313" s="193" t="s">
        <v>262</v>
      </c>
      <c r="H313" s="81" t="s">
        <v>918</v>
      </c>
      <c r="I313" s="190" t="s">
        <v>2095</v>
      </c>
      <c r="J313" s="183"/>
      <c r="K313" s="183"/>
      <c r="L313" s="183"/>
      <c r="M313" s="183"/>
    </row>
    <row r="314" spans="1:13" ht="30">
      <c r="A314" s="79">
        <f t="shared" si="4"/>
        <v>192</v>
      </c>
      <c r="B314" s="187">
        <v>312</v>
      </c>
      <c r="C314" s="186" t="s">
        <v>1111</v>
      </c>
      <c r="D314" s="187">
        <v>119014</v>
      </c>
      <c r="E314" s="190" t="s">
        <v>700</v>
      </c>
      <c r="F314" s="191" t="s">
        <v>114</v>
      </c>
      <c r="G314" s="193" t="s">
        <v>204</v>
      </c>
      <c r="H314" s="81" t="s">
        <v>918</v>
      </c>
      <c r="I314" s="190" t="s">
        <v>2092</v>
      </c>
      <c r="J314" s="183"/>
      <c r="K314" s="183"/>
      <c r="L314" s="183"/>
      <c r="M314" s="183"/>
    </row>
    <row r="315" spans="1:13" ht="15.75">
      <c r="A315" s="79">
        <f t="shared" si="4"/>
        <v>272</v>
      </c>
      <c r="B315" s="187">
        <v>313</v>
      </c>
      <c r="C315" s="186" t="s">
        <v>1191</v>
      </c>
      <c r="D315" s="187">
        <v>119069</v>
      </c>
      <c r="E315" s="190" t="s">
        <v>701</v>
      </c>
      <c r="F315" s="191" t="s">
        <v>60</v>
      </c>
      <c r="G315" s="193" t="s">
        <v>1861</v>
      </c>
      <c r="H315" s="81" t="s">
        <v>918</v>
      </c>
      <c r="I315" s="190" t="s">
        <v>2093</v>
      </c>
      <c r="J315" s="183"/>
      <c r="K315" s="183"/>
      <c r="L315" s="183"/>
      <c r="M315" s="183"/>
    </row>
    <row r="316" spans="1:13" ht="15.75">
      <c r="A316" s="79">
        <f t="shared" si="4"/>
        <v>522</v>
      </c>
      <c r="B316" s="187">
        <v>314</v>
      </c>
      <c r="C316" s="186" t="s">
        <v>1441</v>
      </c>
      <c r="D316" s="187">
        <v>119104</v>
      </c>
      <c r="E316" s="190" t="s">
        <v>702</v>
      </c>
      <c r="F316" s="191" t="s">
        <v>114</v>
      </c>
      <c r="G316" s="193" t="s">
        <v>340</v>
      </c>
      <c r="H316" s="81" t="s">
        <v>918</v>
      </c>
      <c r="I316" s="190" t="s">
        <v>2095</v>
      </c>
      <c r="J316" s="183"/>
      <c r="K316" s="183"/>
      <c r="L316" s="183"/>
      <c r="M316" s="183"/>
    </row>
    <row r="317" spans="1:13" ht="15.75">
      <c r="A317" s="79">
        <f t="shared" si="4"/>
        <v>523</v>
      </c>
      <c r="B317" s="187">
        <v>315</v>
      </c>
      <c r="C317" s="186" t="s">
        <v>1442</v>
      </c>
      <c r="D317" s="187">
        <v>119249</v>
      </c>
      <c r="E317" s="190" t="s">
        <v>703</v>
      </c>
      <c r="F317" s="191" t="s">
        <v>114</v>
      </c>
      <c r="G317" s="193" t="s">
        <v>1992</v>
      </c>
      <c r="H317" s="81" t="s">
        <v>918</v>
      </c>
      <c r="I317" s="190" t="s">
        <v>2095</v>
      </c>
      <c r="J317" s="184"/>
      <c r="K317" s="183"/>
      <c r="L317" s="183"/>
      <c r="M317" s="183"/>
    </row>
    <row r="318" spans="1:13" ht="15.75">
      <c r="A318" s="79">
        <f t="shared" si="4"/>
        <v>524</v>
      </c>
      <c r="B318" s="187">
        <v>316</v>
      </c>
      <c r="C318" s="186" t="s">
        <v>1443</v>
      </c>
      <c r="D318" s="187">
        <v>119287</v>
      </c>
      <c r="E318" s="190" t="s">
        <v>1669</v>
      </c>
      <c r="F318" s="191" t="s">
        <v>60</v>
      </c>
      <c r="G318" s="193" t="s">
        <v>229</v>
      </c>
      <c r="H318" s="81" t="s">
        <v>918</v>
      </c>
      <c r="I318" s="190" t="s">
        <v>2095</v>
      </c>
      <c r="J318" s="183"/>
      <c r="K318" s="183"/>
      <c r="L318" s="183"/>
      <c r="M318" s="183"/>
    </row>
    <row r="319" spans="1:13" ht="30">
      <c r="A319" s="79">
        <f t="shared" si="4"/>
        <v>628</v>
      </c>
      <c r="B319" s="187">
        <v>317</v>
      </c>
      <c r="C319" s="186" t="s">
        <v>1547</v>
      </c>
      <c r="D319" s="187">
        <v>119294</v>
      </c>
      <c r="E319" s="190" t="s">
        <v>704</v>
      </c>
      <c r="F319" s="191" t="s">
        <v>60</v>
      </c>
      <c r="G319" s="193" t="s">
        <v>317</v>
      </c>
      <c r="H319" s="81" t="s">
        <v>918</v>
      </c>
      <c r="I319" s="190" t="s">
        <v>2096</v>
      </c>
      <c r="J319" s="183"/>
      <c r="K319" s="183"/>
      <c r="L319" s="183"/>
      <c r="M319" s="183"/>
    </row>
    <row r="320" spans="1:13" ht="30">
      <c r="A320" s="79">
        <f t="shared" si="4"/>
        <v>629</v>
      </c>
      <c r="B320" s="187">
        <v>318</v>
      </c>
      <c r="C320" s="186" t="s">
        <v>1548</v>
      </c>
      <c r="D320" s="187">
        <v>119315</v>
      </c>
      <c r="E320" s="190" t="s">
        <v>1689</v>
      </c>
      <c r="F320" s="191" t="s">
        <v>114</v>
      </c>
      <c r="G320" s="193" t="s">
        <v>2063</v>
      </c>
      <c r="H320" s="81" t="s">
        <v>918</v>
      </c>
      <c r="I320" s="190" t="s">
        <v>2096</v>
      </c>
      <c r="J320" s="183"/>
      <c r="K320" s="183"/>
      <c r="L320" s="183"/>
      <c r="M320" s="183"/>
    </row>
    <row r="321" spans="1:13" ht="15.75">
      <c r="A321" s="79">
        <f t="shared" si="4"/>
        <v>273</v>
      </c>
      <c r="B321" s="187">
        <v>319</v>
      </c>
      <c r="C321" s="186" t="s">
        <v>1192</v>
      </c>
      <c r="D321" s="187">
        <v>119339</v>
      </c>
      <c r="E321" s="190" t="s">
        <v>705</v>
      </c>
      <c r="F321" s="191" t="s">
        <v>114</v>
      </c>
      <c r="G321" s="193" t="s">
        <v>1862</v>
      </c>
      <c r="H321" s="81" t="s">
        <v>918</v>
      </c>
      <c r="I321" s="190" t="s">
        <v>2093</v>
      </c>
      <c r="J321" s="183"/>
      <c r="K321" s="183"/>
      <c r="L321" s="183"/>
      <c r="M321" s="183"/>
    </row>
    <row r="322" spans="1:13" ht="15.75">
      <c r="A322" s="79">
        <f t="shared" si="4"/>
        <v>21</v>
      </c>
      <c r="B322" s="187">
        <v>320</v>
      </c>
      <c r="C322" s="186" t="s">
        <v>940</v>
      </c>
      <c r="D322" s="187">
        <v>119391</v>
      </c>
      <c r="E322" s="190" t="s">
        <v>706</v>
      </c>
      <c r="F322" s="191" t="s">
        <v>60</v>
      </c>
      <c r="G322" s="193" t="s">
        <v>1706</v>
      </c>
      <c r="H322" s="81" t="s">
        <v>918</v>
      </c>
      <c r="I322" s="190" t="s">
        <v>2080</v>
      </c>
      <c r="J322" s="183"/>
      <c r="K322" s="183"/>
      <c r="L322" s="183"/>
      <c r="M322" s="183"/>
    </row>
    <row r="323" spans="1:13" ht="15.75">
      <c r="A323" s="79">
        <f t="shared" ref="A323:A386" si="5">IFERROR(VALUE(RIGHT(C323,4)),"")</f>
        <v>525</v>
      </c>
      <c r="B323" s="187">
        <v>321</v>
      </c>
      <c r="C323" s="186" t="s">
        <v>1444</v>
      </c>
      <c r="D323" s="187">
        <v>119467</v>
      </c>
      <c r="E323" s="190" t="s">
        <v>707</v>
      </c>
      <c r="F323" s="191" t="s">
        <v>60</v>
      </c>
      <c r="G323" s="193" t="s">
        <v>1993</v>
      </c>
      <c r="H323" s="81" t="s">
        <v>918</v>
      </c>
      <c r="I323" s="190" t="s">
        <v>2095</v>
      </c>
      <c r="J323" s="184"/>
      <c r="K323" s="183"/>
      <c r="L323" s="183"/>
      <c r="M323" s="183"/>
    </row>
    <row r="324" spans="1:13" ht="15.75">
      <c r="A324" s="79">
        <f t="shared" si="5"/>
        <v>526</v>
      </c>
      <c r="B324" s="187">
        <v>322</v>
      </c>
      <c r="C324" s="186" t="s">
        <v>1445</v>
      </c>
      <c r="D324" s="187">
        <v>119661</v>
      </c>
      <c r="E324" s="190" t="s">
        <v>708</v>
      </c>
      <c r="F324" s="191" t="s">
        <v>60</v>
      </c>
      <c r="G324" s="193" t="s">
        <v>1994</v>
      </c>
      <c r="H324" s="81" t="s">
        <v>918</v>
      </c>
      <c r="I324" s="190" t="s">
        <v>2095</v>
      </c>
      <c r="J324" s="183"/>
      <c r="K324" s="183"/>
      <c r="L324" s="183"/>
      <c r="M324" s="183"/>
    </row>
    <row r="325" spans="1:13" ht="15.75">
      <c r="A325" s="79">
        <f t="shared" si="5"/>
        <v>527</v>
      </c>
      <c r="B325" s="187">
        <v>323</v>
      </c>
      <c r="C325" s="186" t="s">
        <v>1446</v>
      </c>
      <c r="D325" s="187">
        <v>119713</v>
      </c>
      <c r="E325" s="190" t="s">
        <v>709</v>
      </c>
      <c r="F325" s="191" t="s">
        <v>114</v>
      </c>
      <c r="G325" s="193" t="s">
        <v>257</v>
      </c>
      <c r="H325" s="81" t="s">
        <v>918</v>
      </c>
      <c r="I325" s="190" t="s">
        <v>2095</v>
      </c>
      <c r="J325" s="183"/>
      <c r="K325" s="183"/>
      <c r="L325" s="183"/>
      <c r="M325" s="183"/>
    </row>
    <row r="326" spans="1:13" ht="15.75">
      <c r="A326" s="79">
        <f t="shared" si="5"/>
        <v>397</v>
      </c>
      <c r="B326" s="187">
        <v>324</v>
      </c>
      <c r="C326" s="186" t="s">
        <v>1316</v>
      </c>
      <c r="D326" s="187">
        <v>119744</v>
      </c>
      <c r="E326" s="190" t="s">
        <v>710</v>
      </c>
      <c r="F326" s="191" t="s">
        <v>114</v>
      </c>
      <c r="G326" s="193" t="s">
        <v>226</v>
      </c>
      <c r="H326" s="81" t="s">
        <v>918</v>
      </c>
      <c r="I326" s="190" t="s">
        <v>2094</v>
      </c>
      <c r="J326" s="183"/>
      <c r="K326" s="183"/>
      <c r="L326" s="183"/>
      <c r="M326" s="183"/>
    </row>
    <row r="327" spans="1:13" ht="15.75">
      <c r="A327" s="79">
        <f t="shared" si="5"/>
        <v>528</v>
      </c>
      <c r="B327" s="187">
        <v>325</v>
      </c>
      <c r="C327" s="186" t="s">
        <v>1447</v>
      </c>
      <c r="D327" s="187">
        <v>119751</v>
      </c>
      <c r="E327" s="190" t="s">
        <v>711</v>
      </c>
      <c r="F327" s="191" t="s">
        <v>114</v>
      </c>
      <c r="G327" s="193" t="s">
        <v>1995</v>
      </c>
      <c r="H327" s="81" t="s">
        <v>918</v>
      </c>
      <c r="I327" s="190" t="s">
        <v>2095</v>
      </c>
      <c r="J327" s="183"/>
      <c r="K327" s="183"/>
      <c r="L327" s="183"/>
      <c r="M327" s="183"/>
    </row>
    <row r="328" spans="1:13" ht="30">
      <c r="A328" s="79">
        <f t="shared" si="5"/>
        <v>193</v>
      </c>
      <c r="B328" s="187">
        <v>326</v>
      </c>
      <c r="C328" s="186" t="s">
        <v>1112</v>
      </c>
      <c r="D328" s="187">
        <v>119782</v>
      </c>
      <c r="E328" s="190" t="s">
        <v>712</v>
      </c>
      <c r="F328" s="191" t="s">
        <v>114</v>
      </c>
      <c r="G328" s="193" t="s">
        <v>1825</v>
      </c>
      <c r="H328" s="81" t="s">
        <v>918</v>
      </c>
      <c r="I328" s="190" t="s">
        <v>2092</v>
      </c>
      <c r="J328" s="183"/>
      <c r="K328" s="183"/>
      <c r="L328" s="183"/>
      <c r="M328" s="183"/>
    </row>
    <row r="329" spans="1:13" ht="15.75">
      <c r="A329" s="79">
        <f t="shared" si="5"/>
        <v>274</v>
      </c>
      <c r="B329" s="187">
        <v>327</v>
      </c>
      <c r="C329" s="186" t="s">
        <v>1193</v>
      </c>
      <c r="D329" s="187">
        <v>119810</v>
      </c>
      <c r="E329" s="190" t="s">
        <v>713</v>
      </c>
      <c r="F329" s="191" t="s">
        <v>114</v>
      </c>
      <c r="G329" s="193" t="s">
        <v>242</v>
      </c>
      <c r="H329" s="81" t="s">
        <v>918</v>
      </c>
      <c r="I329" s="190" t="s">
        <v>2093</v>
      </c>
      <c r="J329" s="184"/>
      <c r="K329" s="183"/>
      <c r="L329" s="183"/>
      <c r="M329" s="183"/>
    </row>
    <row r="330" spans="1:13" ht="15.75">
      <c r="A330" s="79">
        <f t="shared" si="5"/>
        <v>275</v>
      </c>
      <c r="B330" s="187">
        <v>328</v>
      </c>
      <c r="C330" s="186" t="s">
        <v>1194</v>
      </c>
      <c r="D330" s="187">
        <v>119827</v>
      </c>
      <c r="E330" s="190" t="s">
        <v>714</v>
      </c>
      <c r="F330" s="191" t="s">
        <v>114</v>
      </c>
      <c r="G330" s="193" t="s">
        <v>298</v>
      </c>
      <c r="H330" s="81" t="s">
        <v>918</v>
      </c>
      <c r="I330" s="190" t="s">
        <v>2093</v>
      </c>
      <c r="J330" s="184"/>
      <c r="K330" s="183"/>
      <c r="L330" s="183"/>
      <c r="M330" s="183"/>
    </row>
    <row r="331" spans="1:13" ht="30">
      <c r="A331" s="79">
        <f t="shared" si="5"/>
        <v>159</v>
      </c>
      <c r="B331" s="187">
        <v>329</v>
      </c>
      <c r="C331" s="186" t="s">
        <v>1078</v>
      </c>
      <c r="D331" s="187">
        <v>119865</v>
      </c>
      <c r="E331" s="190" t="s">
        <v>715</v>
      </c>
      <c r="F331" s="191" t="s">
        <v>114</v>
      </c>
      <c r="G331" s="193" t="s">
        <v>1802</v>
      </c>
      <c r="H331" s="81" t="s">
        <v>918</v>
      </c>
      <c r="I331" s="190" t="s">
        <v>2089</v>
      </c>
      <c r="J331" s="183"/>
      <c r="K331" s="183"/>
      <c r="L331" s="183"/>
      <c r="M331" s="183"/>
    </row>
    <row r="332" spans="1:13" ht="15.75">
      <c r="A332" s="79">
        <f t="shared" si="5"/>
        <v>529</v>
      </c>
      <c r="B332" s="187">
        <v>330</v>
      </c>
      <c r="C332" s="186" t="s">
        <v>1448</v>
      </c>
      <c r="D332" s="187">
        <v>119917</v>
      </c>
      <c r="E332" s="190" t="s">
        <v>716</v>
      </c>
      <c r="F332" s="191" t="s">
        <v>60</v>
      </c>
      <c r="G332" s="193" t="s">
        <v>1996</v>
      </c>
      <c r="H332" s="81" t="s">
        <v>918</v>
      </c>
      <c r="I332" s="190" t="s">
        <v>2095</v>
      </c>
      <c r="J332" s="184"/>
      <c r="K332" s="183"/>
      <c r="L332" s="183"/>
      <c r="M332" s="183"/>
    </row>
    <row r="333" spans="1:13" ht="15.75">
      <c r="A333" s="79">
        <f t="shared" si="5"/>
        <v>276</v>
      </c>
      <c r="B333" s="187">
        <v>331</v>
      </c>
      <c r="C333" s="186" t="s">
        <v>1195</v>
      </c>
      <c r="D333" s="187">
        <v>119993</v>
      </c>
      <c r="E333" s="190" t="s">
        <v>717</v>
      </c>
      <c r="F333" s="191" t="s">
        <v>114</v>
      </c>
      <c r="G333" s="193" t="s">
        <v>1863</v>
      </c>
      <c r="H333" s="81" t="s">
        <v>918</v>
      </c>
      <c r="I333" s="190" t="s">
        <v>2093</v>
      </c>
      <c r="J333" s="183"/>
      <c r="K333" s="183"/>
      <c r="L333" s="183"/>
      <c r="M333" s="183"/>
    </row>
    <row r="334" spans="1:13" ht="15.75">
      <c r="A334" s="79">
        <f t="shared" si="5"/>
        <v>277</v>
      </c>
      <c r="B334" s="187">
        <v>332</v>
      </c>
      <c r="C334" s="186" t="s">
        <v>1196</v>
      </c>
      <c r="D334" s="187">
        <v>120025</v>
      </c>
      <c r="E334" s="190" t="s">
        <v>718</v>
      </c>
      <c r="F334" s="191" t="s">
        <v>60</v>
      </c>
      <c r="G334" s="193" t="s">
        <v>324</v>
      </c>
      <c r="H334" s="81" t="s">
        <v>918</v>
      </c>
      <c r="I334" s="190" t="s">
        <v>2093</v>
      </c>
      <c r="J334" s="184"/>
      <c r="K334" s="183"/>
      <c r="L334" s="183"/>
      <c r="M334" s="183"/>
    </row>
    <row r="335" spans="1:13" ht="15.75">
      <c r="A335" s="79">
        <f t="shared" si="5"/>
        <v>530</v>
      </c>
      <c r="B335" s="187">
        <v>333</v>
      </c>
      <c r="C335" s="186" t="s">
        <v>1449</v>
      </c>
      <c r="D335" s="187">
        <v>120049</v>
      </c>
      <c r="E335" s="190" t="s">
        <v>719</v>
      </c>
      <c r="F335" s="191" t="s">
        <v>114</v>
      </c>
      <c r="G335" s="193" t="s">
        <v>1997</v>
      </c>
      <c r="H335" s="81" t="s">
        <v>918</v>
      </c>
      <c r="I335" s="190" t="s">
        <v>2095</v>
      </c>
      <c r="J335" s="183"/>
      <c r="K335" s="183"/>
      <c r="L335" s="183"/>
      <c r="M335" s="183"/>
    </row>
    <row r="336" spans="1:13" ht="15.75">
      <c r="A336" s="79">
        <f t="shared" si="5"/>
        <v>22</v>
      </c>
      <c r="B336" s="187">
        <v>334</v>
      </c>
      <c r="C336" s="186" t="s">
        <v>941</v>
      </c>
      <c r="D336" s="187">
        <v>120087</v>
      </c>
      <c r="E336" s="190" t="s">
        <v>720</v>
      </c>
      <c r="F336" s="191" t="s">
        <v>60</v>
      </c>
      <c r="G336" s="193" t="s">
        <v>281</v>
      </c>
      <c r="H336" s="81" t="s">
        <v>918</v>
      </c>
      <c r="I336" s="190" t="s">
        <v>2080</v>
      </c>
      <c r="J336" s="183"/>
      <c r="K336" s="183"/>
      <c r="L336" s="183"/>
      <c r="M336" s="183"/>
    </row>
    <row r="337" spans="1:13" ht="15.75">
      <c r="A337" s="79">
        <f t="shared" si="5"/>
        <v>531</v>
      </c>
      <c r="B337" s="187">
        <v>335</v>
      </c>
      <c r="C337" s="186" t="s">
        <v>1450</v>
      </c>
      <c r="D337" s="187">
        <v>120153</v>
      </c>
      <c r="E337" s="190" t="s">
        <v>721</v>
      </c>
      <c r="F337" s="191" t="s">
        <v>114</v>
      </c>
      <c r="G337" s="193" t="s">
        <v>1998</v>
      </c>
      <c r="H337" s="81" t="s">
        <v>918</v>
      </c>
      <c r="I337" s="190" t="s">
        <v>2095</v>
      </c>
      <c r="J337" s="184"/>
      <c r="K337" s="183"/>
      <c r="L337" s="183"/>
      <c r="M337" s="183"/>
    </row>
    <row r="338" spans="1:13" ht="15.75">
      <c r="A338" s="79">
        <f t="shared" si="5"/>
        <v>398</v>
      </c>
      <c r="B338" s="187">
        <v>336</v>
      </c>
      <c r="C338" s="186" t="s">
        <v>1317</v>
      </c>
      <c r="D338" s="187">
        <v>120184</v>
      </c>
      <c r="E338" s="190" t="s">
        <v>722</v>
      </c>
      <c r="F338" s="191" t="s">
        <v>60</v>
      </c>
      <c r="G338" s="193" t="s">
        <v>207</v>
      </c>
      <c r="H338" s="81" t="s">
        <v>918</v>
      </c>
      <c r="I338" s="190" t="s">
        <v>2094</v>
      </c>
      <c r="J338" s="183"/>
      <c r="K338" s="183"/>
      <c r="L338" s="183"/>
      <c r="M338" s="183"/>
    </row>
    <row r="339" spans="1:13" ht="15.75">
      <c r="A339" s="79">
        <f t="shared" si="5"/>
        <v>399</v>
      </c>
      <c r="B339" s="187">
        <v>337</v>
      </c>
      <c r="C339" s="186" t="s">
        <v>1318</v>
      </c>
      <c r="D339" s="187">
        <v>120229</v>
      </c>
      <c r="E339" s="190" t="s">
        <v>723</v>
      </c>
      <c r="F339" s="191" t="s">
        <v>60</v>
      </c>
      <c r="G339" s="193" t="s">
        <v>237</v>
      </c>
      <c r="H339" s="81" t="s">
        <v>918</v>
      </c>
      <c r="I339" s="190" t="s">
        <v>2094</v>
      </c>
      <c r="J339" s="184"/>
      <c r="K339" s="183"/>
      <c r="L339" s="183"/>
      <c r="M339" s="183"/>
    </row>
    <row r="340" spans="1:13" ht="15.75">
      <c r="A340" s="79">
        <f t="shared" si="5"/>
        <v>400</v>
      </c>
      <c r="B340" s="187">
        <v>338</v>
      </c>
      <c r="C340" s="186" t="s">
        <v>1319</v>
      </c>
      <c r="D340" s="187">
        <v>120236</v>
      </c>
      <c r="E340" s="190" t="s">
        <v>455</v>
      </c>
      <c r="F340" s="191" t="s">
        <v>114</v>
      </c>
      <c r="G340" s="193" t="s">
        <v>1925</v>
      </c>
      <c r="H340" s="81" t="s">
        <v>918</v>
      </c>
      <c r="I340" s="190" t="s">
        <v>2094</v>
      </c>
      <c r="J340" s="184"/>
      <c r="K340" s="183"/>
      <c r="L340" s="183"/>
      <c r="M340" s="183"/>
    </row>
    <row r="341" spans="1:13" ht="15.75">
      <c r="A341" s="79">
        <f t="shared" si="5"/>
        <v>532</v>
      </c>
      <c r="B341" s="187">
        <v>339</v>
      </c>
      <c r="C341" s="186" t="s">
        <v>1451</v>
      </c>
      <c r="D341" s="187">
        <v>120267</v>
      </c>
      <c r="E341" s="190" t="s">
        <v>724</v>
      </c>
      <c r="F341" s="191" t="s">
        <v>60</v>
      </c>
      <c r="G341" s="193" t="s">
        <v>1999</v>
      </c>
      <c r="H341" s="81" t="s">
        <v>918</v>
      </c>
      <c r="I341" s="190" t="s">
        <v>2095</v>
      </c>
      <c r="J341" s="184"/>
      <c r="K341" s="183"/>
      <c r="L341" s="183"/>
      <c r="M341" s="183"/>
    </row>
    <row r="342" spans="1:13" ht="15.75">
      <c r="A342" s="79">
        <f t="shared" si="5"/>
        <v>533</v>
      </c>
      <c r="B342" s="187">
        <v>340</v>
      </c>
      <c r="C342" s="186" t="s">
        <v>1452</v>
      </c>
      <c r="D342" s="187">
        <v>120281</v>
      </c>
      <c r="E342" s="190" t="s">
        <v>725</v>
      </c>
      <c r="F342" s="191" t="s">
        <v>114</v>
      </c>
      <c r="G342" s="193" t="s">
        <v>175</v>
      </c>
      <c r="H342" s="81" t="s">
        <v>918</v>
      </c>
      <c r="I342" s="190" t="s">
        <v>2095</v>
      </c>
      <c r="J342" s="183"/>
      <c r="K342" s="183"/>
      <c r="L342" s="183"/>
      <c r="M342" s="183"/>
    </row>
    <row r="343" spans="1:13" ht="15.75">
      <c r="A343" s="79">
        <f t="shared" si="5"/>
        <v>534</v>
      </c>
      <c r="B343" s="187">
        <v>341</v>
      </c>
      <c r="C343" s="186" t="s">
        <v>1453</v>
      </c>
      <c r="D343" s="187">
        <v>120298</v>
      </c>
      <c r="E343" s="190" t="s">
        <v>726</v>
      </c>
      <c r="F343" s="191" t="s">
        <v>114</v>
      </c>
      <c r="G343" s="193" t="s">
        <v>302</v>
      </c>
      <c r="H343" s="81" t="s">
        <v>918</v>
      </c>
      <c r="I343" s="190" t="s">
        <v>2095</v>
      </c>
      <c r="J343" s="183"/>
      <c r="K343" s="183"/>
      <c r="L343" s="183"/>
      <c r="M343" s="183"/>
    </row>
    <row r="344" spans="1:13" ht="15.75">
      <c r="A344" s="79">
        <f t="shared" si="5"/>
        <v>535</v>
      </c>
      <c r="B344" s="187">
        <v>342</v>
      </c>
      <c r="C344" s="186" t="s">
        <v>1454</v>
      </c>
      <c r="D344" s="187">
        <v>120319</v>
      </c>
      <c r="E344" s="190" t="s">
        <v>727</v>
      </c>
      <c r="F344" s="191" t="s">
        <v>114</v>
      </c>
      <c r="G344" s="193" t="s">
        <v>2000</v>
      </c>
      <c r="H344" s="81" t="s">
        <v>918</v>
      </c>
      <c r="I344" s="190" t="s">
        <v>2095</v>
      </c>
      <c r="J344" s="183"/>
      <c r="K344" s="183"/>
      <c r="L344" s="183"/>
      <c r="M344" s="183"/>
    </row>
    <row r="345" spans="1:13" ht="15.75">
      <c r="A345" s="79">
        <f t="shared" si="5"/>
        <v>152</v>
      </c>
      <c r="B345" s="187">
        <v>343</v>
      </c>
      <c r="C345" s="186" t="s">
        <v>1071</v>
      </c>
      <c r="D345" s="187">
        <v>120416</v>
      </c>
      <c r="E345" s="190" t="s">
        <v>728</v>
      </c>
      <c r="F345" s="191" t="s">
        <v>60</v>
      </c>
      <c r="G345" s="193" t="s">
        <v>1797</v>
      </c>
      <c r="H345" s="81" t="s">
        <v>918</v>
      </c>
      <c r="I345" s="190" t="s">
        <v>2088</v>
      </c>
      <c r="J345" s="183"/>
      <c r="K345" s="183"/>
      <c r="L345" s="183"/>
      <c r="M345" s="183"/>
    </row>
    <row r="346" spans="1:13" ht="15.75">
      <c r="A346" s="79">
        <f t="shared" si="5"/>
        <v>40</v>
      </c>
      <c r="B346" s="187">
        <v>344</v>
      </c>
      <c r="C346" s="186" t="s">
        <v>959</v>
      </c>
      <c r="D346" s="187">
        <v>120423</v>
      </c>
      <c r="E346" s="190" t="s">
        <v>729</v>
      </c>
      <c r="F346" s="191" t="s">
        <v>114</v>
      </c>
      <c r="G346" s="193" t="s">
        <v>1723</v>
      </c>
      <c r="H346" s="81" t="s">
        <v>918</v>
      </c>
      <c r="I346" s="190" t="s">
        <v>2081</v>
      </c>
      <c r="J346" s="183"/>
      <c r="K346" s="183"/>
      <c r="L346" s="183"/>
      <c r="M346" s="183"/>
    </row>
    <row r="347" spans="1:13" ht="15.75">
      <c r="A347" s="79">
        <f t="shared" si="5"/>
        <v>278</v>
      </c>
      <c r="B347" s="187">
        <v>345</v>
      </c>
      <c r="C347" s="186" t="s">
        <v>1197</v>
      </c>
      <c r="D347" s="187">
        <v>120478</v>
      </c>
      <c r="E347" s="190" t="s">
        <v>730</v>
      </c>
      <c r="F347" s="191" t="s">
        <v>114</v>
      </c>
      <c r="G347" s="193" t="s">
        <v>197</v>
      </c>
      <c r="H347" s="81" t="s">
        <v>918</v>
      </c>
      <c r="I347" s="190" t="s">
        <v>2093</v>
      </c>
      <c r="J347" s="183"/>
      <c r="K347" s="183"/>
      <c r="L347" s="183"/>
      <c r="M347" s="183"/>
    </row>
    <row r="348" spans="1:13" ht="15.75">
      <c r="A348" s="79">
        <f t="shared" si="5"/>
        <v>279</v>
      </c>
      <c r="B348" s="187">
        <v>346</v>
      </c>
      <c r="C348" s="186" t="s">
        <v>1198</v>
      </c>
      <c r="D348" s="187">
        <v>120513</v>
      </c>
      <c r="E348" s="190" t="s">
        <v>445</v>
      </c>
      <c r="F348" s="191" t="s">
        <v>114</v>
      </c>
      <c r="G348" s="193" t="s">
        <v>283</v>
      </c>
      <c r="H348" s="81" t="s">
        <v>918</v>
      </c>
      <c r="I348" s="190" t="s">
        <v>2093</v>
      </c>
      <c r="J348" s="183"/>
      <c r="K348" s="183"/>
      <c r="L348" s="183"/>
      <c r="M348" s="183"/>
    </row>
    <row r="349" spans="1:13" ht="15.75">
      <c r="A349" s="79">
        <f t="shared" si="5"/>
        <v>401</v>
      </c>
      <c r="B349" s="187">
        <v>347</v>
      </c>
      <c r="C349" s="186" t="s">
        <v>1320</v>
      </c>
      <c r="D349" s="187">
        <v>120544</v>
      </c>
      <c r="E349" s="190" t="s">
        <v>731</v>
      </c>
      <c r="F349" s="191" t="s">
        <v>60</v>
      </c>
      <c r="G349" s="193" t="s">
        <v>278</v>
      </c>
      <c r="H349" s="81" t="s">
        <v>918</v>
      </c>
      <c r="I349" s="190" t="s">
        <v>2094</v>
      </c>
      <c r="J349" s="184"/>
      <c r="K349" s="183"/>
      <c r="L349" s="183"/>
      <c r="M349" s="183"/>
    </row>
    <row r="350" spans="1:13" ht="15.75">
      <c r="A350" s="79">
        <f t="shared" si="5"/>
        <v>536</v>
      </c>
      <c r="B350" s="187">
        <v>348</v>
      </c>
      <c r="C350" s="186" t="s">
        <v>1455</v>
      </c>
      <c r="D350" s="187">
        <v>120575</v>
      </c>
      <c r="E350" s="190" t="s">
        <v>732</v>
      </c>
      <c r="F350" s="191" t="s">
        <v>114</v>
      </c>
      <c r="G350" s="193" t="s">
        <v>206</v>
      </c>
      <c r="H350" s="81" t="s">
        <v>918</v>
      </c>
      <c r="I350" s="190" t="s">
        <v>2095</v>
      </c>
      <c r="J350" s="183"/>
      <c r="K350" s="183"/>
      <c r="L350" s="183"/>
      <c r="M350" s="183"/>
    </row>
    <row r="351" spans="1:13" ht="15.75">
      <c r="A351" s="79">
        <f t="shared" si="5"/>
        <v>537</v>
      </c>
      <c r="B351" s="187">
        <v>349</v>
      </c>
      <c r="C351" s="186" t="s">
        <v>1456</v>
      </c>
      <c r="D351" s="187">
        <v>120689</v>
      </c>
      <c r="E351" s="190" t="s">
        <v>733</v>
      </c>
      <c r="F351" s="191" t="s">
        <v>60</v>
      </c>
      <c r="G351" s="193" t="s">
        <v>2001</v>
      </c>
      <c r="H351" s="81" t="s">
        <v>918</v>
      </c>
      <c r="I351" s="190" t="s">
        <v>2095</v>
      </c>
      <c r="J351" s="183"/>
      <c r="K351" s="183"/>
      <c r="L351" s="183"/>
      <c r="M351" s="183"/>
    </row>
    <row r="352" spans="1:13" ht="30">
      <c r="A352" s="79">
        <f t="shared" si="5"/>
        <v>630</v>
      </c>
      <c r="B352" s="187">
        <v>350</v>
      </c>
      <c r="C352" s="186" t="s">
        <v>1549</v>
      </c>
      <c r="D352" s="187">
        <v>120731</v>
      </c>
      <c r="E352" s="190" t="s">
        <v>734</v>
      </c>
      <c r="F352" s="191" t="s">
        <v>60</v>
      </c>
      <c r="G352" s="193" t="s">
        <v>379</v>
      </c>
      <c r="H352" s="81" t="s">
        <v>918</v>
      </c>
      <c r="I352" s="190" t="s">
        <v>2096</v>
      </c>
      <c r="J352" s="183"/>
      <c r="K352" s="183"/>
      <c r="L352" s="183"/>
      <c r="M352" s="183"/>
    </row>
    <row r="353" spans="1:13" ht="30">
      <c r="A353" s="79">
        <f t="shared" si="5"/>
        <v>631</v>
      </c>
      <c r="B353" s="187">
        <v>351</v>
      </c>
      <c r="C353" s="186" t="s">
        <v>1550</v>
      </c>
      <c r="D353" s="187">
        <v>120748</v>
      </c>
      <c r="E353" s="190" t="s">
        <v>735</v>
      </c>
      <c r="F353" s="191" t="s">
        <v>60</v>
      </c>
      <c r="G353" s="193" t="s">
        <v>208</v>
      </c>
      <c r="H353" s="81" t="s">
        <v>918</v>
      </c>
      <c r="I353" s="190" t="s">
        <v>2096</v>
      </c>
      <c r="J353" s="183"/>
      <c r="K353" s="183"/>
      <c r="L353" s="183"/>
      <c r="M353" s="183"/>
    </row>
    <row r="354" spans="1:13" ht="15.75">
      <c r="A354" s="79">
        <f t="shared" si="5"/>
        <v>54</v>
      </c>
      <c r="B354" s="187">
        <v>352</v>
      </c>
      <c r="C354" s="186" t="s">
        <v>973</v>
      </c>
      <c r="D354" s="187">
        <v>120779</v>
      </c>
      <c r="E354" s="190" t="s">
        <v>736</v>
      </c>
      <c r="F354" s="191" t="s">
        <v>114</v>
      </c>
      <c r="G354" s="193" t="s">
        <v>1735</v>
      </c>
      <c r="H354" s="81" t="s">
        <v>918</v>
      </c>
      <c r="I354" s="190" t="s">
        <v>2082</v>
      </c>
      <c r="J354" s="183"/>
      <c r="K354" s="183"/>
      <c r="L354" s="183"/>
      <c r="M354" s="183"/>
    </row>
    <row r="355" spans="1:13" ht="30">
      <c r="A355" s="79">
        <f t="shared" si="5"/>
        <v>194</v>
      </c>
      <c r="B355" s="187">
        <v>353</v>
      </c>
      <c r="C355" s="186" t="s">
        <v>1113</v>
      </c>
      <c r="D355" s="187">
        <v>120793</v>
      </c>
      <c r="E355" s="190" t="s">
        <v>737</v>
      </c>
      <c r="F355" s="191" t="s">
        <v>60</v>
      </c>
      <c r="G355" s="193" t="s">
        <v>346</v>
      </c>
      <c r="H355" s="81" t="s">
        <v>918</v>
      </c>
      <c r="I355" s="190" t="s">
        <v>2092</v>
      </c>
      <c r="J355" s="183"/>
      <c r="K355" s="183"/>
      <c r="L355" s="183"/>
      <c r="M355" s="183"/>
    </row>
    <row r="356" spans="1:13" ht="30">
      <c r="A356" s="79">
        <f t="shared" si="5"/>
        <v>67</v>
      </c>
      <c r="B356" s="187">
        <v>354</v>
      </c>
      <c r="C356" s="186" t="s">
        <v>986</v>
      </c>
      <c r="D356" s="187">
        <v>120807</v>
      </c>
      <c r="E356" s="190" t="s">
        <v>738</v>
      </c>
      <c r="F356" s="191" t="s">
        <v>60</v>
      </c>
      <c r="G356" s="193" t="s">
        <v>1744</v>
      </c>
      <c r="H356" s="81" t="s">
        <v>918</v>
      </c>
      <c r="I356" s="190" t="s">
        <v>2084</v>
      </c>
      <c r="J356" s="183"/>
      <c r="K356" s="183"/>
      <c r="L356" s="183"/>
      <c r="M356" s="183"/>
    </row>
    <row r="357" spans="1:13" ht="30">
      <c r="A357" s="79">
        <f t="shared" si="5"/>
        <v>68</v>
      </c>
      <c r="B357" s="187">
        <v>355</v>
      </c>
      <c r="C357" s="186" t="s">
        <v>987</v>
      </c>
      <c r="D357" s="187">
        <v>120814</v>
      </c>
      <c r="E357" s="190" t="s">
        <v>739</v>
      </c>
      <c r="F357" s="191" t="s">
        <v>60</v>
      </c>
      <c r="G357" s="193" t="s">
        <v>1745</v>
      </c>
      <c r="H357" s="81" t="s">
        <v>918</v>
      </c>
      <c r="I357" s="190" t="s">
        <v>2084</v>
      </c>
      <c r="J357" s="183"/>
      <c r="K357" s="183"/>
      <c r="L357" s="183"/>
      <c r="M357" s="183"/>
    </row>
    <row r="358" spans="1:13" ht="30">
      <c r="A358" s="79">
        <f t="shared" si="5"/>
        <v>632</v>
      </c>
      <c r="B358" s="187">
        <v>356</v>
      </c>
      <c r="C358" s="186" t="s">
        <v>1551</v>
      </c>
      <c r="D358" s="187">
        <v>120821</v>
      </c>
      <c r="E358" s="190" t="s">
        <v>459</v>
      </c>
      <c r="F358" s="191" t="s">
        <v>114</v>
      </c>
      <c r="G358" s="193" t="s">
        <v>2064</v>
      </c>
      <c r="H358" s="81" t="s">
        <v>918</v>
      </c>
      <c r="I358" s="190" t="s">
        <v>2096</v>
      </c>
      <c r="J358" s="183"/>
      <c r="K358" s="183"/>
      <c r="L358" s="183"/>
      <c r="M358" s="183"/>
    </row>
    <row r="359" spans="1:13" ht="30">
      <c r="A359" s="79">
        <f t="shared" si="5"/>
        <v>195</v>
      </c>
      <c r="B359" s="187">
        <v>357</v>
      </c>
      <c r="C359" s="186" t="s">
        <v>1114</v>
      </c>
      <c r="D359" s="187">
        <v>120838</v>
      </c>
      <c r="E359" s="190" t="s">
        <v>740</v>
      </c>
      <c r="F359" s="191" t="s">
        <v>114</v>
      </c>
      <c r="G359" s="193" t="s">
        <v>1826</v>
      </c>
      <c r="H359" s="81" t="s">
        <v>918</v>
      </c>
      <c r="I359" s="190" t="s">
        <v>2092</v>
      </c>
      <c r="J359" s="184"/>
      <c r="K359" s="183"/>
      <c r="L359" s="183"/>
      <c r="M359" s="183"/>
    </row>
    <row r="360" spans="1:13" ht="15.75">
      <c r="A360" s="79">
        <f t="shared" si="5"/>
        <v>280</v>
      </c>
      <c r="B360" s="187">
        <v>358</v>
      </c>
      <c r="C360" s="186" t="s">
        <v>1199</v>
      </c>
      <c r="D360" s="187">
        <v>120852</v>
      </c>
      <c r="E360" s="190" t="s">
        <v>741</v>
      </c>
      <c r="F360" s="191" t="s">
        <v>60</v>
      </c>
      <c r="G360" s="193" t="s">
        <v>255</v>
      </c>
      <c r="H360" s="81" t="s">
        <v>918</v>
      </c>
      <c r="I360" s="190" t="s">
        <v>2093</v>
      </c>
      <c r="J360" s="183"/>
      <c r="K360" s="183"/>
      <c r="L360" s="183"/>
      <c r="M360" s="183"/>
    </row>
    <row r="361" spans="1:13" ht="15.75">
      <c r="A361" s="79">
        <f t="shared" si="5"/>
        <v>402</v>
      </c>
      <c r="B361" s="187">
        <v>359</v>
      </c>
      <c r="C361" s="186" t="s">
        <v>1321</v>
      </c>
      <c r="D361" s="187">
        <v>120904</v>
      </c>
      <c r="E361" s="190" t="s">
        <v>742</v>
      </c>
      <c r="F361" s="191" t="s">
        <v>114</v>
      </c>
      <c r="G361" s="193" t="s">
        <v>1926</v>
      </c>
      <c r="H361" s="81" t="s">
        <v>918</v>
      </c>
      <c r="I361" s="190" t="s">
        <v>2094</v>
      </c>
      <c r="J361" s="184"/>
      <c r="K361" s="183"/>
      <c r="L361" s="183"/>
      <c r="M361" s="183"/>
    </row>
    <row r="362" spans="1:13" ht="15.75">
      <c r="A362" s="79">
        <f t="shared" si="5"/>
        <v>538</v>
      </c>
      <c r="B362" s="187">
        <v>360</v>
      </c>
      <c r="C362" s="186" t="s">
        <v>1457</v>
      </c>
      <c r="D362" s="187">
        <v>120928</v>
      </c>
      <c r="E362" s="190" t="s">
        <v>743</v>
      </c>
      <c r="F362" s="191" t="s">
        <v>114</v>
      </c>
      <c r="G362" s="193" t="s">
        <v>2002</v>
      </c>
      <c r="H362" s="81" t="s">
        <v>918</v>
      </c>
      <c r="I362" s="190" t="s">
        <v>2095</v>
      </c>
      <c r="J362" s="183"/>
      <c r="K362" s="183"/>
      <c r="L362" s="183"/>
      <c r="M362" s="183"/>
    </row>
    <row r="363" spans="1:13" ht="15.75">
      <c r="A363" s="79">
        <f t="shared" si="5"/>
        <v>539</v>
      </c>
      <c r="B363" s="187">
        <v>361</v>
      </c>
      <c r="C363" s="186" t="s">
        <v>1458</v>
      </c>
      <c r="D363" s="187">
        <v>120942</v>
      </c>
      <c r="E363" s="190" t="s">
        <v>744</v>
      </c>
      <c r="F363" s="191" t="s">
        <v>114</v>
      </c>
      <c r="G363" s="193" t="s">
        <v>289</v>
      </c>
      <c r="H363" s="81" t="s">
        <v>918</v>
      </c>
      <c r="I363" s="190" t="s">
        <v>2095</v>
      </c>
      <c r="J363" s="183"/>
      <c r="K363" s="183"/>
      <c r="L363" s="183"/>
      <c r="M363" s="183"/>
    </row>
    <row r="364" spans="1:13" ht="15.75">
      <c r="A364" s="79">
        <f t="shared" si="5"/>
        <v>540</v>
      </c>
      <c r="B364" s="187">
        <v>362</v>
      </c>
      <c r="C364" s="186" t="s">
        <v>1459</v>
      </c>
      <c r="D364" s="187">
        <v>120959</v>
      </c>
      <c r="E364" s="190" t="s">
        <v>727</v>
      </c>
      <c r="F364" s="191" t="s">
        <v>114</v>
      </c>
      <c r="G364" s="193" t="s">
        <v>2003</v>
      </c>
      <c r="H364" s="81" t="s">
        <v>918</v>
      </c>
      <c r="I364" s="190" t="s">
        <v>2095</v>
      </c>
      <c r="J364" s="184"/>
      <c r="K364" s="183"/>
      <c r="L364" s="183"/>
      <c r="M364" s="183"/>
    </row>
    <row r="365" spans="1:13" ht="15.75">
      <c r="A365" s="79">
        <f t="shared" si="5"/>
        <v>281</v>
      </c>
      <c r="B365" s="187">
        <v>363</v>
      </c>
      <c r="C365" s="186" t="s">
        <v>1200</v>
      </c>
      <c r="D365" s="187">
        <v>121015</v>
      </c>
      <c r="E365" s="190" t="s">
        <v>745</v>
      </c>
      <c r="F365" s="191" t="s">
        <v>114</v>
      </c>
      <c r="G365" s="193" t="s">
        <v>165</v>
      </c>
      <c r="H365" s="81" t="s">
        <v>918</v>
      </c>
      <c r="I365" s="190" t="s">
        <v>2093</v>
      </c>
      <c r="J365" s="184"/>
      <c r="K365" s="183"/>
      <c r="L365" s="183"/>
      <c r="M365" s="183"/>
    </row>
    <row r="366" spans="1:13" ht="15.75">
      <c r="A366" s="79">
        <f t="shared" si="5"/>
        <v>170</v>
      </c>
      <c r="B366" s="187">
        <v>364</v>
      </c>
      <c r="C366" s="186" t="s">
        <v>1089</v>
      </c>
      <c r="D366" s="187">
        <v>121084</v>
      </c>
      <c r="E366" s="190" t="s">
        <v>1611</v>
      </c>
      <c r="F366" s="191" t="s">
        <v>114</v>
      </c>
      <c r="G366" s="193" t="s">
        <v>353</v>
      </c>
      <c r="H366" s="81" t="s">
        <v>918</v>
      </c>
      <c r="I366" s="190" t="s">
        <v>2090</v>
      </c>
      <c r="J366" s="183"/>
      <c r="K366" s="183"/>
      <c r="L366" s="183"/>
      <c r="M366" s="183"/>
    </row>
    <row r="367" spans="1:13" ht="30">
      <c r="A367" s="79">
        <f t="shared" si="5"/>
        <v>633</v>
      </c>
      <c r="B367" s="187">
        <v>365</v>
      </c>
      <c r="C367" s="186" t="s">
        <v>1552</v>
      </c>
      <c r="D367" s="187">
        <v>121136</v>
      </c>
      <c r="E367" s="190" t="s">
        <v>746</v>
      </c>
      <c r="F367" s="191" t="s">
        <v>114</v>
      </c>
      <c r="G367" s="193" t="s">
        <v>2065</v>
      </c>
      <c r="H367" s="81" t="s">
        <v>918</v>
      </c>
      <c r="I367" s="190" t="s">
        <v>2096</v>
      </c>
      <c r="J367" s="183"/>
      <c r="K367" s="183"/>
      <c r="L367" s="183"/>
      <c r="M367" s="183"/>
    </row>
    <row r="368" spans="1:13" ht="30">
      <c r="A368" s="79">
        <f t="shared" si="5"/>
        <v>69</v>
      </c>
      <c r="B368" s="187">
        <v>366</v>
      </c>
      <c r="C368" s="186" t="s">
        <v>988</v>
      </c>
      <c r="D368" s="187">
        <v>121167</v>
      </c>
      <c r="E368" s="190" t="s">
        <v>747</v>
      </c>
      <c r="F368" s="191" t="s">
        <v>60</v>
      </c>
      <c r="G368" s="193" t="s">
        <v>352</v>
      </c>
      <c r="H368" s="81" t="s">
        <v>918</v>
      </c>
      <c r="I368" s="190" t="s">
        <v>2084</v>
      </c>
      <c r="J368" s="183"/>
      <c r="K368" s="183"/>
      <c r="L368" s="183"/>
      <c r="M368" s="183"/>
    </row>
    <row r="369" spans="1:13" ht="15.75">
      <c r="A369" s="79">
        <f t="shared" si="5"/>
        <v>41</v>
      </c>
      <c r="B369" s="187">
        <v>367</v>
      </c>
      <c r="C369" s="186" t="s">
        <v>960</v>
      </c>
      <c r="D369" s="187">
        <v>121257</v>
      </c>
      <c r="E369" s="190" t="s">
        <v>748</v>
      </c>
      <c r="F369" s="191" t="s">
        <v>60</v>
      </c>
      <c r="G369" s="193" t="s">
        <v>1724</v>
      </c>
      <c r="H369" s="81" t="s">
        <v>918</v>
      </c>
      <c r="I369" s="190" t="s">
        <v>2081</v>
      </c>
      <c r="J369" s="183"/>
      <c r="K369" s="183"/>
      <c r="L369" s="183"/>
      <c r="M369" s="183"/>
    </row>
    <row r="370" spans="1:13" ht="15.75">
      <c r="A370" s="79">
        <f t="shared" si="5"/>
        <v>403</v>
      </c>
      <c r="B370" s="187">
        <v>368</v>
      </c>
      <c r="C370" s="186" t="s">
        <v>1322</v>
      </c>
      <c r="D370" s="187">
        <v>121309</v>
      </c>
      <c r="E370" s="190" t="s">
        <v>749</v>
      </c>
      <c r="F370" s="191" t="s">
        <v>114</v>
      </c>
      <c r="G370" s="193" t="s">
        <v>266</v>
      </c>
      <c r="H370" s="81" t="s">
        <v>918</v>
      </c>
      <c r="I370" s="190" t="s">
        <v>2094</v>
      </c>
      <c r="J370" s="184"/>
      <c r="K370" s="183"/>
      <c r="L370" s="183"/>
      <c r="M370" s="183"/>
    </row>
    <row r="371" spans="1:13" ht="30">
      <c r="A371" s="79">
        <f t="shared" si="5"/>
        <v>196</v>
      </c>
      <c r="B371" s="187">
        <v>369</v>
      </c>
      <c r="C371" s="186" t="s">
        <v>1115</v>
      </c>
      <c r="D371" s="187">
        <v>121330</v>
      </c>
      <c r="E371" s="190" t="s">
        <v>750</v>
      </c>
      <c r="F371" s="191" t="s">
        <v>114</v>
      </c>
      <c r="G371" s="193" t="s">
        <v>1827</v>
      </c>
      <c r="H371" s="81" t="s">
        <v>918</v>
      </c>
      <c r="I371" s="190" t="s">
        <v>2092</v>
      </c>
      <c r="J371" s="183"/>
      <c r="K371" s="183"/>
      <c r="L371" s="183"/>
      <c r="M371" s="183"/>
    </row>
    <row r="372" spans="1:13" ht="30">
      <c r="A372" s="79">
        <f t="shared" si="5"/>
        <v>188</v>
      </c>
      <c r="B372" s="187">
        <v>370</v>
      </c>
      <c r="C372" s="186" t="s">
        <v>1107</v>
      </c>
      <c r="D372" s="187">
        <v>121378</v>
      </c>
      <c r="E372" s="190" t="s">
        <v>751</v>
      </c>
      <c r="F372" s="191" t="s">
        <v>114</v>
      </c>
      <c r="G372" s="193" t="s">
        <v>1822</v>
      </c>
      <c r="H372" s="81" t="s">
        <v>918</v>
      </c>
      <c r="I372" s="190" t="s">
        <v>2091</v>
      </c>
      <c r="J372" s="183"/>
      <c r="K372" s="183"/>
      <c r="L372" s="183"/>
      <c r="M372" s="183"/>
    </row>
    <row r="373" spans="1:13" ht="15.75">
      <c r="A373" s="79">
        <f t="shared" si="5"/>
        <v>404</v>
      </c>
      <c r="B373" s="187">
        <v>371</v>
      </c>
      <c r="C373" s="186" t="s">
        <v>1323</v>
      </c>
      <c r="D373" s="187">
        <v>121444</v>
      </c>
      <c r="E373" s="190" t="s">
        <v>752</v>
      </c>
      <c r="F373" s="191" t="s">
        <v>60</v>
      </c>
      <c r="G373" s="193" t="s">
        <v>192</v>
      </c>
      <c r="H373" s="81" t="s">
        <v>918</v>
      </c>
      <c r="I373" s="190" t="s">
        <v>2094</v>
      </c>
      <c r="J373" s="183"/>
      <c r="K373" s="183"/>
      <c r="L373" s="183"/>
      <c r="M373" s="183"/>
    </row>
    <row r="374" spans="1:13" ht="15.75">
      <c r="A374" s="79">
        <f t="shared" si="5"/>
        <v>405</v>
      </c>
      <c r="B374" s="187">
        <v>372</v>
      </c>
      <c r="C374" s="186" t="s">
        <v>1324</v>
      </c>
      <c r="D374" s="187">
        <v>121451</v>
      </c>
      <c r="E374" s="190" t="s">
        <v>753</v>
      </c>
      <c r="F374" s="191" t="s">
        <v>114</v>
      </c>
      <c r="G374" s="193" t="s">
        <v>1927</v>
      </c>
      <c r="H374" s="81" t="s">
        <v>918</v>
      </c>
      <c r="I374" s="190" t="s">
        <v>2094</v>
      </c>
      <c r="J374" s="184"/>
      <c r="K374" s="183"/>
      <c r="L374" s="183"/>
      <c r="M374" s="183"/>
    </row>
    <row r="375" spans="1:13" ht="30">
      <c r="A375" s="79">
        <f t="shared" si="5"/>
        <v>108</v>
      </c>
      <c r="B375" s="187">
        <v>373</v>
      </c>
      <c r="C375" s="186" t="s">
        <v>1027</v>
      </c>
      <c r="D375" s="187">
        <v>121527</v>
      </c>
      <c r="E375" s="190" t="s">
        <v>1595</v>
      </c>
      <c r="F375" s="191" t="s">
        <v>114</v>
      </c>
      <c r="G375" s="193" t="s">
        <v>1768</v>
      </c>
      <c r="H375" s="81" t="s">
        <v>918</v>
      </c>
      <c r="I375" s="190" t="s">
        <v>2086</v>
      </c>
      <c r="J375" s="183"/>
      <c r="K375" s="183"/>
      <c r="L375" s="183"/>
      <c r="M375" s="183"/>
    </row>
    <row r="376" spans="1:13" ht="15.75">
      <c r="A376" s="79">
        <f t="shared" si="5"/>
        <v>55</v>
      </c>
      <c r="B376" s="187">
        <v>374</v>
      </c>
      <c r="C376" s="186" t="s">
        <v>974</v>
      </c>
      <c r="D376" s="187">
        <v>121534</v>
      </c>
      <c r="E376" s="190" t="s">
        <v>754</v>
      </c>
      <c r="F376" s="191" t="s">
        <v>114</v>
      </c>
      <c r="G376" s="193" t="s">
        <v>1736</v>
      </c>
      <c r="H376" s="81" t="s">
        <v>918</v>
      </c>
      <c r="I376" s="190" t="s">
        <v>2082</v>
      </c>
      <c r="J376" s="183"/>
      <c r="K376" s="183"/>
      <c r="L376" s="183"/>
      <c r="M376" s="183"/>
    </row>
    <row r="377" spans="1:13" ht="30">
      <c r="A377" s="79">
        <f t="shared" si="5"/>
        <v>63</v>
      </c>
      <c r="B377" s="187">
        <v>375</v>
      </c>
      <c r="C377" s="186" t="s">
        <v>982</v>
      </c>
      <c r="D377" s="187">
        <v>121541</v>
      </c>
      <c r="E377" s="190" t="s">
        <v>755</v>
      </c>
      <c r="F377" s="191" t="s">
        <v>114</v>
      </c>
      <c r="G377" s="193" t="s">
        <v>258</v>
      </c>
      <c r="H377" s="81" t="s">
        <v>918</v>
      </c>
      <c r="I377" s="190" t="s">
        <v>2083</v>
      </c>
      <c r="J377" s="184"/>
      <c r="K377" s="183"/>
      <c r="L377" s="183"/>
      <c r="M377" s="183"/>
    </row>
    <row r="378" spans="1:13" ht="30">
      <c r="A378" s="79">
        <f t="shared" si="5"/>
        <v>64</v>
      </c>
      <c r="B378" s="187">
        <v>376</v>
      </c>
      <c r="C378" s="186" t="s">
        <v>983</v>
      </c>
      <c r="D378" s="187">
        <v>121565</v>
      </c>
      <c r="E378" s="190" t="s">
        <v>1590</v>
      </c>
      <c r="F378" s="191" t="s">
        <v>114</v>
      </c>
      <c r="G378" s="193" t="s">
        <v>1742</v>
      </c>
      <c r="H378" s="81" t="s">
        <v>918</v>
      </c>
      <c r="I378" s="190" t="s">
        <v>2083</v>
      </c>
      <c r="J378" s="183"/>
      <c r="K378" s="183"/>
      <c r="L378" s="183"/>
      <c r="M378" s="183"/>
    </row>
    <row r="379" spans="1:13" ht="15.75">
      <c r="A379" s="79">
        <f t="shared" si="5"/>
        <v>282</v>
      </c>
      <c r="B379" s="187">
        <v>377</v>
      </c>
      <c r="C379" s="186" t="s">
        <v>1201</v>
      </c>
      <c r="D379" s="187">
        <v>121572</v>
      </c>
      <c r="E379" s="190" t="s">
        <v>756</v>
      </c>
      <c r="F379" s="191" t="s">
        <v>114</v>
      </c>
      <c r="G379" s="193" t="s">
        <v>339</v>
      </c>
      <c r="H379" s="81" t="s">
        <v>918</v>
      </c>
      <c r="I379" s="190" t="s">
        <v>2093</v>
      </c>
      <c r="J379" s="183"/>
      <c r="K379" s="183"/>
      <c r="L379" s="183"/>
      <c r="M379" s="183"/>
    </row>
    <row r="380" spans="1:13" ht="15.75">
      <c r="A380" s="79">
        <f t="shared" si="5"/>
        <v>541</v>
      </c>
      <c r="B380" s="187">
        <v>378</v>
      </c>
      <c r="C380" s="186" t="s">
        <v>1460</v>
      </c>
      <c r="D380" s="187">
        <v>121589</v>
      </c>
      <c r="E380" s="190" t="s">
        <v>757</v>
      </c>
      <c r="F380" s="191" t="s">
        <v>114</v>
      </c>
      <c r="G380" s="193" t="s">
        <v>2004</v>
      </c>
      <c r="H380" s="81" t="s">
        <v>918</v>
      </c>
      <c r="I380" s="190" t="s">
        <v>2095</v>
      </c>
      <c r="J380" s="183"/>
      <c r="K380" s="183"/>
      <c r="L380" s="183"/>
      <c r="M380" s="183"/>
    </row>
    <row r="381" spans="1:13" ht="15.75">
      <c r="A381" s="79">
        <f t="shared" si="5"/>
        <v>283</v>
      </c>
      <c r="B381" s="187">
        <v>379</v>
      </c>
      <c r="C381" s="186" t="s">
        <v>1202</v>
      </c>
      <c r="D381" s="187">
        <v>121596</v>
      </c>
      <c r="E381" s="190" t="s">
        <v>758</v>
      </c>
      <c r="F381" s="191" t="s">
        <v>60</v>
      </c>
      <c r="G381" s="193" t="s">
        <v>331</v>
      </c>
      <c r="H381" s="81" t="s">
        <v>918</v>
      </c>
      <c r="I381" s="190" t="s">
        <v>2093</v>
      </c>
      <c r="J381" s="183"/>
      <c r="K381" s="183"/>
      <c r="L381" s="183"/>
      <c r="M381" s="183"/>
    </row>
    <row r="382" spans="1:13" ht="15.75">
      <c r="A382" s="79">
        <f t="shared" si="5"/>
        <v>137</v>
      </c>
      <c r="B382" s="187">
        <v>380</v>
      </c>
      <c r="C382" s="186" t="s">
        <v>1056</v>
      </c>
      <c r="D382" s="187">
        <v>121600</v>
      </c>
      <c r="E382" s="190" t="s">
        <v>759</v>
      </c>
      <c r="F382" s="191" t="s">
        <v>60</v>
      </c>
      <c r="G382" s="193" t="s">
        <v>336</v>
      </c>
      <c r="H382" s="81" t="s">
        <v>918</v>
      </c>
      <c r="I382" s="190" t="s">
        <v>2087</v>
      </c>
      <c r="J382" s="184"/>
      <c r="K382" s="183"/>
      <c r="L382" s="183"/>
      <c r="M382" s="183"/>
    </row>
    <row r="383" spans="1:13" ht="15.75">
      <c r="A383" s="79">
        <f t="shared" si="5"/>
        <v>406</v>
      </c>
      <c r="B383" s="187">
        <v>381</v>
      </c>
      <c r="C383" s="186" t="s">
        <v>1325</v>
      </c>
      <c r="D383" s="187">
        <v>121617</v>
      </c>
      <c r="E383" s="190" t="s">
        <v>760</v>
      </c>
      <c r="F383" s="191" t="s">
        <v>114</v>
      </c>
      <c r="G383" s="193" t="s">
        <v>1928</v>
      </c>
      <c r="H383" s="81" t="s">
        <v>918</v>
      </c>
      <c r="I383" s="190" t="s">
        <v>2094</v>
      </c>
      <c r="J383" s="184"/>
      <c r="K383" s="183"/>
      <c r="L383" s="183"/>
      <c r="M383" s="183"/>
    </row>
    <row r="384" spans="1:13" ht="15.75">
      <c r="A384" s="79">
        <f t="shared" si="5"/>
        <v>407</v>
      </c>
      <c r="B384" s="187">
        <v>382</v>
      </c>
      <c r="C384" s="186" t="s">
        <v>1326</v>
      </c>
      <c r="D384" s="187">
        <v>121648</v>
      </c>
      <c r="E384" s="190" t="s">
        <v>761</v>
      </c>
      <c r="F384" s="191" t="s">
        <v>60</v>
      </c>
      <c r="G384" s="193" t="s">
        <v>1929</v>
      </c>
      <c r="H384" s="81" t="s">
        <v>918</v>
      </c>
      <c r="I384" s="190" t="s">
        <v>2094</v>
      </c>
      <c r="J384" s="184"/>
      <c r="K384" s="183"/>
      <c r="L384" s="183"/>
      <c r="M384" s="183"/>
    </row>
    <row r="385" spans="1:13" ht="15.75">
      <c r="A385" s="79">
        <f t="shared" si="5"/>
        <v>408</v>
      </c>
      <c r="B385" s="187">
        <v>383</v>
      </c>
      <c r="C385" s="186" t="s">
        <v>1327</v>
      </c>
      <c r="D385" s="187">
        <v>121655</v>
      </c>
      <c r="E385" s="190" t="s">
        <v>708</v>
      </c>
      <c r="F385" s="191" t="s">
        <v>60</v>
      </c>
      <c r="G385" s="193" t="s">
        <v>1930</v>
      </c>
      <c r="H385" s="81" t="s">
        <v>918</v>
      </c>
      <c r="I385" s="190" t="s">
        <v>2094</v>
      </c>
      <c r="J385" s="183"/>
      <c r="K385" s="183"/>
      <c r="L385" s="183"/>
      <c r="M385" s="183"/>
    </row>
    <row r="386" spans="1:13" ht="15.75">
      <c r="A386" s="79">
        <f t="shared" si="5"/>
        <v>542</v>
      </c>
      <c r="B386" s="187">
        <v>384</v>
      </c>
      <c r="C386" s="186" t="s">
        <v>1461</v>
      </c>
      <c r="D386" s="187">
        <v>121662</v>
      </c>
      <c r="E386" s="190" t="s">
        <v>1670</v>
      </c>
      <c r="F386" s="191" t="s">
        <v>114</v>
      </c>
      <c r="G386" s="193" t="s">
        <v>228</v>
      </c>
      <c r="H386" s="81" t="s">
        <v>918</v>
      </c>
      <c r="I386" s="190" t="s">
        <v>2095</v>
      </c>
      <c r="J386" s="183"/>
      <c r="K386" s="183"/>
      <c r="L386" s="183"/>
      <c r="M386" s="183"/>
    </row>
    <row r="387" spans="1:13" ht="15.75">
      <c r="A387" s="79">
        <f t="shared" ref="A387:A450" si="6">IFERROR(VALUE(RIGHT(C387,4)),"")</f>
        <v>543</v>
      </c>
      <c r="B387" s="187">
        <v>385</v>
      </c>
      <c r="C387" s="186" t="s">
        <v>1462</v>
      </c>
      <c r="D387" s="187">
        <v>121679</v>
      </c>
      <c r="E387" s="190" t="s">
        <v>762</v>
      </c>
      <c r="F387" s="191" t="s">
        <v>60</v>
      </c>
      <c r="G387" s="193" t="s">
        <v>2005</v>
      </c>
      <c r="H387" s="81" t="s">
        <v>918</v>
      </c>
      <c r="I387" s="190" t="s">
        <v>2095</v>
      </c>
      <c r="J387" s="183"/>
      <c r="K387" s="183"/>
      <c r="L387" s="183"/>
      <c r="M387" s="183"/>
    </row>
    <row r="388" spans="1:13" ht="15.75">
      <c r="A388" s="79">
        <f t="shared" si="6"/>
        <v>23</v>
      </c>
      <c r="B388" s="187">
        <v>386</v>
      </c>
      <c r="C388" s="186" t="s">
        <v>942</v>
      </c>
      <c r="D388" s="187">
        <v>121714</v>
      </c>
      <c r="E388" s="190" t="s">
        <v>763</v>
      </c>
      <c r="F388" s="191" t="s">
        <v>114</v>
      </c>
      <c r="G388" s="193" t="s">
        <v>1707</v>
      </c>
      <c r="H388" s="81" t="s">
        <v>918</v>
      </c>
      <c r="I388" s="190" t="s">
        <v>2080</v>
      </c>
      <c r="J388" s="183"/>
      <c r="K388" s="183"/>
      <c r="L388" s="183"/>
      <c r="M388" s="183"/>
    </row>
    <row r="389" spans="1:13" ht="15.75">
      <c r="A389" s="79">
        <f t="shared" si="6"/>
        <v>652</v>
      </c>
      <c r="B389" s="187">
        <v>387</v>
      </c>
      <c r="C389" s="186" t="s">
        <v>1571</v>
      </c>
      <c r="D389" s="187">
        <v>121738</v>
      </c>
      <c r="E389" s="190" t="s">
        <v>764</v>
      </c>
      <c r="F389" s="191" t="s">
        <v>114</v>
      </c>
      <c r="G389" s="193" t="s">
        <v>2077</v>
      </c>
      <c r="H389" s="81" t="s">
        <v>918</v>
      </c>
      <c r="I389" s="190" t="s">
        <v>2097</v>
      </c>
      <c r="J389" s="183"/>
      <c r="K389" s="183"/>
      <c r="L389" s="183"/>
      <c r="M389" s="183"/>
    </row>
    <row r="390" spans="1:13" ht="15.75">
      <c r="A390" s="79">
        <f t="shared" si="6"/>
        <v>653</v>
      </c>
      <c r="B390" s="187">
        <v>388</v>
      </c>
      <c r="C390" s="186" t="s">
        <v>1572</v>
      </c>
      <c r="D390" s="187">
        <v>121804</v>
      </c>
      <c r="E390" s="190" t="s">
        <v>765</v>
      </c>
      <c r="F390" s="191" t="s">
        <v>60</v>
      </c>
      <c r="G390" s="193" t="s">
        <v>2078</v>
      </c>
      <c r="H390" s="81" t="s">
        <v>918</v>
      </c>
      <c r="I390" s="190" t="s">
        <v>2097</v>
      </c>
      <c r="J390" s="183"/>
      <c r="K390" s="183"/>
      <c r="L390" s="183"/>
      <c r="M390" s="183"/>
    </row>
    <row r="391" spans="1:13" ht="30">
      <c r="A391" s="79">
        <f t="shared" si="6"/>
        <v>70</v>
      </c>
      <c r="B391" s="187">
        <v>389</v>
      </c>
      <c r="C391" s="186" t="s">
        <v>989</v>
      </c>
      <c r="D391" s="187">
        <v>121811</v>
      </c>
      <c r="E391" s="190" t="s">
        <v>766</v>
      </c>
      <c r="F391" s="191" t="s">
        <v>60</v>
      </c>
      <c r="G391" s="193" t="s">
        <v>1746</v>
      </c>
      <c r="H391" s="81" t="s">
        <v>918</v>
      </c>
      <c r="I391" s="190" t="s">
        <v>2084</v>
      </c>
      <c r="J391" s="183"/>
      <c r="K391" s="183"/>
      <c r="L391" s="183"/>
      <c r="M391" s="183"/>
    </row>
    <row r="392" spans="1:13" ht="30">
      <c r="A392" s="79">
        <f t="shared" si="6"/>
        <v>160</v>
      </c>
      <c r="B392" s="187">
        <v>390</v>
      </c>
      <c r="C392" s="186" t="s">
        <v>1079</v>
      </c>
      <c r="D392" s="187">
        <v>121828</v>
      </c>
      <c r="E392" s="190" t="s">
        <v>767</v>
      </c>
      <c r="F392" s="191" t="s">
        <v>114</v>
      </c>
      <c r="G392" s="193" t="s">
        <v>342</v>
      </c>
      <c r="H392" s="81" t="s">
        <v>918</v>
      </c>
      <c r="I392" s="190" t="s">
        <v>2089</v>
      </c>
      <c r="J392" s="183"/>
      <c r="K392" s="183"/>
      <c r="L392" s="183"/>
      <c r="M392" s="183"/>
    </row>
    <row r="393" spans="1:13" ht="15.75">
      <c r="A393" s="79">
        <f t="shared" si="6"/>
        <v>284</v>
      </c>
      <c r="B393" s="187">
        <v>391</v>
      </c>
      <c r="C393" s="186" t="s">
        <v>1203</v>
      </c>
      <c r="D393" s="187">
        <v>121859</v>
      </c>
      <c r="E393" s="190" t="s">
        <v>768</v>
      </c>
      <c r="F393" s="191" t="s">
        <v>114</v>
      </c>
      <c r="G393" s="193" t="s">
        <v>184</v>
      </c>
      <c r="H393" s="81" t="s">
        <v>918</v>
      </c>
      <c r="I393" s="190" t="s">
        <v>2093</v>
      </c>
      <c r="J393" s="183"/>
      <c r="K393" s="183"/>
      <c r="L393" s="183"/>
      <c r="M393" s="183"/>
    </row>
    <row r="394" spans="1:13" ht="15.75">
      <c r="A394" s="79">
        <f t="shared" si="6"/>
        <v>285</v>
      </c>
      <c r="B394" s="187">
        <v>392</v>
      </c>
      <c r="C394" s="186" t="s">
        <v>1204</v>
      </c>
      <c r="D394" s="187">
        <v>121866</v>
      </c>
      <c r="E394" s="190" t="s">
        <v>769</v>
      </c>
      <c r="F394" s="191" t="s">
        <v>60</v>
      </c>
      <c r="G394" s="193" t="s">
        <v>1864</v>
      </c>
      <c r="H394" s="81" t="s">
        <v>918</v>
      </c>
      <c r="I394" s="190" t="s">
        <v>2093</v>
      </c>
      <c r="J394" s="184"/>
      <c r="K394" s="183"/>
      <c r="L394" s="183"/>
      <c r="M394" s="183"/>
    </row>
    <row r="395" spans="1:13" ht="15.75">
      <c r="A395" s="79">
        <f t="shared" si="6"/>
        <v>409</v>
      </c>
      <c r="B395" s="187">
        <v>393</v>
      </c>
      <c r="C395" s="186" t="s">
        <v>1328</v>
      </c>
      <c r="D395" s="187">
        <v>121901</v>
      </c>
      <c r="E395" s="190" t="s">
        <v>770</v>
      </c>
      <c r="F395" s="191" t="s">
        <v>60</v>
      </c>
      <c r="G395" s="193" t="s">
        <v>354</v>
      </c>
      <c r="H395" s="81" t="s">
        <v>918</v>
      </c>
      <c r="I395" s="190" t="s">
        <v>2094</v>
      </c>
      <c r="J395" s="183"/>
      <c r="K395" s="183"/>
      <c r="L395" s="183"/>
      <c r="M395" s="183"/>
    </row>
    <row r="396" spans="1:13" ht="15.75">
      <c r="A396" s="79">
        <f t="shared" si="6"/>
        <v>410</v>
      </c>
      <c r="B396" s="187">
        <v>394</v>
      </c>
      <c r="C396" s="186" t="s">
        <v>1329</v>
      </c>
      <c r="D396" s="187">
        <v>121925</v>
      </c>
      <c r="E396" s="190" t="s">
        <v>771</v>
      </c>
      <c r="F396" s="191" t="s">
        <v>114</v>
      </c>
      <c r="G396" s="193" t="s">
        <v>1931</v>
      </c>
      <c r="H396" s="81" t="s">
        <v>918</v>
      </c>
      <c r="I396" s="190" t="s">
        <v>2094</v>
      </c>
      <c r="J396" s="184"/>
      <c r="K396" s="183"/>
      <c r="L396" s="183"/>
      <c r="M396" s="183"/>
    </row>
    <row r="397" spans="1:13" ht="15.75">
      <c r="A397" s="79">
        <f t="shared" si="6"/>
        <v>411</v>
      </c>
      <c r="B397" s="187">
        <v>395</v>
      </c>
      <c r="C397" s="186" t="s">
        <v>1330</v>
      </c>
      <c r="D397" s="187">
        <v>121932</v>
      </c>
      <c r="E397" s="190" t="s">
        <v>772</v>
      </c>
      <c r="F397" s="191" t="s">
        <v>114</v>
      </c>
      <c r="G397" s="193" t="s">
        <v>182</v>
      </c>
      <c r="H397" s="81" t="s">
        <v>918</v>
      </c>
      <c r="I397" s="190" t="s">
        <v>2094</v>
      </c>
      <c r="J397" s="183"/>
      <c r="K397" s="183"/>
      <c r="L397" s="183"/>
      <c r="M397" s="183"/>
    </row>
    <row r="398" spans="1:13" ht="15.75">
      <c r="A398" s="79">
        <f t="shared" si="6"/>
        <v>544</v>
      </c>
      <c r="B398" s="187">
        <v>396</v>
      </c>
      <c r="C398" s="186" t="s">
        <v>1463</v>
      </c>
      <c r="D398" s="187">
        <v>121963</v>
      </c>
      <c r="E398" s="190" t="s">
        <v>774</v>
      </c>
      <c r="F398" s="191" t="s">
        <v>114</v>
      </c>
      <c r="G398" s="193" t="s">
        <v>2006</v>
      </c>
      <c r="H398" s="81" t="s">
        <v>918</v>
      </c>
      <c r="I398" s="190" t="s">
        <v>2095</v>
      </c>
      <c r="J398" s="184"/>
      <c r="K398" s="183"/>
      <c r="L398" s="183"/>
      <c r="M398" s="183"/>
    </row>
    <row r="399" spans="1:13" ht="15.75">
      <c r="A399" s="79">
        <f t="shared" si="6"/>
        <v>138</v>
      </c>
      <c r="B399" s="187">
        <v>397</v>
      </c>
      <c r="C399" s="186" t="s">
        <v>1057</v>
      </c>
      <c r="D399" s="187">
        <v>121987</v>
      </c>
      <c r="E399" s="190" t="s">
        <v>775</v>
      </c>
      <c r="F399" s="191" t="s">
        <v>60</v>
      </c>
      <c r="G399" s="193" t="s">
        <v>1788</v>
      </c>
      <c r="H399" s="81" t="s">
        <v>918</v>
      </c>
      <c r="I399" s="190" t="s">
        <v>2087</v>
      </c>
      <c r="J399" s="183"/>
      <c r="K399" s="183"/>
      <c r="L399" s="183"/>
      <c r="M399" s="183"/>
    </row>
    <row r="400" spans="1:13" ht="15.75">
      <c r="A400" s="79">
        <f t="shared" si="6"/>
        <v>139</v>
      </c>
      <c r="B400" s="187">
        <v>398</v>
      </c>
      <c r="C400" s="186" t="s">
        <v>1058</v>
      </c>
      <c r="D400" s="187">
        <v>121994</v>
      </c>
      <c r="E400" s="190" t="s">
        <v>776</v>
      </c>
      <c r="F400" s="191" t="s">
        <v>60</v>
      </c>
      <c r="G400" s="193" t="s">
        <v>1789</v>
      </c>
      <c r="H400" s="81" t="s">
        <v>918</v>
      </c>
      <c r="I400" s="190" t="s">
        <v>2087</v>
      </c>
      <c r="J400" s="183"/>
      <c r="K400" s="183"/>
      <c r="L400" s="183"/>
      <c r="M400" s="183"/>
    </row>
    <row r="401" spans="1:13" ht="15.75">
      <c r="A401" s="79">
        <f t="shared" si="6"/>
        <v>84</v>
      </c>
      <c r="B401" s="187">
        <v>399</v>
      </c>
      <c r="C401" s="186" t="s">
        <v>1003</v>
      </c>
      <c r="D401" s="187">
        <v>122012</v>
      </c>
      <c r="E401" s="190" t="s">
        <v>589</v>
      </c>
      <c r="F401" s="191" t="s">
        <v>114</v>
      </c>
      <c r="G401" s="193" t="s">
        <v>315</v>
      </c>
      <c r="H401" s="81" t="s">
        <v>918</v>
      </c>
      <c r="I401" s="190" t="s">
        <v>2085</v>
      </c>
      <c r="J401" s="183"/>
      <c r="K401" s="183"/>
      <c r="L401" s="183"/>
      <c r="M401" s="183"/>
    </row>
    <row r="402" spans="1:13" ht="15.75">
      <c r="A402" s="79">
        <f t="shared" si="6"/>
        <v>24</v>
      </c>
      <c r="B402" s="187">
        <v>400</v>
      </c>
      <c r="C402" s="186" t="s">
        <v>943</v>
      </c>
      <c r="D402" s="187">
        <v>122043</v>
      </c>
      <c r="E402" s="190" t="s">
        <v>777</v>
      </c>
      <c r="F402" s="191" t="s">
        <v>60</v>
      </c>
      <c r="G402" s="193" t="s">
        <v>1708</v>
      </c>
      <c r="H402" s="81" t="s">
        <v>918</v>
      </c>
      <c r="I402" s="190" t="s">
        <v>2080</v>
      </c>
      <c r="J402" s="183"/>
      <c r="K402" s="183"/>
      <c r="L402" s="183"/>
      <c r="M402" s="183"/>
    </row>
    <row r="403" spans="1:13" ht="15.75">
      <c r="A403" s="79">
        <f t="shared" si="6"/>
        <v>286</v>
      </c>
      <c r="B403" s="187">
        <v>401</v>
      </c>
      <c r="C403" s="186" t="s">
        <v>1205</v>
      </c>
      <c r="D403" s="187">
        <v>122081</v>
      </c>
      <c r="E403" s="190" t="s">
        <v>778</v>
      </c>
      <c r="F403" s="191" t="s">
        <v>114</v>
      </c>
      <c r="G403" s="193" t="s">
        <v>370</v>
      </c>
      <c r="H403" s="81" t="s">
        <v>918</v>
      </c>
      <c r="I403" s="190" t="s">
        <v>2093</v>
      </c>
      <c r="J403" s="183"/>
      <c r="K403" s="183"/>
      <c r="L403" s="183"/>
      <c r="M403" s="183"/>
    </row>
    <row r="404" spans="1:13" ht="15.75">
      <c r="A404" s="79">
        <f t="shared" si="6"/>
        <v>545</v>
      </c>
      <c r="B404" s="187">
        <v>402</v>
      </c>
      <c r="C404" s="186" t="s">
        <v>1464</v>
      </c>
      <c r="D404" s="187">
        <v>122126</v>
      </c>
      <c r="E404" s="190" t="s">
        <v>779</v>
      </c>
      <c r="F404" s="191" t="s">
        <v>60</v>
      </c>
      <c r="G404" s="193" t="s">
        <v>2007</v>
      </c>
      <c r="H404" s="81" t="s">
        <v>918</v>
      </c>
      <c r="I404" s="190" t="s">
        <v>2095</v>
      </c>
      <c r="J404" s="183"/>
      <c r="K404" s="183"/>
      <c r="L404" s="183"/>
      <c r="M404" s="183"/>
    </row>
    <row r="405" spans="1:13" ht="15.75">
      <c r="A405" s="79">
        <f t="shared" si="6"/>
        <v>546</v>
      </c>
      <c r="B405" s="187">
        <v>403</v>
      </c>
      <c r="C405" s="186" t="s">
        <v>1465</v>
      </c>
      <c r="D405" s="187">
        <v>122157</v>
      </c>
      <c r="E405" s="190" t="s">
        <v>780</v>
      </c>
      <c r="F405" s="191" t="s">
        <v>114</v>
      </c>
      <c r="G405" s="193" t="s">
        <v>2008</v>
      </c>
      <c r="H405" s="81" t="s">
        <v>918</v>
      </c>
      <c r="I405" s="190" t="s">
        <v>2095</v>
      </c>
      <c r="J405" s="183"/>
      <c r="K405" s="183"/>
      <c r="L405" s="183"/>
      <c r="M405" s="183"/>
    </row>
    <row r="406" spans="1:13" ht="30">
      <c r="A406" s="79">
        <f t="shared" si="6"/>
        <v>71</v>
      </c>
      <c r="B406" s="187">
        <v>404</v>
      </c>
      <c r="C406" s="186" t="s">
        <v>990</v>
      </c>
      <c r="D406" s="187">
        <v>122188</v>
      </c>
      <c r="E406" s="190" t="s">
        <v>781</v>
      </c>
      <c r="F406" s="191" t="s">
        <v>60</v>
      </c>
      <c r="G406" s="193" t="s">
        <v>1747</v>
      </c>
      <c r="H406" s="81" t="s">
        <v>918</v>
      </c>
      <c r="I406" s="190" t="s">
        <v>2084</v>
      </c>
      <c r="J406" s="183"/>
      <c r="K406" s="183"/>
      <c r="L406" s="183"/>
      <c r="M406" s="183"/>
    </row>
    <row r="407" spans="1:13" ht="15.75">
      <c r="A407" s="79">
        <f t="shared" si="6"/>
        <v>547</v>
      </c>
      <c r="B407" s="187">
        <v>405</v>
      </c>
      <c r="C407" s="186" t="s">
        <v>1466</v>
      </c>
      <c r="D407" s="187">
        <v>122278</v>
      </c>
      <c r="E407" s="190" t="s">
        <v>782</v>
      </c>
      <c r="F407" s="191" t="s">
        <v>60</v>
      </c>
      <c r="G407" s="193" t="s">
        <v>2009</v>
      </c>
      <c r="H407" s="81" t="s">
        <v>918</v>
      </c>
      <c r="I407" s="190" t="s">
        <v>2095</v>
      </c>
      <c r="J407" s="183"/>
      <c r="K407" s="183"/>
      <c r="L407" s="183"/>
      <c r="M407" s="183"/>
    </row>
    <row r="408" spans="1:13" ht="30">
      <c r="A408" s="79">
        <f t="shared" si="6"/>
        <v>634</v>
      </c>
      <c r="B408" s="187">
        <v>406</v>
      </c>
      <c r="C408" s="186" t="s">
        <v>1553</v>
      </c>
      <c r="D408" s="187">
        <v>122292</v>
      </c>
      <c r="E408" s="190" t="s">
        <v>783</v>
      </c>
      <c r="F408" s="191" t="s">
        <v>114</v>
      </c>
      <c r="G408" s="193" t="s">
        <v>347</v>
      </c>
      <c r="H408" s="81" t="s">
        <v>918</v>
      </c>
      <c r="I408" s="190" t="s">
        <v>2096</v>
      </c>
      <c r="J408" s="183"/>
      <c r="K408" s="183"/>
      <c r="L408" s="183"/>
      <c r="M408" s="183"/>
    </row>
    <row r="409" spans="1:13" ht="15.75">
      <c r="A409" s="79">
        <f t="shared" si="6"/>
        <v>287</v>
      </c>
      <c r="B409" s="187">
        <v>407</v>
      </c>
      <c r="C409" s="186" t="s">
        <v>1206</v>
      </c>
      <c r="D409" s="187">
        <v>122351</v>
      </c>
      <c r="E409" s="190" t="s">
        <v>784</v>
      </c>
      <c r="F409" s="191" t="s">
        <v>60</v>
      </c>
      <c r="G409" s="193" t="s">
        <v>1865</v>
      </c>
      <c r="H409" s="81" t="s">
        <v>918</v>
      </c>
      <c r="I409" s="190" t="s">
        <v>2093</v>
      </c>
      <c r="J409" s="183"/>
      <c r="K409" s="183"/>
      <c r="L409" s="183"/>
      <c r="M409" s="183"/>
    </row>
    <row r="410" spans="1:13" ht="15.75">
      <c r="A410" s="79">
        <f t="shared" si="6"/>
        <v>548</v>
      </c>
      <c r="B410" s="187">
        <v>408</v>
      </c>
      <c r="C410" s="186" t="s">
        <v>1467</v>
      </c>
      <c r="D410" s="187">
        <v>122382</v>
      </c>
      <c r="E410" s="190" t="s">
        <v>785</v>
      </c>
      <c r="F410" s="191" t="s">
        <v>60</v>
      </c>
      <c r="G410" s="193" t="s">
        <v>2010</v>
      </c>
      <c r="H410" s="81" t="s">
        <v>918</v>
      </c>
      <c r="I410" s="190" t="s">
        <v>2095</v>
      </c>
      <c r="J410" s="183"/>
      <c r="K410" s="183"/>
      <c r="L410" s="183"/>
      <c r="M410" s="183"/>
    </row>
    <row r="411" spans="1:13" ht="30">
      <c r="A411" s="79">
        <f t="shared" si="6"/>
        <v>635</v>
      </c>
      <c r="B411" s="187">
        <v>409</v>
      </c>
      <c r="C411" s="186" t="s">
        <v>1554</v>
      </c>
      <c r="D411" s="187">
        <v>122410</v>
      </c>
      <c r="E411" s="190" t="s">
        <v>786</v>
      </c>
      <c r="F411" s="191" t="s">
        <v>114</v>
      </c>
      <c r="G411" s="193" t="s">
        <v>2066</v>
      </c>
      <c r="H411" s="81" t="s">
        <v>918</v>
      </c>
      <c r="I411" s="190" t="s">
        <v>2096</v>
      </c>
      <c r="J411" s="183"/>
      <c r="K411" s="183"/>
      <c r="L411" s="183"/>
      <c r="M411" s="183"/>
    </row>
    <row r="412" spans="1:13" ht="30">
      <c r="A412" s="79">
        <f t="shared" si="6"/>
        <v>109</v>
      </c>
      <c r="B412" s="187">
        <v>410</v>
      </c>
      <c r="C412" s="186" t="s">
        <v>1028</v>
      </c>
      <c r="D412" s="187">
        <v>122465</v>
      </c>
      <c r="E412" s="190" t="s">
        <v>787</v>
      </c>
      <c r="F412" s="191" t="s">
        <v>114</v>
      </c>
      <c r="G412" s="193" t="s">
        <v>1769</v>
      </c>
      <c r="H412" s="81" t="s">
        <v>918</v>
      </c>
      <c r="I412" s="190" t="s">
        <v>2086</v>
      </c>
      <c r="J412" s="183"/>
      <c r="K412" s="183"/>
      <c r="L412" s="183"/>
      <c r="M412" s="183"/>
    </row>
    <row r="413" spans="1:13" ht="15.75">
      <c r="A413" s="79">
        <f t="shared" si="6"/>
        <v>549</v>
      </c>
      <c r="B413" s="187">
        <v>411</v>
      </c>
      <c r="C413" s="186" t="s">
        <v>1468</v>
      </c>
      <c r="D413" s="187">
        <v>122500</v>
      </c>
      <c r="E413" s="190" t="s">
        <v>788</v>
      </c>
      <c r="F413" s="191" t="s">
        <v>60</v>
      </c>
      <c r="G413" s="193" t="s">
        <v>2011</v>
      </c>
      <c r="H413" s="81" t="s">
        <v>918</v>
      </c>
      <c r="I413" s="190" t="s">
        <v>2095</v>
      </c>
      <c r="J413" s="183"/>
      <c r="K413" s="183"/>
      <c r="L413" s="183"/>
      <c r="M413" s="183"/>
    </row>
    <row r="414" spans="1:13" ht="15.75">
      <c r="A414" s="79">
        <f t="shared" si="6"/>
        <v>550</v>
      </c>
      <c r="B414" s="187">
        <v>412</v>
      </c>
      <c r="C414" s="186" t="s">
        <v>1469</v>
      </c>
      <c r="D414" s="187">
        <v>122524</v>
      </c>
      <c r="E414" s="190" t="s">
        <v>789</v>
      </c>
      <c r="F414" s="191" t="s">
        <v>114</v>
      </c>
      <c r="G414" s="193" t="s">
        <v>2012</v>
      </c>
      <c r="H414" s="81" t="s">
        <v>918</v>
      </c>
      <c r="I414" s="190" t="s">
        <v>2095</v>
      </c>
      <c r="J414" s="183"/>
      <c r="K414" s="183"/>
      <c r="L414" s="183"/>
      <c r="M414" s="183"/>
    </row>
    <row r="415" spans="1:13" ht="15.75">
      <c r="A415" s="79">
        <f t="shared" si="6"/>
        <v>288</v>
      </c>
      <c r="B415" s="187">
        <v>413</v>
      </c>
      <c r="C415" s="186" t="s">
        <v>1207</v>
      </c>
      <c r="D415" s="187">
        <v>122586</v>
      </c>
      <c r="E415" s="190" t="s">
        <v>790</v>
      </c>
      <c r="F415" s="191" t="s">
        <v>114</v>
      </c>
      <c r="G415" s="193" t="s">
        <v>1866</v>
      </c>
      <c r="H415" s="81" t="s">
        <v>918</v>
      </c>
      <c r="I415" s="190" t="s">
        <v>2093</v>
      </c>
      <c r="J415" s="183"/>
      <c r="K415" s="183"/>
      <c r="L415" s="183"/>
      <c r="M415" s="183"/>
    </row>
    <row r="416" spans="1:13" ht="15.75">
      <c r="A416" s="79">
        <f t="shared" si="6"/>
        <v>551</v>
      </c>
      <c r="B416" s="187">
        <v>414</v>
      </c>
      <c r="C416" s="186" t="s">
        <v>1470</v>
      </c>
      <c r="D416" s="187">
        <v>122593</v>
      </c>
      <c r="E416" s="190" t="s">
        <v>791</v>
      </c>
      <c r="F416" s="191" t="s">
        <v>114</v>
      </c>
      <c r="G416" s="193" t="s">
        <v>149</v>
      </c>
      <c r="H416" s="81" t="s">
        <v>918</v>
      </c>
      <c r="I416" s="190" t="s">
        <v>2095</v>
      </c>
      <c r="J416" s="183"/>
      <c r="K416" s="183"/>
      <c r="L416" s="183"/>
      <c r="M416" s="183"/>
    </row>
    <row r="417" spans="1:13" ht="15.75">
      <c r="A417" s="79">
        <f t="shared" si="6"/>
        <v>552</v>
      </c>
      <c r="B417" s="187">
        <v>415</v>
      </c>
      <c r="C417" s="186" t="s">
        <v>1471</v>
      </c>
      <c r="D417" s="187">
        <v>122614</v>
      </c>
      <c r="E417" s="190" t="s">
        <v>792</v>
      </c>
      <c r="F417" s="191" t="s">
        <v>60</v>
      </c>
      <c r="G417" s="193" t="s">
        <v>2013</v>
      </c>
      <c r="H417" s="81" t="s">
        <v>918</v>
      </c>
      <c r="I417" s="190" t="s">
        <v>2095</v>
      </c>
      <c r="J417" s="183"/>
      <c r="K417" s="183"/>
      <c r="L417" s="183"/>
      <c r="M417" s="183"/>
    </row>
    <row r="418" spans="1:13" ht="15.75">
      <c r="A418" s="79">
        <f t="shared" si="6"/>
        <v>25</v>
      </c>
      <c r="B418" s="187">
        <v>416</v>
      </c>
      <c r="C418" s="186" t="s">
        <v>944</v>
      </c>
      <c r="D418" s="187">
        <v>122711</v>
      </c>
      <c r="E418" s="190" t="s">
        <v>793</v>
      </c>
      <c r="F418" s="191" t="s">
        <v>60</v>
      </c>
      <c r="G418" s="193" t="s">
        <v>1709</v>
      </c>
      <c r="H418" s="81" t="s">
        <v>918</v>
      </c>
      <c r="I418" s="190" t="s">
        <v>2080</v>
      </c>
      <c r="J418" s="183"/>
      <c r="K418" s="183"/>
      <c r="L418" s="183"/>
      <c r="M418" s="183"/>
    </row>
    <row r="419" spans="1:13" ht="15.75">
      <c r="A419" s="79">
        <f t="shared" si="6"/>
        <v>289</v>
      </c>
      <c r="B419" s="187">
        <v>417</v>
      </c>
      <c r="C419" s="186" t="s">
        <v>1208</v>
      </c>
      <c r="D419" s="187">
        <v>122728</v>
      </c>
      <c r="E419" s="190" t="s">
        <v>794</v>
      </c>
      <c r="F419" s="191" t="s">
        <v>114</v>
      </c>
      <c r="G419" s="193" t="s">
        <v>1867</v>
      </c>
      <c r="H419" s="81" t="s">
        <v>918</v>
      </c>
      <c r="I419" s="190" t="s">
        <v>2093</v>
      </c>
      <c r="J419" s="184"/>
      <c r="K419" s="183"/>
      <c r="L419" s="183"/>
      <c r="M419" s="183"/>
    </row>
    <row r="420" spans="1:13" ht="15.75">
      <c r="A420" s="79">
        <f t="shared" si="6"/>
        <v>290</v>
      </c>
      <c r="B420" s="187">
        <v>418</v>
      </c>
      <c r="C420" s="186" t="s">
        <v>1209</v>
      </c>
      <c r="D420" s="187">
        <v>122742</v>
      </c>
      <c r="E420" s="190" t="s">
        <v>795</v>
      </c>
      <c r="F420" s="191" t="s">
        <v>60</v>
      </c>
      <c r="G420" s="193" t="s">
        <v>389</v>
      </c>
      <c r="H420" s="81" t="s">
        <v>918</v>
      </c>
      <c r="I420" s="190" t="s">
        <v>2093</v>
      </c>
      <c r="J420" s="183"/>
      <c r="K420" s="183"/>
      <c r="L420" s="183"/>
      <c r="M420" s="183"/>
    </row>
    <row r="421" spans="1:13" ht="15.75">
      <c r="A421" s="79">
        <f t="shared" si="6"/>
        <v>412</v>
      </c>
      <c r="B421" s="187">
        <v>419</v>
      </c>
      <c r="C421" s="186" t="s">
        <v>1331</v>
      </c>
      <c r="D421" s="187">
        <v>122797</v>
      </c>
      <c r="E421" s="190" t="s">
        <v>796</v>
      </c>
      <c r="F421" s="191" t="s">
        <v>114</v>
      </c>
      <c r="G421" s="193" t="s">
        <v>1932</v>
      </c>
      <c r="H421" s="81" t="s">
        <v>918</v>
      </c>
      <c r="I421" s="190" t="s">
        <v>2094</v>
      </c>
      <c r="J421" s="183"/>
      <c r="K421" s="183"/>
      <c r="L421" s="183"/>
      <c r="M421" s="183"/>
    </row>
    <row r="422" spans="1:13" ht="15.75">
      <c r="A422" s="79">
        <f t="shared" si="6"/>
        <v>553</v>
      </c>
      <c r="B422" s="187">
        <v>420</v>
      </c>
      <c r="C422" s="186" t="s">
        <v>1472</v>
      </c>
      <c r="D422" s="187">
        <v>122825</v>
      </c>
      <c r="E422" s="190" t="s">
        <v>1671</v>
      </c>
      <c r="F422" s="191" t="s">
        <v>114</v>
      </c>
      <c r="G422" s="193" t="s">
        <v>2014</v>
      </c>
      <c r="H422" s="81" t="s">
        <v>918</v>
      </c>
      <c r="I422" s="190" t="s">
        <v>2095</v>
      </c>
      <c r="J422" s="183"/>
      <c r="K422" s="183"/>
      <c r="L422" s="183"/>
      <c r="M422" s="183"/>
    </row>
    <row r="423" spans="1:13" ht="15.75">
      <c r="A423" s="79">
        <f t="shared" si="6"/>
        <v>554</v>
      </c>
      <c r="B423" s="187">
        <v>421</v>
      </c>
      <c r="C423" s="186" t="s">
        <v>1473</v>
      </c>
      <c r="D423" s="187">
        <v>122832</v>
      </c>
      <c r="E423" s="190" t="s">
        <v>797</v>
      </c>
      <c r="F423" s="191" t="s">
        <v>114</v>
      </c>
      <c r="G423" s="193" t="s">
        <v>2015</v>
      </c>
      <c r="H423" s="81" t="s">
        <v>918</v>
      </c>
      <c r="I423" s="190" t="s">
        <v>2095</v>
      </c>
      <c r="J423" s="183"/>
      <c r="K423" s="183"/>
      <c r="L423" s="183"/>
      <c r="M423" s="183"/>
    </row>
    <row r="424" spans="1:13" ht="15.75">
      <c r="A424" s="79">
        <f t="shared" si="6"/>
        <v>555</v>
      </c>
      <c r="B424" s="187">
        <v>422</v>
      </c>
      <c r="C424" s="186" t="s">
        <v>1474</v>
      </c>
      <c r="D424" s="187">
        <v>122856</v>
      </c>
      <c r="E424" s="190" t="s">
        <v>798</v>
      </c>
      <c r="F424" s="191" t="s">
        <v>60</v>
      </c>
      <c r="G424" s="193" t="s">
        <v>2016</v>
      </c>
      <c r="H424" s="81" t="s">
        <v>918</v>
      </c>
      <c r="I424" s="190" t="s">
        <v>2095</v>
      </c>
      <c r="J424" s="183"/>
      <c r="K424" s="183"/>
      <c r="L424" s="183"/>
      <c r="M424" s="183"/>
    </row>
    <row r="425" spans="1:13" ht="15.75">
      <c r="A425" s="79">
        <f t="shared" si="6"/>
        <v>556</v>
      </c>
      <c r="B425" s="187">
        <v>423</v>
      </c>
      <c r="C425" s="186" t="s">
        <v>1475</v>
      </c>
      <c r="D425" s="187">
        <v>122870</v>
      </c>
      <c r="E425" s="190" t="s">
        <v>799</v>
      </c>
      <c r="F425" s="191" t="s">
        <v>60</v>
      </c>
      <c r="G425" s="193" t="s">
        <v>2017</v>
      </c>
      <c r="H425" s="81" t="s">
        <v>918</v>
      </c>
      <c r="I425" s="190" t="s">
        <v>2095</v>
      </c>
      <c r="J425" s="183"/>
      <c r="K425" s="183"/>
      <c r="L425" s="183"/>
      <c r="M425" s="183"/>
    </row>
    <row r="426" spans="1:13" ht="15.75">
      <c r="A426" s="79">
        <f t="shared" si="6"/>
        <v>557</v>
      </c>
      <c r="B426" s="187">
        <v>424</v>
      </c>
      <c r="C426" s="186" t="s">
        <v>1476</v>
      </c>
      <c r="D426" s="187">
        <v>122887</v>
      </c>
      <c r="E426" s="190" t="s">
        <v>1672</v>
      </c>
      <c r="F426" s="191" t="s">
        <v>114</v>
      </c>
      <c r="G426" s="193" t="s">
        <v>2018</v>
      </c>
      <c r="H426" s="81" t="s">
        <v>918</v>
      </c>
      <c r="I426" s="190" t="s">
        <v>2095</v>
      </c>
      <c r="J426" s="184"/>
      <c r="K426" s="183"/>
      <c r="L426" s="183"/>
      <c r="M426" s="183"/>
    </row>
    <row r="427" spans="1:13" ht="15.75">
      <c r="A427" s="79">
        <f t="shared" si="6"/>
        <v>558</v>
      </c>
      <c r="B427" s="187">
        <v>425</v>
      </c>
      <c r="C427" s="186" t="s">
        <v>1477</v>
      </c>
      <c r="D427" s="187">
        <v>122894</v>
      </c>
      <c r="E427" s="190" t="s">
        <v>800</v>
      </c>
      <c r="F427" s="191" t="s">
        <v>60</v>
      </c>
      <c r="G427" s="193" t="s">
        <v>328</v>
      </c>
      <c r="H427" s="81" t="s">
        <v>918</v>
      </c>
      <c r="I427" s="190" t="s">
        <v>2095</v>
      </c>
      <c r="J427" s="183"/>
      <c r="K427" s="183"/>
      <c r="L427" s="183"/>
      <c r="M427" s="183"/>
    </row>
    <row r="428" spans="1:13" ht="15.75">
      <c r="A428" s="79">
        <f t="shared" si="6"/>
        <v>171</v>
      </c>
      <c r="B428" s="187">
        <v>426</v>
      </c>
      <c r="C428" s="186" t="s">
        <v>1090</v>
      </c>
      <c r="D428" s="187">
        <v>122922</v>
      </c>
      <c r="E428" s="190" t="s">
        <v>801</v>
      </c>
      <c r="F428" s="191" t="s">
        <v>114</v>
      </c>
      <c r="G428" s="193" t="s">
        <v>1808</v>
      </c>
      <c r="H428" s="81" t="s">
        <v>918</v>
      </c>
      <c r="I428" s="190" t="s">
        <v>2090</v>
      </c>
      <c r="J428" s="184"/>
      <c r="K428" s="183"/>
      <c r="L428" s="183"/>
      <c r="M428" s="183"/>
    </row>
    <row r="429" spans="1:13" ht="15.75">
      <c r="A429" s="79">
        <f t="shared" si="6"/>
        <v>559</v>
      </c>
      <c r="B429" s="187">
        <v>427</v>
      </c>
      <c r="C429" s="186" t="s">
        <v>1478</v>
      </c>
      <c r="D429" s="187">
        <v>122960</v>
      </c>
      <c r="E429" s="190" t="s">
        <v>802</v>
      </c>
      <c r="F429" s="191" t="s">
        <v>114</v>
      </c>
      <c r="G429" s="193" t="s">
        <v>2019</v>
      </c>
      <c r="H429" s="81" t="s">
        <v>918</v>
      </c>
      <c r="I429" s="190" t="s">
        <v>2095</v>
      </c>
      <c r="J429" s="184"/>
      <c r="K429" s="183"/>
      <c r="L429" s="183"/>
      <c r="M429" s="183"/>
    </row>
    <row r="430" spans="1:13" ht="15.75">
      <c r="A430" s="79">
        <f t="shared" si="6"/>
        <v>291</v>
      </c>
      <c r="B430" s="187">
        <v>428</v>
      </c>
      <c r="C430" s="186" t="s">
        <v>1210</v>
      </c>
      <c r="D430" s="187">
        <v>122977</v>
      </c>
      <c r="E430" s="190" t="s">
        <v>803</v>
      </c>
      <c r="F430" s="191" t="s">
        <v>60</v>
      </c>
      <c r="G430" s="193" t="s">
        <v>1868</v>
      </c>
      <c r="H430" s="81" t="s">
        <v>918</v>
      </c>
      <c r="I430" s="190" t="s">
        <v>2093</v>
      </c>
      <c r="J430" s="183"/>
      <c r="K430" s="183"/>
      <c r="L430" s="183"/>
      <c r="M430" s="183"/>
    </row>
    <row r="431" spans="1:13" ht="15.75">
      <c r="A431" s="79">
        <f t="shared" si="6"/>
        <v>292</v>
      </c>
      <c r="B431" s="187">
        <v>429</v>
      </c>
      <c r="C431" s="186" t="s">
        <v>1211</v>
      </c>
      <c r="D431" s="187">
        <v>122984</v>
      </c>
      <c r="E431" s="190" t="s">
        <v>804</v>
      </c>
      <c r="F431" s="191" t="s">
        <v>60</v>
      </c>
      <c r="G431" s="193" t="s">
        <v>344</v>
      </c>
      <c r="H431" s="81" t="s">
        <v>918</v>
      </c>
      <c r="I431" s="190" t="s">
        <v>2093</v>
      </c>
      <c r="J431" s="184"/>
      <c r="K431" s="183"/>
      <c r="L431" s="183"/>
      <c r="M431" s="183"/>
    </row>
    <row r="432" spans="1:13" ht="15.75">
      <c r="A432" s="79">
        <f t="shared" si="6"/>
        <v>560</v>
      </c>
      <c r="B432" s="187">
        <v>430</v>
      </c>
      <c r="C432" s="186" t="s">
        <v>1479</v>
      </c>
      <c r="D432" s="187">
        <v>122991</v>
      </c>
      <c r="E432" s="190" t="s">
        <v>805</v>
      </c>
      <c r="F432" s="191" t="s">
        <v>114</v>
      </c>
      <c r="G432" s="193" t="s">
        <v>2020</v>
      </c>
      <c r="H432" s="81" t="s">
        <v>918</v>
      </c>
      <c r="I432" s="190" t="s">
        <v>2095</v>
      </c>
      <c r="J432" s="183"/>
      <c r="K432" s="183"/>
      <c r="L432" s="183"/>
      <c r="M432" s="183"/>
    </row>
    <row r="433" spans="1:13" ht="15.75">
      <c r="A433" s="79">
        <f t="shared" si="6"/>
        <v>293</v>
      </c>
      <c r="B433" s="187">
        <v>431</v>
      </c>
      <c r="C433" s="186" t="s">
        <v>1212</v>
      </c>
      <c r="D433" s="187">
        <v>123002</v>
      </c>
      <c r="E433" s="190" t="s">
        <v>806</v>
      </c>
      <c r="F433" s="191" t="s">
        <v>114</v>
      </c>
      <c r="G433" s="193" t="s">
        <v>233</v>
      </c>
      <c r="H433" s="81" t="s">
        <v>918</v>
      </c>
      <c r="I433" s="190" t="s">
        <v>2093</v>
      </c>
      <c r="J433" s="183"/>
      <c r="K433" s="183"/>
      <c r="L433" s="183"/>
      <c r="M433" s="183"/>
    </row>
    <row r="434" spans="1:13" ht="15.75">
      <c r="A434" s="79">
        <f t="shared" si="6"/>
        <v>413</v>
      </c>
      <c r="B434" s="187">
        <v>432</v>
      </c>
      <c r="C434" s="186" t="s">
        <v>1332</v>
      </c>
      <c r="D434" s="187">
        <v>123057</v>
      </c>
      <c r="E434" s="190" t="s">
        <v>807</v>
      </c>
      <c r="F434" s="191" t="s">
        <v>114</v>
      </c>
      <c r="G434" s="193" t="s">
        <v>1933</v>
      </c>
      <c r="H434" s="81" t="s">
        <v>918</v>
      </c>
      <c r="I434" s="190" t="s">
        <v>2094</v>
      </c>
      <c r="J434" s="184"/>
      <c r="K434" s="183"/>
      <c r="L434" s="183"/>
      <c r="M434" s="183"/>
    </row>
    <row r="435" spans="1:13" ht="15.75">
      <c r="A435" s="79">
        <f t="shared" si="6"/>
        <v>561</v>
      </c>
      <c r="B435" s="187">
        <v>433</v>
      </c>
      <c r="C435" s="186" t="s">
        <v>1480</v>
      </c>
      <c r="D435" s="187">
        <v>123123</v>
      </c>
      <c r="E435" s="190" t="s">
        <v>808</v>
      </c>
      <c r="F435" s="191" t="s">
        <v>114</v>
      </c>
      <c r="G435" s="193" t="s">
        <v>367</v>
      </c>
      <c r="H435" s="81" t="s">
        <v>918</v>
      </c>
      <c r="I435" s="190" t="s">
        <v>2095</v>
      </c>
      <c r="J435" s="184"/>
      <c r="K435" s="183"/>
      <c r="L435" s="183"/>
      <c r="M435" s="183"/>
    </row>
    <row r="436" spans="1:13" ht="15.75">
      <c r="A436" s="79">
        <f t="shared" si="6"/>
        <v>562</v>
      </c>
      <c r="B436" s="187">
        <v>434</v>
      </c>
      <c r="C436" s="186" t="s">
        <v>1481</v>
      </c>
      <c r="D436" s="187">
        <v>123147</v>
      </c>
      <c r="E436" s="190" t="s">
        <v>809</v>
      </c>
      <c r="F436" s="191" t="s">
        <v>60</v>
      </c>
      <c r="G436" s="193" t="s">
        <v>2021</v>
      </c>
      <c r="H436" s="81" t="s">
        <v>918</v>
      </c>
      <c r="I436" s="190" t="s">
        <v>2095</v>
      </c>
      <c r="J436" s="183"/>
      <c r="K436" s="183"/>
      <c r="L436" s="183"/>
      <c r="M436" s="183"/>
    </row>
    <row r="437" spans="1:13" ht="15.75">
      <c r="A437" s="79">
        <f t="shared" si="6"/>
        <v>294</v>
      </c>
      <c r="B437" s="187">
        <v>435</v>
      </c>
      <c r="C437" s="186" t="s">
        <v>1213</v>
      </c>
      <c r="D437" s="187">
        <v>123282</v>
      </c>
      <c r="E437" s="190" t="s">
        <v>810</v>
      </c>
      <c r="F437" s="191" t="s">
        <v>114</v>
      </c>
      <c r="G437" s="193" t="s">
        <v>1869</v>
      </c>
      <c r="H437" s="81" t="s">
        <v>918</v>
      </c>
      <c r="I437" s="190" t="s">
        <v>2093</v>
      </c>
      <c r="J437" s="183"/>
      <c r="K437" s="183"/>
      <c r="L437" s="183"/>
      <c r="M437" s="183"/>
    </row>
    <row r="438" spans="1:13" ht="15.75">
      <c r="A438" s="79">
        <f t="shared" si="6"/>
        <v>295</v>
      </c>
      <c r="B438" s="187">
        <v>436</v>
      </c>
      <c r="C438" s="186" t="s">
        <v>1214</v>
      </c>
      <c r="D438" s="187">
        <v>123299</v>
      </c>
      <c r="E438" s="190" t="s">
        <v>811</v>
      </c>
      <c r="F438" s="191" t="s">
        <v>114</v>
      </c>
      <c r="G438" s="193" t="s">
        <v>256</v>
      </c>
      <c r="H438" s="81" t="s">
        <v>918</v>
      </c>
      <c r="I438" s="190" t="s">
        <v>2093</v>
      </c>
      <c r="J438" s="184"/>
      <c r="K438" s="183"/>
      <c r="L438" s="183"/>
      <c r="M438" s="183"/>
    </row>
    <row r="439" spans="1:13" ht="15.75">
      <c r="A439" s="79">
        <f t="shared" si="6"/>
        <v>296</v>
      </c>
      <c r="B439" s="187">
        <v>437</v>
      </c>
      <c r="C439" s="186" t="s">
        <v>1215</v>
      </c>
      <c r="D439" s="187">
        <v>123303</v>
      </c>
      <c r="E439" s="190" t="s">
        <v>812</v>
      </c>
      <c r="F439" s="191" t="s">
        <v>60</v>
      </c>
      <c r="G439" s="193" t="s">
        <v>386</v>
      </c>
      <c r="H439" s="81" t="s">
        <v>918</v>
      </c>
      <c r="I439" s="190" t="s">
        <v>2093</v>
      </c>
      <c r="J439" s="183"/>
      <c r="K439" s="183"/>
      <c r="L439" s="183"/>
      <c r="M439" s="183"/>
    </row>
    <row r="440" spans="1:13" ht="15.75">
      <c r="A440" s="79">
        <f t="shared" si="6"/>
        <v>414</v>
      </c>
      <c r="B440" s="187">
        <v>438</v>
      </c>
      <c r="C440" s="186" t="s">
        <v>1333</v>
      </c>
      <c r="D440" s="187">
        <v>123327</v>
      </c>
      <c r="E440" s="190" t="s">
        <v>813</v>
      </c>
      <c r="F440" s="191" t="s">
        <v>60</v>
      </c>
      <c r="G440" s="193" t="s">
        <v>1934</v>
      </c>
      <c r="H440" s="81" t="s">
        <v>918</v>
      </c>
      <c r="I440" s="190" t="s">
        <v>2094</v>
      </c>
      <c r="J440" s="184"/>
      <c r="K440" s="183"/>
      <c r="L440" s="183"/>
      <c r="M440" s="183"/>
    </row>
    <row r="441" spans="1:13" ht="15.75">
      <c r="A441" s="79">
        <f t="shared" si="6"/>
        <v>563</v>
      </c>
      <c r="B441" s="187">
        <v>439</v>
      </c>
      <c r="C441" s="186" t="s">
        <v>1482</v>
      </c>
      <c r="D441" s="187">
        <v>123400</v>
      </c>
      <c r="E441" s="190" t="s">
        <v>814</v>
      </c>
      <c r="F441" s="191" t="s">
        <v>60</v>
      </c>
      <c r="G441" s="193" t="s">
        <v>2022</v>
      </c>
      <c r="H441" s="81" t="s">
        <v>918</v>
      </c>
      <c r="I441" s="190" t="s">
        <v>2095</v>
      </c>
      <c r="J441" s="183"/>
      <c r="K441" s="183"/>
      <c r="L441" s="183"/>
      <c r="M441" s="183"/>
    </row>
    <row r="442" spans="1:13" ht="15.75">
      <c r="A442" s="79">
        <f t="shared" si="6"/>
        <v>564</v>
      </c>
      <c r="B442" s="187">
        <v>440</v>
      </c>
      <c r="C442" s="186" t="s">
        <v>1483</v>
      </c>
      <c r="D442" s="187">
        <v>123417</v>
      </c>
      <c r="E442" s="190" t="s">
        <v>815</v>
      </c>
      <c r="F442" s="191" t="s">
        <v>60</v>
      </c>
      <c r="G442" s="193" t="s">
        <v>287</v>
      </c>
      <c r="H442" s="81" t="s">
        <v>918</v>
      </c>
      <c r="I442" s="190" t="s">
        <v>2095</v>
      </c>
      <c r="J442" s="183"/>
      <c r="K442" s="183"/>
      <c r="L442" s="183"/>
      <c r="M442" s="183"/>
    </row>
    <row r="443" spans="1:13" ht="15.75">
      <c r="A443" s="79">
        <f t="shared" si="6"/>
        <v>565</v>
      </c>
      <c r="B443" s="187">
        <v>441</v>
      </c>
      <c r="C443" s="186" t="s">
        <v>1484</v>
      </c>
      <c r="D443" s="187">
        <v>123424</v>
      </c>
      <c r="E443" s="190" t="s">
        <v>816</v>
      </c>
      <c r="F443" s="191" t="s">
        <v>114</v>
      </c>
      <c r="G443" s="193" t="s">
        <v>168</v>
      </c>
      <c r="H443" s="81" t="s">
        <v>918</v>
      </c>
      <c r="I443" s="190" t="s">
        <v>2095</v>
      </c>
      <c r="J443" s="183"/>
      <c r="K443" s="183"/>
      <c r="L443" s="183"/>
      <c r="M443" s="183"/>
    </row>
    <row r="444" spans="1:13" ht="15.75">
      <c r="A444" s="79">
        <f t="shared" si="6"/>
        <v>566</v>
      </c>
      <c r="B444" s="187">
        <v>442</v>
      </c>
      <c r="C444" s="186" t="s">
        <v>1485</v>
      </c>
      <c r="D444" s="187">
        <v>123462</v>
      </c>
      <c r="E444" s="190" t="s">
        <v>817</v>
      </c>
      <c r="F444" s="191" t="s">
        <v>60</v>
      </c>
      <c r="G444" s="193" t="s">
        <v>250</v>
      </c>
      <c r="H444" s="81" t="s">
        <v>918</v>
      </c>
      <c r="I444" s="190" t="s">
        <v>2095</v>
      </c>
      <c r="J444" s="183"/>
      <c r="K444" s="183"/>
      <c r="L444" s="183"/>
      <c r="M444" s="183"/>
    </row>
    <row r="445" spans="1:13" ht="15.75">
      <c r="A445" s="79">
        <f t="shared" si="6"/>
        <v>415</v>
      </c>
      <c r="B445" s="187">
        <v>443</v>
      </c>
      <c r="C445" s="186" t="s">
        <v>1334</v>
      </c>
      <c r="D445" s="187">
        <v>123479</v>
      </c>
      <c r="E445" s="190" t="s">
        <v>475</v>
      </c>
      <c r="F445" s="191" t="s">
        <v>114</v>
      </c>
      <c r="G445" s="193" t="s">
        <v>1935</v>
      </c>
      <c r="H445" s="81" t="s">
        <v>918</v>
      </c>
      <c r="I445" s="190" t="s">
        <v>2094</v>
      </c>
      <c r="J445" s="183"/>
      <c r="K445" s="183"/>
      <c r="L445" s="183"/>
      <c r="M445" s="183"/>
    </row>
    <row r="446" spans="1:13" ht="15.75">
      <c r="A446" s="79">
        <f t="shared" si="6"/>
        <v>297</v>
      </c>
      <c r="B446" s="187">
        <v>444</v>
      </c>
      <c r="C446" s="186" t="s">
        <v>1216</v>
      </c>
      <c r="D446" s="187">
        <v>123486</v>
      </c>
      <c r="E446" s="190" t="s">
        <v>1627</v>
      </c>
      <c r="F446" s="191" t="s">
        <v>114</v>
      </c>
      <c r="G446" s="193" t="s">
        <v>327</v>
      </c>
      <c r="H446" s="81" t="s">
        <v>918</v>
      </c>
      <c r="I446" s="190" t="s">
        <v>2093</v>
      </c>
      <c r="J446" s="184"/>
      <c r="K446" s="183"/>
      <c r="L446" s="183"/>
      <c r="M446" s="183"/>
    </row>
    <row r="447" spans="1:13" ht="15.75">
      <c r="A447" s="79">
        <f t="shared" si="6"/>
        <v>567</v>
      </c>
      <c r="B447" s="187">
        <v>445</v>
      </c>
      <c r="C447" s="186" t="s">
        <v>1486</v>
      </c>
      <c r="D447" s="187">
        <v>123545</v>
      </c>
      <c r="E447" s="190" t="s">
        <v>818</v>
      </c>
      <c r="F447" s="191" t="s">
        <v>114</v>
      </c>
      <c r="G447" s="193" t="s">
        <v>2023</v>
      </c>
      <c r="H447" s="81" t="s">
        <v>918</v>
      </c>
      <c r="I447" s="190" t="s">
        <v>2095</v>
      </c>
      <c r="J447" s="183"/>
      <c r="K447" s="183"/>
      <c r="L447" s="183"/>
      <c r="M447" s="183"/>
    </row>
    <row r="448" spans="1:13" ht="15.75">
      <c r="A448" s="79">
        <f t="shared" si="6"/>
        <v>298</v>
      </c>
      <c r="B448" s="187">
        <v>446</v>
      </c>
      <c r="C448" s="186" t="s">
        <v>1217</v>
      </c>
      <c r="D448" s="187">
        <v>123569</v>
      </c>
      <c r="E448" s="190" t="s">
        <v>819</v>
      </c>
      <c r="F448" s="191" t="s">
        <v>60</v>
      </c>
      <c r="G448" s="193" t="s">
        <v>1870</v>
      </c>
      <c r="H448" s="81" t="s">
        <v>918</v>
      </c>
      <c r="I448" s="190" t="s">
        <v>2093</v>
      </c>
      <c r="J448" s="183"/>
      <c r="K448" s="183"/>
      <c r="L448" s="183"/>
      <c r="M448" s="183"/>
    </row>
    <row r="449" spans="1:13" ht="15.75">
      <c r="A449" s="79">
        <f t="shared" si="6"/>
        <v>299</v>
      </c>
      <c r="B449" s="187">
        <v>447</v>
      </c>
      <c r="C449" s="186" t="s">
        <v>1218</v>
      </c>
      <c r="D449" s="187">
        <v>123576</v>
      </c>
      <c r="E449" s="190" t="s">
        <v>559</v>
      </c>
      <c r="F449" s="191" t="s">
        <v>60</v>
      </c>
      <c r="G449" s="193" t="s">
        <v>1871</v>
      </c>
      <c r="H449" s="81" t="s">
        <v>918</v>
      </c>
      <c r="I449" s="190" t="s">
        <v>2093</v>
      </c>
      <c r="J449" s="183"/>
      <c r="K449" s="183"/>
      <c r="L449" s="183"/>
      <c r="M449" s="183"/>
    </row>
    <row r="450" spans="1:13" ht="15.75">
      <c r="A450" s="79">
        <f t="shared" si="6"/>
        <v>416</v>
      </c>
      <c r="B450" s="187">
        <v>448</v>
      </c>
      <c r="C450" s="186" t="s">
        <v>1335</v>
      </c>
      <c r="D450" s="187">
        <v>123604</v>
      </c>
      <c r="E450" s="190" t="s">
        <v>820</v>
      </c>
      <c r="F450" s="191" t="s">
        <v>60</v>
      </c>
      <c r="G450" s="193" t="s">
        <v>1936</v>
      </c>
      <c r="H450" s="81" t="s">
        <v>918</v>
      </c>
      <c r="I450" s="190" t="s">
        <v>2094</v>
      </c>
      <c r="J450" s="183"/>
      <c r="K450" s="183"/>
      <c r="L450" s="183"/>
      <c r="M450" s="183"/>
    </row>
    <row r="451" spans="1:13" ht="15.75">
      <c r="A451" s="79">
        <f t="shared" ref="A451:A514" si="7">IFERROR(VALUE(RIGHT(C451,4)),"")</f>
        <v>417</v>
      </c>
      <c r="B451" s="187">
        <v>449</v>
      </c>
      <c r="C451" s="186" t="s">
        <v>1336</v>
      </c>
      <c r="D451" s="187">
        <v>123697</v>
      </c>
      <c r="E451" s="190" t="s">
        <v>821</v>
      </c>
      <c r="F451" s="191" t="s">
        <v>114</v>
      </c>
      <c r="G451" s="193" t="s">
        <v>1937</v>
      </c>
      <c r="H451" s="81" t="s">
        <v>918</v>
      </c>
      <c r="I451" s="190" t="s">
        <v>2094</v>
      </c>
      <c r="J451" s="183"/>
      <c r="K451" s="183"/>
      <c r="L451" s="183"/>
      <c r="M451" s="183"/>
    </row>
    <row r="452" spans="1:13" ht="15.75">
      <c r="A452" s="79">
        <f t="shared" si="7"/>
        <v>418</v>
      </c>
      <c r="B452" s="187">
        <v>450</v>
      </c>
      <c r="C452" s="186" t="s">
        <v>1337</v>
      </c>
      <c r="D452" s="187">
        <v>123701</v>
      </c>
      <c r="E452" s="190" t="s">
        <v>810</v>
      </c>
      <c r="F452" s="191" t="s">
        <v>114</v>
      </c>
      <c r="G452" s="193" t="s">
        <v>172</v>
      </c>
      <c r="H452" s="81" t="s">
        <v>918</v>
      </c>
      <c r="I452" s="190" t="s">
        <v>2094</v>
      </c>
      <c r="J452" s="183"/>
      <c r="K452" s="183"/>
      <c r="L452" s="183"/>
      <c r="M452" s="183"/>
    </row>
    <row r="453" spans="1:13" ht="15.75">
      <c r="A453" s="79">
        <f t="shared" si="7"/>
        <v>419</v>
      </c>
      <c r="B453" s="187">
        <v>451</v>
      </c>
      <c r="C453" s="186" t="s">
        <v>1338</v>
      </c>
      <c r="D453" s="187">
        <v>123725</v>
      </c>
      <c r="E453" s="190" t="s">
        <v>822</v>
      </c>
      <c r="F453" s="191" t="s">
        <v>114</v>
      </c>
      <c r="G453" s="193" t="s">
        <v>1938</v>
      </c>
      <c r="H453" s="81" t="s">
        <v>918</v>
      </c>
      <c r="I453" s="190" t="s">
        <v>2094</v>
      </c>
      <c r="J453" s="183"/>
      <c r="K453" s="183"/>
      <c r="L453" s="183"/>
      <c r="M453" s="183"/>
    </row>
    <row r="454" spans="1:13" ht="15.75">
      <c r="A454" s="79">
        <f t="shared" si="7"/>
        <v>420</v>
      </c>
      <c r="B454" s="187">
        <v>452</v>
      </c>
      <c r="C454" s="186" t="s">
        <v>1339</v>
      </c>
      <c r="D454" s="187">
        <v>123732</v>
      </c>
      <c r="E454" s="190" t="s">
        <v>823</v>
      </c>
      <c r="F454" s="191" t="s">
        <v>114</v>
      </c>
      <c r="G454" s="193" t="s">
        <v>373</v>
      </c>
      <c r="H454" s="81" t="s">
        <v>918</v>
      </c>
      <c r="I454" s="190" t="s">
        <v>2094</v>
      </c>
      <c r="J454" s="183"/>
      <c r="K454" s="183"/>
      <c r="L454" s="183"/>
      <c r="M454" s="183"/>
    </row>
    <row r="455" spans="1:13" ht="15.75">
      <c r="A455" s="79">
        <f t="shared" si="7"/>
        <v>421</v>
      </c>
      <c r="B455" s="187">
        <v>453</v>
      </c>
      <c r="C455" s="186" t="s">
        <v>1340</v>
      </c>
      <c r="D455" s="187">
        <v>123749</v>
      </c>
      <c r="E455" s="190" t="s">
        <v>1649</v>
      </c>
      <c r="F455" s="191" t="s">
        <v>114</v>
      </c>
      <c r="G455" s="193" t="s">
        <v>1939</v>
      </c>
      <c r="H455" s="81" t="s">
        <v>918</v>
      </c>
      <c r="I455" s="190" t="s">
        <v>2094</v>
      </c>
      <c r="J455" s="183"/>
      <c r="K455" s="183"/>
      <c r="L455" s="183"/>
      <c r="M455" s="183"/>
    </row>
    <row r="456" spans="1:13" ht="15.75">
      <c r="A456" s="79">
        <f t="shared" si="7"/>
        <v>422</v>
      </c>
      <c r="B456" s="187">
        <v>454</v>
      </c>
      <c r="C456" s="186" t="s">
        <v>1341</v>
      </c>
      <c r="D456" s="187">
        <v>123763</v>
      </c>
      <c r="E456" s="190" t="s">
        <v>824</v>
      </c>
      <c r="F456" s="191" t="s">
        <v>60</v>
      </c>
      <c r="G456" s="193" t="s">
        <v>1940</v>
      </c>
      <c r="H456" s="81" t="s">
        <v>918</v>
      </c>
      <c r="I456" s="190" t="s">
        <v>2094</v>
      </c>
      <c r="J456" s="183"/>
      <c r="K456" s="183"/>
      <c r="L456" s="183"/>
      <c r="M456" s="183"/>
    </row>
    <row r="457" spans="1:13" ht="15.75">
      <c r="A457" s="79">
        <f t="shared" si="7"/>
        <v>423</v>
      </c>
      <c r="B457" s="187">
        <v>455</v>
      </c>
      <c r="C457" s="186" t="s">
        <v>1342</v>
      </c>
      <c r="D457" s="187">
        <v>123770</v>
      </c>
      <c r="E457" s="190" t="s">
        <v>1650</v>
      </c>
      <c r="F457" s="191" t="s">
        <v>114</v>
      </c>
      <c r="G457" s="193" t="s">
        <v>288</v>
      </c>
      <c r="H457" s="81" t="s">
        <v>918</v>
      </c>
      <c r="I457" s="190" t="s">
        <v>2094</v>
      </c>
      <c r="J457" s="183"/>
      <c r="K457" s="183"/>
      <c r="L457" s="183"/>
      <c r="M457" s="183"/>
    </row>
    <row r="458" spans="1:13" ht="15.75">
      <c r="A458" s="79">
        <f t="shared" si="7"/>
        <v>568</v>
      </c>
      <c r="B458" s="187">
        <v>456</v>
      </c>
      <c r="C458" s="186" t="s">
        <v>1487</v>
      </c>
      <c r="D458" s="187">
        <v>123822</v>
      </c>
      <c r="E458" s="190" t="s">
        <v>825</v>
      </c>
      <c r="F458" s="191" t="s">
        <v>114</v>
      </c>
      <c r="G458" s="193" t="s">
        <v>280</v>
      </c>
      <c r="H458" s="81" t="s">
        <v>918</v>
      </c>
      <c r="I458" s="190" t="s">
        <v>2095</v>
      </c>
      <c r="J458" s="183"/>
      <c r="K458" s="183"/>
      <c r="L458" s="183"/>
      <c r="M458" s="183"/>
    </row>
    <row r="459" spans="1:13" ht="30">
      <c r="A459" s="79">
        <f t="shared" si="7"/>
        <v>110</v>
      </c>
      <c r="B459" s="187">
        <v>457</v>
      </c>
      <c r="C459" s="186" t="s">
        <v>1029</v>
      </c>
      <c r="D459" s="187">
        <v>123860</v>
      </c>
      <c r="E459" s="190" t="s">
        <v>529</v>
      </c>
      <c r="F459" s="191" t="s">
        <v>114</v>
      </c>
      <c r="G459" s="193" t="s">
        <v>150</v>
      </c>
      <c r="H459" s="81" t="s">
        <v>918</v>
      </c>
      <c r="I459" s="190" t="s">
        <v>2086</v>
      </c>
      <c r="J459" s="183"/>
      <c r="K459" s="183"/>
      <c r="L459" s="183"/>
      <c r="M459" s="183"/>
    </row>
    <row r="460" spans="1:13" ht="30">
      <c r="A460" s="79">
        <f t="shared" si="7"/>
        <v>111</v>
      </c>
      <c r="B460" s="187">
        <v>458</v>
      </c>
      <c r="C460" s="186" t="s">
        <v>1030</v>
      </c>
      <c r="D460" s="187">
        <v>123943</v>
      </c>
      <c r="E460" s="190" t="s">
        <v>826</v>
      </c>
      <c r="F460" s="191" t="s">
        <v>60</v>
      </c>
      <c r="G460" s="193" t="s">
        <v>1770</v>
      </c>
      <c r="H460" s="81" t="s">
        <v>918</v>
      </c>
      <c r="I460" s="190" t="s">
        <v>2086</v>
      </c>
      <c r="J460" s="183"/>
      <c r="K460" s="183"/>
      <c r="L460" s="183"/>
      <c r="M460" s="183"/>
    </row>
    <row r="461" spans="1:13" ht="15.75">
      <c r="A461" s="79">
        <f t="shared" si="7"/>
        <v>424</v>
      </c>
      <c r="B461" s="187">
        <v>459</v>
      </c>
      <c r="C461" s="186" t="s">
        <v>1343</v>
      </c>
      <c r="D461" s="187">
        <v>123950</v>
      </c>
      <c r="E461" s="190" t="s">
        <v>827</v>
      </c>
      <c r="F461" s="191" t="s">
        <v>60</v>
      </c>
      <c r="G461" s="193" t="s">
        <v>338</v>
      </c>
      <c r="H461" s="81" t="s">
        <v>918</v>
      </c>
      <c r="I461" s="190" t="s">
        <v>2094</v>
      </c>
      <c r="J461" s="183"/>
      <c r="K461" s="183"/>
      <c r="L461" s="183"/>
      <c r="M461" s="183"/>
    </row>
    <row r="462" spans="1:13" ht="15.75">
      <c r="A462" s="79">
        <f t="shared" si="7"/>
        <v>300</v>
      </c>
      <c r="B462" s="187">
        <v>460</v>
      </c>
      <c r="C462" s="186" t="s">
        <v>1219</v>
      </c>
      <c r="D462" s="187">
        <v>123981</v>
      </c>
      <c r="E462" s="190" t="s">
        <v>549</v>
      </c>
      <c r="F462" s="191" t="s">
        <v>114</v>
      </c>
      <c r="G462" s="193" t="s">
        <v>1872</v>
      </c>
      <c r="H462" s="81" t="s">
        <v>918</v>
      </c>
      <c r="I462" s="190" t="s">
        <v>2093</v>
      </c>
      <c r="J462" s="183"/>
      <c r="K462" s="183"/>
      <c r="L462" s="183"/>
      <c r="M462" s="183"/>
    </row>
    <row r="463" spans="1:13" ht="15.75">
      <c r="A463" s="79">
        <f t="shared" si="7"/>
        <v>301</v>
      </c>
      <c r="B463" s="187">
        <v>461</v>
      </c>
      <c r="C463" s="186" t="s">
        <v>1220</v>
      </c>
      <c r="D463" s="187">
        <v>124030</v>
      </c>
      <c r="E463" s="190" t="s">
        <v>828</v>
      </c>
      <c r="F463" s="191" t="s">
        <v>60</v>
      </c>
      <c r="G463" s="193" t="s">
        <v>211</v>
      </c>
      <c r="H463" s="81" t="s">
        <v>918</v>
      </c>
      <c r="I463" s="190" t="s">
        <v>2093</v>
      </c>
      <c r="J463" s="183"/>
      <c r="K463" s="183"/>
      <c r="L463" s="183"/>
      <c r="M463" s="183"/>
    </row>
    <row r="464" spans="1:13" ht="15.75">
      <c r="A464" s="79">
        <f t="shared" si="7"/>
        <v>425</v>
      </c>
      <c r="B464" s="187">
        <v>462</v>
      </c>
      <c r="C464" s="186" t="s">
        <v>1344</v>
      </c>
      <c r="D464" s="187">
        <v>124054</v>
      </c>
      <c r="E464" s="190" t="s">
        <v>829</v>
      </c>
      <c r="F464" s="191" t="s">
        <v>114</v>
      </c>
      <c r="G464" s="193" t="s">
        <v>145</v>
      </c>
      <c r="H464" s="81" t="s">
        <v>918</v>
      </c>
      <c r="I464" s="190" t="s">
        <v>2094</v>
      </c>
      <c r="J464" s="183"/>
      <c r="K464" s="183"/>
      <c r="L464" s="183"/>
      <c r="M464" s="183"/>
    </row>
    <row r="465" spans="1:13" ht="15.75">
      <c r="A465" s="79">
        <f t="shared" si="7"/>
        <v>569</v>
      </c>
      <c r="B465" s="187">
        <v>463</v>
      </c>
      <c r="C465" s="186" t="s">
        <v>1488</v>
      </c>
      <c r="D465" s="187">
        <v>124085</v>
      </c>
      <c r="E465" s="190" t="s">
        <v>830</v>
      </c>
      <c r="F465" s="191" t="s">
        <v>114</v>
      </c>
      <c r="G465" s="193" t="s">
        <v>2024</v>
      </c>
      <c r="H465" s="81" t="s">
        <v>918</v>
      </c>
      <c r="I465" s="190" t="s">
        <v>2095</v>
      </c>
      <c r="J465" s="183"/>
      <c r="K465" s="183"/>
      <c r="L465" s="183"/>
      <c r="M465" s="183"/>
    </row>
    <row r="466" spans="1:13" ht="15.75">
      <c r="A466" s="79">
        <f t="shared" si="7"/>
        <v>426</v>
      </c>
      <c r="B466" s="187">
        <v>464</v>
      </c>
      <c r="C466" s="186" t="s">
        <v>1345</v>
      </c>
      <c r="D466" s="187">
        <v>124092</v>
      </c>
      <c r="E466" s="190" t="s">
        <v>1651</v>
      </c>
      <c r="F466" s="191" t="s">
        <v>114</v>
      </c>
      <c r="G466" s="193" t="s">
        <v>341</v>
      </c>
      <c r="H466" s="81" t="s">
        <v>918</v>
      </c>
      <c r="I466" s="190" t="s">
        <v>2094</v>
      </c>
      <c r="J466" s="183"/>
      <c r="K466" s="183"/>
      <c r="L466" s="183"/>
      <c r="M466" s="183"/>
    </row>
    <row r="467" spans="1:13" ht="15.75">
      <c r="A467" s="79">
        <f t="shared" si="7"/>
        <v>570</v>
      </c>
      <c r="B467" s="187">
        <v>465</v>
      </c>
      <c r="C467" s="186" t="s">
        <v>1489</v>
      </c>
      <c r="D467" s="187">
        <v>124113</v>
      </c>
      <c r="E467" s="190" t="s">
        <v>831</v>
      </c>
      <c r="F467" s="191" t="s">
        <v>60</v>
      </c>
      <c r="G467" s="193" t="s">
        <v>154</v>
      </c>
      <c r="H467" s="81" t="s">
        <v>918</v>
      </c>
      <c r="I467" s="190" t="s">
        <v>2095</v>
      </c>
      <c r="J467" s="183"/>
      <c r="K467" s="183"/>
      <c r="L467" s="183"/>
      <c r="M467" s="183"/>
    </row>
    <row r="468" spans="1:13" ht="15.75">
      <c r="A468" s="79">
        <f t="shared" si="7"/>
        <v>571</v>
      </c>
      <c r="B468" s="187">
        <v>466</v>
      </c>
      <c r="C468" s="186" t="s">
        <v>1490</v>
      </c>
      <c r="D468" s="187">
        <v>124151</v>
      </c>
      <c r="E468" s="190" t="s">
        <v>833</v>
      </c>
      <c r="F468" s="191" t="s">
        <v>114</v>
      </c>
      <c r="G468" s="193" t="s">
        <v>2025</v>
      </c>
      <c r="H468" s="81" t="s">
        <v>918</v>
      </c>
      <c r="I468" s="190" t="s">
        <v>2095</v>
      </c>
      <c r="J468" s="183"/>
      <c r="K468" s="183"/>
      <c r="L468" s="183"/>
      <c r="M468" s="183"/>
    </row>
    <row r="469" spans="1:13" ht="30">
      <c r="A469" s="79">
        <f t="shared" si="7"/>
        <v>72</v>
      </c>
      <c r="B469" s="187">
        <v>467</v>
      </c>
      <c r="C469" s="186" t="s">
        <v>991</v>
      </c>
      <c r="D469" s="187">
        <v>124265</v>
      </c>
      <c r="E469" s="190" t="s">
        <v>766</v>
      </c>
      <c r="F469" s="191" t="s">
        <v>60</v>
      </c>
      <c r="G469" s="193" t="s">
        <v>1748</v>
      </c>
      <c r="H469" s="81" t="s">
        <v>918</v>
      </c>
      <c r="I469" s="190" t="s">
        <v>2084</v>
      </c>
      <c r="J469" s="183"/>
      <c r="K469" s="183"/>
      <c r="L469" s="183"/>
      <c r="M469" s="183"/>
    </row>
    <row r="470" spans="1:13" ht="30">
      <c r="A470" s="79">
        <f t="shared" si="7"/>
        <v>161</v>
      </c>
      <c r="B470" s="187">
        <v>468</v>
      </c>
      <c r="C470" s="186" t="s">
        <v>1080</v>
      </c>
      <c r="D470" s="187">
        <v>124296</v>
      </c>
      <c r="E470" s="190" t="s">
        <v>834</v>
      </c>
      <c r="F470" s="191" t="s">
        <v>114</v>
      </c>
      <c r="G470" s="193" t="s">
        <v>1803</v>
      </c>
      <c r="H470" s="81" t="s">
        <v>918</v>
      </c>
      <c r="I470" s="190" t="s">
        <v>2089</v>
      </c>
      <c r="J470" s="183"/>
      <c r="K470" s="183"/>
      <c r="L470" s="183"/>
      <c r="M470" s="183"/>
    </row>
    <row r="471" spans="1:13" ht="15.75">
      <c r="A471" s="79">
        <f t="shared" si="7"/>
        <v>172</v>
      </c>
      <c r="B471" s="187">
        <v>469</v>
      </c>
      <c r="C471" s="186" t="s">
        <v>1091</v>
      </c>
      <c r="D471" s="187">
        <v>124300</v>
      </c>
      <c r="E471" s="190" t="s">
        <v>835</v>
      </c>
      <c r="F471" s="191" t="s">
        <v>114</v>
      </c>
      <c r="G471" s="193" t="s">
        <v>1809</v>
      </c>
      <c r="H471" s="81" t="s">
        <v>918</v>
      </c>
      <c r="I471" s="190" t="s">
        <v>2090</v>
      </c>
      <c r="J471" s="184"/>
      <c r="K471" s="183"/>
      <c r="L471" s="183"/>
      <c r="M471" s="183"/>
    </row>
    <row r="472" spans="1:13" ht="30">
      <c r="A472" s="79">
        <f t="shared" si="7"/>
        <v>73</v>
      </c>
      <c r="B472" s="187">
        <v>470</v>
      </c>
      <c r="C472" s="186" t="s">
        <v>992</v>
      </c>
      <c r="D472" s="187">
        <v>124355</v>
      </c>
      <c r="E472" s="190" t="s">
        <v>836</v>
      </c>
      <c r="F472" s="191" t="s">
        <v>60</v>
      </c>
      <c r="G472" s="193" t="s">
        <v>1749</v>
      </c>
      <c r="H472" s="81" t="s">
        <v>918</v>
      </c>
      <c r="I472" s="190" t="s">
        <v>2084</v>
      </c>
      <c r="J472" s="184"/>
      <c r="K472" s="183"/>
      <c r="L472" s="183"/>
      <c r="M472" s="183"/>
    </row>
    <row r="473" spans="1:13" ht="15.75">
      <c r="A473" s="79">
        <f t="shared" si="7"/>
        <v>572</v>
      </c>
      <c r="B473" s="187">
        <v>471</v>
      </c>
      <c r="C473" s="186" t="s">
        <v>1491</v>
      </c>
      <c r="D473" s="187">
        <v>124407</v>
      </c>
      <c r="E473" s="190" t="s">
        <v>837</v>
      </c>
      <c r="F473" s="191" t="s">
        <v>114</v>
      </c>
      <c r="G473" s="193" t="s">
        <v>330</v>
      </c>
      <c r="H473" s="81" t="s">
        <v>918</v>
      </c>
      <c r="I473" s="190" t="s">
        <v>2095</v>
      </c>
      <c r="J473" s="183"/>
      <c r="K473" s="183"/>
      <c r="L473" s="183"/>
      <c r="M473" s="183"/>
    </row>
    <row r="474" spans="1:13" ht="30">
      <c r="A474" s="79">
        <f t="shared" si="7"/>
        <v>112</v>
      </c>
      <c r="B474" s="187">
        <v>472</v>
      </c>
      <c r="C474" s="186" t="s">
        <v>1031</v>
      </c>
      <c r="D474" s="187">
        <v>124483</v>
      </c>
      <c r="E474" s="190" t="s">
        <v>838</v>
      </c>
      <c r="F474" s="191" t="s">
        <v>114</v>
      </c>
      <c r="G474" s="193" t="s">
        <v>1771</v>
      </c>
      <c r="H474" s="81" t="s">
        <v>918</v>
      </c>
      <c r="I474" s="190" t="s">
        <v>2086</v>
      </c>
      <c r="J474" s="183"/>
      <c r="K474" s="183"/>
      <c r="L474" s="183"/>
      <c r="M474" s="183"/>
    </row>
    <row r="475" spans="1:13" ht="15.75">
      <c r="A475" s="79">
        <f t="shared" si="7"/>
        <v>427</v>
      </c>
      <c r="B475" s="187">
        <v>473</v>
      </c>
      <c r="C475" s="186" t="s">
        <v>1346</v>
      </c>
      <c r="D475" s="187">
        <v>124528</v>
      </c>
      <c r="E475" s="190" t="s">
        <v>512</v>
      </c>
      <c r="F475" s="191" t="s">
        <v>114</v>
      </c>
      <c r="G475" s="193" t="s">
        <v>216</v>
      </c>
      <c r="H475" s="81" t="s">
        <v>918</v>
      </c>
      <c r="I475" s="190" t="s">
        <v>2094</v>
      </c>
      <c r="J475" s="183"/>
      <c r="K475" s="183"/>
      <c r="L475" s="183"/>
      <c r="M475" s="183"/>
    </row>
    <row r="476" spans="1:13" ht="15.75">
      <c r="A476" s="79">
        <f t="shared" si="7"/>
        <v>302</v>
      </c>
      <c r="B476" s="187">
        <v>474</v>
      </c>
      <c r="C476" s="186" t="s">
        <v>1221</v>
      </c>
      <c r="D476" s="187">
        <v>124618</v>
      </c>
      <c r="E476" s="190" t="s">
        <v>839</v>
      </c>
      <c r="F476" s="191" t="s">
        <v>114</v>
      </c>
      <c r="G476" s="193" t="s">
        <v>345</v>
      </c>
      <c r="H476" s="81" t="s">
        <v>918</v>
      </c>
      <c r="I476" s="190" t="s">
        <v>2093</v>
      </c>
      <c r="J476" s="183"/>
      <c r="K476" s="183"/>
      <c r="L476" s="183"/>
      <c r="M476" s="183"/>
    </row>
    <row r="477" spans="1:13" ht="15.75">
      <c r="A477" s="79">
        <f t="shared" si="7"/>
        <v>303</v>
      </c>
      <c r="B477" s="187">
        <v>475</v>
      </c>
      <c r="C477" s="186" t="s">
        <v>1222</v>
      </c>
      <c r="D477" s="187">
        <v>124663</v>
      </c>
      <c r="E477" s="190" t="s">
        <v>840</v>
      </c>
      <c r="F477" s="191" t="s">
        <v>114</v>
      </c>
      <c r="G477" s="193" t="s">
        <v>1873</v>
      </c>
      <c r="H477" s="81" t="s">
        <v>918</v>
      </c>
      <c r="I477" s="190" t="s">
        <v>2093</v>
      </c>
      <c r="J477" s="183"/>
      <c r="K477" s="183"/>
      <c r="L477" s="183"/>
      <c r="M477" s="183"/>
    </row>
    <row r="478" spans="1:13" ht="30">
      <c r="A478" s="79">
        <f t="shared" si="7"/>
        <v>189</v>
      </c>
      <c r="B478" s="187">
        <v>476</v>
      </c>
      <c r="C478" s="186" t="s">
        <v>1108</v>
      </c>
      <c r="D478" s="187">
        <v>124746</v>
      </c>
      <c r="E478" s="190" t="s">
        <v>841</v>
      </c>
      <c r="F478" s="191" t="s">
        <v>60</v>
      </c>
      <c r="G478" s="193" t="s">
        <v>1823</v>
      </c>
      <c r="H478" s="81" t="s">
        <v>918</v>
      </c>
      <c r="I478" s="190" t="s">
        <v>2091</v>
      </c>
      <c r="J478" s="183"/>
      <c r="K478" s="183"/>
      <c r="L478" s="183"/>
      <c r="M478" s="183"/>
    </row>
    <row r="479" spans="1:13" ht="15.75">
      <c r="A479" s="79">
        <f t="shared" si="7"/>
        <v>26</v>
      </c>
      <c r="B479" s="187">
        <v>477</v>
      </c>
      <c r="C479" s="186" t="s">
        <v>945</v>
      </c>
      <c r="D479" s="187">
        <v>124760</v>
      </c>
      <c r="E479" s="190" t="s">
        <v>842</v>
      </c>
      <c r="F479" s="191" t="s">
        <v>60</v>
      </c>
      <c r="G479" s="193" t="s">
        <v>1710</v>
      </c>
      <c r="H479" s="81" t="s">
        <v>918</v>
      </c>
      <c r="I479" s="190" t="s">
        <v>2080</v>
      </c>
      <c r="J479" s="183"/>
      <c r="K479" s="183"/>
      <c r="L479" s="183"/>
      <c r="M479" s="183"/>
    </row>
    <row r="480" spans="1:13" ht="30">
      <c r="A480" s="79">
        <f t="shared" si="7"/>
        <v>113</v>
      </c>
      <c r="B480" s="187">
        <v>478</v>
      </c>
      <c r="C480" s="186" t="s">
        <v>1032</v>
      </c>
      <c r="D480" s="187">
        <v>124777</v>
      </c>
      <c r="E480" s="190" t="s">
        <v>669</v>
      </c>
      <c r="F480" s="191" t="s">
        <v>60</v>
      </c>
      <c r="G480" s="193" t="s">
        <v>1772</v>
      </c>
      <c r="H480" s="81" t="s">
        <v>918</v>
      </c>
      <c r="I480" s="190" t="s">
        <v>2086</v>
      </c>
      <c r="J480" s="183"/>
      <c r="K480" s="183"/>
      <c r="L480" s="183"/>
      <c r="M480" s="183"/>
    </row>
    <row r="481" spans="1:13" ht="15.75">
      <c r="A481" s="79">
        <f t="shared" si="7"/>
        <v>304</v>
      </c>
      <c r="B481" s="187">
        <v>479</v>
      </c>
      <c r="C481" s="186" t="s">
        <v>1223</v>
      </c>
      <c r="D481" s="187">
        <v>124791</v>
      </c>
      <c r="E481" s="190" t="s">
        <v>843</v>
      </c>
      <c r="F481" s="191" t="s">
        <v>60</v>
      </c>
      <c r="G481" s="193" t="s">
        <v>1874</v>
      </c>
      <c r="H481" s="81" t="s">
        <v>918</v>
      </c>
      <c r="I481" s="190" t="s">
        <v>2093</v>
      </c>
      <c r="J481" s="184"/>
      <c r="K481" s="183"/>
      <c r="L481" s="183"/>
      <c r="M481" s="183"/>
    </row>
    <row r="482" spans="1:13" ht="15.75">
      <c r="A482" s="79">
        <f t="shared" si="7"/>
        <v>305</v>
      </c>
      <c r="B482" s="187">
        <v>480</v>
      </c>
      <c r="C482" s="186" t="s">
        <v>1224</v>
      </c>
      <c r="D482" s="187">
        <v>124812</v>
      </c>
      <c r="E482" s="190" t="s">
        <v>844</v>
      </c>
      <c r="F482" s="191" t="s">
        <v>60</v>
      </c>
      <c r="G482" s="193" t="s">
        <v>1875</v>
      </c>
      <c r="H482" s="81" t="s">
        <v>918</v>
      </c>
      <c r="I482" s="190" t="s">
        <v>2093</v>
      </c>
      <c r="J482" s="183"/>
      <c r="K482" s="183"/>
      <c r="L482" s="183"/>
      <c r="M482" s="183"/>
    </row>
    <row r="483" spans="1:13" ht="15.75">
      <c r="A483" s="79">
        <f t="shared" si="7"/>
        <v>428</v>
      </c>
      <c r="B483" s="187">
        <v>481</v>
      </c>
      <c r="C483" s="186" t="s">
        <v>1347</v>
      </c>
      <c r="D483" s="187">
        <v>124836</v>
      </c>
      <c r="E483" s="190" t="s">
        <v>658</v>
      </c>
      <c r="F483" s="191" t="s">
        <v>114</v>
      </c>
      <c r="G483" s="193" t="s">
        <v>1941</v>
      </c>
      <c r="H483" s="81" t="s">
        <v>918</v>
      </c>
      <c r="I483" s="190" t="s">
        <v>2094</v>
      </c>
      <c r="J483" s="183"/>
      <c r="K483" s="183"/>
      <c r="L483" s="183"/>
      <c r="M483" s="183"/>
    </row>
    <row r="484" spans="1:13" ht="15.75">
      <c r="A484" s="79">
        <f t="shared" si="7"/>
        <v>573</v>
      </c>
      <c r="B484" s="187">
        <v>482</v>
      </c>
      <c r="C484" s="186" t="s">
        <v>1492</v>
      </c>
      <c r="D484" s="187">
        <v>124940</v>
      </c>
      <c r="E484" s="190" t="s">
        <v>845</v>
      </c>
      <c r="F484" s="191" t="s">
        <v>60</v>
      </c>
      <c r="G484" s="193" t="s">
        <v>231</v>
      </c>
      <c r="H484" s="81" t="s">
        <v>918</v>
      </c>
      <c r="I484" s="190" t="s">
        <v>2095</v>
      </c>
      <c r="J484" s="183"/>
      <c r="K484" s="183"/>
      <c r="L484" s="183"/>
      <c r="M484" s="183"/>
    </row>
    <row r="485" spans="1:13" ht="15.75">
      <c r="A485" s="79">
        <f t="shared" si="7"/>
        <v>574</v>
      </c>
      <c r="B485" s="187">
        <v>483</v>
      </c>
      <c r="C485" s="186" t="s">
        <v>1493</v>
      </c>
      <c r="D485" s="187">
        <v>124957</v>
      </c>
      <c r="E485" s="190" t="s">
        <v>846</v>
      </c>
      <c r="F485" s="191" t="s">
        <v>114</v>
      </c>
      <c r="G485" s="193" t="s">
        <v>2026</v>
      </c>
      <c r="H485" s="81" t="s">
        <v>918</v>
      </c>
      <c r="I485" s="190" t="s">
        <v>2095</v>
      </c>
      <c r="J485" s="183"/>
      <c r="K485" s="183"/>
      <c r="L485" s="183"/>
      <c r="M485" s="183"/>
    </row>
    <row r="486" spans="1:13" ht="15.75">
      <c r="A486" s="79">
        <f t="shared" si="7"/>
        <v>575</v>
      </c>
      <c r="B486" s="187">
        <v>484</v>
      </c>
      <c r="C486" s="186" t="s">
        <v>1494</v>
      </c>
      <c r="D486" s="187">
        <v>124964</v>
      </c>
      <c r="E486" s="190" t="s">
        <v>847</v>
      </c>
      <c r="F486" s="191" t="s">
        <v>60</v>
      </c>
      <c r="G486" s="193" t="s">
        <v>2027</v>
      </c>
      <c r="H486" s="81" t="s">
        <v>918</v>
      </c>
      <c r="I486" s="190" t="s">
        <v>2095</v>
      </c>
      <c r="J486" s="183"/>
      <c r="K486" s="183"/>
      <c r="L486" s="183"/>
      <c r="M486" s="183"/>
    </row>
    <row r="487" spans="1:13" ht="15.75">
      <c r="A487" s="79">
        <f t="shared" si="7"/>
        <v>576</v>
      </c>
      <c r="B487" s="187">
        <v>485</v>
      </c>
      <c r="C487" s="186" t="s">
        <v>1495</v>
      </c>
      <c r="D487" s="187">
        <v>125013</v>
      </c>
      <c r="E487" s="190" t="s">
        <v>848</v>
      </c>
      <c r="F487" s="191" t="s">
        <v>60</v>
      </c>
      <c r="G487" s="193" t="s">
        <v>2028</v>
      </c>
      <c r="H487" s="81" t="s">
        <v>918</v>
      </c>
      <c r="I487" s="190" t="s">
        <v>2095</v>
      </c>
      <c r="J487" s="183"/>
      <c r="K487" s="183"/>
      <c r="L487" s="183"/>
      <c r="M487" s="183"/>
    </row>
    <row r="488" spans="1:13" ht="30">
      <c r="A488" s="79">
        <f t="shared" si="7"/>
        <v>114</v>
      </c>
      <c r="B488" s="187">
        <v>486</v>
      </c>
      <c r="C488" s="186" t="s">
        <v>1033</v>
      </c>
      <c r="D488" s="187">
        <v>125051</v>
      </c>
      <c r="E488" s="190" t="s">
        <v>849</v>
      </c>
      <c r="F488" s="191" t="s">
        <v>114</v>
      </c>
      <c r="G488" s="193" t="s">
        <v>1773</v>
      </c>
      <c r="H488" s="81" t="s">
        <v>918</v>
      </c>
      <c r="I488" s="190" t="s">
        <v>2086</v>
      </c>
      <c r="J488" s="183"/>
      <c r="K488" s="183"/>
      <c r="L488" s="183"/>
      <c r="M488" s="183"/>
    </row>
    <row r="489" spans="1:13" ht="15.75">
      <c r="A489" s="79">
        <f t="shared" si="7"/>
        <v>173</v>
      </c>
      <c r="B489" s="187">
        <v>487</v>
      </c>
      <c r="C489" s="186" t="s">
        <v>1092</v>
      </c>
      <c r="D489" s="187">
        <v>125082</v>
      </c>
      <c r="E489" s="190" t="s">
        <v>850</v>
      </c>
      <c r="F489" s="191" t="s">
        <v>114</v>
      </c>
      <c r="G489" s="193" t="s">
        <v>1810</v>
      </c>
      <c r="H489" s="81" t="s">
        <v>918</v>
      </c>
      <c r="I489" s="190" t="s">
        <v>2090</v>
      </c>
      <c r="J489" s="184"/>
      <c r="K489" s="183"/>
      <c r="L489" s="183"/>
      <c r="M489" s="183"/>
    </row>
    <row r="490" spans="1:13" ht="15.75">
      <c r="A490" s="79">
        <f t="shared" si="7"/>
        <v>429</v>
      </c>
      <c r="B490" s="187">
        <v>488</v>
      </c>
      <c r="C490" s="186" t="s">
        <v>1348</v>
      </c>
      <c r="D490" s="187">
        <v>125196</v>
      </c>
      <c r="E490" s="190" t="s">
        <v>851</v>
      </c>
      <c r="F490" s="191" t="s">
        <v>114</v>
      </c>
      <c r="G490" s="193" t="s">
        <v>243</v>
      </c>
      <c r="H490" s="81" t="s">
        <v>918</v>
      </c>
      <c r="I490" s="190" t="s">
        <v>2094</v>
      </c>
      <c r="J490" s="183"/>
      <c r="K490" s="183"/>
      <c r="L490" s="183"/>
      <c r="M490" s="183"/>
    </row>
    <row r="491" spans="1:13" ht="15.75">
      <c r="A491" s="79">
        <f t="shared" si="7"/>
        <v>577</v>
      </c>
      <c r="B491" s="187">
        <v>489</v>
      </c>
      <c r="C491" s="186" t="s">
        <v>1496</v>
      </c>
      <c r="D491" s="187">
        <v>125200</v>
      </c>
      <c r="E491" s="190" t="s">
        <v>852</v>
      </c>
      <c r="F491" s="191" t="s">
        <v>114</v>
      </c>
      <c r="G491" s="193" t="s">
        <v>157</v>
      </c>
      <c r="H491" s="81" t="s">
        <v>918</v>
      </c>
      <c r="I491" s="190" t="s">
        <v>2095</v>
      </c>
      <c r="J491" s="183"/>
      <c r="K491" s="183"/>
      <c r="L491" s="183"/>
      <c r="M491" s="183"/>
    </row>
    <row r="492" spans="1:13" ht="15.75">
      <c r="A492" s="79">
        <f t="shared" si="7"/>
        <v>578</v>
      </c>
      <c r="B492" s="187">
        <v>490</v>
      </c>
      <c r="C492" s="186" t="s">
        <v>1497</v>
      </c>
      <c r="D492" s="187">
        <v>125217</v>
      </c>
      <c r="E492" s="190" t="s">
        <v>853</v>
      </c>
      <c r="F492" s="191" t="s">
        <v>114</v>
      </c>
      <c r="G492" s="193" t="s">
        <v>2029</v>
      </c>
      <c r="H492" s="81" t="s">
        <v>918</v>
      </c>
      <c r="I492" s="190" t="s">
        <v>2095</v>
      </c>
      <c r="J492" s="183"/>
      <c r="K492" s="183"/>
      <c r="L492" s="183"/>
      <c r="M492" s="183"/>
    </row>
    <row r="493" spans="1:13" ht="15.75">
      <c r="A493" s="79">
        <f t="shared" si="7"/>
        <v>579</v>
      </c>
      <c r="B493" s="187">
        <v>491</v>
      </c>
      <c r="C493" s="186" t="s">
        <v>1498</v>
      </c>
      <c r="D493" s="187">
        <v>125231</v>
      </c>
      <c r="E493" s="190" t="s">
        <v>712</v>
      </c>
      <c r="F493" s="191" t="s">
        <v>114</v>
      </c>
      <c r="G493" s="193" t="s">
        <v>333</v>
      </c>
      <c r="H493" s="81" t="s">
        <v>918</v>
      </c>
      <c r="I493" s="190" t="s">
        <v>2095</v>
      </c>
      <c r="J493" s="183"/>
      <c r="K493" s="183"/>
      <c r="L493" s="183"/>
      <c r="M493" s="183"/>
    </row>
    <row r="494" spans="1:13" ht="15.75">
      <c r="A494" s="79">
        <f t="shared" si="7"/>
        <v>580</v>
      </c>
      <c r="B494" s="187">
        <v>492</v>
      </c>
      <c r="C494" s="186" t="s">
        <v>1499</v>
      </c>
      <c r="D494" s="187">
        <v>125248</v>
      </c>
      <c r="E494" s="190" t="s">
        <v>854</v>
      </c>
      <c r="F494" s="191" t="s">
        <v>114</v>
      </c>
      <c r="G494" s="193" t="s">
        <v>1918</v>
      </c>
      <c r="H494" s="81" t="s">
        <v>918</v>
      </c>
      <c r="I494" s="190" t="s">
        <v>2095</v>
      </c>
      <c r="J494" s="183"/>
      <c r="K494" s="183"/>
      <c r="L494" s="183"/>
      <c r="M494" s="183"/>
    </row>
    <row r="495" spans="1:13" ht="15.75">
      <c r="A495" s="79">
        <f t="shared" si="7"/>
        <v>42</v>
      </c>
      <c r="B495" s="187">
        <v>493</v>
      </c>
      <c r="C495" s="186" t="s">
        <v>961</v>
      </c>
      <c r="D495" s="187">
        <v>125279</v>
      </c>
      <c r="E495" s="190" t="s">
        <v>855</v>
      </c>
      <c r="F495" s="191" t="s">
        <v>114</v>
      </c>
      <c r="G495" s="193" t="s">
        <v>1725</v>
      </c>
      <c r="H495" s="81" t="s">
        <v>918</v>
      </c>
      <c r="I495" s="190" t="s">
        <v>2081</v>
      </c>
      <c r="J495" s="183"/>
      <c r="K495" s="183"/>
      <c r="L495" s="183"/>
      <c r="M495" s="183"/>
    </row>
    <row r="496" spans="1:13" ht="30">
      <c r="A496" s="79">
        <f t="shared" si="7"/>
        <v>197</v>
      </c>
      <c r="B496" s="187">
        <v>494</v>
      </c>
      <c r="C496" s="186" t="s">
        <v>1116</v>
      </c>
      <c r="D496" s="187">
        <v>125286</v>
      </c>
      <c r="E496" s="190" t="s">
        <v>856</v>
      </c>
      <c r="F496" s="191" t="s">
        <v>60</v>
      </c>
      <c r="G496" s="193" t="s">
        <v>1828</v>
      </c>
      <c r="H496" s="81" t="s">
        <v>918</v>
      </c>
      <c r="I496" s="190" t="s">
        <v>2092</v>
      </c>
      <c r="J496" s="184"/>
      <c r="K496" s="183"/>
      <c r="L496" s="183"/>
      <c r="M496" s="183"/>
    </row>
    <row r="497" spans="1:13" ht="30">
      <c r="A497" s="79">
        <f t="shared" si="7"/>
        <v>115</v>
      </c>
      <c r="B497" s="187">
        <v>495</v>
      </c>
      <c r="C497" s="186" t="s">
        <v>1034</v>
      </c>
      <c r="D497" s="187">
        <v>125293</v>
      </c>
      <c r="E497" s="190" t="s">
        <v>1596</v>
      </c>
      <c r="F497" s="191" t="s">
        <v>114</v>
      </c>
      <c r="G497" s="193" t="s">
        <v>1774</v>
      </c>
      <c r="H497" s="81" t="s">
        <v>918</v>
      </c>
      <c r="I497" s="190" t="s">
        <v>2086</v>
      </c>
      <c r="J497" s="184"/>
      <c r="K497" s="183"/>
      <c r="L497" s="183"/>
      <c r="M497" s="183"/>
    </row>
    <row r="498" spans="1:13" ht="30">
      <c r="A498" s="79">
        <f t="shared" si="7"/>
        <v>116</v>
      </c>
      <c r="B498" s="187">
        <v>496</v>
      </c>
      <c r="C498" s="186" t="s">
        <v>1035</v>
      </c>
      <c r="D498" s="187">
        <v>125307</v>
      </c>
      <c r="E498" s="190" t="s">
        <v>857</v>
      </c>
      <c r="F498" s="191" t="s">
        <v>114</v>
      </c>
      <c r="G498" s="193" t="s">
        <v>1775</v>
      </c>
      <c r="H498" s="81" t="s">
        <v>918</v>
      </c>
      <c r="I498" s="190" t="s">
        <v>2086</v>
      </c>
      <c r="J498" s="183"/>
      <c r="K498" s="183"/>
      <c r="L498" s="183"/>
      <c r="M498" s="183"/>
    </row>
    <row r="499" spans="1:13" ht="30">
      <c r="A499" s="79">
        <f t="shared" si="7"/>
        <v>198</v>
      </c>
      <c r="B499" s="187">
        <v>497</v>
      </c>
      <c r="C499" s="186" t="s">
        <v>1117</v>
      </c>
      <c r="D499" s="187">
        <v>125383</v>
      </c>
      <c r="E499" s="190" t="s">
        <v>858</v>
      </c>
      <c r="F499" s="191" t="s">
        <v>60</v>
      </c>
      <c r="G499" s="193" t="s">
        <v>277</v>
      </c>
      <c r="H499" s="81" t="s">
        <v>918</v>
      </c>
      <c r="I499" s="190" t="s">
        <v>2092</v>
      </c>
      <c r="J499" s="183"/>
      <c r="K499" s="183"/>
      <c r="L499" s="183"/>
      <c r="M499" s="183"/>
    </row>
    <row r="500" spans="1:13" ht="15.75">
      <c r="A500" s="79">
        <f t="shared" si="7"/>
        <v>581</v>
      </c>
      <c r="B500" s="187">
        <v>498</v>
      </c>
      <c r="C500" s="186" t="s">
        <v>1500</v>
      </c>
      <c r="D500" s="187">
        <v>125390</v>
      </c>
      <c r="E500" s="190" t="s">
        <v>859</v>
      </c>
      <c r="F500" s="191" t="s">
        <v>60</v>
      </c>
      <c r="G500" s="193" t="s">
        <v>2030</v>
      </c>
      <c r="H500" s="81" t="s">
        <v>918</v>
      </c>
      <c r="I500" s="190" t="s">
        <v>2095</v>
      </c>
      <c r="J500" s="184"/>
      <c r="K500" s="183"/>
      <c r="L500" s="183"/>
      <c r="M500" s="183"/>
    </row>
    <row r="501" spans="1:13" ht="30">
      <c r="A501" s="79">
        <f t="shared" si="7"/>
        <v>636</v>
      </c>
      <c r="B501" s="187">
        <v>499</v>
      </c>
      <c r="C501" s="186" t="s">
        <v>1555</v>
      </c>
      <c r="D501" s="187">
        <v>125404</v>
      </c>
      <c r="E501" s="190" t="s">
        <v>860</v>
      </c>
      <c r="F501" s="191" t="s">
        <v>60</v>
      </c>
      <c r="G501" s="193" t="s">
        <v>2067</v>
      </c>
      <c r="H501" s="81" t="s">
        <v>918</v>
      </c>
      <c r="I501" s="190" t="s">
        <v>2096</v>
      </c>
      <c r="J501" s="183"/>
      <c r="K501" s="183"/>
      <c r="L501" s="183"/>
      <c r="M501" s="183"/>
    </row>
    <row r="502" spans="1:13" ht="30">
      <c r="A502" s="79">
        <f t="shared" si="7"/>
        <v>637</v>
      </c>
      <c r="B502" s="187">
        <v>500</v>
      </c>
      <c r="C502" s="186" t="s">
        <v>1556</v>
      </c>
      <c r="D502" s="187">
        <v>125442</v>
      </c>
      <c r="E502" s="190" t="s">
        <v>861</v>
      </c>
      <c r="F502" s="191" t="s">
        <v>60</v>
      </c>
      <c r="G502" s="193" t="s">
        <v>2068</v>
      </c>
      <c r="H502" s="81" t="s">
        <v>918</v>
      </c>
      <c r="I502" s="190" t="s">
        <v>2096</v>
      </c>
      <c r="J502" s="184"/>
      <c r="K502" s="183"/>
      <c r="L502" s="183"/>
      <c r="M502" s="183"/>
    </row>
    <row r="503" spans="1:13" ht="30">
      <c r="A503" s="79">
        <f t="shared" si="7"/>
        <v>199</v>
      </c>
      <c r="B503" s="187">
        <v>501</v>
      </c>
      <c r="C503" s="186" t="s">
        <v>1118</v>
      </c>
      <c r="D503" s="187">
        <v>125459</v>
      </c>
      <c r="E503" s="190" t="s">
        <v>862</v>
      </c>
      <c r="F503" s="191" t="s">
        <v>60</v>
      </c>
      <c r="G503" s="193" t="s">
        <v>1829</v>
      </c>
      <c r="H503" s="81" t="s">
        <v>918</v>
      </c>
      <c r="I503" s="190" t="s">
        <v>2092</v>
      </c>
      <c r="J503" s="183"/>
      <c r="K503" s="183"/>
      <c r="L503" s="183"/>
      <c r="M503" s="183"/>
    </row>
    <row r="504" spans="1:13" ht="30">
      <c r="A504" s="79">
        <f t="shared" si="7"/>
        <v>117</v>
      </c>
      <c r="B504" s="187">
        <v>502</v>
      </c>
      <c r="C504" s="186" t="s">
        <v>1036</v>
      </c>
      <c r="D504" s="187">
        <v>125466</v>
      </c>
      <c r="E504" s="190" t="s">
        <v>863</v>
      </c>
      <c r="F504" s="191" t="s">
        <v>114</v>
      </c>
      <c r="G504" s="193" t="s">
        <v>350</v>
      </c>
      <c r="H504" s="81" t="s">
        <v>918</v>
      </c>
      <c r="I504" s="190" t="s">
        <v>2086</v>
      </c>
      <c r="J504" s="183"/>
      <c r="K504" s="183"/>
      <c r="L504" s="183"/>
      <c r="M504" s="183"/>
    </row>
    <row r="505" spans="1:13" ht="15.75">
      <c r="A505" s="79">
        <f t="shared" si="7"/>
        <v>85</v>
      </c>
      <c r="B505" s="187">
        <v>503</v>
      </c>
      <c r="C505" s="186" t="s">
        <v>1004</v>
      </c>
      <c r="D505" s="187">
        <v>125501</v>
      </c>
      <c r="E505" s="190" t="s">
        <v>864</v>
      </c>
      <c r="F505" s="191" t="s">
        <v>60</v>
      </c>
      <c r="G505" s="193" t="s">
        <v>368</v>
      </c>
      <c r="H505" s="81" t="s">
        <v>918</v>
      </c>
      <c r="I505" s="190" t="s">
        <v>2085</v>
      </c>
      <c r="J505" s="183"/>
      <c r="K505" s="183"/>
      <c r="L505" s="183"/>
      <c r="M505" s="183"/>
    </row>
    <row r="506" spans="1:13" ht="30">
      <c r="A506" s="79">
        <f t="shared" si="7"/>
        <v>118</v>
      </c>
      <c r="B506" s="187">
        <v>504</v>
      </c>
      <c r="C506" s="186" t="s">
        <v>1037</v>
      </c>
      <c r="D506" s="187">
        <v>125525</v>
      </c>
      <c r="E506" s="190" t="s">
        <v>865</v>
      </c>
      <c r="F506" s="191" t="s">
        <v>114</v>
      </c>
      <c r="G506" s="193" t="s">
        <v>1776</v>
      </c>
      <c r="H506" s="81" t="s">
        <v>918</v>
      </c>
      <c r="I506" s="190" t="s">
        <v>2086</v>
      </c>
      <c r="J506" s="183"/>
      <c r="K506" s="183"/>
      <c r="L506" s="183"/>
      <c r="M506" s="183"/>
    </row>
    <row r="507" spans="1:13" ht="15.75">
      <c r="A507" s="79">
        <f t="shared" si="7"/>
        <v>27</v>
      </c>
      <c r="B507" s="187">
        <v>505</v>
      </c>
      <c r="C507" s="186" t="s">
        <v>946</v>
      </c>
      <c r="D507" s="187">
        <v>125556</v>
      </c>
      <c r="E507" s="190" t="s">
        <v>445</v>
      </c>
      <c r="F507" s="191" t="s">
        <v>114</v>
      </c>
      <c r="G507" s="193" t="s">
        <v>1711</v>
      </c>
      <c r="H507" s="81" t="s">
        <v>918</v>
      </c>
      <c r="I507" s="190" t="s">
        <v>2080</v>
      </c>
      <c r="J507" s="184"/>
      <c r="K507" s="183"/>
      <c r="L507" s="183"/>
      <c r="M507" s="183"/>
    </row>
    <row r="508" spans="1:13" ht="30">
      <c r="A508" s="79">
        <f t="shared" si="7"/>
        <v>119</v>
      </c>
      <c r="B508" s="187">
        <v>506</v>
      </c>
      <c r="C508" s="186" t="s">
        <v>1038</v>
      </c>
      <c r="D508" s="187">
        <v>125563</v>
      </c>
      <c r="E508" s="190" t="s">
        <v>866</v>
      </c>
      <c r="F508" s="191" t="s">
        <v>60</v>
      </c>
      <c r="G508" s="193" t="s">
        <v>1777</v>
      </c>
      <c r="H508" s="81" t="s">
        <v>918</v>
      </c>
      <c r="I508" s="190" t="s">
        <v>2086</v>
      </c>
      <c r="J508" s="183"/>
      <c r="K508" s="183"/>
      <c r="L508" s="183"/>
      <c r="M508" s="183"/>
    </row>
    <row r="509" spans="1:13" ht="15.75">
      <c r="A509" s="79">
        <f t="shared" si="7"/>
        <v>28</v>
      </c>
      <c r="B509" s="187">
        <v>507</v>
      </c>
      <c r="C509" s="186" t="s">
        <v>947</v>
      </c>
      <c r="D509" s="187">
        <v>125594</v>
      </c>
      <c r="E509" s="190" t="s">
        <v>867</v>
      </c>
      <c r="F509" s="191" t="s">
        <v>60</v>
      </c>
      <c r="G509" s="193" t="s">
        <v>1712</v>
      </c>
      <c r="H509" s="81" t="s">
        <v>918</v>
      </c>
      <c r="I509" s="190" t="s">
        <v>2080</v>
      </c>
      <c r="J509" s="183"/>
      <c r="K509" s="183"/>
      <c r="L509" s="183"/>
      <c r="M509" s="183"/>
    </row>
    <row r="510" spans="1:13" ht="15.75">
      <c r="A510" s="79">
        <f t="shared" si="7"/>
        <v>306</v>
      </c>
      <c r="B510" s="187">
        <v>508</v>
      </c>
      <c r="C510" s="186" t="s">
        <v>1225</v>
      </c>
      <c r="D510" s="187">
        <v>125615</v>
      </c>
      <c r="E510" s="190" t="s">
        <v>868</v>
      </c>
      <c r="F510" s="191" t="s">
        <v>114</v>
      </c>
      <c r="G510" s="193" t="s">
        <v>212</v>
      </c>
      <c r="H510" s="81" t="s">
        <v>918</v>
      </c>
      <c r="I510" s="190" t="s">
        <v>2093</v>
      </c>
      <c r="J510" s="184"/>
      <c r="K510" s="183"/>
      <c r="L510" s="183"/>
      <c r="M510" s="183"/>
    </row>
    <row r="511" spans="1:13" ht="15.75">
      <c r="A511" s="79">
        <f t="shared" si="7"/>
        <v>307</v>
      </c>
      <c r="B511" s="187">
        <v>509</v>
      </c>
      <c r="C511" s="186" t="s">
        <v>1226</v>
      </c>
      <c r="D511" s="187">
        <v>125622</v>
      </c>
      <c r="E511" s="190" t="s">
        <v>869</v>
      </c>
      <c r="F511" s="191" t="s">
        <v>60</v>
      </c>
      <c r="G511" s="193" t="s">
        <v>1876</v>
      </c>
      <c r="H511" s="81" t="s">
        <v>918</v>
      </c>
      <c r="I511" s="190" t="s">
        <v>2093</v>
      </c>
      <c r="J511" s="183"/>
      <c r="K511" s="183"/>
      <c r="L511" s="183"/>
      <c r="M511" s="183"/>
    </row>
    <row r="512" spans="1:13" ht="15.75">
      <c r="A512" s="79">
        <f t="shared" si="7"/>
        <v>430</v>
      </c>
      <c r="B512" s="187">
        <v>510</v>
      </c>
      <c r="C512" s="186" t="s">
        <v>1349</v>
      </c>
      <c r="D512" s="187">
        <v>125639</v>
      </c>
      <c r="E512" s="190" t="s">
        <v>832</v>
      </c>
      <c r="F512" s="191" t="s">
        <v>114</v>
      </c>
      <c r="G512" s="193" t="s">
        <v>1942</v>
      </c>
      <c r="H512" s="81" t="s">
        <v>918</v>
      </c>
      <c r="I512" s="190" t="s">
        <v>2094</v>
      </c>
      <c r="J512" s="183"/>
      <c r="K512" s="183"/>
      <c r="L512" s="183"/>
      <c r="M512" s="183"/>
    </row>
    <row r="513" spans="1:13" ht="15.75">
      <c r="A513" s="79">
        <f t="shared" si="7"/>
        <v>431</v>
      </c>
      <c r="B513" s="187">
        <v>511</v>
      </c>
      <c r="C513" s="186" t="s">
        <v>1350</v>
      </c>
      <c r="D513" s="187">
        <v>125646</v>
      </c>
      <c r="E513" s="190" t="s">
        <v>870</v>
      </c>
      <c r="F513" s="191" t="s">
        <v>60</v>
      </c>
      <c r="G513" s="193" t="s">
        <v>1943</v>
      </c>
      <c r="H513" s="81" t="s">
        <v>918</v>
      </c>
      <c r="I513" s="190" t="s">
        <v>2094</v>
      </c>
      <c r="J513" s="183"/>
      <c r="K513" s="183"/>
      <c r="L513" s="183"/>
      <c r="M513" s="183"/>
    </row>
    <row r="514" spans="1:13" ht="15.75">
      <c r="A514" s="79">
        <f t="shared" si="7"/>
        <v>582</v>
      </c>
      <c r="B514" s="187">
        <v>512</v>
      </c>
      <c r="C514" s="186" t="s">
        <v>1501</v>
      </c>
      <c r="D514" s="187">
        <v>125653</v>
      </c>
      <c r="E514" s="190" t="s">
        <v>871</v>
      </c>
      <c r="F514" s="191" t="s">
        <v>60</v>
      </c>
      <c r="G514" s="193" t="s">
        <v>265</v>
      </c>
      <c r="H514" s="81" t="s">
        <v>918</v>
      </c>
      <c r="I514" s="190" t="s">
        <v>2095</v>
      </c>
      <c r="J514" s="183"/>
      <c r="K514" s="183"/>
      <c r="L514" s="183"/>
      <c r="M514" s="183"/>
    </row>
    <row r="515" spans="1:13" ht="15.75">
      <c r="A515" s="79">
        <f t="shared" ref="A515:A578" si="8">IFERROR(VALUE(RIGHT(C515,4)),"")</f>
        <v>583</v>
      </c>
      <c r="B515" s="187">
        <v>513</v>
      </c>
      <c r="C515" s="186" t="s">
        <v>1502</v>
      </c>
      <c r="D515" s="187">
        <v>125677</v>
      </c>
      <c r="E515" s="190" t="s">
        <v>872</v>
      </c>
      <c r="F515" s="191" t="s">
        <v>60</v>
      </c>
      <c r="G515" s="193" t="s">
        <v>2031</v>
      </c>
      <c r="H515" s="81" t="s">
        <v>918</v>
      </c>
      <c r="I515" s="190" t="s">
        <v>2095</v>
      </c>
      <c r="J515" s="184"/>
      <c r="K515" s="183"/>
      <c r="L515" s="183"/>
      <c r="M515" s="183"/>
    </row>
    <row r="516" spans="1:13" ht="30">
      <c r="A516" s="79">
        <f t="shared" si="8"/>
        <v>638</v>
      </c>
      <c r="B516" s="187">
        <v>514</v>
      </c>
      <c r="C516" s="186" t="s">
        <v>1557</v>
      </c>
      <c r="D516" s="187">
        <v>125684</v>
      </c>
      <c r="E516" s="190" t="s">
        <v>873</v>
      </c>
      <c r="F516" s="191" t="s">
        <v>114</v>
      </c>
      <c r="G516" s="193" t="s">
        <v>2069</v>
      </c>
      <c r="H516" s="81" t="s">
        <v>918</v>
      </c>
      <c r="I516" s="190" t="s">
        <v>2096</v>
      </c>
      <c r="J516" s="183"/>
      <c r="K516" s="183"/>
      <c r="L516" s="183"/>
      <c r="M516" s="183"/>
    </row>
    <row r="517" spans="1:13" ht="30">
      <c r="A517" s="79">
        <f t="shared" si="8"/>
        <v>639</v>
      </c>
      <c r="B517" s="187">
        <v>515</v>
      </c>
      <c r="C517" s="186" t="s">
        <v>1558</v>
      </c>
      <c r="D517" s="187">
        <v>125705</v>
      </c>
      <c r="E517" s="190" t="s">
        <v>874</v>
      </c>
      <c r="F517" s="191" t="s">
        <v>60</v>
      </c>
      <c r="G517" s="193" t="s">
        <v>334</v>
      </c>
      <c r="H517" s="81" t="s">
        <v>918</v>
      </c>
      <c r="I517" s="190" t="s">
        <v>2096</v>
      </c>
      <c r="J517" s="183"/>
      <c r="K517" s="183"/>
      <c r="L517" s="183"/>
      <c r="M517" s="183"/>
    </row>
    <row r="518" spans="1:13" ht="15.75">
      <c r="A518" s="79">
        <f t="shared" si="8"/>
        <v>308</v>
      </c>
      <c r="B518" s="187">
        <v>516</v>
      </c>
      <c r="C518" s="186" t="s">
        <v>1227</v>
      </c>
      <c r="D518" s="187">
        <v>125833</v>
      </c>
      <c r="E518" s="190" t="s">
        <v>875</v>
      </c>
      <c r="F518" s="191" t="s">
        <v>114</v>
      </c>
      <c r="G518" s="193" t="s">
        <v>1877</v>
      </c>
      <c r="H518" s="81" t="s">
        <v>918</v>
      </c>
      <c r="I518" s="190" t="s">
        <v>2093</v>
      </c>
      <c r="J518" s="183"/>
      <c r="K518" s="183"/>
      <c r="L518" s="183"/>
      <c r="M518" s="183"/>
    </row>
    <row r="519" spans="1:13" ht="15.75">
      <c r="A519" s="79">
        <f t="shared" si="8"/>
        <v>432</v>
      </c>
      <c r="B519" s="187">
        <v>517</v>
      </c>
      <c r="C519" s="186" t="s">
        <v>1351</v>
      </c>
      <c r="D519" s="187">
        <v>125864</v>
      </c>
      <c r="E519" s="190" t="s">
        <v>876</v>
      </c>
      <c r="F519" s="191" t="s">
        <v>114</v>
      </c>
      <c r="G519" s="193" t="s">
        <v>378</v>
      </c>
      <c r="H519" s="81" t="s">
        <v>918</v>
      </c>
      <c r="I519" s="190" t="s">
        <v>2094</v>
      </c>
      <c r="J519" s="183"/>
      <c r="K519" s="183"/>
      <c r="L519" s="183"/>
      <c r="M519" s="183"/>
    </row>
    <row r="520" spans="1:13" ht="15.75">
      <c r="A520" s="79">
        <f t="shared" si="8"/>
        <v>433</v>
      </c>
      <c r="B520" s="187">
        <v>518</v>
      </c>
      <c r="C520" s="186" t="s">
        <v>1352</v>
      </c>
      <c r="D520" s="187">
        <v>125871</v>
      </c>
      <c r="E520" s="190" t="s">
        <v>877</v>
      </c>
      <c r="F520" s="191" t="s">
        <v>60</v>
      </c>
      <c r="G520" s="193" t="s">
        <v>1944</v>
      </c>
      <c r="H520" s="81" t="s">
        <v>918</v>
      </c>
      <c r="I520" s="190" t="s">
        <v>2094</v>
      </c>
      <c r="J520" s="183"/>
      <c r="K520" s="183"/>
      <c r="L520" s="183"/>
      <c r="M520" s="183"/>
    </row>
    <row r="521" spans="1:13" ht="15.75">
      <c r="A521" s="79">
        <f t="shared" si="8"/>
        <v>584</v>
      </c>
      <c r="B521" s="187">
        <v>519</v>
      </c>
      <c r="C521" s="186" t="s">
        <v>1503</v>
      </c>
      <c r="D521" s="187">
        <v>125888</v>
      </c>
      <c r="E521" s="190" t="s">
        <v>878</v>
      </c>
      <c r="F521" s="191" t="s">
        <v>60</v>
      </c>
      <c r="G521" s="193" t="s">
        <v>1878</v>
      </c>
      <c r="H521" s="81" t="s">
        <v>918</v>
      </c>
      <c r="I521" s="190" t="s">
        <v>2095</v>
      </c>
      <c r="J521" s="183"/>
      <c r="K521" s="183"/>
      <c r="L521" s="183"/>
      <c r="M521" s="183"/>
    </row>
    <row r="522" spans="1:13" ht="15.75">
      <c r="A522" s="79">
        <f t="shared" si="8"/>
        <v>585</v>
      </c>
      <c r="B522" s="187">
        <v>520</v>
      </c>
      <c r="C522" s="186" t="s">
        <v>1504</v>
      </c>
      <c r="D522" s="187">
        <v>125895</v>
      </c>
      <c r="E522" s="190" t="s">
        <v>879</v>
      </c>
      <c r="F522" s="191" t="s">
        <v>114</v>
      </c>
      <c r="G522" s="193" t="s">
        <v>335</v>
      </c>
      <c r="H522" s="81" t="s">
        <v>918</v>
      </c>
      <c r="I522" s="190" t="s">
        <v>2095</v>
      </c>
      <c r="J522" s="183"/>
      <c r="K522" s="183"/>
      <c r="L522" s="183"/>
      <c r="M522" s="183"/>
    </row>
    <row r="523" spans="1:13" ht="15.75">
      <c r="A523" s="79">
        <f t="shared" si="8"/>
        <v>586</v>
      </c>
      <c r="B523" s="187">
        <v>521</v>
      </c>
      <c r="C523" s="186" t="s">
        <v>1505</v>
      </c>
      <c r="D523" s="187">
        <v>125909</v>
      </c>
      <c r="E523" s="190" t="s">
        <v>880</v>
      </c>
      <c r="F523" s="191" t="s">
        <v>114</v>
      </c>
      <c r="G523" s="193" t="s">
        <v>2032</v>
      </c>
      <c r="H523" s="81" t="s">
        <v>918</v>
      </c>
      <c r="I523" s="190" t="s">
        <v>2095</v>
      </c>
      <c r="J523" s="184"/>
      <c r="K523" s="183"/>
      <c r="L523" s="183"/>
      <c r="M523" s="183"/>
    </row>
    <row r="524" spans="1:13" ht="15.75">
      <c r="A524" s="79">
        <f t="shared" si="8"/>
        <v>587</v>
      </c>
      <c r="B524" s="187">
        <v>522</v>
      </c>
      <c r="C524" s="186" t="s">
        <v>1506</v>
      </c>
      <c r="D524" s="187">
        <v>125916</v>
      </c>
      <c r="E524" s="190" t="s">
        <v>881</v>
      </c>
      <c r="F524" s="191" t="s">
        <v>114</v>
      </c>
      <c r="G524" s="193" t="s">
        <v>337</v>
      </c>
      <c r="H524" s="81" t="s">
        <v>918</v>
      </c>
      <c r="I524" s="190" t="s">
        <v>2095</v>
      </c>
      <c r="J524" s="183"/>
      <c r="K524" s="183"/>
      <c r="L524" s="183"/>
      <c r="M524" s="183"/>
    </row>
    <row r="525" spans="1:13" ht="15.75">
      <c r="A525" s="79">
        <f t="shared" si="8"/>
        <v>588</v>
      </c>
      <c r="B525" s="187">
        <v>523</v>
      </c>
      <c r="C525" s="186" t="s">
        <v>1507</v>
      </c>
      <c r="D525" s="187">
        <v>125923</v>
      </c>
      <c r="E525" s="190" t="s">
        <v>882</v>
      </c>
      <c r="F525" s="191" t="s">
        <v>60</v>
      </c>
      <c r="G525" s="193" t="s">
        <v>1755</v>
      </c>
      <c r="H525" s="81" t="s">
        <v>918</v>
      </c>
      <c r="I525" s="190" t="s">
        <v>2095</v>
      </c>
      <c r="J525" s="184"/>
      <c r="K525" s="183"/>
      <c r="L525" s="183"/>
      <c r="M525" s="183"/>
    </row>
    <row r="526" spans="1:13" ht="15.75">
      <c r="A526" s="79">
        <f t="shared" si="8"/>
        <v>29</v>
      </c>
      <c r="B526" s="187">
        <v>524</v>
      </c>
      <c r="C526" s="186" t="s">
        <v>948</v>
      </c>
      <c r="D526" s="187">
        <v>125930</v>
      </c>
      <c r="E526" s="190" t="s">
        <v>542</v>
      </c>
      <c r="F526" s="191" t="s">
        <v>60</v>
      </c>
      <c r="G526" s="193" t="s">
        <v>1713</v>
      </c>
      <c r="H526" s="81" t="s">
        <v>918</v>
      </c>
      <c r="I526" s="190" t="s">
        <v>2080</v>
      </c>
      <c r="J526" s="183"/>
      <c r="K526" s="183"/>
      <c r="L526" s="183"/>
      <c r="M526" s="183"/>
    </row>
    <row r="527" spans="1:13" ht="15.75">
      <c r="A527" s="79">
        <f t="shared" si="8"/>
        <v>309</v>
      </c>
      <c r="B527" s="187">
        <v>525</v>
      </c>
      <c r="C527" s="186" t="s">
        <v>1228</v>
      </c>
      <c r="D527" s="187">
        <v>125954</v>
      </c>
      <c r="E527" s="190" t="s">
        <v>883</v>
      </c>
      <c r="F527" s="191" t="s">
        <v>114</v>
      </c>
      <c r="G527" s="193" t="s">
        <v>1878</v>
      </c>
      <c r="H527" s="81" t="s">
        <v>918</v>
      </c>
      <c r="I527" s="190" t="s">
        <v>2093</v>
      </c>
      <c r="J527" s="183"/>
      <c r="K527" s="183"/>
      <c r="L527" s="183"/>
      <c r="M527" s="183"/>
    </row>
    <row r="528" spans="1:13" ht="15.75">
      <c r="A528" s="79">
        <f t="shared" si="8"/>
        <v>310</v>
      </c>
      <c r="B528" s="187">
        <v>526</v>
      </c>
      <c r="C528" s="186" t="s">
        <v>1229</v>
      </c>
      <c r="D528" s="187">
        <v>125961</v>
      </c>
      <c r="E528" s="190" t="s">
        <v>884</v>
      </c>
      <c r="F528" s="191" t="s">
        <v>114</v>
      </c>
      <c r="G528" s="193" t="s">
        <v>1879</v>
      </c>
      <c r="H528" s="81" t="s">
        <v>918</v>
      </c>
      <c r="I528" s="190" t="s">
        <v>2093</v>
      </c>
      <c r="J528" s="183"/>
      <c r="K528" s="183"/>
      <c r="L528" s="183"/>
      <c r="M528" s="183"/>
    </row>
    <row r="529" spans="1:13" ht="15.75">
      <c r="A529" s="79">
        <f t="shared" si="8"/>
        <v>311</v>
      </c>
      <c r="B529" s="187">
        <v>527</v>
      </c>
      <c r="C529" s="186" t="s">
        <v>1230</v>
      </c>
      <c r="D529" s="187">
        <v>125978</v>
      </c>
      <c r="E529" s="190" t="s">
        <v>885</v>
      </c>
      <c r="F529" s="191" t="s">
        <v>60</v>
      </c>
      <c r="G529" s="193" t="s">
        <v>1880</v>
      </c>
      <c r="H529" s="81" t="s">
        <v>918</v>
      </c>
      <c r="I529" s="190" t="s">
        <v>2093</v>
      </c>
      <c r="J529" s="183"/>
      <c r="K529" s="183"/>
      <c r="L529" s="183"/>
      <c r="M529" s="183"/>
    </row>
    <row r="530" spans="1:13" ht="15.75">
      <c r="A530" s="79">
        <f t="shared" si="8"/>
        <v>434</v>
      </c>
      <c r="B530" s="187">
        <v>528</v>
      </c>
      <c r="C530" s="186" t="s">
        <v>1353</v>
      </c>
      <c r="D530" s="187">
        <v>125992</v>
      </c>
      <c r="E530" s="190" t="s">
        <v>886</v>
      </c>
      <c r="F530" s="191" t="s">
        <v>114</v>
      </c>
      <c r="G530" s="193" t="s">
        <v>200</v>
      </c>
      <c r="H530" s="81" t="s">
        <v>918</v>
      </c>
      <c r="I530" s="190" t="s">
        <v>2094</v>
      </c>
      <c r="J530" s="183"/>
      <c r="K530" s="183"/>
      <c r="L530" s="183"/>
      <c r="M530" s="183"/>
    </row>
    <row r="531" spans="1:13" ht="15.75">
      <c r="A531" s="79">
        <f t="shared" si="8"/>
        <v>589</v>
      </c>
      <c r="B531" s="187">
        <v>529</v>
      </c>
      <c r="C531" s="186" t="s">
        <v>1508</v>
      </c>
      <c r="D531" s="187">
        <v>126065</v>
      </c>
      <c r="E531" s="190" t="s">
        <v>887</v>
      </c>
      <c r="F531" s="191" t="s">
        <v>60</v>
      </c>
      <c r="G531" s="193" t="s">
        <v>316</v>
      </c>
      <c r="H531" s="81" t="s">
        <v>918</v>
      </c>
      <c r="I531" s="190" t="s">
        <v>2095</v>
      </c>
      <c r="J531" s="183"/>
      <c r="K531" s="183"/>
      <c r="L531" s="183"/>
      <c r="M531" s="183"/>
    </row>
    <row r="532" spans="1:13" ht="30">
      <c r="A532" s="79">
        <f t="shared" si="8"/>
        <v>120</v>
      </c>
      <c r="B532" s="187">
        <v>530</v>
      </c>
      <c r="C532" s="186" t="s">
        <v>1039</v>
      </c>
      <c r="D532" s="187">
        <v>126089</v>
      </c>
      <c r="E532" s="190" t="s">
        <v>888</v>
      </c>
      <c r="F532" s="191" t="s">
        <v>114</v>
      </c>
      <c r="G532" s="193" t="s">
        <v>1778</v>
      </c>
      <c r="H532" s="81" t="s">
        <v>918</v>
      </c>
      <c r="I532" s="190" t="s">
        <v>2086</v>
      </c>
      <c r="J532" s="184"/>
      <c r="K532" s="183"/>
      <c r="L532" s="183"/>
      <c r="M532" s="183"/>
    </row>
    <row r="533" spans="1:13" ht="15.75">
      <c r="A533" s="79">
        <f t="shared" si="8"/>
        <v>174</v>
      </c>
      <c r="B533" s="187">
        <v>531</v>
      </c>
      <c r="C533" s="186" t="s">
        <v>1093</v>
      </c>
      <c r="D533" s="187">
        <v>126096</v>
      </c>
      <c r="E533" s="190" t="s">
        <v>889</v>
      </c>
      <c r="F533" s="191" t="s">
        <v>114</v>
      </c>
      <c r="G533" s="193" t="s">
        <v>1811</v>
      </c>
      <c r="H533" s="81" t="s">
        <v>918</v>
      </c>
      <c r="I533" s="190" t="s">
        <v>2090</v>
      </c>
      <c r="J533" s="184"/>
      <c r="K533" s="183"/>
      <c r="L533" s="183"/>
      <c r="M533" s="183"/>
    </row>
    <row r="534" spans="1:13" ht="15.75">
      <c r="A534" s="79">
        <f t="shared" si="8"/>
        <v>312</v>
      </c>
      <c r="B534" s="187">
        <v>532</v>
      </c>
      <c r="C534" s="186" t="s">
        <v>1231</v>
      </c>
      <c r="D534" s="187">
        <v>126117</v>
      </c>
      <c r="E534" s="190" t="s">
        <v>890</v>
      </c>
      <c r="F534" s="191" t="s">
        <v>60</v>
      </c>
      <c r="G534" s="193" t="s">
        <v>251</v>
      </c>
      <c r="H534" s="81" t="s">
        <v>918</v>
      </c>
      <c r="I534" s="190" t="s">
        <v>2093</v>
      </c>
      <c r="J534" s="183"/>
      <c r="K534" s="183"/>
      <c r="L534" s="183"/>
      <c r="M534" s="183"/>
    </row>
    <row r="535" spans="1:13" ht="15.75">
      <c r="A535" s="79">
        <f t="shared" si="8"/>
        <v>435</v>
      </c>
      <c r="B535" s="187">
        <v>533</v>
      </c>
      <c r="C535" s="186" t="s">
        <v>1354</v>
      </c>
      <c r="D535" s="187">
        <v>126131</v>
      </c>
      <c r="E535" s="190" t="s">
        <v>891</v>
      </c>
      <c r="F535" s="191" t="s">
        <v>60</v>
      </c>
      <c r="G535" s="193" t="s">
        <v>1785</v>
      </c>
      <c r="H535" s="81" t="s">
        <v>918</v>
      </c>
      <c r="I535" s="190" t="s">
        <v>2094</v>
      </c>
      <c r="J535" s="183"/>
      <c r="K535" s="183"/>
      <c r="L535" s="183"/>
      <c r="M535" s="183"/>
    </row>
    <row r="536" spans="1:13" ht="15.75">
      <c r="A536" s="79">
        <f t="shared" si="8"/>
        <v>436</v>
      </c>
      <c r="B536" s="187">
        <v>534</v>
      </c>
      <c r="C536" s="186" t="s">
        <v>1355</v>
      </c>
      <c r="D536" s="187">
        <v>126148</v>
      </c>
      <c r="E536" s="190" t="s">
        <v>892</v>
      </c>
      <c r="F536" s="191" t="s">
        <v>60</v>
      </c>
      <c r="G536" s="193" t="s">
        <v>1945</v>
      </c>
      <c r="H536" s="81" t="s">
        <v>918</v>
      </c>
      <c r="I536" s="190" t="s">
        <v>2094</v>
      </c>
      <c r="J536" s="184"/>
      <c r="K536" s="183"/>
      <c r="L536" s="183"/>
      <c r="M536" s="183"/>
    </row>
    <row r="537" spans="1:13" ht="15.75">
      <c r="A537" s="79">
        <f t="shared" si="8"/>
        <v>437</v>
      </c>
      <c r="B537" s="187">
        <v>535</v>
      </c>
      <c r="C537" s="186" t="s">
        <v>1356</v>
      </c>
      <c r="D537" s="187">
        <v>126155</v>
      </c>
      <c r="E537" s="190" t="s">
        <v>893</v>
      </c>
      <c r="F537" s="191" t="s">
        <v>114</v>
      </c>
      <c r="G537" s="193" t="s">
        <v>1946</v>
      </c>
      <c r="H537" s="81" t="s">
        <v>918</v>
      </c>
      <c r="I537" s="190" t="s">
        <v>2094</v>
      </c>
      <c r="J537" s="183"/>
      <c r="K537" s="183"/>
      <c r="L537" s="183"/>
      <c r="M537" s="183"/>
    </row>
    <row r="538" spans="1:13" ht="15.75">
      <c r="A538" s="79">
        <f t="shared" si="8"/>
        <v>590</v>
      </c>
      <c r="B538" s="187">
        <v>536</v>
      </c>
      <c r="C538" s="186" t="s">
        <v>1509</v>
      </c>
      <c r="D538" s="187">
        <v>126162</v>
      </c>
      <c r="E538" s="190" t="s">
        <v>894</v>
      </c>
      <c r="F538" s="191" t="s">
        <v>114</v>
      </c>
      <c r="G538" s="193" t="s">
        <v>2033</v>
      </c>
      <c r="H538" s="81" t="s">
        <v>918</v>
      </c>
      <c r="I538" s="190" t="s">
        <v>2095</v>
      </c>
      <c r="J538" s="183"/>
      <c r="K538" s="183"/>
      <c r="L538" s="183"/>
      <c r="M538" s="183"/>
    </row>
    <row r="539" spans="1:13" ht="15.75">
      <c r="A539" s="79">
        <f t="shared" si="8"/>
        <v>591</v>
      </c>
      <c r="B539" s="187">
        <v>537</v>
      </c>
      <c r="C539" s="186" t="s">
        <v>1510</v>
      </c>
      <c r="D539" s="187">
        <v>126179</v>
      </c>
      <c r="E539" s="190" t="s">
        <v>895</v>
      </c>
      <c r="F539" s="191" t="s">
        <v>114</v>
      </c>
      <c r="G539" s="193" t="s">
        <v>2034</v>
      </c>
      <c r="H539" s="81" t="s">
        <v>918</v>
      </c>
      <c r="I539" s="190" t="s">
        <v>2095</v>
      </c>
      <c r="J539" s="183"/>
      <c r="K539" s="183"/>
      <c r="L539" s="183"/>
      <c r="M539" s="183"/>
    </row>
    <row r="540" spans="1:13" ht="30">
      <c r="A540" s="79">
        <f t="shared" si="8"/>
        <v>121</v>
      </c>
      <c r="B540" s="187">
        <v>538</v>
      </c>
      <c r="C540" s="186" t="s">
        <v>1040</v>
      </c>
      <c r="D540" s="187">
        <v>126186</v>
      </c>
      <c r="E540" s="190" t="s">
        <v>896</v>
      </c>
      <c r="F540" s="191" t="s">
        <v>114</v>
      </c>
      <c r="G540" s="193" t="s">
        <v>1779</v>
      </c>
      <c r="H540" s="81" t="s">
        <v>918</v>
      </c>
      <c r="I540" s="190" t="s">
        <v>2086</v>
      </c>
      <c r="J540" s="184"/>
      <c r="K540" s="183"/>
      <c r="L540" s="183"/>
      <c r="M540" s="183"/>
    </row>
    <row r="541" spans="1:13" ht="30">
      <c r="A541" s="79">
        <f t="shared" si="8"/>
        <v>640</v>
      </c>
      <c r="B541" s="187">
        <v>539</v>
      </c>
      <c r="C541" s="186" t="s">
        <v>1559</v>
      </c>
      <c r="D541" s="187">
        <v>126193</v>
      </c>
      <c r="E541" s="190" t="s">
        <v>897</v>
      </c>
      <c r="F541" s="191" t="s">
        <v>60</v>
      </c>
      <c r="G541" s="193" t="s">
        <v>2070</v>
      </c>
      <c r="H541" s="81" t="s">
        <v>918</v>
      </c>
      <c r="I541" s="190" t="s">
        <v>2096</v>
      </c>
      <c r="J541" s="183"/>
      <c r="K541" s="183"/>
      <c r="L541" s="183"/>
      <c r="M541" s="183"/>
    </row>
    <row r="542" spans="1:13" ht="30">
      <c r="A542" s="79">
        <f t="shared" si="8"/>
        <v>641</v>
      </c>
      <c r="B542" s="187">
        <v>540</v>
      </c>
      <c r="C542" s="186" t="s">
        <v>1560</v>
      </c>
      <c r="D542" s="187">
        <v>126207</v>
      </c>
      <c r="E542" s="190" t="s">
        <v>773</v>
      </c>
      <c r="F542" s="191" t="s">
        <v>114</v>
      </c>
      <c r="G542" s="193" t="s">
        <v>2071</v>
      </c>
      <c r="H542" s="81" t="s">
        <v>918</v>
      </c>
      <c r="I542" s="190" t="s">
        <v>2096</v>
      </c>
      <c r="J542" s="183"/>
      <c r="K542" s="183"/>
      <c r="L542" s="183"/>
      <c r="M542" s="183"/>
    </row>
    <row r="543" spans="1:13" ht="30">
      <c r="A543" s="79">
        <f t="shared" si="8"/>
        <v>74</v>
      </c>
      <c r="B543" s="187">
        <v>541</v>
      </c>
      <c r="C543" s="186" t="s">
        <v>993</v>
      </c>
      <c r="D543" s="187">
        <v>126221</v>
      </c>
      <c r="E543" s="190" t="s">
        <v>898</v>
      </c>
      <c r="F543" s="191" t="s">
        <v>60</v>
      </c>
      <c r="G543" s="193" t="s">
        <v>1750</v>
      </c>
      <c r="H543" s="81" t="s">
        <v>918</v>
      </c>
      <c r="I543" s="190" t="s">
        <v>2084</v>
      </c>
      <c r="J543" s="184"/>
      <c r="K543" s="183"/>
      <c r="L543" s="183"/>
      <c r="M543" s="183"/>
    </row>
    <row r="544" spans="1:13" ht="15.75">
      <c r="A544" s="79">
        <f t="shared" si="8"/>
        <v>153</v>
      </c>
      <c r="B544" s="187">
        <v>542</v>
      </c>
      <c r="C544" s="186" t="s">
        <v>1072</v>
      </c>
      <c r="D544" s="187">
        <v>126238</v>
      </c>
      <c r="E544" s="190" t="s">
        <v>899</v>
      </c>
      <c r="F544" s="191" t="s">
        <v>60</v>
      </c>
      <c r="G544" s="193" t="s">
        <v>1798</v>
      </c>
      <c r="H544" s="81" t="s">
        <v>918</v>
      </c>
      <c r="I544" s="190" t="s">
        <v>2088</v>
      </c>
      <c r="J544" s="184"/>
      <c r="K544" s="183"/>
      <c r="L544" s="183"/>
      <c r="M544" s="183"/>
    </row>
    <row r="545" spans="1:13" ht="15.75">
      <c r="A545" s="79">
        <f t="shared" si="8"/>
        <v>313</v>
      </c>
      <c r="B545" s="187">
        <v>543</v>
      </c>
      <c r="C545" s="186" t="s">
        <v>1232</v>
      </c>
      <c r="D545" s="187">
        <v>126252</v>
      </c>
      <c r="E545" s="190" t="s">
        <v>900</v>
      </c>
      <c r="F545" s="191" t="s">
        <v>114</v>
      </c>
      <c r="G545" s="193" t="s">
        <v>1881</v>
      </c>
      <c r="H545" s="81" t="s">
        <v>918</v>
      </c>
      <c r="I545" s="190" t="s">
        <v>2093</v>
      </c>
      <c r="J545" s="183"/>
      <c r="K545" s="183"/>
      <c r="L545" s="183"/>
      <c r="M545" s="183"/>
    </row>
    <row r="546" spans="1:13" ht="15.75">
      <c r="A546" s="79">
        <f t="shared" si="8"/>
        <v>592</v>
      </c>
      <c r="B546" s="187">
        <v>544</v>
      </c>
      <c r="C546" s="186" t="s">
        <v>1511</v>
      </c>
      <c r="D546" s="187">
        <v>126269</v>
      </c>
      <c r="E546" s="190" t="s">
        <v>901</v>
      </c>
      <c r="F546" s="191" t="s">
        <v>114</v>
      </c>
      <c r="G546" s="193" t="s">
        <v>2035</v>
      </c>
      <c r="H546" s="81" t="s">
        <v>918</v>
      </c>
      <c r="I546" s="190" t="s">
        <v>2095</v>
      </c>
      <c r="J546" s="183"/>
      <c r="K546" s="183"/>
      <c r="L546" s="183"/>
      <c r="M546" s="183"/>
    </row>
    <row r="547" spans="1:13" ht="15.75">
      <c r="A547" s="79">
        <f t="shared" si="8"/>
        <v>593</v>
      </c>
      <c r="B547" s="187">
        <v>545</v>
      </c>
      <c r="C547" s="186" t="s">
        <v>1512</v>
      </c>
      <c r="D547" s="187">
        <v>126276</v>
      </c>
      <c r="E547" s="190" t="s">
        <v>902</v>
      </c>
      <c r="F547" s="191" t="s">
        <v>60</v>
      </c>
      <c r="G547" s="193" t="s">
        <v>357</v>
      </c>
      <c r="H547" s="81" t="s">
        <v>918</v>
      </c>
      <c r="I547" s="190" t="s">
        <v>2095</v>
      </c>
      <c r="J547" s="183"/>
      <c r="K547" s="183"/>
      <c r="L547" s="183"/>
      <c r="M547" s="183"/>
    </row>
    <row r="548" spans="1:13" ht="15.75">
      <c r="A548" s="79">
        <f t="shared" si="8"/>
        <v>594</v>
      </c>
      <c r="B548" s="187">
        <v>546</v>
      </c>
      <c r="C548" s="186" t="s">
        <v>1513</v>
      </c>
      <c r="D548" s="187">
        <v>126283</v>
      </c>
      <c r="E548" s="190" t="s">
        <v>903</v>
      </c>
      <c r="F548" s="191" t="s">
        <v>114</v>
      </c>
      <c r="G548" s="193" t="s">
        <v>210</v>
      </c>
      <c r="H548" s="81" t="s">
        <v>918</v>
      </c>
      <c r="I548" s="190" t="s">
        <v>2095</v>
      </c>
      <c r="J548" s="183"/>
      <c r="K548" s="183"/>
      <c r="L548" s="183"/>
      <c r="M548" s="183"/>
    </row>
    <row r="549" spans="1:13" ht="15.75">
      <c r="A549" s="79">
        <f t="shared" si="8"/>
        <v>595</v>
      </c>
      <c r="B549" s="187">
        <v>547</v>
      </c>
      <c r="C549" s="186" t="s">
        <v>1514</v>
      </c>
      <c r="D549" s="187">
        <v>126290</v>
      </c>
      <c r="E549" s="190" t="s">
        <v>904</v>
      </c>
      <c r="F549" s="191" t="s">
        <v>60</v>
      </c>
      <c r="G549" s="193" t="s">
        <v>2036</v>
      </c>
      <c r="H549" s="81" t="s">
        <v>918</v>
      </c>
      <c r="I549" s="190" t="s">
        <v>2095</v>
      </c>
      <c r="J549" s="183"/>
      <c r="K549" s="183"/>
      <c r="L549" s="183"/>
      <c r="M549" s="183"/>
    </row>
    <row r="550" spans="1:13" ht="30">
      <c r="A550" s="79">
        <f t="shared" si="8"/>
        <v>642</v>
      </c>
      <c r="B550" s="187">
        <v>548</v>
      </c>
      <c r="C550" s="186" t="s">
        <v>1561</v>
      </c>
      <c r="D550" s="187">
        <v>126304</v>
      </c>
      <c r="E550" s="190" t="s">
        <v>905</v>
      </c>
      <c r="F550" s="191" t="s">
        <v>114</v>
      </c>
      <c r="G550" s="193" t="s">
        <v>2072</v>
      </c>
      <c r="H550" s="81" t="s">
        <v>918</v>
      </c>
      <c r="I550" s="190" t="s">
        <v>2096</v>
      </c>
      <c r="J550" s="183"/>
      <c r="K550" s="183"/>
      <c r="L550" s="183"/>
      <c r="M550" s="183"/>
    </row>
    <row r="551" spans="1:13" ht="30">
      <c r="A551" s="79">
        <f t="shared" si="8"/>
        <v>643</v>
      </c>
      <c r="B551" s="187">
        <v>549</v>
      </c>
      <c r="C551" s="186" t="s">
        <v>1562</v>
      </c>
      <c r="D551" s="187">
        <v>126311</v>
      </c>
      <c r="E551" s="190" t="s">
        <v>906</v>
      </c>
      <c r="F551" s="191" t="s">
        <v>114</v>
      </c>
      <c r="G551" s="193" t="s">
        <v>2073</v>
      </c>
      <c r="H551" s="81" t="s">
        <v>918</v>
      </c>
      <c r="I551" s="190" t="s">
        <v>2096</v>
      </c>
      <c r="J551" s="184"/>
      <c r="K551" s="183"/>
      <c r="L551" s="183"/>
      <c r="M551" s="183"/>
    </row>
    <row r="552" spans="1:13" ht="15.75">
      <c r="A552" s="79">
        <f t="shared" si="8"/>
        <v>175</v>
      </c>
      <c r="B552" s="187">
        <v>550</v>
      </c>
      <c r="C552" s="186" t="s">
        <v>1094</v>
      </c>
      <c r="D552" s="187">
        <v>126328</v>
      </c>
      <c r="E552" s="190" t="s">
        <v>907</v>
      </c>
      <c r="F552" s="191" t="s">
        <v>114</v>
      </c>
      <c r="G552" s="193" t="s">
        <v>1812</v>
      </c>
      <c r="H552" s="81" t="s">
        <v>918</v>
      </c>
      <c r="I552" s="190" t="s">
        <v>2090</v>
      </c>
      <c r="J552" s="183"/>
      <c r="K552" s="183"/>
      <c r="L552" s="183"/>
      <c r="M552" s="183"/>
    </row>
    <row r="553" spans="1:13" ht="15.75">
      <c r="A553" s="79">
        <f t="shared" si="8"/>
        <v>438</v>
      </c>
      <c r="B553" s="187">
        <v>551</v>
      </c>
      <c r="C553" s="186" t="s">
        <v>1357</v>
      </c>
      <c r="D553" s="187">
        <v>126359</v>
      </c>
      <c r="E553" s="190" t="s">
        <v>908</v>
      </c>
      <c r="F553" s="191" t="s">
        <v>60</v>
      </c>
      <c r="G553" s="193" t="s">
        <v>1947</v>
      </c>
      <c r="H553" s="81" t="s">
        <v>918</v>
      </c>
      <c r="I553" s="190" t="s">
        <v>2094</v>
      </c>
      <c r="J553" s="183"/>
      <c r="K553" s="183"/>
      <c r="L553" s="183"/>
      <c r="M553" s="183"/>
    </row>
    <row r="554" spans="1:13" ht="15.75">
      <c r="A554" s="79">
        <f t="shared" si="8"/>
        <v>314</v>
      </c>
      <c r="B554" s="187">
        <v>552</v>
      </c>
      <c r="C554" s="186" t="s">
        <v>1233</v>
      </c>
      <c r="D554" s="187">
        <v>126373</v>
      </c>
      <c r="E554" s="190" t="s">
        <v>909</v>
      </c>
      <c r="F554" s="191" t="s">
        <v>60</v>
      </c>
      <c r="G554" s="193" t="s">
        <v>1882</v>
      </c>
      <c r="H554" s="81" t="s">
        <v>918</v>
      </c>
      <c r="I554" s="190" t="s">
        <v>2093</v>
      </c>
      <c r="J554" s="183"/>
      <c r="K554" s="183"/>
      <c r="L554" s="183"/>
      <c r="M554" s="183"/>
    </row>
    <row r="555" spans="1:13" ht="15.75">
      <c r="A555" s="79">
        <f t="shared" si="8"/>
        <v>596</v>
      </c>
      <c r="B555" s="187">
        <v>553</v>
      </c>
      <c r="C555" s="186" t="s">
        <v>1515</v>
      </c>
      <c r="D555" s="187">
        <v>126380</v>
      </c>
      <c r="E555" s="190" t="s">
        <v>910</v>
      </c>
      <c r="F555" s="191" t="s">
        <v>60</v>
      </c>
      <c r="G555" s="193" t="s">
        <v>2037</v>
      </c>
      <c r="H555" s="81" t="s">
        <v>918</v>
      </c>
      <c r="I555" s="190" t="s">
        <v>2095</v>
      </c>
      <c r="J555" s="183"/>
      <c r="K555" s="183"/>
      <c r="L555" s="183"/>
      <c r="M555" s="183"/>
    </row>
    <row r="556" spans="1:13" ht="15.75">
      <c r="A556" s="79">
        <f t="shared" si="8"/>
        <v>597</v>
      </c>
      <c r="B556" s="187">
        <v>554</v>
      </c>
      <c r="C556" s="186" t="s">
        <v>1516</v>
      </c>
      <c r="D556" s="187">
        <v>126397</v>
      </c>
      <c r="E556" s="190" t="s">
        <v>911</v>
      </c>
      <c r="F556" s="191" t="s">
        <v>60</v>
      </c>
      <c r="G556" s="193" t="s">
        <v>2038</v>
      </c>
      <c r="H556" s="81" t="s">
        <v>918</v>
      </c>
      <c r="I556" s="190" t="s">
        <v>2095</v>
      </c>
      <c r="J556" s="183"/>
      <c r="K556" s="183"/>
      <c r="L556" s="183"/>
      <c r="M556" s="183"/>
    </row>
    <row r="557" spans="1:13" ht="15.75">
      <c r="A557" s="79">
        <f t="shared" si="8"/>
        <v>30</v>
      </c>
      <c r="B557" s="187">
        <v>555</v>
      </c>
      <c r="C557" s="186" t="s">
        <v>949</v>
      </c>
      <c r="D557" s="187">
        <v>126401</v>
      </c>
      <c r="E557" s="190" t="s">
        <v>912</v>
      </c>
      <c r="F557" s="191" t="s">
        <v>60</v>
      </c>
      <c r="G557" s="193" t="s">
        <v>1714</v>
      </c>
      <c r="H557" s="81" t="s">
        <v>918</v>
      </c>
      <c r="I557" s="190" t="s">
        <v>2080</v>
      </c>
      <c r="J557" s="183"/>
      <c r="K557" s="183"/>
      <c r="L557" s="183"/>
      <c r="M557" s="183"/>
    </row>
    <row r="558" spans="1:13" ht="15.75">
      <c r="A558" s="79">
        <f t="shared" si="8"/>
        <v>31</v>
      </c>
      <c r="B558" s="187">
        <v>556</v>
      </c>
      <c r="C558" s="186" t="s">
        <v>950</v>
      </c>
      <c r="D558" s="187">
        <v>126418</v>
      </c>
      <c r="E558" s="190" t="s">
        <v>913</v>
      </c>
      <c r="F558" s="191" t="s">
        <v>60</v>
      </c>
      <c r="G558" s="193" t="s">
        <v>1715</v>
      </c>
      <c r="H558" s="81" t="s">
        <v>918</v>
      </c>
      <c r="I558" s="190" t="s">
        <v>2080</v>
      </c>
      <c r="J558" s="184"/>
      <c r="K558" s="183"/>
      <c r="L558" s="183"/>
      <c r="M558" s="183"/>
    </row>
    <row r="559" spans="1:13" ht="15.75">
      <c r="A559" s="79">
        <f t="shared" si="8"/>
        <v>32</v>
      </c>
      <c r="B559" s="187">
        <v>557</v>
      </c>
      <c r="C559" s="186" t="s">
        <v>951</v>
      </c>
      <c r="D559" s="187">
        <v>126425</v>
      </c>
      <c r="E559" s="190" t="s">
        <v>914</v>
      </c>
      <c r="F559" s="191" t="s">
        <v>60</v>
      </c>
      <c r="G559" s="193" t="s">
        <v>1716</v>
      </c>
      <c r="H559" s="81" t="s">
        <v>918</v>
      </c>
      <c r="I559" s="190" t="s">
        <v>2080</v>
      </c>
      <c r="J559" s="184"/>
      <c r="K559" s="183"/>
      <c r="L559" s="183"/>
      <c r="M559" s="183"/>
    </row>
    <row r="560" spans="1:13" ht="30">
      <c r="A560" s="79">
        <f t="shared" si="8"/>
        <v>162</v>
      </c>
      <c r="B560" s="187">
        <v>558</v>
      </c>
      <c r="C560" s="186" t="s">
        <v>1081</v>
      </c>
      <c r="D560" s="187">
        <v>126463</v>
      </c>
      <c r="E560" s="190" t="s">
        <v>915</v>
      </c>
      <c r="F560" s="191" t="s">
        <v>114</v>
      </c>
      <c r="G560" s="193" t="s">
        <v>1804</v>
      </c>
      <c r="H560" s="81" t="s">
        <v>918</v>
      </c>
      <c r="I560" s="190" t="s">
        <v>2089</v>
      </c>
      <c r="J560" s="184"/>
      <c r="K560" s="183"/>
      <c r="L560" s="183"/>
      <c r="M560" s="183"/>
    </row>
    <row r="561" spans="1:13" ht="15.75">
      <c r="A561" s="79">
        <f t="shared" si="8"/>
        <v>43</v>
      </c>
      <c r="B561" s="187">
        <v>559</v>
      </c>
      <c r="C561" s="186" t="s">
        <v>962</v>
      </c>
      <c r="D561" s="187">
        <v>126470</v>
      </c>
      <c r="E561" s="190" t="s">
        <v>916</v>
      </c>
      <c r="F561" s="191" t="s">
        <v>60</v>
      </c>
      <c r="G561" s="193" t="s">
        <v>1726</v>
      </c>
      <c r="H561" s="81" t="s">
        <v>918</v>
      </c>
      <c r="I561" s="190" t="s">
        <v>2081</v>
      </c>
      <c r="J561" s="184"/>
      <c r="K561" s="183"/>
      <c r="L561" s="183"/>
      <c r="M561" s="183"/>
    </row>
    <row r="562" spans="1:13" ht="15.75">
      <c r="A562" s="79">
        <f t="shared" si="8"/>
        <v>315</v>
      </c>
      <c r="B562" s="187">
        <v>560</v>
      </c>
      <c r="C562" s="186" t="s">
        <v>1234</v>
      </c>
      <c r="D562" s="187">
        <v>126487</v>
      </c>
      <c r="E562" s="190" t="s">
        <v>1628</v>
      </c>
      <c r="F562" s="191" t="s">
        <v>114</v>
      </c>
      <c r="G562" s="193" t="s">
        <v>1883</v>
      </c>
      <c r="H562" s="81" t="s">
        <v>918</v>
      </c>
      <c r="I562" s="190" t="s">
        <v>2093</v>
      </c>
      <c r="J562" s="183"/>
      <c r="K562" s="183"/>
      <c r="L562" s="183"/>
      <c r="M562" s="183"/>
    </row>
    <row r="563" spans="1:13" ht="15.75">
      <c r="A563" s="79">
        <f t="shared" si="8"/>
        <v>316</v>
      </c>
      <c r="B563" s="187">
        <v>561</v>
      </c>
      <c r="C563" s="186" t="s">
        <v>1235</v>
      </c>
      <c r="D563" s="187">
        <v>126494</v>
      </c>
      <c r="E563" s="190" t="s">
        <v>1629</v>
      </c>
      <c r="F563" s="191" t="s">
        <v>60</v>
      </c>
      <c r="G563" s="193" t="s">
        <v>1810</v>
      </c>
      <c r="H563" s="81" t="s">
        <v>918</v>
      </c>
      <c r="I563" s="190" t="s">
        <v>2093</v>
      </c>
      <c r="J563" s="184"/>
      <c r="K563" s="183"/>
      <c r="L563" s="183"/>
      <c r="M563" s="183"/>
    </row>
    <row r="564" spans="1:13" ht="30">
      <c r="A564" s="79">
        <f t="shared" si="8"/>
        <v>122</v>
      </c>
      <c r="B564" s="187">
        <v>562</v>
      </c>
      <c r="C564" s="186" t="s">
        <v>1041</v>
      </c>
      <c r="D564" s="187">
        <v>126508</v>
      </c>
      <c r="E564" s="190" t="s">
        <v>1597</v>
      </c>
      <c r="F564" s="191" t="s">
        <v>114</v>
      </c>
      <c r="G564" s="193" t="s">
        <v>1780</v>
      </c>
      <c r="H564" s="81" t="s">
        <v>918</v>
      </c>
      <c r="I564" s="190" t="s">
        <v>2086</v>
      </c>
      <c r="J564" s="183"/>
      <c r="K564" s="183"/>
      <c r="L564" s="183"/>
      <c r="M564" s="183"/>
    </row>
    <row r="565" spans="1:13" ht="15.75">
      <c r="A565" s="79">
        <f t="shared" si="8"/>
        <v>44</v>
      </c>
      <c r="B565" s="187">
        <v>563</v>
      </c>
      <c r="C565" s="186" t="s">
        <v>963</v>
      </c>
      <c r="D565" s="187">
        <v>126515</v>
      </c>
      <c r="E565" s="190" t="s">
        <v>1583</v>
      </c>
      <c r="F565" s="191" t="s">
        <v>60</v>
      </c>
      <c r="G565" s="193" t="s">
        <v>1727</v>
      </c>
      <c r="H565" s="81" t="s">
        <v>918</v>
      </c>
      <c r="I565" s="190" t="s">
        <v>2081</v>
      </c>
      <c r="J565" s="183"/>
      <c r="K565" s="183"/>
      <c r="L565" s="183"/>
      <c r="M565" s="183"/>
    </row>
    <row r="566" spans="1:13" ht="15.75">
      <c r="A566" s="79">
        <f t="shared" si="8"/>
        <v>317</v>
      </c>
      <c r="B566" s="187">
        <v>564</v>
      </c>
      <c r="C566" s="186" t="s">
        <v>1236</v>
      </c>
      <c r="D566" s="187">
        <v>126553</v>
      </c>
      <c r="E566" s="190" t="s">
        <v>1630</v>
      </c>
      <c r="F566" s="191" t="s">
        <v>60</v>
      </c>
      <c r="G566" s="193" t="s">
        <v>1884</v>
      </c>
      <c r="H566" s="81" t="s">
        <v>918</v>
      </c>
      <c r="I566" s="190" t="s">
        <v>2093</v>
      </c>
      <c r="J566" s="183"/>
      <c r="K566" s="183"/>
      <c r="L566" s="183"/>
      <c r="M566" s="183"/>
    </row>
    <row r="567" spans="1:13" ht="15.75">
      <c r="A567" s="79">
        <f t="shared" si="8"/>
        <v>318</v>
      </c>
      <c r="B567" s="187">
        <v>565</v>
      </c>
      <c r="C567" s="186" t="s">
        <v>1237</v>
      </c>
      <c r="D567" s="187">
        <v>126591</v>
      </c>
      <c r="E567" s="190" t="s">
        <v>1631</v>
      </c>
      <c r="F567" s="191" t="s">
        <v>60</v>
      </c>
      <c r="G567" s="193" t="s">
        <v>1885</v>
      </c>
      <c r="H567" s="81" t="s">
        <v>918</v>
      </c>
      <c r="I567" s="190" t="s">
        <v>2093</v>
      </c>
      <c r="J567" s="183"/>
      <c r="K567" s="183"/>
      <c r="L567" s="183"/>
      <c r="M567" s="183"/>
    </row>
    <row r="568" spans="1:13" ht="15.75">
      <c r="A568" s="79">
        <f t="shared" si="8"/>
        <v>319</v>
      </c>
      <c r="B568" s="187">
        <v>566</v>
      </c>
      <c r="C568" s="186" t="s">
        <v>1238</v>
      </c>
      <c r="D568" s="187">
        <v>126605</v>
      </c>
      <c r="E568" s="190" t="s">
        <v>1632</v>
      </c>
      <c r="F568" s="191" t="s">
        <v>60</v>
      </c>
      <c r="G568" s="193" t="s">
        <v>1886</v>
      </c>
      <c r="H568" s="81" t="s">
        <v>918</v>
      </c>
      <c r="I568" s="190" t="s">
        <v>2093</v>
      </c>
      <c r="J568" s="184"/>
      <c r="K568" s="183"/>
      <c r="L568" s="183"/>
      <c r="M568" s="183"/>
    </row>
    <row r="569" spans="1:13" ht="15.75">
      <c r="A569" s="79">
        <f t="shared" si="8"/>
        <v>176</v>
      </c>
      <c r="B569" s="187">
        <v>567</v>
      </c>
      <c r="C569" s="186" t="s">
        <v>1095</v>
      </c>
      <c r="D569" s="187">
        <v>126636</v>
      </c>
      <c r="E569" s="190" t="s">
        <v>1612</v>
      </c>
      <c r="F569" s="191" t="s">
        <v>114</v>
      </c>
      <c r="G569" s="193" t="s">
        <v>286</v>
      </c>
      <c r="H569" s="81" t="s">
        <v>918</v>
      </c>
      <c r="I569" s="190" t="s">
        <v>2090</v>
      </c>
      <c r="J569" s="183"/>
      <c r="K569" s="183"/>
      <c r="L569" s="183"/>
      <c r="M569" s="183"/>
    </row>
    <row r="570" spans="1:13" ht="15.75">
      <c r="A570" s="79">
        <f t="shared" si="8"/>
        <v>45</v>
      </c>
      <c r="B570" s="187">
        <v>568</v>
      </c>
      <c r="C570" s="186" t="s">
        <v>964</v>
      </c>
      <c r="D570" s="187">
        <v>126650</v>
      </c>
      <c r="E570" s="190" t="s">
        <v>1584</v>
      </c>
      <c r="F570" s="191" t="s">
        <v>60</v>
      </c>
      <c r="G570" s="193" t="s">
        <v>1728</v>
      </c>
      <c r="H570" s="81" t="s">
        <v>918</v>
      </c>
      <c r="I570" s="190" t="s">
        <v>2081</v>
      </c>
      <c r="J570" s="183"/>
      <c r="K570" s="183"/>
      <c r="L570" s="183"/>
      <c r="M570" s="183"/>
    </row>
    <row r="571" spans="1:13" ht="15.75">
      <c r="A571" s="79">
        <f t="shared" si="8"/>
        <v>33</v>
      </c>
      <c r="B571" s="187">
        <v>569</v>
      </c>
      <c r="C571" s="186" t="s">
        <v>952</v>
      </c>
      <c r="D571" s="187">
        <v>126667</v>
      </c>
      <c r="E571" s="190" t="s">
        <v>1576</v>
      </c>
      <c r="F571" s="191" t="s">
        <v>60</v>
      </c>
      <c r="G571" s="193" t="s">
        <v>1717</v>
      </c>
      <c r="H571" s="81" t="s">
        <v>918</v>
      </c>
      <c r="I571" s="190" t="s">
        <v>2080</v>
      </c>
      <c r="J571" s="183"/>
      <c r="K571" s="183"/>
      <c r="L571" s="183"/>
      <c r="M571" s="183"/>
    </row>
    <row r="572" spans="1:13" ht="15.75">
      <c r="A572" s="79">
        <f t="shared" si="8"/>
        <v>320</v>
      </c>
      <c r="B572" s="187">
        <v>570</v>
      </c>
      <c r="C572" s="186" t="s">
        <v>1239</v>
      </c>
      <c r="D572" s="187">
        <v>126681</v>
      </c>
      <c r="E572" s="190" t="s">
        <v>1633</v>
      </c>
      <c r="F572" s="191" t="s">
        <v>60</v>
      </c>
      <c r="G572" s="193" t="s">
        <v>1887</v>
      </c>
      <c r="H572" s="81" t="s">
        <v>918</v>
      </c>
      <c r="I572" s="190" t="s">
        <v>2093</v>
      </c>
      <c r="J572" s="183"/>
      <c r="K572" s="183"/>
      <c r="L572" s="183"/>
      <c r="M572" s="183"/>
    </row>
    <row r="573" spans="1:13" ht="15.75">
      <c r="A573" s="79">
        <f t="shared" si="8"/>
        <v>321</v>
      </c>
      <c r="B573" s="187">
        <v>571</v>
      </c>
      <c r="C573" s="186" t="s">
        <v>1240</v>
      </c>
      <c r="D573" s="187">
        <v>126698</v>
      </c>
      <c r="E573" s="190" t="s">
        <v>1634</v>
      </c>
      <c r="F573" s="191" t="s">
        <v>60</v>
      </c>
      <c r="G573" s="193" t="s">
        <v>1729</v>
      </c>
      <c r="H573" s="81" t="s">
        <v>918</v>
      </c>
      <c r="I573" s="190" t="s">
        <v>2093</v>
      </c>
      <c r="J573" s="183"/>
      <c r="K573" s="183"/>
      <c r="L573" s="183"/>
      <c r="M573" s="183"/>
    </row>
    <row r="574" spans="1:13" ht="15.75">
      <c r="A574" s="79">
        <f t="shared" si="8"/>
        <v>177</v>
      </c>
      <c r="B574" s="187">
        <v>572</v>
      </c>
      <c r="C574" s="186" t="s">
        <v>1096</v>
      </c>
      <c r="D574" s="187">
        <v>126719</v>
      </c>
      <c r="E574" s="190" t="s">
        <v>1613</v>
      </c>
      <c r="F574" s="191" t="s">
        <v>114</v>
      </c>
      <c r="G574" s="193" t="s">
        <v>1813</v>
      </c>
      <c r="H574" s="81" t="s">
        <v>918</v>
      </c>
      <c r="I574" s="190" t="s">
        <v>2090</v>
      </c>
      <c r="J574" s="183"/>
      <c r="K574" s="183"/>
      <c r="L574" s="183"/>
      <c r="M574" s="183"/>
    </row>
    <row r="575" spans="1:13" ht="15.75">
      <c r="A575" s="79">
        <f t="shared" si="8"/>
        <v>56</v>
      </c>
      <c r="B575" s="187">
        <v>573</v>
      </c>
      <c r="C575" s="186" t="s">
        <v>975</v>
      </c>
      <c r="D575" s="187">
        <v>126726</v>
      </c>
      <c r="E575" s="190" t="s">
        <v>1588</v>
      </c>
      <c r="F575" s="191" t="s">
        <v>60</v>
      </c>
      <c r="G575" s="193" t="s">
        <v>1737</v>
      </c>
      <c r="H575" s="81" t="s">
        <v>918</v>
      </c>
      <c r="I575" s="190" t="s">
        <v>2082</v>
      </c>
      <c r="J575" s="183"/>
      <c r="K575" s="183"/>
      <c r="L575" s="183"/>
      <c r="M575" s="183"/>
    </row>
    <row r="576" spans="1:13" ht="15.75">
      <c r="A576" s="79">
        <f t="shared" si="8"/>
        <v>140</v>
      </c>
      <c r="B576" s="187">
        <v>574</v>
      </c>
      <c r="C576" s="186" t="s">
        <v>1059</v>
      </c>
      <c r="D576" s="187">
        <v>126757</v>
      </c>
      <c r="E576" s="190" t="s">
        <v>826</v>
      </c>
      <c r="F576" s="191" t="s">
        <v>60</v>
      </c>
      <c r="G576" s="193" t="s">
        <v>1790</v>
      </c>
      <c r="H576" s="81" t="s">
        <v>918</v>
      </c>
      <c r="I576" s="190" t="s">
        <v>2087</v>
      </c>
      <c r="J576" s="184"/>
      <c r="K576" s="183"/>
      <c r="L576" s="183"/>
      <c r="M576" s="183"/>
    </row>
    <row r="577" spans="1:13" ht="30">
      <c r="A577" s="79">
        <f t="shared" si="8"/>
        <v>65</v>
      </c>
      <c r="B577" s="187">
        <v>575</v>
      </c>
      <c r="C577" s="186" t="s">
        <v>984</v>
      </c>
      <c r="D577" s="187">
        <v>126764</v>
      </c>
      <c r="E577" s="190" t="s">
        <v>1591</v>
      </c>
      <c r="F577" s="191" t="s">
        <v>114</v>
      </c>
      <c r="G577" s="193" t="s">
        <v>1743</v>
      </c>
      <c r="H577" s="81" t="s">
        <v>918</v>
      </c>
      <c r="I577" s="190" t="s">
        <v>2083</v>
      </c>
      <c r="J577" s="183"/>
      <c r="K577" s="183"/>
      <c r="L577" s="183"/>
      <c r="M577" s="183"/>
    </row>
    <row r="578" spans="1:13" ht="15.75">
      <c r="A578" s="79">
        <f t="shared" si="8"/>
        <v>178</v>
      </c>
      <c r="B578" s="187">
        <v>576</v>
      </c>
      <c r="C578" s="186" t="s">
        <v>1097</v>
      </c>
      <c r="D578" s="187">
        <v>126771</v>
      </c>
      <c r="E578" s="190" t="s">
        <v>754</v>
      </c>
      <c r="F578" s="191" t="s">
        <v>114</v>
      </c>
      <c r="G578" s="193" t="s">
        <v>1814</v>
      </c>
      <c r="H578" s="81" t="s">
        <v>918</v>
      </c>
      <c r="I578" s="190" t="s">
        <v>2090</v>
      </c>
      <c r="J578" s="183"/>
      <c r="K578" s="183"/>
      <c r="L578" s="183"/>
      <c r="M578" s="183"/>
    </row>
    <row r="579" spans="1:13" ht="30">
      <c r="A579" s="79">
        <f t="shared" ref="A579:A642" si="9">IFERROR(VALUE(RIGHT(C579,4)),"")</f>
        <v>123</v>
      </c>
      <c r="B579" s="187">
        <v>577</v>
      </c>
      <c r="C579" s="186" t="s">
        <v>1042</v>
      </c>
      <c r="D579" s="187">
        <v>126795</v>
      </c>
      <c r="E579" s="190" t="s">
        <v>1598</v>
      </c>
      <c r="F579" s="191" t="s">
        <v>114</v>
      </c>
      <c r="G579" s="193" t="s">
        <v>377</v>
      </c>
      <c r="H579" s="81" t="s">
        <v>918</v>
      </c>
      <c r="I579" s="190" t="s">
        <v>2086</v>
      </c>
      <c r="J579" s="183"/>
      <c r="K579" s="183"/>
      <c r="L579" s="183"/>
      <c r="M579" s="183"/>
    </row>
    <row r="580" spans="1:13" ht="30">
      <c r="A580" s="79">
        <f t="shared" si="9"/>
        <v>124</v>
      </c>
      <c r="B580" s="187">
        <v>578</v>
      </c>
      <c r="C580" s="186" t="s">
        <v>1043</v>
      </c>
      <c r="D580" s="187">
        <v>126809</v>
      </c>
      <c r="E580" s="190" t="s">
        <v>1599</v>
      </c>
      <c r="F580" s="191" t="s">
        <v>60</v>
      </c>
      <c r="G580" s="193" t="s">
        <v>1781</v>
      </c>
      <c r="H580" s="81" t="s">
        <v>918</v>
      </c>
      <c r="I580" s="190" t="s">
        <v>2086</v>
      </c>
      <c r="J580" s="184"/>
      <c r="K580" s="183"/>
      <c r="L580" s="183"/>
      <c r="M580" s="183"/>
    </row>
    <row r="581" spans="1:13" ht="30">
      <c r="A581" s="79">
        <f t="shared" si="9"/>
        <v>125</v>
      </c>
      <c r="B581" s="187">
        <v>579</v>
      </c>
      <c r="C581" s="186" t="s">
        <v>1044</v>
      </c>
      <c r="D581" s="187">
        <v>126816</v>
      </c>
      <c r="E581" s="190" t="s">
        <v>862</v>
      </c>
      <c r="F581" s="191" t="s">
        <v>60</v>
      </c>
      <c r="G581" s="193" t="s">
        <v>201</v>
      </c>
      <c r="H581" s="81" t="s">
        <v>918</v>
      </c>
      <c r="I581" s="190" t="s">
        <v>2086</v>
      </c>
      <c r="J581" s="183"/>
      <c r="K581" s="183"/>
      <c r="L581" s="183"/>
      <c r="M581" s="183"/>
    </row>
    <row r="582" spans="1:13" ht="15.75">
      <c r="A582" s="79">
        <f t="shared" si="9"/>
        <v>179</v>
      </c>
      <c r="B582" s="187">
        <v>580</v>
      </c>
      <c r="C582" s="186" t="s">
        <v>1098</v>
      </c>
      <c r="D582" s="187">
        <v>126823</v>
      </c>
      <c r="E582" s="190" t="s">
        <v>1614</v>
      </c>
      <c r="F582" s="191" t="s">
        <v>114</v>
      </c>
      <c r="G582" s="193" t="s">
        <v>1815</v>
      </c>
      <c r="H582" s="81" t="s">
        <v>918</v>
      </c>
      <c r="I582" s="190" t="s">
        <v>2090</v>
      </c>
      <c r="J582" s="183"/>
      <c r="K582" s="183"/>
      <c r="L582" s="183"/>
      <c r="M582" s="183"/>
    </row>
    <row r="583" spans="1:13" ht="15.75">
      <c r="A583" s="79">
        <f t="shared" si="9"/>
        <v>180</v>
      </c>
      <c r="B583" s="187">
        <v>581</v>
      </c>
      <c r="C583" s="186" t="s">
        <v>1099</v>
      </c>
      <c r="D583" s="187">
        <v>126830</v>
      </c>
      <c r="E583" s="190" t="s">
        <v>1615</v>
      </c>
      <c r="F583" s="191" t="s">
        <v>114</v>
      </c>
      <c r="G583" s="193" t="s">
        <v>349</v>
      </c>
      <c r="H583" s="81" t="s">
        <v>918</v>
      </c>
      <c r="I583" s="190" t="s">
        <v>2090</v>
      </c>
      <c r="J583" s="183"/>
      <c r="K583" s="183"/>
      <c r="L583" s="183"/>
      <c r="M583" s="183"/>
    </row>
    <row r="584" spans="1:13" ht="15.75">
      <c r="A584" s="79">
        <f t="shared" si="9"/>
        <v>141</v>
      </c>
      <c r="B584" s="187">
        <v>582</v>
      </c>
      <c r="C584" s="186" t="s">
        <v>1060</v>
      </c>
      <c r="D584" s="187">
        <v>126854</v>
      </c>
      <c r="E584" s="190" t="s">
        <v>1603</v>
      </c>
      <c r="F584" s="191" t="s">
        <v>60</v>
      </c>
      <c r="G584" s="193" t="s">
        <v>1791</v>
      </c>
      <c r="H584" s="81" t="s">
        <v>918</v>
      </c>
      <c r="I584" s="190" t="s">
        <v>2087</v>
      </c>
      <c r="J584" s="183"/>
      <c r="K584" s="183"/>
      <c r="L584" s="183"/>
      <c r="M584" s="183"/>
    </row>
    <row r="585" spans="1:13" ht="15.75">
      <c r="A585" s="79">
        <f t="shared" si="9"/>
        <v>34</v>
      </c>
      <c r="B585" s="187">
        <v>583</v>
      </c>
      <c r="C585" s="186" t="s">
        <v>953</v>
      </c>
      <c r="D585" s="187">
        <v>126861</v>
      </c>
      <c r="E585" s="190" t="s">
        <v>1577</v>
      </c>
      <c r="F585" s="191" t="s">
        <v>60</v>
      </c>
      <c r="G585" s="193" t="s">
        <v>1718</v>
      </c>
      <c r="H585" s="81" t="s">
        <v>918</v>
      </c>
      <c r="I585" s="190" t="s">
        <v>2080</v>
      </c>
      <c r="J585" s="184"/>
      <c r="K585" s="183"/>
      <c r="L585" s="183"/>
      <c r="M585" s="183"/>
    </row>
    <row r="586" spans="1:13" ht="30">
      <c r="A586" s="79">
        <f t="shared" si="9"/>
        <v>644</v>
      </c>
      <c r="B586" s="187">
        <v>584</v>
      </c>
      <c r="C586" s="186" t="s">
        <v>1563</v>
      </c>
      <c r="D586" s="187">
        <v>126878</v>
      </c>
      <c r="E586" s="190" t="s">
        <v>1690</v>
      </c>
      <c r="F586" s="191" t="s">
        <v>114</v>
      </c>
      <c r="G586" s="193" t="s">
        <v>2074</v>
      </c>
      <c r="H586" s="81" t="s">
        <v>918</v>
      </c>
      <c r="I586" s="190" t="s">
        <v>2096</v>
      </c>
      <c r="J586" s="183"/>
      <c r="K586" s="183"/>
      <c r="L586" s="183"/>
      <c r="M586" s="183"/>
    </row>
    <row r="587" spans="1:13" ht="30">
      <c r="A587" s="79">
        <f t="shared" si="9"/>
        <v>645</v>
      </c>
      <c r="B587" s="187">
        <v>585</v>
      </c>
      <c r="C587" s="186" t="s">
        <v>1564</v>
      </c>
      <c r="D587" s="187">
        <v>126885</v>
      </c>
      <c r="E587" s="190" t="s">
        <v>1691</v>
      </c>
      <c r="F587" s="191" t="s">
        <v>60</v>
      </c>
      <c r="G587" s="193" t="s">
        <v>2075</v>
      </c>
      <c r="H587" s="81" t="s">
        <v>918</v>
      </c>
      <c r="I587" s="190" t="s">
        <v>2096</v>
      </c>
      <c r="J587" s="183"/>
      <c r="K587" s="183"/>
      <c r="L587" s="183"/>
      <c r="M587" s="183"/>
    </row>
    <row r="588" spans="1:13" ht="30">
      <c r="A588" s="79">
        <f t="shared" si="9"/>
        <v>646</v>
      </c>
      <c r="B588" s="187">
        <v>586</v>
      </c>
      <c r="C588" s="186" t="s">
        <v>1565</v>
      </c>
      <c r="D588" s="187">
        <v>126892</v>
      </c>
      <c r="E588" s="190" t="s">
        <v>1692</v>
      </c>
      <c r="F588" s="191" t="s">
        <v>114</v>
      </c>
      <c r="G588" s="193" t="s">
        <v>329</v>
      </c>
      <c r="H588" s="81" t="s">
        <v>918</v>
      </c>
      <c r="I588" s="190" t="s">
        <v>2096</v>
      </c>
      <c r="J588" s="183"/>
      <c r="K588" s="183"/>
      <c r="L588" s="183"/>
      <c r="M588" s="183"/>
    </row>
    <row r="589" spans="1:13" ht="30">
      <c r="A589" s="79">
        <f t="shared" si="9"/>
        <v>190</v>
      </c>
      <c r="B589" s="187">
        <v>587</v>
      </c>
      <c r="C589" s="186" t="s">
        <v>1109</v>
      </c>
      <c r="D589" s="187">
        <v>126937</v>
      </c>
      <c r="E589" s="190" t="s">
        <v>1621</v>
      </c>
      <c r="F589" s="191" t="s">
        <v>60</v>
      </c>
      <c r="G589" s="193" t="s">
        <v>1824</v>
      </c>
      <c r="H589" s="81" t="s">
        <v>918</v>
      </c>
      <c r="I589" s="190" t="s">
        <v>2091</v>
      </c>
      <c r="J589" s="183"/>
      <c r="K589" s="183"/>
      <c r="L589" s="183"/>
      <c r="M589" s="183"/>
    </row>
    <row r="590" spans="1:13" ht="15.75">
      <c r="A590" s="79">
        <f t="shared" si="9"/>
        <v>322</v>
      </c>
      <c r="B590" s="187">
        <v>588</v>
      </c>
      <c r="C590" s="186" t="s">
        <v>1241</v>
      </c>
      <c r="D590" s="187">
        <v>126944</v>
      </c>
      <c r="E590" s="190" t="s">
        <v>1635</v>
      </c>
      <c r="F590" s="191" t="s">
        <v>114</v>
      </c>
      <c r="G590" s="193" t="s">
        <v>190</v>
      </c>
      <c r="H590" s="81" t="s">
        <v>918</v>
      </c>
      <c r="I590" s="190" t="s">
        <v>2093</v>
      </c>
      <c r="J590" s="183"/>
      <c r="K590" s="183"/>
      <c r="L590" s="183"/>
      <c r="M590" s="183"/>
    </row>
    <row r="591" spans="1:13" ht="15.75">
      <c r="A591" s="79">
        <f t="shared" si="9"/>
        <v>323</v>
      </c>
      <c r="B591" s="187">
        <v>589</v>
      </c>
      <c r="C591" s="186" t="s">
        <v>1242</v>
      </c>
      <c r="D591" s="187">
        <v>126951</v>
      </c>
      <c r="E591" s="190" t="s">
        <v>1636</v>
      </c>
      <c r="F591" s="191" t="s">
        <v>114</v>
      </c>
      <c r="G591" s="193" t="s">
        <v>383</v>
      </c>
      <c r="H591" s="81" t="s">
        <v>918</v>
      </c>
      <c r="I591" s="190" t="s">
        <v>2093</v>
      </c>
      <c r="J591" s="183"/>
      <c r="K591" s="183"/>
      <c r="L591" s="183"/>
      <c r="M591" s="183"/>
    </row>
    <row r="592" spans="1:13" ht="15.75">
      <c r="A592" s="79">
        <f t="shared" si="9"/>
        <v>439</v>
      </c>
      <c r="B592" s="187">
        <v>590</v>
      </c>
      <c r="C592" s="186" t="s">
        <v>1358</v>
      </c>
      <c r="D592" s="187">
        <v>126968</v>
      </c>
      <c r="E592" s="190" t="s">
        <v>1652</v>
      </c>
      <c r="F592" s="191" t="s">
        <v>114</v>
      </c>
      <c r="G592" s="193" t="s">
        <v>269</v>
      </c>
      <c r="H592" s="81" t="s">
        <v>918</v>
      </c>
      <c r="I592" s="190" t="s">
        <v>2094</v>
      </c>
      <c r="J592" s="183"/>
      <c r="K592" s="183"/>
      <c r="L592" s="183"/>
      <c r="M592" s="183"/>
    </row>
    <row r="593" spans="1:13" ht="15.75">
      <c r="A593" s="79">
        <f t="shared" si="9"/>
        <v>440</v>
      </c>
      <c r="B593" s="187">
        <v>591</v>
      </c>
      <c r="C593" s="186" t="s">
        <v>1359</v>
      </c>
      <c r="D593" s="187">
        <v>126975</v>
      </c>
      <c r="E593" s="190" t="s">
        <v>424</v>
      </c>
      <c r="F593" s="191" t="s">
        <v>60</v>
      </c>
      <c r="G593" s="193" t="s">
        <v>360</v>
      </c>
      <c r="H593" s="81" t="s">
        <v>918</v>
      </c>
      <c r="I593" s="190" t="s">
        <v>2094</v>
      </c>
      <c r="J593" s="183"/>
      <c r="K593" s="183"/>
      <c r="L593" s="183"/>
      <c r="M593" s="183"/>
    </row>
    <row r="594" spans="1:13" ht="15.75">
      <c r="A594" s="79">
        <f t="shared" si="9"/>
        <v>441</v>
      </c>
      <c r="B594" s="187">
        <v>592</v>
      </c>
      <c r="C594" s="186" t="s">
        <v>1360</v>
      </c>
      <c r="D594" s="187">
        <v>126982</v>
      </c>
      <c r="E594" s="190" t="s">
        <v>1653</v>
      </c>
      <c r="F594" s="191" t="s">
        <v>60</v>
      </c>
      <c r="G594" s="193" t="s">
        <v>1948</v>
      </c>
      <c r="H594" s="81" t="s">
        <v>918</v>
      </c>
      <c r="I594" s="190" t="s">
        <v>2094</v>
      </c>
      <c r="J594" s="183"/>
      <c r="K594" s="183"/>
      <c r="L594" s="183"/>
      <c r="M594" s="183"/>
    </row>
    <row r="595" spans="1:13" ht="15.75">
      <c r="A595" s="79">
        <f t="shared" si="9"/>
        <v>442</v>
      </c>
      <c r="B595" s="187">
        <v>593</v>
      </c>
      <c r="C595" s="186" t="s">
        <v>1361</v>
      </c>
      <c r="D595" s="187">
        <v>126999</v>
      </c>
      <c r="E595" s="190" t="s">
        <v>1654</v>
      </c>
      <c r="F595" s="191" t="s">
        <v>114</v>
      </c>
      <c r="G595" s="193" t="s">
        <v>318</v>
      </c>
      <c r="H595" s="81" t="s">
        <v>918</v>
      </c>
      <c r="I595" s="190" t="s">
        <v>2094</v>
      </c>
      <c r="J595" s="183"/>
      <c r="K595" s="183"/>
      <c r="L595" s="183"/>
      <c r="M595" s="183"/>
    </row>
    <row r="596" spans="1:13" ht="15.75">
      <c r="A596" s="79">
        <f t="shared" si="9"/>
        <v>443</v>
      </c>
      <c r="B596" s="187">
        <v>594</v>
      </c>
      <c r="C596" s="186" t="s">
        <v>1362</v>
      </c>
      <c r="D596" s="187">
        <v>127000</v>
      </c>
      <c r="E596" s="190" t="s">
        <v>917</v>
      </c>
      <c r="F596" s="191" t="s">
        <v>114</v>
      </c>
      <c r="G596" s="193" t="s">
        <v>1949</v>
      </c>
      <c r="H596" s="81" t="s">
        <v>918</v>
      </c>
      <c r="I596" s="190" t="s">
        <v>2094</v>
      </c>
      <c r="J596" s="183"/>
      <c r="K596" s="183"/>
      <c r="L596" s="183"/>
      <c r="M596" s="183"/>
    </row>
    <row r="597" spans="1:13" ht="15.75">
      <c r="A597" s="79">
        <f t="shared" si="9"/>
        <v>444</v>
      </c>
      <c r="B597" s="187">
        <v>595</v>
      </c>
      <c r="C597" s="186" t="s">
        <v>1363</v>
      </c>
      <c r="D597" s="187">
        <v>127017</v>
      </c>
      <c r="E597" s="190" t="s">
        <v>1655</v>
      </c>
      <c r="F597" s="191" t="s">
        <v>114</v>
      </c>
      <c r="G597" s="193" t="s">
        <v>1950</v>
      </c>
      <c r="H597" s="81" t="s">
        <v>918</v>
      </c>
      <c r="I597" s="190" t="s">
        <v>2094</v>
      </c>
      <c r="J597" s="183"/>
      <c r="K597" s="183"/>
      <c r="L597" s="183"/>
      <c r="M597" s="183"/>
    </row>
    <row r="598" spans="1:13" ht="15.75">
      <c r="A598" s="79">
        <f t="shared" si="9"/>
        <v>598</v>
      </c>
      <c r="B598" s="187">
        <v>596</v>
      </c>
      <c r="C598" s="186" t="s">
        <v>1517</v>
      </c>
      <c r="D598" s="187">
        <v>127024</v>
      </c>
      <c r="E598" s="190" t="s">
        <v>421</v>
      </c>
      <c r="F598" s="191" t="s">
        <v>114</v>
      </c>
      <c r="G598" s="193" t="s">
        <v>2039</v>
      </c>
      <c r="H598" s="81" t="s">
        <v>918</v>
      </c>
      <c r="I598" s="190" t="s">
        <v>2095</v>
      </c>
      <c r="J598" s="184"/>
      <c r="K598" s="183"/>
      <c r="L598" s="183"/>
      <c r="M598" s="183"/>
    </row>
    <row r="599" spans="1:13" ht="15.75">
      <c r="A599" s="79">
        <f t="shared" si="9"/>
        <v>599</v>
      </c>
      <c r="B599" s="187">
        <v>597</v>
      </c>
      <c r="C599" s="186" t="s">
        <v>1518</v>
      </c>
      <c r="D599" s="187">
        <v>127031</v>
      </c>
      <c r="E599" s="190" t="s">
        <v>425</v>
      </c>
      <c r="F599" s="191" t="s">
        <v>114</v>
      </c>
      <c r="G599" s="193" t="s">
        <v>225</v>
      </c>
      <c r="H599" s="81" t="s">
        <v>918</v>
      </c>
      <c r="I599" s="190" t="s">
        <v>2095</v>
      </c>
      <c r="J599" s="183"/>
      <c r="K599" s="183"/>
      <c r="L599" s="183"/>
      <c r="M599" s="183"/>
    </row>
    <row r="600" spans="1:13" ht="15.75">
      <c r="A600" s="79">
        <f t="shared" si="9"/>
        <v>600</v>
      </c>
      <c r="B600" s="187">
        <v>598</v>
      </c>
      <c r="C600" s="186" t="s">
        <v>1519</v>
      </c>
      <c r="D600" s="187">
        <v>127048</v>
      </c>
      <c r="E600" s="190" t="s">
        <v>1673</v>
      </c>
      <c r="F600" s="191" t="s">
        <v>60</v>
      </c>
      <c r="G600" s="193" t="s">
        <v>2040</v>
      </c>
      <c r="H600" s="81" t="s">
        <v>918</v>
      </c>
      <c r="I600" s="190" t="s">
        <v>2095</v>
      </c>
      <c r="J600" s="183"/>
      <c r="K600" s="183"/>
      <c r="L600" s="183"/>
      <c r="M600" s="183"/>
    </row>
    <row r="601" spans="1:13" ht="15.75">
      <c r="A601" s="79">
        <f t="shared" si="9"/>
        <v>601</v>
      </c>
      <c r="B601" s="187">
        <v>599</v>
      </c>
      <c r="C601" s="186" t="s">
        <v>1520</v>
      </c>
      <c r="D601" s="187">
        <v>127055</v>
      </c>
      <c r="E601" s="190" t="s">
        <v>422</v>
      </c>
      <c r="F601" s="191" t="s">
        <v>60</v>
      </c>
      <c r="G601" s="193" t="s">
        <v>2041</v>
      </c>
      <c r="H601" s="81" t="s">
        <v>918</v>
      </c>
      <c r="I601" s="190" t="s">
        <v>2095</v>
      </c>
      <c r="J601" s="183"/>
      <c r="K601" s="183"/>
      <c r="L601" s="183"/>
      <c r="M601" s="183"/>
    </row>
    <row r="602" spans="1:13" ht="15.75">
      <c r="A602" s="79">
        <f t="shared" si="9"/>
        <v>602</v>
      </c>
      <c r="B602" s="187">
        <v>600</v>
      </c>
      <c r="C602" s="186" t="s">
        <v>1521</v>
      </c>
      <c r="D602" s="187">
        <v>127062</v>
      </c>
      <c r="E602" s="190" t="s">
        <v>1674</v>
      </c>
      <c r="F602" s="191" t="s">
        <v>60</v>
      </c>
      <c r="G602" s="193" t="s">
        <v>2042</v>
      </c>
      <c r="H602" s="81" t="s">
        <v>918</v>
      </c>
      <c r="I602" s="190" t="s">
        <v>2095</v>
      </c>
      <c r="J602" s="183"/>
      <c r="K602" s="183"/>
      <c r="L602" s="183"/>
      <c r="M602" s="183"/>
    </row>
    <row r="603" spans="1:13" ht="15.75">
      <c r="A603" s="79">
        <f t="shared" si="9"/>
        <v>603</v>
      </c>
      <c r="B603" s="187">
        <v>601</v>
      </c>
      <c r="C603" s="186" t="s">
        <v>1522</v>
      </c>
      <c r="D603" s="187">
        <v>127079</v>
      </c>
      <c r="E603" s="190" t="s">
        <v>1675</v>
      </c>
      <c r="F603" s="191" t="s">
        <v>114</v>
      </c>
      <c r="G603" s="193" t="s">
        <v>2043</v>
      </c>
      <c r="H603" s="81" t="s">
        <v>918</v>
      </c>
      <c r="I603" s="190" t="s">
        <v>2095</v>
      </c>
      <c r="J603" s="183"/>
      <c r="K603" s="183"/>
      <c r="L603" s="183"/>
      <c r="M603" s="183"/>
    </row>
    <row r="604" spans="1:13" ht="15.75">
      <c r="A604" s="79">
        <f t="shared" si="9"/>
        <v>604</v>
      </c>
      <c r="B604" s="187">
        <v>602</v>
      </c>
      <c r="C604" s="186" t="s">
        <v>1523</v>
      </c>
      <c r="D604" s="187">
        <v>127086</v>
      </c>
      <c r="E604" s="190" t="s">
        <v>1676</v>
      </c>
      <c r="F604" s="191" t="s">
        <v>114</v>
      </c>
      <c r="G604" s="193" t="s">
        <v>2044</v>
      </c>
      <c r="H604" s="81" t="s">
        <v>918</v>
      </c>
      <c r="I604" s="190" t="s">
        <v>2095</v>
      </c>
      <c r="J604" s="183"/>
      <c r="K604" s="183"/>
      <c r="L604" s="183"/>
      <c r="M604" s="183"/>
    </row>
    <row r="605" spans="1:13" ht="15.75">
      <c r="A605" s="79">
        <f t="shared" si="9"/>
        <v>605</v>
      </c>
      <c r="B605" s="187">
        <v>603</v>
      </c>
      <c r="C605" s="186" t="s">
        <v>1524</v>
      </c>
      <c r="D605" s="187">
        <v>127093</v>
      </c>
      <c r="E605" s="190" t="s">
        <v>1677</v>
      </c>
      <c r="F605" s="191" t="s">
        <v>60</v>
      </c>
      <c r="G605" s="193" t="s">
        <v>268</v>
      </c>
      <c r="H605" s="81" t="s">
        <v>918</v>
      </c>
      <c r="I605" s="190" t="s">
        <v>2095</v>
      </c>
      <c r="J605" s="183"/>
      <c r="K605" s="183"/>
      <c r="L605" s="183"/>
      <c r="M605" s="183"/>
    </row>
    <row r="606" spans="1:13" ht="15.75">
      <c r="A606" s="79">
        <f t="shared" si="9"/>
        <v>154</v>
      </c>
      <c r="B606" s="187">
        <v>604</v>
      </c>
      <c r="C606" s="186" t="s">
        <v>1073</v>
      </c>
      <c r="D606" s="187">
        <v>127138</v>
      </c>
      <c r="E606" s="190" t="s">
        <v>1606</v>
      </c>
      <c r="F606" s="191" t="s">
        <v>60</v>
      </c>
      <c r="G606" s="193" t="s">
        <v>1799</v>
      </c>
      <c r="H606" s="81" t="s">
        <v>918</v>
      </c>
      <c r="I606" s="190" t="s">
        <v>2088</v>
      </c>
      <c r="J606" s="183"/>
      <c r="K606" s="183"/>
      <c r="L606" s="183"/>
      <c r="M606" s="183"/>
    </row>
    <row r="607" spans="1:13" ht="15.75">
      <c r="A607" s="79">
        <f t="shared" si="9"/>
        <v>142</v>
      </c>
      <c r="B607" s="187">
        <v>605</v>
      </c>
      <c r="C607" s="186" t="s">
        <v>1061</v>
      </c>
      <c r="D607" s="187">
        <v>127145</v>
      </c>
      <c r="E607" s="190" t="s">
        <v>1604</v>
      </c>
      <c r="F607" s="191" t="s">
        <v>114</v>
      </c>
      <c r="G607" s="193" t="s">
        <v>279</v>
      </c>
      <c r="H607" s="81" t="s">
        <v>918</v>
      </c>
      <c r="I607" s="190" t="s">
        <v>2087</v>
      </c>
      <c r="J607" s="183"/>
      <c r="K607" s="183"/>
      <c r="L607" s="183"/>
      <c r="M607" s="183"/>
    </row>
    <row r="608" spans="1:13" ht="15.75">
      <c r="A608" s="79">
        <f t="shared" si="9"/>
        <v>324</v>
      </c>
      <c r="B608" s="187">
        <v>606</v>
      </c>
      <c r="C608" s="186" t="s">
        <v>1243</v>
      </c>
      <c r="D608" s="187">
        <v>127152</v>
      </c>
      <c r="E608" s="190" t="s">
        <v>1637</v>
      </c>
      <c r="F608" s="191" t="s">
        <v>114</v>
      </c>
      <c r="G608" s="193" t="s">
        <v>1888</v>
      </c>
      <c r="H608" s="81" t="s">
        <v>918</v>
      </c>
      <c r="I608" s="190" t="s">
        <v>2093</v>
      </c>
      <c r="J608" s="184"/>
      <c r="K608" s="183"/>
      <c r="L608" s="183"/>
      <c r="M608" s="183"/>
    </row>
    <row r="609" spans="1:13" ht="15.75">
      <c r="A609" s="79">
        <f t="shared" si="9"/>
        <v>325</v>
      </c>
      <c r="B609" s="187">
        <v>607</v>
      </c>
      <c r="C609" s="186" t="s">
        <v>1244</v>
      </c>
      <c r="D609" s="187">
        <v>127169</v>
      </c>
      <c r="E609" s="190" t="s">
        <v>1638</v>
      </c>
      <c r="F609" s="191" t="s">
        <v>114</v>
      </c>
      <c r="G609" s="193" t="s">
        <v>1889</v>
      </c>
      <c r="H609" s="81" t="s">
        <v>918</v>
      </c>
      <c r="I609" s="190" t="s">
        <v>2093</v>
      </c>
      <c r="J609" s="183"/>
      <c r="K609" s="183"/>
      <c r="L609" s="183"/>
      <c r="M609" s="183"/>
    </row>
    <row r="610" spans="1:13" ht="15.75">
      <c r="A610" s="79">
        <f t="shared" si="9"/>
        <v>445</v>
      </c>
      <c r="B610" s="187">
        <v>608</v>
      </c>
      <c r="C610" s="186" t="s">
        <v>1364</v>
      </c>
      <c r="D610" s="187">
        <v>127176</v>
      </c>
      <c r="E610" s="190" t="s">
        <v>1656</v>
      </c>
      <c r="F610" s="191" t="s">
        <v>60</v>
      </c>
      <c r="G610" s="193" t="s">
        <v>1951</v>
      </c>
      <c r="H610" s="81" t="s">
        <v>918</v>
      </c>
      <c r="I610" s="190" t="s">
        <v>2094</v>
      </c>
      <c r="J610" s="183"/>
      <c r="K610" s="183"/>
      <c r="L610" s="183"/>
      <c r="M610" s="183"/>
    </row>
    <row r="611" spans="1:13" ht="15.75">
      <c r="A611" s="79">
        <f t="shared" si="9"/>
        <v>446</v>
      </c>
      <c r="B611" s="187">
        <v>609</v>
      </c>
      <c r="C611" s="186" t="s">
        <v>1365</v>
      </c>
      <c r="D611" s="187">
        <v>127183</v>
      </c>
      <c r="E611" s="190" t="s">
        <v>810</v>
      </c>
      <c r="F611" s="191" t="s">
        <v>114</v>
      </c>
      <c r="G611" s="193" t="s">
        <v>1952</v>
      </c>
      <c r="H611" s="81" t="s">
        <v>918</v>
      </c>
      <c r="I611" s="190" t="s">
        <v>2094</v>
      </c>
      <c r="J611" s="183"/>
      <c r="K611" s="183"/>
      <c r="L611" s="183"/>
      <c r="M611" s="183"/>
    </row>
    <row r="612" spans="1:13" ht="15.75">
      <c r="A612" s="79">
        <f t="shared" si="9"/>
        <v>447</v>
      </c>
      <c r="B612" s="187">
        <v>610</v>
      </c>
      <c r="C612" s="186" t="s">
        <v>1366</v>
      </c>
      <c r="D612" s="187">
        <v>127204</v>
      </c>
      <c r="E612" s="190" t="s">
        <v>1657</v>
      </c>
      <c r="F612" s="191" t="s">
        <v>60</v>
      </c>
      <c r="G612" s="193" t="s">
        <v>1953</v>
      </c>
      <c r="H612" s="81" t="s">
        <v>918</v>
      </c>
      <c r="I612" s="190" t="s">
        <v>2094</v>
      </c>
      <c r="J612" s="183"/>
      <c r="K612" s="183"/>
      <c r="L612" s="183"/>
      <c r="M612" s="183"/>
    </row>
    <row r="613" spans="1:13" ht="15.75">
      <c r="A613" s="79">
        <f t="shared" si="9"/>
        <v>448</v>
      </c>
      <c r="B613" s="187">
        <v>611</v>
      </c>
      <c r="C613" s="186" t="s">
        <v>1367</v>
      </c>
      <c r="D613" s="187">
        <v>127211</v>
      </c>
      <c r="E613" s="190" t="s">
        <v>1658</v>
      </c>
      <c r="F613" s="191" t="s">
        <v>114</v>
      </c>
      <c r="G613" s="193" t="s">
        <v>1954</v>
      </c>
      <c r="H613" s="81" t="s">
        <v>918</v>
      </c>
      <c r="I613" s="190" t="s">
        <v>2094</v>
      </c>
      <c r="J613" s="183"/>
      <c r="K613" s="183"/>
      <c r="L613" s="183"/>
      <c r="M613" s="183"/>
    </row>
    <row r="614" spans="1:13" ht="15.75">
      <c r="A614" s="79">
        <f t="shared" si="9"/>
        <v>606</v>
      </c>
      <c r="B614" s="187">
        <v>612</v>
      </c>
      <c r="C614" s="186" t="s">
        <v>1525</v>
      </c>
      <c r="D614" s="187">
        <v>127235</v>
      </c>
      <c r="E614" s="190" t="s">
        <v>1678</v>
      </c>
      <c r="F614" s="191" t="s">
        <v>114</v>
      </c>
      <c r="G614" s="193" t="s">
        <v>2045</v>
      </c>
      <c r="H614" s="81" t="s">
        <v>918</v>
      </c>
      <c r="I614" s="190" t="s">
        <v>2095</v>
      </c>
      <c r="J614" s="183"/>
      <c r="K614" s="183"/>
      <c r="L614" s="183"/>
      <c r="M614" s="183"/>
    </row>
    <row r="615" spans="1:13" ht="15.75">
      <c r="A615" s="79">
        <f t="shared" si="9"/>
        <v>607</v>
      </c>
      <c r="B615" s="187">
        <v>613</v>
      </c>
      <c r="C615" s="186" t="s">
        <v>1526</v>
      </c>
      <c r="D615" s="187">
        <v>127242</v>
      </c>
      <c r="E615" s="190" t="s">
        <v>1679</v>
      </c>
      <c r="F615" s="191" t="s">
        <v>114</v>
      </c>
      <c r="G615" s="193" t="s">
        <v>2046</v>
      </c>
      <c r="H615" s="81" t="s">
        <v>918</v>
      </c>
      <c r="I615" s="190" t="s">
        <v>2095</v>
      </c>
      <c r="J615" s="183"/>
      <c r="K615" s="183"/>
      <c r="L615" s="183"/>
      <c r="M615" s="183"/>
    </row>
    <row r="616" spans="1:13" ht="15.75">
      <c r="A616" s="79">
        <f t="shared" si="9"/>
        <v>608</v>
      </c>
      <c r="B616" s="187">
        <v>614</v>
      </c>
      <c r="C616" s="186" t="s">
        <v>1527</v>
      </c>
      <c r="D616" s="187">
        <v>127266</v>
      </c>
      <c r="E616" s="190" t="s">
        <v>1680</v>
      </c>
      <c r="F616" s="191" t="s">
        <v>60</v>
      </c>
      <c r="G616" s="193" t="s">
        <v>2047</v>
      </c>
      <c r="H616" s="81" t="s">
        <v>918</v>
      </c>
      <c r="I616" s="190" t="s">
        <v>2095</v>
      </c>
      <c r="J616" s="183"/>
      <c r="K616" s="183"/>
      <c r="L616" s="183"/>
      <c r="M616" s="183"/>
    </row>
    <row r="617" spans="1:13" ht="15.75">
      <c r="A617" s="79">
        <f t="shared" si="9"/>
        <v>609</v>
      </c>
      <c r="B617" s="187">
        <v>615</v>
      </c>
      <c r="C617" s="186" t="s">
        <v>1528</v>
      </c>
      <c r="D617" s="187">
        <v>127280</v>
      </c>
      <c r="E617" s="190" t="s">
        <v>1681</v>
      </c>
      <c r="F617" s="191" t="s">
        <v>60</v>
      </c>
      <c r="G617" s="193" t="s">
        <v>2048</v>
      </c>
      <c r="H617" s="81" t="s">
        <v>918</v>
      </c>
      <c r="I617" s="190" t="s">
        <v>2095</v>
      </c>
      <c r="J617" s="184"/>
      <c r="K617" s="183"/>
      <c r="L617" s="183"/>
      <c r="M617" s="183"/>
    </row>
    <row r="618" spans="1:13" ht="30">
      <c r="A618" s="79">
        <f t="shared" si="9"/>
        <v>126</v>
      </c>
      <c r="B618" s="187">
        <v>616</v>
      </c>
      <c r="C618" s="186" t="s">
        <v>1045</v>
      </c>
      <c r="D618" s="187">
        <v>127297</v>
      </c>
      <c r="E618" s="190" t="s">
        <v>1600</v>
      </c>
      <c r="F618" s="191" t="s">
        <v>114</v>
      </c>
      <c r="G618" s="193" t="s">
        <v>1782</v>
      </c>
      <c r="H618" s="81" t="s">
        <v>918</v>
      </c>
      <c r="I618" s="190" t="s">
        <v>2086</v>
      </c>
      <c r="J618" s="183"/>
      <c r="K618" s="183"/>
      <c r="L618" s="183"/>
      <c r="M618" s="183"/>
    </row>
    <row r="619" spans="1:13" ht="15.75">
      <c r="A619" s="79">
        <f t="shared" si="9"/>
        <v>181</v>
      </c>
      <c r="B619" s="187">
        <v>617</v>
      </c>
      <c r="C619" s="186" t="s">
        <v>1100</v>
      </c>
      <c r="D619" s="187">
        <v>127301</v>
      </c>
      <c r="E619" s="190" t="s">
        <v>1616</v>
      </c>
      <c r="F619" s="191" t="s">
        <v>114</v>
      </c>
      <c r="G619" s="193" t="s">
        <v>1816</v>
      </c>
      <c r="H619" s="81" t="s">
        <v>918</v>
      </c>
      <c r="I619" s="190" t="s">
        <v>2090</v>
      </c>
      <c r="J619" s="183"/>
      <c r="K619" s="183"/>
      <c r="L619" s="183"/>
      <c r="M619" s="183"/>
    </row>
    <row r="620" spans="1:13" ht="15.75">
      <c r="A620" s="79">
        <f t="shared" si="9"/>
        <v>35</v>
      </c>
      <c r="B620" s="187">
        <v>618</v>
      </c>
      <c r="C620" s="186" t="s">
        <v>954</v>
      </c>
      <c r="D620" s="187">
        <v>127318</v>
      </c>
      <c r="E620" s="190" t="s">
        <v>1578</v>
      </c>
      <c r="F620" s="191" t="s">
        <v>60</v>
      </c>
      <c r="G620" s="193" t="s">
        <v>1719</v>
      </c>
      <c r="H620" s="81" t="s">
        <v>918</v>
      </c>
      <c r="I620" s="190" t="s">
        <v>2080</v>
      </c>
      <c r="J620" s="183"/>
      <c r="K620" s="183"/>
      <c r="L620" s="183"/>
      <c r="M620" s="183"/>
    </row>
    <row r="621" spans="1:13" ht="15.75">
      <c r="A621" s="79">
        <f t="shared" si="9"/>
        <v>326</v>
      </c>
      <c r="B621" s="187">
        <v>619</v>
      </c>
      <c r="C621" s="186" t="s">
        <v>1245</v>
      </c>
      <c r="D621" s="187">
        <v>127356</v>
      </c>
      <c r="E621" s="190" t="s">
        <v>1639</v>
      </c>
      <c r="F621" s="191" t="s">
        <v>114</v>
      </c>
      <c r="G621" s="193" t="s">
        <v>247</v>
      </c>
      <c r="H621" s="81" t="s">
        <v>918</v>
      </c>
      <c r="I621" s="190" t="s">
        <v>2093</v>
      </c>
      <c r="J621" s="183"/>
      <c r="K621" s="183"/>
      <c r="L621" s="183"/>
      <c r="M621" s="183"/>
    </row>
    <row r="622" spans="1:13" ht="15.75">
      <c r="A622" s="79">
        <f t="shared" si="9"/>
        <v>327</v>
      </c>
      <c r="B622" s="187">
        <v>620</v>
      </c>
      <c r="C622" s="186" t="s">
        <v>1246</v>
      </c>
      <c r="D622" s="187">
        <v>127363</v>
      </c>
      <c r="E622" s="190" t="s">
        <v>1640</v>
      </c>
      <c r="F622" s="191" t="s">
        <v>60</v>
      </c>
      <c r="G622" s="193" t="s">
        <v>1890</v>
      </c>
      <c r="H622" s="81" t="s">
        <v>918</v>
      </c>
      <c r="I622" s="190" t="s">
        <v>2093</v>
      </c>
      <c r="J622" s="184"/>
      <c r="K622" s="183"/>
      <c r="L622" s="183"/>
      <c r="M622" s="183"/>
    </row>
    <row r="623" spans="1:13" ht="15.75">
      <c r="A623" s="79">
        <f t="shared" si="9"/>
        <v>449</v>
      </c>
      <c r="B623" s="187">
        <v>621</v>
      </c>
      <c r="C623" s="186" t="s">
        <v>1368</v>
      </c>
      <c r="D623" s="187">
        <v>127370</v>
      </c>
      <c r="E623" s="190" t="s">
        <v>1659</v>
      </c>
      <c r="F623" s="191" t="s">
        <v>60</v>
      </c>
      <c r="G623" s="193" t="s">
        <v>1848</v>
      </c>
      <c r="H623" s="81" t="s">
        <v>918</v>
      </c>
      <c r="I623" s="190" t="s">
        <v>2094</v>
      </c>
      <c r="J623" s="183"/>
      <c r="K623" s="183"/>
      <c r="L623" s="183"/>
      <c r="M623" s="183"/>
    </row>
    <row r="624" spans="1:13" ht="15.75">
      <c r="A624" s="79">
        <f t="shared" si="9"/>
        <v>610</v>
      </c>
      <c r="B624" s="187">
        <v>622</v>
      </c>
      <c r="C624" s="186" t="s">
        <v>1529</v>
      </c>
      <c r="D624" s="187">
        <v>127387</v>
      </c>
      <c r="E624" s="190" t="s">
        <v>497</v>
      </c>
      <c r="F624" s="191" t="s">
        <v>60</v>
      </c>
      <c r="G624" s="193" t="s">
        <v>2049</v>
      </c>
      <c r="H624" s="81" t="s">
        <v>918</v>
      </c>
      <c r="I624" s="190" t="s">
        <v>2095</v>
      </c>
      <c r="J624" s="184"/>
      <c r="K624" s="183"/>
      <c r="L624" s="183"/>
      <c r="M624" s="183"/>
    </row>
    <row r="625" spans="1:13" ht="15.75">
      <c r="A625" s="79">
        <f t="shared" si="9"/>
        <v>611</v>
      </c>
      <c r="B625" s="187">
        <v>623</v>
      </c>
      <c r="C625" s="186" t="s">
        <v>1530</v>
      </c>
      <c r="D625" s="187">
        <v>127394</v>
      </c>
      <c r="E625" s="190" t="s">
        <v>1682</v>
      </c>
      <c r="F625" s="191" t="s">
        <v>114</v>
      </c>
      <c r="G625" s="193" t="s">
        <v>2050</v>
      </c>
      <c r="H625" s="81" t="s">
        <v>918</v>
      </c>
      <c r="I625" s="190" t="s">
        <v>2095</v>
      </c>
      <c r="J625" s="183"/>
      <c r="K625" s="183"/>
      <c r="L625" s="183"/>
      <c r="M625" s="183"/>
    </row>
    <row r="626" spans="1:13" ht="15.75">
      <c r="A626" s="79">
        <f t="shared" si="9"/>
        <v>612</v>
      </c>
      <c r="B626" s="187">
        <v>624</v>
      </c>
      <c r="C626" s="186" t="s">
        <v>1531</v>
      </c>
      <c r="D626" s="187">
        <v>127408</v>
      </c>
      <c r="E626" s="190" t="s">
        <v>1683</v>
      </c>
      <c r="F626" s="191" t="s">
        <v>60</v>
      </c>
      <c r="G626" s="193" t="s">
        <v>2051</v>
      </c>
      <c r="H626" s="81" t="s">
        <v>918</v>
      </c>
      <c r="I626" s="190" t="s">
        <v>2095</v>
      </c>
      <c r="J626" s="184"/>
      <c r="K626" s="183"/>
      <c r="L626" s="183"/>
      <c r="M626" s="183"/>
    </row>
    <row r="627" spans="1:13" ht="15.75">
      <c r="A627" s="79">
        <f t="shared" si="9"/>
        <v>613</v>
      </c>
      <c r="B627" s="187">
        <v>625</v>
      </c>
      <c r="C627" s="186" t="s">
        <v>1532</v>
      </c>
      <c r="D627" s="187">
        <v>127415</v>
      </c>
      <c r="E627" s="190" t="s">
        <v>1684</v>
      </c>
      <c r="F627" s="191" t="s">
        <v>60</v>
      </c>
      <c r="G627" s="193" t="s">
        <v>2052</v>
      </c>
      <c r="H627" s="81" t="s">
        <v>918</v>
      </c>
      <c r="I627" s="190" t="s">
        <v>2095</v>
      </c>
      <c r="J627" s="183"/>
      <c r="K627" s="183"/>
      <c r="L627" s="183"/>
      <c r="M627" s="183"/>
    </row>
    <row r="628" spans="1:13" ht="15.75">
      <c r="A628" s="79">
        <f t="shared" si="9"/>
        <v>614</v>
      </c>
      <c r="B628" s="187">
        <v>626</v>
      </c>
      <c r="C628" s="186" t="s">
        <v>1533</v>
      </c>
      <c r="D628" s="187">
        <v>127422</v>
      </c>
      <c r="E628" s="190" t="s">
        <v>618</v>
      </c>
      <c r="F628" s="191" t="s">
        <v>60</v>
      </c>
      <c r="G628" s="193" t="s">
        <v>2053</v>
      </c>
      <c r="H628" s="81" t="s">
        <v>918</v>
      </c>
      <c r="I628" s="190" t="s">
        <v>2095</v>
      </c>
      <c r="J628" s="183"/>
      <c r="K628" s="183"/>
      <c r="L628" s="183"/>
      <c r="M628" s="183"/>
    </row>
    <row r="629" spans="1:13" ht="15.75">
      <c r="A629" s="79">
        <f t="shared" si="9"/>
        <v>143</v>
      </c>
      <c r="B629" s="187">
        <v>627</v>
      </c>
      <c r="C629" s="186" t="s">
        <v>1062</v>
      </c>
      <c r="D629" s="187">
        <v>127439</v>
      </c>
      <c r="E629" s="190" t="s">
        <v>1605</v>
      </c>
      <c r="F629" s="191" t="s">
        <v>60</v>
      </c>
      <c r="G629" s="193" t="s">
        <v>296</v>
      </c>
      <c r="H629" s="81" t="s">
        <v>918</v>
      </c>
      <c r="I629" s="190" t="s">
        <v>2087</v>
      </c>
      <c r="J629" s="183"/>
      <c r="K629" s="183"/>
      <c r="L629" s="183"/>
      <c r="M629" s="183"/>
    </row>
    <row r="630" spans="1:13" ht="15.75">
      <c r="A630" s="79">
        <f t="shared" si="9"/>
        <v>36</v>
      </c>
      <c r="B630" s="187">
        <v>628</v>
      </c>
      <c r="C630" s="186" t="s">
        <v>955</v>
      </c>
      <c r="D630" s="187">
        <v>127446</v>
      </c>
      <c r="E630" s="190" t="s">
        <v>1579</v>
      </c>
      <c r="F630" s="191" t="s">
        <v>60</v>
      </c>
      <c r="G630" s="193" t="s">
        <v>1720</v>
      </c>
      <c r="H630" s="81" t="s">
        <v>918</v>
      </c>
      <c r="I630" s="190" t="s">
        <v>2080</v>
      </c>
      <c r="J630" s="183"/>
      <c r="K630" s="183"/>
      <c r="L630" s="183"/>
      <c r="M630" s="183"/>
    </row>
    <row r="631" spans="1:13" ht="30">
      <c r="A631" s="79">
        <f t="shared" si="9"/>
        <v>127</v>
      </c>
      <c r="B631" s="187">
        <v>629</v>
      </c>
      <c r="C631" s="186" t="s">
        <v>1046</v>
      </c>
      <c r="D631" s="187">
        <v>127453</v>
      </c>
      <c r="E631" s="190" t="s">
        <v>1601</v>
      </c>
      <c r="F631" s="191" t="s">
        <v>60</v>
      </c>
      <c r="G631" s="193" t="s">
        <v>1783</v>
      </c>
      <c r="H631" s="81" t="s">
        <v>918</v>
      </c>
      <c r="I631" s="190" t="s">
        <v>2086</v>
      </c>
      <c r="J631" s="183"/>
      <c r="K631" s="183"/>
      <c r="L631" s="183"/>
      <c r="M631" s="183"/>
    </row>
    <row r="632" spans="1:13" ht="30">
      <c r="A632" s="79">
        <f t="shared" si="9"/>
        <v>163</v>
      </c>
      <c r="B632" s="187">
        <v>630</v>
      </c>
      <c r="C632" s="186" t="s">
        <v>1082</v>
      </c>
      <c r="D632" s="187">
        <v>127477</v>
      </c>
      <c r="E632" s="190" t="s">
        <v>1608</v>
      </c>
      <c r="F632" s="191" t="s">
        <v>114</v>
      </c>
      <c r="G632" s="193" t="s">
        <v>1805</v>
      </c>
      <c r="H632" s="81" t="s">
        <v>918</v>
      </c>
      <c r="I632" s="190" t="s">
        <v>2089</v>
      </c>
      <c r="J632" s="183"/>
      <c r="K632" s="183"/>
      <c r="L632" s="183"/>
      <c r="M632" s="183"/>
    </row>
    <row r="633" spans="1:13" ht="15.75">
      <c r="A633" s="79">
        <f t="shared" si="9"/>
        <v>37</v>
      </c>
      <c r="B633" s="187">
        <v>631</v>
      </c>
      <c r="C633" s="186" t="s">
        <v>956</v>
      </c>
      <c r="D633" s="187">
        <v>127484</v>
      </c>
      <c r="E633" s="190" t="s">
        <v>1580</v>
      </c>
      <c r="F633" s="191" t="s">
        <v>60</v>
      </c>
      <c r="G633" s="193" t="s">
        <v>1721</v>
      </c>
      <c r="H633" s="81" t="s">
        <v>918</v>
      </c>
      <c r="I633" s="190" t="s">
        <v>2080</v>
      </c>
      <c r="J633" s="183"/>
      <c r="K633" s="183"/>
      <c r="L633" s="183"/>
      <c r="M633" s="183"/>
    </row>
    <row r="634" spans="1:13" ht="15.75">
      <c r="A634" s="79">
        <f t="shared" si="9"/>
        <v>38</v>
      </c>
      <c r="B634" s="187">
        <v>632</v>
      </c>
      <c r="C634" s="186" t="s">
        <v>957</v>
      </c>
      <c r="D634" s="187">
        <v>127491</v>
      </c>
      <c r="E634" s="190" t="s">
        <v>1581</v>
      </c>
      <c r="F634" s="191" t="s">
        <v>60</v>
      </c>
      <c r="G634" s="193" t="s">
        <v>388</v>
      </c>
      <c r="H634" s="81" t="s">
        <v>918</v>
      </c>
      <c r="I634" s="190" t="s">
        <v>2080</v>
      </c>
      <c r="J634" s="183"/>
      <c r="K634" s="183"/>
      <c r="L634" s="183"/>
      <c r="M634" s="183"/>
    </row>
    <row r="635" spans="1:13" ht="15.75">
      <c r="A635" s="79">
        <f t="shared" si="9"/>
        <v>328</v>
      </c>
      <c r="B635" s="187">
        <v>633</v>
      </c>
      <c r="C635" s="186" t="s">
        <v>1247</v>
      </c>
      <c r="D635" s="187">
        <v>127505</v>
      </c>
      <c r="E635" s="190" t="s">
        <v>1641</v>
      </c>
      <c r="F635" s="191" t="s">
        <v>60</v>
      </c>
      <c r="G635" s="193" t="s">
        <v>1891</v>
      </c>
      <c r="H635" s="81" t="s">
        <v>918</v>
      </c>
      <c r="I635" s="190" t="s">
        <v>2093</v>
      </c>
      <c r="J635" s="184"/>
      <c r="K635" s="183"/>
      <c r="L635" s="183"/>
      <c r="M635" s="183"/>
    </row>
    <row r="636" spans="1:13" ht="15.75">
      <c r="A636" s="79">
        <f t="shared" si="9"/>
        <v>329</v>
      </c>
      <c r="B636" s="187">
        <v>634</v>
      </c>
      <c r="C636" s="186" t="s">
        <v>1248</v>
      </c>
      <c r="D636" s="187">
        <v>127512</v>
      </c>
      <c r="E636" s="190" t="s">
        <v>1642</v>
      </c>
      <c r="F636" s="191" t="s">
        <v>60</v>
      </c>
      <c r="G636" s="193" t="s">
        <v>259</v>
      </c>
      <c r="H636" s="81" t="s">
        <v>918</v>
      </c>
      <c r="I636" s="190" t="s">
        <v>2093</v>
      </c>
      <c r="J636" s="183"/>
      <c r="K636" s="183"/>
      <c r="L636" s="183"/>
      <c r="M636" s="183"/>
    </row>
    <row r="637" spans="1:13" ht="15.75">
      <c r="A637" s="79">
        <f t="shared" si="9"/>
        <v>450</v>
      </c>
      <c r="B637" s="187">
        <v>635</v>
      </c>
      <c r="C637" s="186" t="s">
        <v>1369</v>
      </c>
      <c r="D637" s="187">
        <v>127529</v>
      </c>
      <c r="E637" s="190" t="s">
        <v>1660</v>
      </c>
      <c r="F637" s="191" t="s">
        <v>60</v>
      </c>
      <c r="G637" s="193" t="s">
        <v>1955</v>
      </c>
      <c r="H637" s="81" t="s">
        <v>918</v>
      </c>
      <c r="I637" s="190" t="s">
        <v>2094</v>
      </c>
      <c r="J637" s="183"/>
      <c r="K637" s="183"/>
      <c r="L637" s="183"/>
      <c r="M637" s="183"/>
    </row>
    <row r="638" spans="1:13" ht="15.75">
      <c r="A638" s="79">
        <f t="shared" si="9"/>
        <v>615</v>
      </c>
      <c r="B638" s="187">
        <v>636</v>
      </c>
      <c r="C638" s="186" t="s">
        <v>1534</v>
      </c>
      <c r="D638" s="187">
        <v>127536</v>
      </c>
      <c r="E638" s="190" t="s">
        <v>1685</v>
      </c>
      <c r="F638" s="191" t="s">
        <v>60</v>
      </c>
      <c r="G638" s="193" t="s">
        <v>2054</v>
      </c>
      <c r="H638" s="81" t="s">
        <v>918</v>
      </c>
      <c r="I638" s="190" t="s">
        <v>2095</v>
      </c>
      <c r="J638" s="183"/>
      <c r="K638" s="183"/>
      <c r="L638" s="183"/>
      <c r="M638" s="183"/>
    </row>
    <row r="639" spans="1:13" ht="30">
      <c r="A639" s="79">
        <f t="shared" si="9"/>
        <v>164</v>
      </c>
      <c r="B639" s="187">
        <v>637</v>
      </c>
      <c r="C639" s="186" t="s">
        <v>1083</v>
      </c>
      <c r="D639" s="187">
        <v>127550</v>
      </c>
      <c r="E639" s="190" t="s">
        <v>1609</v>
      </c>
      <c r="F639" s="191" t="s">
        <v>114</v>
      </c>
      <c r="G639" s="193" t="s">
        <v>1806</v>
      </c>
      <c r="H639" s="81" t="s">
        <v>918</v>
      </c>
      <c r="I639" s="190" t="s">
        <v>2089</v>
      </c>
      <c r="J639" s="183"/>
      <c r="K639" s="183"/>
      <c r="L639" s="183"/>
      <c r="M639" s="183"/>
    </row>
    <row r="640" spans="1:13" ht="15.75">
      <c r="A640" s="79">
        <f t="shared" si="9"/>
        <v>39</v>
      </c>
      <c r="B640" s="187">
        <v>638</v>
      </c>
      <c r="C640" s="186" t="s">
        <v>958</v>
      </c>
      <c r="D640" s="187">
        <v>127567</v>
      </c>
      <c r="E640" s="190" t="s">
        <v>1582</v>
      </c>
      <c r="F640" s="191" t="s">
        <v>60</v>
      </c>
      <c r="G640" s="193" t="s">
        <v>1722</v>
      </c>
      <c r="H640" s="81" t="s">
        <v>918</v>
      </c>
      <c r="I640" s="190" t="s">
        <v>2080</v>
      </c>
      <c r="J640" s="184"/>
      <c r="K640" s="183"/>
      <c r="L640" s="183"/>
      <c r="M640" s="183"/>
    </row>
    <row r="641" spans="1:13" ht="15.75">
      <c r="A641" s="79">
        <f t="shared" si="9"/>
        <v>616</v>
      </c>
      <c r="B641" s="187">
        <v>639</v>
      </c>
      <c r="C641" s="186" t="s">
        <v>1535</v>
      </c>
      <c r="D641" s="187">
        <v>127581</v>
      </c>
      <c r="E641" s="190" t="s">
        <v>1686</v>
      </c>
      <c r="F641" s="191" t="s">
        <v>60</v>
      </c>
      <c r="G641" s="193" t="s">
        <v>2055</v>
      </c>
      <c r="H641" s="81" t="s">
        <v>918</v>
      </c>
      <c r="I641" s="190" t="s">
        <v>2095</v>
      </c>
      <c r="J641" s="183"/>
      <c r="K641" s="183"/>
      <c r="L641" s="183"/>
      <c r="M641" s="183"/>
    </row>
    <row r="642" spans="1:13" ht="15.75">
      <c r="A642" s="79">
        <f t="shared" si="9"/>
        <v>182</v>
      </c>
      <c r="B642" s="187">
        <v>640</v>
      </c>
      <c r="C642" s="186" t="s">
        <v>1101</v>
      </c>
      <c r="D642" s="187">
        <v>127598</v>
      </c>
      <c r="E642" s="190" t="s">
        <v>1617</v>
      </c>
      <c r="F642" s="191" t="s">
        <v>114</v>
      </c>
      <c r="G642" s="193" t="s">
        <v>1817</v>
      </c>
      <c r="H642" s="81" t="s">
        <v>918</v>
      </c>
      <c r="I642" s="190" t="s">
        <v>2090</v>
      </c>
      <c r="J642" s="183"/>
      <c r="K642" s="183"/>
      <c r="L642" s="183"/>
      <c r="M642" s="183"/>
    </row>
    <row r="643" spans="1:13" ht="15.75">
      <c r="A643" s="79">
        <f t="shared" ref="A643:A655" si="10">IFERROR(VALUE(RIGHT(C643,4)),"")</f>
        <v>46</v>
      </c>
      <c r="B643" s="187">
        <v>641</v>
      </c>
      <c r="C643" s="186" t="s">
        <v>965</v>
      </c>
      <c r="D643" s="187">
        <v>127602</v>
      </c>
      <c r="E643" s="190" t="s">
        <v>1585</v>
      </c>
      <c r="F643" s="191" t="s">
        <v>114</v>
      </c>
      <c r="G643" s="193" t="s">
        <v>1729</v>
      </c>
      <c r="H643" s="81" t="s">
        <v>918</v>
      </c>
      <c r="I643" s="190" t="s">
        <v>2081</v>
      </c>
      <c r="J643" s="184"/>
      <c r="K643" s="183"/>
      <c r="L643" s="183"/>
      <c r="M643" s="183"/>
    </row>
    <row r="644" spans="1:13" ht="15.75">
      <c r="A644" s="79">
        <f t="shared" si="10"/>
        <v>183</v>
      </c>
      <c r="B644" s="187">
        <v>642</v>
      </c>
      <c r="C644" s="186" t="s">
        <v>1102</v>
      </c>
      <c r="D644" s="187">
        <v>127619</v>
      </c>
      <c r="E644" s="190" t="s">
        <v>1618</v>
      </c>
      <c r="F644" s="191" t="s">
        <v>114</v>
      </c>
      <c r="G644" s="193" t="s">
        <v>1818</v>
      </c>
      <c r="H644" s="81" t="s">
        <v>918</v>
      </c>
      <c r="I644" s="190" t="s">
        <v>2090</v>
      </c>
      <c r="J644" s="183"/>
      <c r="K644" s="183"/>
      <c r="L644" s="183"/>
      <c r="M644" s="183"/>
    </row>
    <row r="645" spans="1:13" ht="15.75">
      <c r="A645" s="79">
        <f t="shared" si="10"/>
        <v>184</v>
      </c>
      <c r="B645" s="187">
        <v>643</v>
      </c>
      <c r="C645" s="186" t="s">
        <v>1103</v>
      </c>
      <c r="D645" s="187">
        <v>127626</v>
      </c>
      <c r="E645" s="190" t="s">
        <v>1619</v>
      </c>
      <c r="F645" s="191" t="s">
        <v>114</v>
      </c>
      <c r="G645" s="193" t="s">
        <v>1819</v>
      </c>
      <c r="H645" s="81" t="s">
        <v>918</v>
      </c>
      <c r="I645" s="190" t="s">
        <v>2090</v>
      </c>
      <c r="J645" s="183"/>
      <c r="K645" s="183"/>
      <c r="L645" s="183"/>
      <c r="M645" s="183"/>
    </row>
    <row r="646" spans="1:13" ht="15.75">
      <c r="A646" s="79">
        <f t="shared" si="10"/>
        <v>57</v>
      </c>
      <c r="B646" s="187">
        <v>644</v>
      </c>
      <c r="C646" s="186" t="s">
        <v>976</v>
      </c>
      <c r="D646" s="187">
        <v>127633</v>
      </c>
      <c r="E646" s="190" t="s">
        <v>1589</v>
      </c>
      <c r="F646" s="191" t="s">
        <v>114</v>
      </c>
      <c r="G646" s="193" t="s">
        <v>1738</v>
      </c>
      <c r="H646" s="81" t="s">
        <v>918</v>
      </c>
      <c r="I646" s="190" t="s">
        <v>2082</v>
      </c>
      <c r="J646" s="183"/>
      <c r="K646" s="183"/>
      <c r="L646" s="183"/>
      <c r="M646" s="183"/>
    </row>
    <row r="647" spans="1:13" ht="15.75">
      <c r="A647" s="79">
        <f t="shared" si="10"/>
        <v>617</v>
      </c>
      <c r="B647" s="187">
        <v>645</v>
      </c>
      <c r="C647" s="186" t="s">
        <v>1536</v>
      </c>
      <c r="D647" s="187">
        <v>127640</v>
      </c>
      <c r="E647" s="190" t="s">
        <v>1687</v>
      </c>
      <c r="F647" s="191" t="s">
        <v>60</v>
      </c>
      <c r="G647" s="193" t="s">
        <v>2056</v>
      </c>
      <c r="H647" s="81" t="s">
        <v>918</v>
      </c>
      <c r="I647" s="190" t="s">
        <v>2095</v>
      </c>
      <c r="J647" s="183"/>
      <c r="K647" s="183"/>
      <c r="L647" s="183"/>
      <c r="M647" s="183"/>
    </row>
    <row r="648" spans="1:13" ht="15.75">
      <c r="A648" s="79">
        <f t="shared" si="10"/>
        <v>330</v>
      </c>
      <c r="B648" s="187">
        <v>646</v>
      </c>
      <c r="C648" s="186" t="s">
        <v>1249</v>
      </c>
      <c r="D648" s="187">
        <v>127657</v>
      </c>
      <c r="E648" s="190" t="s">
        <v>1643</v>
      </c>
      <c r="F648" s="191" t="s">
        <v>60</v>
      </c>
      <c r="G648" s="193" t="s">
        <v>1892</v>
      </c>
      <c r="H648" s="81" t="s">
        <v>918</v>
      </c>
      <c r="I648" s="190" t="s">
        <v>2093</v>
      </c>
      <c r="J648" s="184"/>
      <c r="K648" s="183"/>
      <c r="L648" s="183"/>
      <c r="M648" s="183"/>
    </row>
    <row r="649" spans="1:13" ht="15.75">
      <c r="A649" s="79">
        <f t="shared" si="10"/>
        <v>331</v>
      </c>
      <c r="B649" s="187">
        <v>647</v>
      </c>
      <c r="C649" s="186" t="s">
        <v>1250</v>
      </c>
      <c r="D649" s="187">
        <v>127664</v>
      </c>
      <c r="E649" s="190" t="s">
        <v>1644</v>
      </c>
      <c r="F649" s="191" t="s">
        <v>114</v>
      </c>
      <c r="G649" s="193" t="s">
        <v>305</v>
      </c>
      <c r="H649" s="81" t="s">
        <v>918</v>
      </c>
      <c r="I649" s="190" t="s">
        <v>2093</v>
      </c>
      <c r="J649" s="184"/>
      <c r="K649" s="183"/>
      <c r="L649" s="183"/>
      <c r="M649" s="183"/>
    </row>
    <row r="650" spans="1:13" ht="15.75">
      <c r="A650" s="79">
        <f t="shared" si="10"/>
        <v>451</v>
      </c>
      <c r="B650" s="187">
        <v>648</v>
      </c>
      <c r="C650" s="186" t="s">
        <v>1370</v>
      </c>
      <c r="D650" s="187">
        <v>127671</v>
      </c>
      <c r="E650" s="190" t="s">
        <v>1661</v>
      </c>
      <c r="F650" s="191" t="s">
        <v>114</v>
      </c>
      <c r="G650" s="193" t="s">
        <v>276</v>
      </c>
      <c r="H650" s="81" t="s">
        <v>918</v>
      </c>
      <c r="I650" s="190" t="s">
        <v>2094</v>
      </c>
      <c r="J650" s="183"/>
      <c r="K650" s="183"/>
      <c r="L650" s="183"/>
      <c r="M650" s="183"/>
    </row>
    <row r="651" spans="1:13" ht="15.75">
      <c r="A651" s="79">
        <f t="shared" si="10"/>
        <v>618</v>
      </c>
      <c r="B651" s="187">
        <v>649</v>
      </c>
      <c r="C651" s="186" t="s">
        <v>1537</v>
      </c>
      <c r="D651" s="187">
        <v>127688</v>
      </c>
      <c r="E651" s="190" t="s">
        <v>663</v>
      </c>
      <c r="F651" s="191" t="s">
        <v>60</v>
      </c>
      <c r="G651" s="193" t="s">
        <v>2057</v>
      </c>
      <c r="H651" s="81" t="s">
        <v>918</v>
      </c>
      <c r="I651" s="190" t="s">
        <v>2095</v>
      </c>
      <c r="J651" s="183"/>
      <c r="K651" s="183"/>
      <c r="L651" s="183"/>
      <c r="M651" s="183"/>
    </row>
    <row r="652" spans="1:13" ht="15.75">
      <c r="A652" s="79">
        <f t="shared" si="10"/>
        <v>185</v>
      </c>
      <c r="B652" s="187">
        <v>650</v>
      </c>
      <c r="C652" s="186" t="s">
        <v>1104</v>
      </c>
      <c r="D652" s="187">
        <v>127695</v>
      </c>
      <c r="E652" s="190" t="s">
        <v>1620</v>
      </c>
      <c r="F652" s="191" t="s">
        <v>114</v>
      </c>
      <c r="G652" s="193" t="s">
        <v>1820</v>
      </c>
      <c r="H652" s="81" t="s">
        <v>918</v>
      </c>
      <c r="I652" s="190" t="s">
        <v>2090</v>
      </c>
      <c r="J652" s="184"/>
      <c r="K652" s="183"/>
      <c r="L652" s="183"/>
      <c r="M652" s="183"/>
    </row>
    <row r="653" spans="1:13" ht="15.75">
      <c r="A653" s="79">
        <f t="shared" si="10"/>
        <v>47</v>
      </c>
      <c r="B653" s="187">
        <v>651</v>
      </c>
      <c r="C653" s="186" t="s">
        <v>966</v>
      </c>
      <c r="D653" s="187">
        <v>127709</v>
      </c>
      <c r="E653" s="190" t="s">
        <v>1586</v>
      </c>
      <c r="F653" s="191" t="s">
        <v>60</v>
      </c>
      <c r="G653" s="193" t="s">
        <v>1730</v>
      </c>
      <c r="H653" s="81" t="s">
        <v>918</v>
      </c>
      <c r="I653" s="190" t="s">
        <v>2081</v>
      </c>
      <c r="J653" s="183"/>
      <c r="K653" s="183"/>
      <c r="L653" s="183"/>
      <c r="M653" s="183"/>
    </row>
    <row r="654" spans="1:13" ht="15.75">
      <c r="A654" s="79">
        <f t="shared" si="10"/>
        <v>452</v>
      </c>
      <c r="B654" s="187">
        <v>652</v>
      </c>
      <c r="C654" s="186" t="s">
        <v>1371</v>
      </c>
      <c r="D654" s="187">
        <v>710323</v>
      </c>
      <c r="E654" s="190" t="s">
        <v>450</v>
      </c>
      <c r="F654" s="191" t="s">
        <v>114</v>
      </c>
      <c r="G654" s="193" t="s">
        <v>1956</v>
      </c>
      <c r="H654" s="81" t="s">
        <v>918</v>
      </c>
      <c r="I654" s="190" t="s">
        <v>2094</v>
      </c>
      <c r="J654" s="184"/>
      <c r="K654" s="183"/>
      <c r="L654" s="183"/>
      <c r="M654" s="183"/>
    </row>
    <row r="655" spans="1:13" ht="15.75">
      <c r="A655" s="79">
        <f t="shared" si="10"/>
        <v>619</v>
      </c>
      <c r="B655" s="195">
        <v>653</v>
      </c>
      <c r="C655" s="196" t="s">
        <v>1538</v>
      </c>
      <c r="D655" s="195">
        <v>710367</v>
      </c>
      <c r="E655" s="197" t="s">
        <v>1688</v>
      </c>
      <c r="F655" s="198" t="s">
        <v>60</v>
      </c>
      <c r="G655" s="199" t="s">
        <v>2058</v>
      </c>
      <c r="H655" s="200" t="s">
        <v>918</v>
      </c>
      <c r="I655" s="197" t="s">
        <v>2095</v>
      </c>
      <c r="J655" s="201"/>
      <c r="K655" s="201"/>
      <c r="L655" s="201"/>
      <c r="M655" s="201"/>
    </row>
    <row r="656" spans="1:13" ht="15.75">
      <c r="B656" s="79"/>
      <c r="D656"/>
      <c r="E656" s="188"/>
      <c r="H656"/>
      <c r="I656" s="202"/>
      <c r="J656"/>
      <c r="K656" s="203"/>
      <c r="L656" s="203"/>
      <c r="M656" s="203"/>
    </row>
    <row r="657" spans="2:13" ht="15.75">
      <c r="B657" s="79"/>
      <c r="D657"/>
      <c r="E657" s="188"/>
      <c r="H657"/>
      <c r="I657" s="202"/>
      <c r="J657"/>
      <c r="K657" s="203"/>
      <c r="L657" s="203"/>
      <c r="M657" s="203"/>
    </row>
    <row r="658" spans="2:13" ht="15.75">
      <c r="B658" s="79"/>
      <c r="D658"/>
      <c r="E658" s="188"/>
      <c r="H658"/>
      <c r="I658" s="202"/>
      <c r="J658"/>
      <c r="K658" s="203"/>
      <c r="L658" s="203"/>
      <c r="M658" s="203"/>
    </row>
    <row r="659" spans="2:13" ht="15.75">
      <c r="B659" s="79"/>
      <c r="D659"/>
      <c r="E659" s="188"/>
      <c r="H659"/>
      <c r="I659" s="202"/>
      <c r="J659"/>
      <c r="K659" s="203"/>
      <c r="L659" s="203"/>
      <c r="M659" s="203"/>
    </row>
    <row r="660" spans="2:13" ht="15.75">
      <c r="B660" s="79"/>
      <c r="D660"/>
      <c r="E660" s="188"/>
      <c r="H660"/>
      <c r="I660" s="202"/>
      <c r="J660"/>
      <c r="K660" s="203"/>
      <c r="L660" s="203"/>
      <c r="M660" s="203"/>
    </row>
    <row r="661" spans="2:13" ht="15.75">
      <c r="B661" s="79"/>
      <c r="D661"/>
      <c r="E661" s="188"/>
      <c r="H661"/>
      <c r="I661" s="202"/>
      <c r="J661"/>
      <c r="K661" s="203"/>
      <c r="L661" s="203"/>
      <c r="M661" s="203"/>
    </row>
    <row r="662" spans="2:13" ht="15.75">
      <c r="B662" s="79"/>
      <c r="D662"/>
      <c r="E662" s="188"/>
      <c r="H662"/>
      <c r="I662" s="202"/>
      <c r="J662"/>
      <c r="K662" s="203"/>
      <c r="L662" s="203"/>
      <c r="M662" s="203"/>
    </row>
    <row r="663" spans="2:13" ht="15.75">
      <c r="B663" s="79"/>
      <c r="D663"/>
      <c r="E663" s="188"/>
      <c r="H663"/>
      <c r="I663" s="202"/>
      <c r="J663"/>
      <c r="K663" s="203"/>
      <c r="L663" s="203"/>
      <c r="M663" s="203"/>
    </row>
    <row r="664" spans="2:13" ht="15.75">
      <c r="B664" s="79"/>
      <c r="D664"/>
      <c r="E664" s="188"/>
      <c r="H664"/>
      <c r="I664" s="202"/>
      <c r="J664"/>
      <c r="K664" s="203"/>
      <c r="L664" s="203"/>
      <c r="M664" s="203"/>
    </row>
    <row r="665" spans="2:13" ht="15.75">
      <c r="B665" s="79"/>
      <c r="D665"/>
      <c r="E665" s="188"/>
      <c r="H665"/>
      <c r="I665" s="202"/>
      <c r="J665"/>
      <c r="K665" s="203"/>
      <c r="L665" s="203"/>
      <c r="M665" s="203"/>
    </row>
    <row r="666" spans="2:13" ht="15.75">
      <c r="B666" s="79"/>
      <c r="D666"/>
      <c r="E666" s="188"/>
      <c r="H666"/>
      <c r="I666" s="202"/>
      <c r="J666"/>
      <c r="K666" s="203"/>
      <c r="L666" s="203"/>
      <c r="M666" s="203"/>
    </row>
    <row r="667" spans="2:13" ht="15.75">
      <c r="B667" s="79"/>
      <c r="D667"/>
      <c r="E667" s="188"/>
      <c r="H667"/>
      <c r="I667" s="202"/>
      <c r="J667"/>
      <c r="K667" s="203"/>
      <c r="L667" s="203"/>
      <c r="M667" s="203"/>
    </row>
    <row r="668" spans="2:13" ht="15.75">
      <c r="B668" s="79"/>
      <c r="D668"/>
      <c r="E668" s="188"/>
      <c r="H668"/>
      <c r="I668" s="202"/>
      <c r="J668"/>
      <c r="K668" s="204"/>
      <c r="L668" s="203"/>
      <c r="M668" s="203"/>
    </row>
    <row r="669" spans="2:13" ht="15.75">
      <c r="B669" s="79"/>
      <c r="D669"/>
      <c r="E669" s="188"/>
      <c r="H669"/>
      <c r="I669" s="202"/>
      <c r="J669"/>
      <c r="K669" s="203"/>
      <c r="L669" s="203"/>
      <c r="M669" s="203"/>
    </row>
    <row r="670" spans="2:13" ht="15.75">
      <c r="B670" s="79"/>
      <c r="D670"/>
      <c r="E670" s="188"/>
      <c r="H670"/>
      <c r="I670" s="202"/>
      <c r="J670"/>
      <c r="K670" s="203"/>
      <c r="L670" s="203"/>
      <c r="M670" s="203"/>
    </row>
    <row r="671" spans="2:13" ht="15.75">
      <c r="B671" s="79"/>
      <c r="D671"/>
      <c r="E671" s="188"/>
      <c r="H671"/>
      <c r="I671" s="202"/>
      <c r="J671"/>
      <c r="K671" s="203"/>
      <c r="L671" s="203"/>
      <c r="M671" s="203"/>
    </row>
    <row r="672" spans="2:13" ht="15.75">
      <c r="B672" s="79"/>
      <c r="D672"/>
      <c r="E672" s="188"/>
      <c r="H672"/>
      <c r="I672" s="202"/>
      <c r="J672"/>
      <c r="K672" s="203"/>
      <c r="L672" s="203"/>
      <c r="M672" s="203"/>
    </row>
    <row r="673" spans="2:13" ht="15.75">
      <c r="B673" s="79"/>
      <c r="D673"/>
      <c r="E673" s="188"/>
      <c r="H673"/>
      <c r="I673" s="202"/>
      <c r="J673"/>
      <c r="K673" s="203"/>
      <c r="L673" s="203"/>
      <c r="M673" s="203"/>
    </row>
    <row r="674" spans="2:13" ht="15.75">
      <c r="B674" s="79"/>
      <c r="D674"/>
      <c r="E674" s="188"/>
      <c r="H674"/>
      <c r="I674" s="202"/>
      <c r="J674"/>
      <c r="K674" s="203"/>
      <c r="L674" s="203"/>
      <c r="M674" s="203"/>
    </row>
    <row r="675" spans="2:13" ht="15.75">
      <c r="B675" s="79"/>
      <c r="D675"/>
      <c r="E675" s="188"/>
      <c r="H675"/>
      <c r="I675" s="202"/>
      <c r="J675"/>
      <c r="K675" s="203"/>
      <c r="L675" s="203"/>
      <c r="M675" s="203"/>
    </row>
    <row r="676" spans="2:13" ht="15.75">
      <c r="B676" s="79"/>
      <c r="D676"/>
      <c r="E676" s="188"/>
      <c r="H676"/>
      <c r="I676" s="202"/>
      <c r="J676"/>
      <c r="K676" s="203"/>
      <c r="L676" s="203"/>
      <c r="M676" s="203"/>
    </row>
    <row r="677" spans="2:13" ht="15.75">
      <c r="B677" s="79"/>
      <c r="D677"/>
      <c r="E677" s="188"/>
      <c r="H677"/>
      <c r="I677" s="202"/>
      <c r="J677"/>
      <c r="K677" s="203"/>
      <c r="L677" s="203"/>
      <c r="M677" s="203"/>
    </row>
    <row r="678" spans="2:13" ht="15.75">
      <c r="B678" s="79"/>
      <c r="D678"/>
      <c r="E678" s="188"/>
      <c r="H678"/>
      <c r="I678" s="202"/>
      <c r="J678"/>
      <c r="K678" s="203"/>
      <c r="L678" s="203"/>
      <c r="M678" s="203"/>
    </row>
    <row r="679" spans="2:13" ht="15.75">
      <c r="B679" s="79"/>
      <c r="D679"/>
      <c r="E679" s="188"/>
      <c r="H679"/>
      <c r="I679" s="202"/>
      <c r="J679"/>
      <c r="K679" s="203"/>
      <c r="L679" s="203"/>
      <c r="M679" s="203"/>
    </row>
    <row r="680" spans="2:13" ht="15.75">
      <c r="B680" s="79"/>
      <c r="D680"/>
      <c r="E680" s="188"/>
      <c r="H680"/>
      <c r="I680" s="202"/>
      <c r="J680"/>
      <c r="K680" s="204"/>
      <c r="L680" s="203"/>
      <c r="M680" s="203"/>
    </row>
    <row r="681" spans="2:13" ht="15.75">
      <c r="B681" s="79"/>
      <c r="D681"/>
      <c r="E681" s="188"/>
      <c r="H681"/>
      <c r="I681" s="202"/>
      <c r="J681"/>
      <c r="K681" s="204"/>
      <c r="L681" s="203"/>
      <c r="M681" s="203"/>
    </row>
    <row r="682" spans="2:13" ht="15.75">
      <c r="B682" s="79"/>
      <c r="D682"/>
      <c r="E682" s="188"/>
      <c r="H682"/>
      <c r="I682" s="202"/>
      <c r="J682"/>
      <c r="K682" s="203"/>
      <c r="L682" s="203"/>
      <c r="M682" s="203"/>
    </row>
    <row r="683" spans="2:13" ht="15.75">
      <c r="B683" s="79"/>
      <c r="D683"/>
      <c r="E683" s="188"/>
      <c r="H683"/>
      <c r="I683" s="202"/>
      <c r="J683"/>
      <c r="K683" s="203"/>
      <c r="L683" s="203"/>
      <c r="M683" s="203"/>
    </row>
    <row r="684" spans="2:13" ht="15.75">
      <c r="B684" s="79"/>
      <c r="D684"/>
      <c r="E684" s="188"/>
      <c r="H684"/>
      <c r="I684" s="202"/>
      <c r="J684"/>
      <c r="K684" s="203"/>
      <c r="L684" s="203"/>
      <c r="M684" s="203"/>
    </row>
    <row r="685" spans="2:13" ht="15.75">
      <c r="B685" s="79"/>
      <c r="D685"/>
      <c r="E685" s="188"/>
      <c r="H685"/>
      <c r="I685" s="202"/>
      <c r="J685"/>
      <c r="K685" s="203"/>
      <c r="L685" s="203"/>
      <c r="M685" s="203"/>
    </row>
    <row r="686" spans="2:13" ht="15.75">
      <c r="B686" s="79"/>
      <c r="D686"/>
      <c r="E686" s="188"/>
      <c r="H686"/>
      <c r="I686" s="202"/>
      <c r="J686"/>
      <c r="K686" s="203"/>
      <c r="L686" s="203"/>
      <c r="M686" s="203"/>
    </row>
    <row r="687" spans="2:13" ht="15.75">
      <c r="B687" s="79"/>
      <c r="D687"/>
      <c r="E687" s="188"/>
      <c r="H687"/>
      <c r="I687" s="202"/>
      <c r="J687"/>
      <c r="K687" s="203"/>
      <c r="L687" s="203"/>
      <c r="M687" s="203"/>
    </row>
    <row r="688" spans="2:13" ht="15.75">
      <c r="B688" s="79"/>
      <c r="D688"/>
      <c r="E688" s="188"/>
      <c r="H688"/>
      <c r="I688" s="202"/>
      <c r="J688"/>
      <c r="K688" s="203"/>
      <c r="L688" s="203"/>
      <c r="M688" s="203"/>
    </row>
    <row r="689" spans="2:13" ht="15.75">
      <c r="B689" s="79"/>
      <c r="D689"/>
      <c r="E689" s="188"/>
      <c r="H689"/>
      <c r="I689" s="202"/>
      <c r="J689"/>
      <c r="K689" s="203"/>
      <c r="L689" s="203"/>
      <c r="M689" s="203"/>
    </row>
    <row r="690" spans="2:13" ht="15.75">
      <c r="B690" s="79"/>
      <c r="D690"/>
      <c r="E690" s="188"/>
      <c r="H690"/>
      <c r="I690" s="202"/>
      <c r="J690"/>
      <c r="K690" s="203"/>
      <c r="L690" s="203"/>
      <c r="M690" s="203"/>
    </row>
    <row r="691" spans="2:13" ht="15.75">
      <c r="B691" s="79"/>
      <c r="D691"/>
      <c r="E691" s="188"/>
      <c r="H691"/>
      <c r="I691" s="202"/>
      <c r="J691"/>
      <c r="K691" s="203"/>
      <c r="L691" s="203"/>
      <c r="M691" s="203"/>
    </row>
    <row r="692" spans="2:13" ht="15.75">
      <c r="B692" s="79"/>
      <c r="D692"/>
      <c r="E692" s="188"/>
      <c r="H692"/>
      <c r="I692" s="202"/>
      <c r="J692"/>
      <c r="K692" s="203"/>
      <c r="L692" s="203"/>
      <c r="M692" s="203"/>
    </row>
    <row r="693" spans="2:13" ht="15.75">
      <c r="B693" s="79"/>
      <c r="D693"/>
      <c r="E693" s="188"/>
      <c r="H693"/>
      <c r="I693" s="202"/>
      <c r="J693"/>
      <c r="K693" s="204"/>
      <c r="L693" s="203"/>
      <c r="M693" s="203"/>
    </row>
    <row r="694" spans="2:13" ht="15.75">
      <c r="B694" s="79"/>
      <c r="D694"/>
      <c r="E694" s="188"/>
      <c r="H694"/>
      <c r="I694" s="202"/>
      <c r="J694"/>
      <c r="K694" s="203"/>
      <c r="L694" s="203"/>
      <c r="M694" s="203"/>
    </row>
    <row r="695" spans="2:13" ht="15.75">
      <c r="B695" s="79"/>
      <c r="D695"/>
      <c r="E695" s="188"/>
      <c r="H695"/>
      <c r="I695" s="202"/>
      <c r="J695"/>
      <c r="K695" s="203"/>
      <c r="L695" s="203"/>
      <c r="M695" s="203"/>
    </row>
    <row r="696" spans="2:13" ht="15.75">
      <c r="B696" s="79"/>
      <c r="D696"/>
      <c r="E696" s="188"/>
      <c r="H696"/>
      <c r="I696" s="202"/>
      <c r="J696"/>
      <c r="K696" s="203"/>
      <c r="L696" s="203"/>
      <c r="M696" s="203"/>
    </row>
    <row r="697" spans="2:13" ht="15.75">
      <c r="B697" s="79"/>
      <c r="D697"/>
      <c r="E697" s="188"/>
      <c r="H697"/>
      <c r="I697" s="202"/>
      <c r="J697"/>
      <c r="K697" s="203"/>
      <c r="L697" s="203"/>
      <c r="M697" s="203"/>
    </row>
    <row r="698" spans="2:13" ht="15.75">
      <c r="B698" s="79"/>
      <c r="D698"/>
      <c r="E698" s="188"/>
      <c r="H698"/>
      <c r="I698" s="202"/>
      <c r="J698"/>
      <c r="K698" s="203"/>
      <c r="L698" s="203"/>
      <c r="M698" s="203"/>
    </row>
    <row r="699" spans="2:13" ht="15.75">
      <c r="B699" s="79"/>
      <c r="D699"/>
      <c r="E699" s="188"/>
      <c r="H699"/>
      <c r="I699" s="202"/>
      <c r="J699"/>
      <c r="K699" s="203"/>
      <c r="L699" s="203"/>
      <c r="M699" s="203"/>
    </row>
    <row r="700" spans="2:13" ht="15.75">
      <c r="B700" s="79"/>
      <c r="D700"/>
      <c r="E700" s="188"/>
      <c r="H700"/>
      <c r="I700" s="202"/>
      <c r="J700"/>
      <c r="K700" s="203"/>
      <c r="L700" s="203"/>
      <c r="M700" s="203"/>
    </row>
    <row r="701" spans="2:13" ht="15.75">
      <c r="B701" s="79"/>
      <c r="D701"/>
      <c r="E701" s="188"/>
      <c r="H701"/>
      <c r="I701" s="202"/>
      <c r="J701"/>
      <c r="K701" s="203"/>
      <c r="L701" s="203"/>
      <c r="M701" s="203"/>
    </row>
    <row r="702" spans="2:13" ht="15.75">
      <c r="B702" s="79"/>
      <c r="D702"/>
      <c r="E702" s="188"/>
      <c r="H702"/>
      <c r="I702" s="202"/>
      <c r="J702"/>
      <c r="K702" s="205"/>
      <c r="L702" s="205"/>
      <c r="M702" s="205"/>
    </row>
    <row r="703" spans="2:13" ht="15.75">
      <c r="B703" s="79"/>
      <c r="D703"/>
      <c r="E703" s="188"/>
      <c r="H703"/>
      <c r="I703" s="202"/>
      <c r="J703"/>
      <c r="K703" s="205"/>
      <c r="L703" s="205"/>
      <c r="M703" s="205"/>
    </row>
    <row r="704" spans="2:13" ht="15.75">
      <c r="B704" s="79"/>
      <c r="D704"/>
      <c r="E704" s="188"/>
      <c r="H704"/>
      <c r="I704" s="202"/>
      <c r="J704"/>
      <c r="K704" s="205"/>
      <c r="L704" s="205"/>
      <c r="M704" s="205"/>
    </row>
    <row r="705" spans="2:13" ht="15.75">
      <c r="B705" s="79"/>
      <c r="D705"/>
      <c r="E705" s="188"/>
      <c r="H705"/>
      <c r="I705" s="202"/>
      <c r="J705"/>
      <c r="K705" s="205"/>
      <c r="L705" s="205"/>
      <c r="M705" s="205"/>
    </row>
    <row r="706" spans="2:13" ht="15.75">
      <c r="B706" s="79"/>
      <c r="D706"/>
      <c r="E706" s="188"/>
      <c r="H706"/>
      <c r="I706" s="202"/>
      <c r="J706"/>
      <c r="K706" s="205"/>
      <c r="L706" s="205"/>
      <c r="M706" s="205"/>
    </row>
    <row r="707" spans="2:13" ht="15.75">
      <c r="B707" s="79"/>
      <c r="D707"/>
      <c r="E707" s="188"/>
      <c r="H707"/>
      <c r="I707" s="202"/>
      <c r="J707"/>
      <c r="K707" s="205"/>
      <c r="L707" s="205"/>
      <c r="M707" s="205"/>
    </row>
    <row r="708" spans="2:13" ht="15.75">
      <c r="B708" s="79"/>
      <c r="D708"/>
      <c r="E708" s="188"/>
      <c r="H708"/>
      <c r="I708" s="202"/>
      <c r="J708"/>
      <c r="K708" s="205"/>
      <c r="L708" s="205"/>
      <c r="M708" s="205"/>
    </row>
    <row r="709" spans="2:13" ht="15.75">
      <c r="B709" s="79"/>
      <c r="D709"/>
      <c r="E709" s="188"/>
      <c r="H709"/>
      <c r="I709" s="202"/>
      <c r="J709"/>
      <c r="K709" s="205"/>
      <c r="L709" s="205"/>
      <c r="M709" s="205"/>
    </row>
    <row r="710" spans="2:13" ht="15.75">
      <c r="B710" s="79"/>
      <c r="D710"/>
      <c r="E710" s="188"/>
      <c r="H710"/>
      <c r="I710" s="202"/>
      <c r="J710"/>
      <c r="K710" s="205"/>
      <c r="L710" s="205"/>
      <c r="M710" s="205"/>
    </row>
    <row r="711" spans="2:13" ht="15.75">
      <c r="B711" s="79"/>
      <c r="D711"/>
      <c r="E711" s="188"/>
      <c r="H711"/>
      <c r="I711" s="202"/>
      <c r="J711"/>
      <c r="K711" s="205"/>
      <c r="L711" s="205"/>
      <c r="M711" s="205"/>
    </row>
    <row r="712" spans="2:13" ht="15.75">
      <c r="B712" s="79"/>
      <c r="D712"/>
      <c r="E712" s="188"/>
      <c r="H712"/>
      <c r="I712" s="202"/>
      <c r="J712"/>
      <c r="K712" s="205"/>
      <c r="L712" s="205"/>
      <c r="M712" s="205"/>
    </row>
    <row r="713" spans="2:13" ht="15.75">
      <c r="B713" s="79"/>
      <c r="D713"/>
      <c r="E713" s="188"/>
      <c r="H713"/>
      <c r="I713" s="202"/>
      <c r="J713"/>
      <c r="K713" s="205"/>
      <c r="L713" s="205"/>
      <c r="M713" s="205"/>
    </row>
    <row r="714" spans="2:13" ht="15.75">
      <c r="B714" s="79"/>
      <c r="D714"/>
      <c r="E714" s="188"/>
      <c r="H714"/>
      <c r="I714" s="202"/>
      <c r="J714"/>
      <c r="K714" s="205"/>
      <c r="L714" s="205"/>
      <c r="M714" s="205"/>
    </row>
    <row r="715" spans="2:13" ht="15.75">
      <c r="B715" s="79"/>
      <c r="D715"/>
      <c r="E715" s="188"/>
      <c r="H715"/>
      <c r="I715" s="202"/>
      <c r="J715"/>
      <c r="K715" s="205"/>
      <c r="L715" s="205"/>
      <c r="M715" s="205"/>
    </row>
    <row r="716" spans="2:13" ht="15.75">
      <c r="B716" s="79"/>
      <c r="D716"/>
      <c r="E716" s="188"/>
      <c r="H716"/>
      <c r="I716" s="202"/>
      <c r="J716"/>
      <c r="K716" s="205"/>
      <c r="L716" s="205"/>
      <c r="M716" s="205"/>
    </row>
    <row r="717" spans="2:13" ht="15.75">
      <c r="B717" s="79"/>
      <c r="D717"/>
      <c r="E717" s="188"/>
      <c r="H717"/>
      <c r="I717" s="202"/>
      <c r="J717"/>
      <c r="K717" s="205"/>
      <c r="L717" s="205"/>
      <c r="M717" s="205"/>
    </row>
    <row r="718" spans="2:13" ht="15.75">
      <c r="B718" s="79"/>
      <c r="D718"/>
      <c r="E718" s="188"/>
      <c r="H718"/>
      <c r="I718" s="202"/>
      <c r="J718"/>
      <c r="K718" s="205"/>
      <c r="L718" s="205"/>
      <c r="M718" s="205"/>
    </row>
    <row r="719" spans="2:13" ht="15.75">
      <c r="B719" s="79"/>
      <c r="D719"/>
      <c r="E719" s="188"/>
      <c r="H719"/>
      <c r="I719" s="202"/>
      <c r="J719"/>
      <c r="K719" s="205"/>
      <c r="L719" s="205"/>
      <c r="M719" s="205"/>
    </row>
    <row r="720" spans="2:13" ht="15.75">
      <c r="B720" s="79"/>
      <c r="D720"/>
      <c r="E720" s="188"/>
      <c r="H720"/>
      <c r="I720" s="202"/>
      <c r="J720"/>
      <c r="K720" s="205"/>
      <c r="L720" s="205"/>
      <c r="M720" s="205"/>
    </row>
    <row r="721" spans="2:13" ht="15.75">
      <c r="B721" s="79"/>
      <c r="D721"/>
      <c r="E721" s="188"/>
      <c r="H721"/>
      <c r="I721" s="202"/>
      <c r="J721"/>
      <c r="K721" s="205"/>
      <c r="L721" s="205"/>
      <c r="M721" s="205"/>
    </row>
    <row r="722" spans="2:13" ht="15.75">
      <c r="B722" s="79"/>
      <c r="D722"/>
      <c r="E722" s="188"/>
      <c r="H722"/>
      <c r="I722" s="202"/>
      <c r="J722"/>
      <c r="K722" s="205"/>
      <c r="L722" s="205"/>
      <c r="M722" s="205"/>
    </row>
    <row r="723" spans="2:13" ht="15.75">
      <c r="B723" s="79"/>
      <c r="D723"/>
      <c r="E723" s="188"/>
      <c r="H723"/>
      <c r="I723" s="202"/>
      <c r="J723"/>
      <c r="K723" s="205"/>
      <c r="L723" s="205"/>
      <c r="M723" s="205"/>
    </row>
    <row r="724" spans="2:13" ht="15.75">
      <c r="B724" s="79"/>
      <c r="D724"/>
      <c r="E724" s="188"/>
      <c r="H724"/>
      <c r="I724" s="202"/>
      <c r="J724"/>
      <c r="K724" s="205"/>
      <c r="L724" s="205"/>
      <c r="M724" s="205"/>
    </row>
    <row r="725" spans="2:13" ht="15.75">
      <c r="B725" s="79"/>
      <c r="D725"/>
      <c r="E725" s="188"/>
      <c r="H725"/>
      <c r="I725" s="202"/>
      <c r="J725"/>
      <c r="K725" s="205"/>
      <c r="L725" s="205"/>
      <c r="M725" s="205"/>
    </row>
    <row r="726" spans="2:13" ht="15.75">
      <c r="B726" s="79"/>
      <c r="D726"/>
      <c r="E726" s="188"/>
      <c r="H726"/>
      <c r="I726" s="202"/>
      <c r="J726"/>
      <c r="K726" s="205"/>
      <c r="L726" s="205"/>
      <c r="M726" s="205"/>
    </row>
    <row r="727" spans="2:13" ht="15.75">
      <c r="B727" s="79"/>
      <c r="D727"/>
      <c r="E727" s="188"/>
      <c r="H727"/>
      <c r="I727" s="202"/>
      <c r="J727"/>
      <c r="K727" s="205"/>
      <c r="L727" s="205"/>
      <c r="M727" s="205"/>
    </row>
    <row r="728" spans="2:13" ht="15.75">
      <c r="B728" s="79"/>
      <c r="D728"/>
      <c r="E728" s="188"/>
      <c r="H728"/>
      <c r="I728" s="202"/>
      <c r="J728"/>
      <c r="K728" s="205"/>
      <c r="L728" s="205"/>
      <c r="M728" s="205"/>
    </row>
    <row r="729" spans="2:13" ht="15.75">
      <c r="B729" s="79"/>
      <c r="D729"/>
      <c r="E729" s="188"/>
      <c r="H729"/>
      <c r="I729" s="202"/>
      <c r="J729"/>
      <c r="K729" s="205"/>
      <c r="L729" s="205"/>
      <c r="M729" s="205"/>
    </row>
    <row r="730" spans="2:13" ht="15.75">
      <c r="B730" s="79"/>
      <c r="D730"/>
      <c r="E730" s="188"/>
      <c r="H730"/>
      <c r="I730" s="202"/>
      <c r="J730"/>
      <c r="K730" s="205"/>
      <c r="L730" s="205"/>
      <c r="M730" s="205"/>
    </row>
    <row r="731" spans="2:13" ht="15.75">
      <c r="B731" s="79"/>
      <c r="D731"/>
      <c r="E731" s="188"/>
      <c r="H731"/>
      <c r="I731" s="202"/>
      <c r="J731"/>
      <c r="K731" s="205"/>
      <c r="L731" s="205"/>
      <c r="M731" s="205"/>
    </row>
    <row r="732" spans="2:13" ht="15.75">
      <c r="B732" s="79"/>
      <c r="D732"/>
      <c r="E732" s="188"/>
      <c r="H732"/>
      <c r="I732" s="202"/>
      <c r="J732"/>
      <c r="K732" s="205"/>
      <c r="L732" s="205"/>
      <c r="M732" s="205"/>
    </row>
    <row r="733" spans="2:13" ht="15.75">
      <c r="B733" s="79"/>
      <c r="D733"/>
      <c r="E733" s="188"/>
      <c r="H733"/>
      <c r="I733" s="202"/>
      <c r="J733"/>
      <c r="K733" s="205"/>
      <c r="L733" s="205"/>
      <c r="M733" s="205"/>
    </row>
    <row r="734" spans="2:13" ht="15.75">
      <c r="B734" s="79"/>
      <c r="D734"/>
      <c r="E734" s="188"/>
      <c r="H734"/>
      <c r="I734" s="202"/>
      <c r="J734"/>
      <c r="K734" s="205"/>
      <c r="L734" s="205"/>
      <c r="M734" s="205"/>
    </row>
    <row r="735" spans="2:13" ht="15.75">
      <c r="B735" s="79"/>
      <c r="D735"/>
      <c r="E735" s="188"/>
      <c r="H735"/>
      <c r="I735" s="202"/>
      <c r="J735"/>
      <c r="K735" s="205"/>
      <c r="L735" s="205"/>
      <c r="M735" s="205"/>
    </row>
    <row r="736" spans="2:13" ht="15.75">
      <c r="B736" s="79"/>
      <c r="D736"/>
      <c r="E736" s="188"/>
      <c r="H736"/>
      <c r="I736" s="202"/>
      <c r="J736"/>
      <c r="K736" s="205"/>
      <c r="L736" s="205"/>
      <c r="M736" s="205"/>
    </row>
    <row r="737" spans="2:13" ht="15.75">
      <c r="B737" s="79"/>
      <c r="D737"/>
      <c r="E737" s="188"/>
      <c r="H737"/>
      <c r="I737" s="202"/>
      <c r="J737"/>
      <c r="K737" s="205"/>
      <c r="L737" s="205"/>
      <c r="M737" s="205"/>
    </row>
    <row r="738" spans="2:13" ht="15.75">
      <c r="B738" s="79"/>
      <c r="D738"/>
      <c r="E738" s="188"/>
      <c r="H738"/>
      <c r="I738" s="202"/>
      <c r="J738"/>
      <c r="K738" s="205"/>
      <c r="L738" s="205"/>
      <c r="M738" s="205"/>
    </row>
    <row r="739" spans="2:13" ht="15.75">
      <c r="B739" s="79"/>
      <c r="D739"/>
      <c r="E739" s="188"/>
      <c r="H739"/>
      <c r="I739" s="202"/>
      <c r="J739"/>
      <c r="K739" s="205"/>
      <c r="L739" s="205"/>
      <c r="M739" s="205"/>
    </row>
    <row r="740" spans="2:13" ht="15.75">
      <c r="B740" s="79"/>
      <c r="D740"/>
      <c r="E740" s="188"/>
      <c r="H740"/>
      <c r="I740" s="202"/>
      <c r="J740"/>
      <c r="K740" s="205"/>
      <c r="L740" s="205"/>
      <c r="M740" s="205"/>
    </row>
    <row r="741" spans="2:13" ht="15.75">
      <c r="B741" s="79"/>
      <c r="D741"/>
      <c r="E741" s="188"/>
      <c r="H741"/>
      <c r="I741" s="202"/>
      <c r="J741"/>
      <c r="K741" s="205"/>
      <c r="L741" s="205"/>
      <c r="M741" s="205"/>
    </row>
    <row r="742" spans="2:13" ht="15.75">
      <c r="B742" s="79"/>
      <c r="D742"/>
      <c r="E742" s="188"/>
      <c r="H742"/>
      <c r="I742" s="202"/>
      <c r="J742"/>
      <c r="K742" s="205"/>
      <c r="L742" s="205"/>
      <c r="M742" s="205"/>
    </row>
    <row r="743" spans="2:13" ht="15.75">
      <c r="B743" s="79"/>
      <c r="D743"/>
      <c r="E743" s="188"/>
      <c r="H743"/>
      <c r="I743" s="202"/>
      <c r="J743"/>
      <c r="K743" s="205"/>
      <c r="L743" s="205"/>
      <c r="M743" s="205"/>
    </row>
    <row r="744" spans="2:13" ht="15.75">
      <c r="B744" s="79"/>
      <c r="D744"/>
      <c r="E744" s="188"/>
      <c r="H744"/>
      <c r="I744" s="202"/>
      <c r="J744"/>
      <c r="K744" s="205"/>
      <c r="L744" s="205"/>
      <c r="M744" s="205"/>
    </row>
    <row r="745" spans="2:13" ht="15.75">
      <c r="B745" s="79"/>
      <c r="D745"/>
      <c r="E745" s="188"/>
      <c r="H745"/>
      <c r="I745" s="202"/>
      <c r="J745"/>
      <c r="K745" s="205"/>
      <c r="L745" s="205"/>
      <c r="M745" s="205"/>
    </row>
    <row r="746" spans="2:13" ht="15.75">
      <c r="B746" s="79"/>
      <c r="D746"/>
      <c r="E746" s="188"/>
      <c r="H746"/>
      <c r="I746" s="202"/>
      <c r="J746"/>
      <c r="K746" s="205"/>
      <c r="L746" s="205"/>
      <c r="M746" s="205"/>
    </row>
    <row r="747" spans="2:13" ht="15.75">
      <c r="B747" s="79"/>
      <c r="D747"/>
      <c r="E747" s="188"/>
      <c r="H747"/>
      <c r="I747" s="202"/>
      <c r="J747"/>
      <c r="K747" s="205"/>
      <c r="L747" s="205"/>
      <c r="M747" s="205"/>
    </row>
    <row r="748" spans="2:13" ht="15.75">
      <c r="B748" s="79"/>
      <c r="D748"/>
      <c r="E748" s="188"/>
      <c r="H748"/>
      <c r="I748" s="202"/>
      <c r="J748"/>
      <c r="K748" s="205"/>
      <c r="L748" s="205"/>
      <c r="M748" s="205"/>
    </row>
    <row r="749" spans="2:13" ht="15.75">
      <c r="B749" s="79"/>
      <c r="D749"/>
      <c r="E749" s="188"/>
      <c r="H749"/>
      <c r="I749" s="202"/>
      <c r="J749"/>
      <c r="K749" s="205"/>
      <c r="L749" s="205"/>
      <c r="M749" s="205"/>
    </row>
    <row r="750" spans="2:13" ht="15.75">
      <c r="B750" s="79"/>
      <c r="D750"/>
      <c r="E750" s="188"/>
      <c r="H750"/>
      <c r="I750" s="202"/>
      <c r="J750"/>
      <c r="K750" s="205"/>
      <c r="L750" s="205"/>
      <c r="M750" s="205"/>
    </row>
    <row r="751" spans="2:13" ht="15.75">
      <c r="B751" s="79"/>
      <c r="D751"/>
      <c r="E751" s="188"/>
      <c r="H751"/>
      <c r="I751" s="202"/>
      <c r="J751"/>
      <c r="K751" s="205"/>
      <c r="L751" s="205"/>
      <c r="M751" s="205"/>
    </row>
    <row r="752" spans="2:13" ht="15.75">
      <c r="B752" s="79"/>
      <c r="D752"/>
      <c r="E752" s="188"/>
      <c r="H752"/>
      <c r="I752" s="202"/>
      <c r="J752"/>
      <c r="K752" s="205"/>
      <c r="L752" s="205"/>
      <c r="M752" s="205"/>
    </row>
    <row r="753" spans="2:13" ht="15.75">
      <c r="B753" s="79"/>
      <c r="D753"/>
      <c r="E753" s="188"/>
      <c r="H753"/>
      <c r="I753" s="202"/>
      <c r="J753"/>
      <c r="K753" s="205"/>
      <c r="L753" s="205"/>
      <c r="M753" s="205"/>
    </row>
    <row r="754" spans="2:13" ht="15.75">
      <c r="B754" s="79"/>
      <c r="D754"/>
      <c r="E754" s="188"/>
      <c r="H754"/>
      <c r="I754" s="202"/>
      <c r="J754"/>
      <c r="K754" s="205"/>
      <c r="L754" s="205"/>
      <c r="M754" s="205"/>
    </row>
    <row r="755" spans="2:13" ht="15.75">
      <c r="B755" s="79"/>
      <c r="D755"/>
      <c r="E755" s="188"/>
      <c r="H755"/>
      <c r="I755" s="202"/>
      <c r="J755"/>
      <c r="K755" s="205"/>
      <c r="L755" s="205"/>
      <c r="M755" s="205"/>
    </row>
    <row r="756" spans="2:13" ht="15.75">
      <c r="B756" s="79"/>
      <c r="D756"/>
      <c r="E756" s="188"/>
      <c r="H756"/>
      <c r="I756" s="202"/>
      <c r="J756"/>
      <c r="K756" s="205"/>
      <c r="L756" s="205"/>
      <c r="M756" s="205"/>
    </row>
    <row r="757" spans="2:13" ht="15.75">
      <c r="B757" s="79"/>
      <c r="D757"/>
      <c r="E757" s="188"/>
      <c r="H757"/>
      <c r="I757" s="202"/>
      <c r="J757"/>
      <c r="K757" s="205"/>
      <c r="L757" s="205"/>
      <c r="M757" s="205"/>
    </row>
    <row r="758" spans="2:13" ht="15.75">
      <c r="B758" s="79"/>
      <c r="D758"/>
      <c r="E758" s="188"/>
      <c r="H758"/>
      <c r="I758" s="202"/>
      <c r="J758"/>
      <c r="K758" s="205"/>
      <c r="L758" s="205"/>
      <c r="M758" s="205"/>
    </row>
    <row r="759" spans="2:13" ht="15.75">
      <c r="B759" s="79"/>
      <c r="D759"/>
      <c r="E759" s="188"/>
      <c r="H759"/>
      <c r="I759" s="202"/>
      <c r="J759"/>
      <c r="K759" s="205"/>
      <c r="L759" s="205"/>
      <c r="M759" s="205"/>
    </row>
    <row r="760" spans="2:13" ht="15.75">
      <c r="B760" s="79"/>
      <c r="D760"/>
      <c r="E760" s="188"/>
      <c r="H760"/>
      <c r="I760" s="202"/>
      <c r="J760"/>
      <c r="K760" s="205"/>
      <c r="L760" s="205"/>
      <c r="M760" s="205"/>
    </row>
    <row r="761" spans="2:13" ht="15.75">
      <c r="B761" s="79"/>
      <c r="D761"/>
      <c r="E761" s="188"/>
      <c r="H761"/>
      <c r="I761" s="202"/>
      <c r="J761"/>
      <c r="K761" s="205"/>
      <c r="L761" s="205"/>
      <c r="M761" s="205"/>
    </row>
    <row r="762" spans="2:13" ht="15.75">
      <c r="B762" s="79"/>
      <c r="D762"/>
      <c r="E762" s="188"/>
      <c r="H762"/>
      <c r="I762" s="202"/>
      <c r="J762"/>
      <c r="K762" s="205"/>
      <c r="L762" s="205"/>
      <c r="M762" s="205"/>
    </row>
    <row r="763" spans="2:13" ht="15.75">
      <c r="B763" s="79"/>
      <c r="D763"/>
      <c r="E763" s="188"/>
      <c r="H763"/>
      <c r="I763" s="202"/>
      <c r="J763"/>
      <c r="K763" s="205"/>
      <c r="L763" s="205"/>
      <c r="M763" s="205"/>
    </row>
    <row r="764" spans="2:13" ht="15.75">
      <c r="B764" s="79"/>
      <c r="D764"/>
      <c r="E764" s="188"/>
      <c r="H764"/>
      <c r="I764" s="202"/>
      <c r="J764"/>
      <c r="K764" s="205"/>
      <c r="L764" s="205"/>
      <c r="M764" s="205"/>
    </row>
    <row r="765" spans="2:13" ht="15.75">
      <c r="B765" s="79"/>
      <c r="D765"/>
      <c r="E765" s="188"/>
      <c r="H765"/>
      <c r="I765" s="202"/>
      <c r="J765"/>
      <c r="K765" s="205"/>
      <c r="L765" s="205"/>
      <c r="M765" s="205"/>
    </row>
    <row r="766" spans="2:13" ht="15.75">
      <c r="B766" s="79"/>
      <c r="D766"/>
      <c r="E766" s="188"/>
      <c r="H766"/>
      <c r="I766" s="202"/>
      <c r="J766"/>
      <c r="K766" s="205"/>
      <c r="L766" s="205"/>
      <c r="M766" s="205"/>
    </row>
    <row r="767" spans="2:13" ht="15.75">
      <c r="B767" s="79"/>
      <c r="D767"/>
      <c r="E767" s="188"/>
      <c r="H767"/>
      <c r="I767" s="202"/>
      <c r="J767"/>
      <c r="K767" s="205"/>
      <c r="L767" s="205"/>
      <c r="M767" s="205"/>
    </row>
    <row r="768" spans="2:13" ht="15.75">
      <c r="B768" s="79"/>
      <c r="D768"/>
      <c r="E768" s="188"/>
      <c r="H768"/>
      <c r="I768" s="202"/>
      <c r="J768"/>
      <c r="K768" s="205"/>
      <c r="L768" s="205"/>
      <c r="M768" s="205"/>
    </row>
    <row r="769" spans="2:13" ht="15.75">
      <c r="B769" s="79"/>
      <c r="D769"/>
      <c r="E769" s="188"/>
      <c r="H769"/>
      <c r="I769" s="202"/>
      <c r="J769"/>
      <c r="K769" s="205"/>
      <c r="L769" s="205"/>
      <c r="M769" s="205"/>
    </row>
    <row r="770" spans="2:13" ht="15.75">
      <c r="B770" s="79"/>
      <c r="D770"/>
      <c r="E770" s="188"/>
      <c r="H770"/>
      <c r="I770" s="202"/>
      <c r="J770"/>
      <c r="K770" s="205"/>
      <c r="L770" s="205"/>
      <c r="M770" s="205"/>
    </row>
    <row r="771" spans="2:13" ht="15.75">
      <c r="B771" s="79"/>
      <c r="D771"/>
      <c r="E771" s="188"/>
      <c r="H771"/>
      <c r="I771" s="202"/>
      <c r="J771"/>
      <c r="K771" s="205"/>
      <c r="L771" s="205"/>
      <c r="M771" s="205"/>
    </row>
    <row r="772" spans="2:13" ht="15.75">
      <c r="B772" s="79"/>
      <c r="D772"/>
      <c r="E772" s="188"/>
      <c r="H772"/>
      <c r="I772" s="202"/>
      <c r="J772"/>
      <c r="K772" s="205"/>
      <c r="L772" s="205"/>
      <c r="M772" s="205"/>
    </row>
    <row r="773" spans="2:13" ht="15.75">
      <c r="B773" s="79"/>
      <c r="D773"/>
      <c r="E773" s="188"/>
      <c r="H773"/>
      <c r="I773" s="202"/>
      <c r="J773"/>
      <c r="K773" s="205"/>
      <c r="L773" s="205"/>
      <c r="M773" s="205"/>
    </row>
    <row r="774" spans="2:13" ht="15.75">
      <c r="B774" s="79"/>
      <c r="D774"/>
      <c r="E774" s="188"/>
      <c r="H774"/>
      <c r="I774" s="202"/>
      <c r="J774"/>
      <c r="K774" s="205"/>
      <c r="L774" s="205"/>
      <c r="M774" s="205"/>
    </row>
    <row r="775" spans="2:13" ht="15.75">
      <c r="B775" s="79"/>
      <c r="D775"/>
      <c r="E775" s="188"/>
      <c r="H775"/>
      <c r="I775" s="202"/>
      <c r="J775"/>
      <c r="K775" s="205"/>
      <c r="L775" s="205"/>
      <c r="M775" s="205"/>
    </row>
    <row r="776" spans="2:13" ht="15.75">
      <c r="B776" s="79"/>
      <c r="D776"/>
      <c r="E776" s="188"/>
      <c r="H776"/>
      <c r="I776" s="202"/>
      <c r="J776"/>
      <c r="K776" s="205"/>
      <c r="L776" s="205"/>
      <c r="M776" s="205"/>
    </row>
    <row r="777" spans="2:13" ht="15.75">
      <c r="B777" s="79"/>
      <c r="D777"/>
      <c r="E777" s="188"/>
      <c r="H777"/>
      <c r="I777" s="202"/>
      <c r="J777"/>
      <c r="K777" s="205"/>
      <c r="L777" s="205"/>
      <c r="M777" s="205"/>
    </row>
    <row r="778" spans="2:13" ht="15.75">
      <c r="B778" s="79"/>
      <c r="D778"/>
      <c r="E778" s="188"/>
      <c r="H778"/>
      <c r="I778" s="202"/>
      <c r="J778"/>
      <c r="K778" s="205"/>
      <c r="L778" s="205"/>
      <c r="M778" s="205"/>
    </row>
    <row r="779" spans="2:13" ht="15.75">
      <c r="B779" s="79"/>
      <c r="D779"/>
      <c r="E779" s="188"/>
      <c r="H779"/>
      <c r="I779" s="202"/>
      <c r="J779"/>
      <c r="K779" s="205"/>
      <c r="L779" s="205"/>
      <c r="M779" s="205"/>
    </row>
    <row r="780" spans="2:13" ht="15.75">
      <c r="B780" s="79"/>
      <c r="D780"/>
      <c r="E780" s="188"/>
      <c r="H780"/>
      <c r="I780" s="202"/>
      <c r="J780"/>
      <c r="K780" s="205"/>
      <c r="L780" s="205"/>
      <c r="M780" s="205"/>
    </row>
    <row r="781" spans="2:13" ht="15.75">
      <c r="B781" s="79"/>
      <c r="D781"/>
      <c r="E781" s="188"/>
      <c r="H781"/>
      <c r="I781" s="202"/>
      <c r="J781"/>
      <c r="K781" s="205"/>
      <c r="L781" s="205"/>
      <c r="M781" s="205"/>
    </row>
    <row r="782" spans="2:13" ht="15.75">
      <c r="B782" s="79"/>
      <c r="D782"/>
      <c r="E782" s="188"/>
      <c r="H782"/>
      <c r="I782" s="202"/>
      <c r="J782"/>
      <c r="K782" s="205"/>
      <c r="L782" s="205"/>
      <c r="M782" s="205"/>
    </row>
    <row r="783" spans="2:13" ht="15.75">
      <c r="B783" s="79"/>
      <c r="D783"/>
      <c r="E783" s="188"/>
      <c r="H783"/>
      <c r="I783" s="202"/>
      <c r="J783"/>
      <c r="K783" s="205"/>
      <c r="L783" s="205"/>
      <c r="M783" s="205"/>
    </row>
    <row r="784" spans="2:13" ht="15.75">
      <c r="B784" s="79"/>
      <c r="D784"/>
      <c r="E784" s="188"/>
      <c r="H784"/>
      <c r="I784" s="202"/>
      <c r="J784"/>
      <c r="K784" s="205"/>
      <c r="L784" s="205"/>
      <c r="M784" s="205"/>
    </row>
    <row r="785" spans="2:13" ht="15.75">
      <c r="B785" s="79"/>
      <c r="D785"/>
      <c r="E785" s="188"/>
      <c r="H785"/>
      <c r="I785" s="202"/>
      <c r="J785"/>
      <c r="K785" s="205"/>
      <c r="L785" s="205"/>
      <c r="M785" s="205"/>
    </row>
    <row r="786" spans="2:13" ht="15.75">
      <c r="B786" s="79"/>
      <c r="D786"/>
      <c r="E786" s="188"/>
      <c r="H786"/>
      <c r="I786" s="202"/>
      <c r="J786"/>
      <c r="K786" s="205"/>
      <c r="L786" s="205"/>
      <c r="M786" s="205"/>
    </row>
    <row r="787" spans="2:13" ht="15.75">
      <c r="B787" s="79"/>
      <c r="D787"/>
      <c r="E787" s="188"/>
      <c r="H787"/>
      <c r="I787" s="202"/>
      <c r="J787"/>
      <c r="K787" s="205"/>
      <c r="L787" s="205"/>
      <c r="M787" s="205"/>
    </row>
    <row r="788" spans="2:13" ht="15.75">
      <c r="B788" s="79"/>
      <c r="D788"/>
      <c r="E788" s="188"/>
      <c r="H788"/>
      <c r="I788" s="202"/>
      <c r="J788"/>
      <c r="K788" s="205"/>
      <c r="L788" s="205"/>
      <c r="M788" s="205"/>
    </row>
    <row r="789" spans="2:13" ht="15.75">
      <c r="B789" s="79"/>
      <c r="D789"/>
      <c r="E789" s="188"/>
      <c r="H789"/>
      <c r="I789" s="202"/>
      <c r="J789"/>
      <c r="K789" s="205"/>
      <c r="L789" s="205"/>
      <c r="M789" s="205"/>
    </row>
    <row r="790" spans="2:13" ht="15.75">
      <c r="B790" s="79"/>
      <c r="D790"/>
      <c r="E790" s="188"/>
      <c r="H790"/>
      <c r="I790" s="202"/>
      <c r="J790"/>
      <c r="K790" s="205"/>
      <c r="L790" s="205"/>
      <c r="M790" s="205"/>
    </row>
    <row r="791" spans="2:13" ht="15.75">
      <c r="B791" s="79"/>
      <c r="D791"/>
      <c r="E791" s="188"/>
      <c r="H791"/>
      <c r="I791" s="202"/>
      <c r="J791"/>
      <c r="K791" s="205"/>
      <c r="L791" s="205"/>
      <c r="M791" s="205"/>
    </row>
    <row r="792" spans="2:13" ht="15.75">
      <c r="B792" s="79"/>
      <c r="D792"/>
      <c r="E792" s="188"/>
      <c r="H792"/>
      <c r="I792" s="202"/>
      <c r="J792"/>
      <c r="K792" s="205"/>
      <c r="L792" s="205"/>
      <c r="M792" s="205"/>
    </row>
    <row r="793" spans="2:13" ht="15.75">
      <c r="B793" s="79"/>
      <c r="D793"/>
      <c r="E793" s="188"/>
      <c r="H793"/>
      <c r="I793" s="202"/>
      <c r="J793"/>
      <c r="K793" s="205"/>
      <c r="L793" s="205"/>
      <c r="M793" s="205"/>
    </row>
    <row r="794" spans="2:13" ht="15.75">
      <c r="B794" s="79"/>
      <c r="D794"/>
      <c r="E794" s="188"/>
      <c r="H794"/>
      <c r="I794" s="202"/>
      <c r="J794"/>
      <c r="K794" s="205"/>
      <c r="L794" s="205"/>
      <c r="M794" s="205"/>
    </row>
    <row r="795" spans="2:13" ht="15.75">
      <c r="B795" s="79"/>
      <c r="D795"/>
      <c r="E795" s="188"/>
      <c r="H795"/>
      <c r="I795" s="202"/>
      <c r="J795"/>
      <c r="K795" s="205"/>
      <c r="L795" s="205"/>
      <c r="M795" s="205"/>
    </row>
    <row r="796" spans="2:13" ht="15.75">
      <c r="B796" s="79"/>
      <c r="D796"/>
      <c r="E796" s="188"/>
      <c r="H796"/>
      <c r="I796" s="202"/>
      <c r="J796"/>
      <c r="K796" s="205"/>
      <c r="L796" s="205"/>
      <c r="M796" s="205"/>
    </row>
    <row r="797" spans="2:13" ht="15.75">
      <c r="B797" s="79"/>
      <c r="D797"/>
      <c r="E797" s="188"/>
      <c r="H797"/>
      <c r="I797" s="202"/>
      <c r="J797"/>
      <c r="K797" s="205"/>
      <c r="L797" s="205"/>
      <c r="M797" s="205"/>
    </row>
    <row r="798" spans="2:13" ht="15.75">
      <c r="B798" s="79"/>
      <c r="D798"/>
      <c r="E798" s="188"/>
      <c r="H798"/>
      <c r="I798" s="202"/>
      <c r="J798"/>
      <c r="K798" s="205"/>
      <c r="L798" s="205"/>
      <c r="M798" s="205"/>
    </row>
    <row r="799" spans="2:13" ht="15.75">
      <c r="B799" s="79"/>
      <c r="D799"/>
      <c r="E799" s="188"/>
      <c r="H799"/>
      <c r="I799" s="202"/>
      <c r="J799"/>
      <c r="K799" s="205"/>
      <c r="L799" s="205"/>
      <c r="M799" s="205"/>
    </row>
    <row r="800" spans="2:13" ht="15.75">
      <c r="B800" s="79"/>
      <c r="D800"/>
      <c r="E800" s="188"/>
      <c r="H800"/>
      <c r="I800" s="202"/>
      <c r="J800"/>
      <c r="K800" s="205"/>
      <c r="L800" s="205"/>
      <c r="M800" s="205"/>
    </row>
    <row r="801" spans="2:13" ht="15.75">
      <c r="B801" s="79"/>
      <c r="D801"/>
      <c r="E801" s="188"/>
      <c r="H801"/>
      <c r="I801" s="202"/>
      <c r="J801"/>
      <c r="K801" s="205"/>
      <c r="L801" s="205"/>
      <c r="M801" s="205"/>
    </row>
    <row r="802" spans="2:13" ht="15.75">
      <c r="B802" s="79"/>
      <c r="D802"/>
      <c r="E802" s="188"/>
      <c r="H802"/>
      <c r="I802" s="202"/>
      <c r="J802"/>
      <c r="K802" s="205"/>
      <c r="L802" s="205"/>
      <c r="M802" s="205"/>
    </row>
    <row r="803" spans="2:13" ht="15.75">
      <c r="B803" s="79"/>
      <c r="D803"/>
      <c r="E803" s="188"/>
      <c r="H803"/>
      <c r="I803" s="202"/>
      <c r="J803"/>
      <c r="K803" s="205"/>
      <c r="L803" s="205"/>
      <c r="M803" s="205"/>
    </row>
    <row r="804" spans="2:13" ht="15.75">
      <c r="B804" s="79"/>
      <c r="D804"/>
      <c r="E804" s="188"/>
      <c r="H804"/>
      <c r="I804" s="202"/>
      <c r="J804"/>
      <c r="K804" s="205"/>
      <c r="L804" s="205"/>
      <c r="M804" s="205"/>
    </row>
    <row r="805" spans="2:13" ht="15.75">
      <c r="B805" s="79"/>
      <c r="D805"/>
      <c r="E805" s="188"/>
      <c r="H805"/>
      <c r="I805" s="202"/>
      <c r="J805"/>
      <c r="K805" s="205"/>
      <c r="L805" s="205"/>
      <c r="M805" s="205"/>
    </row>
    <row r="806" spans="2:13" ht="15.75">
      <c r="B806" s="79"/>
      <c r="D806"/>
      <c r="E806" s="188"/>
      <c r="H806"/>
      <c r="I806" s="202"/>
      <c r="J806"/>
      <c r="K806" s="205"/>
      <c r="L806" s="205"/>
      <c r="M806" s="205"/>
    </row>
    <row r="807" spans="2:13" ht="15.75">
      <c r="B807" s="79"/>
      <c r="D807"/>
      <c r="E807" s="188"/>
      <c r="H807"/>
      <c r="I807" s="202"/>
      <c r="J807"/>
      <c r="K807" s="205"/>
      <c r="L807" s="205"/>
      <c r="M807" s="205"/>
    </row>
    <row r="808" spans="2:13" ht="15.75">
      <c r="B808" s="79"/>
      <c r="D808"/>
      <c r="E808" s="188"/>
      <c r="H808"/>
      <c r="I808" s="202"/>
      <c r="J808"/>
      <c r="K808" s="205"/>
      <c r="L808" s="205"/>
      <c r="M808" s="205"/>
    </row>
    <row r="809" spans="2:13" ht="15.75">
      <c r="B809" s="79"/>
      <c r="D809"/>
      <c r="E809" s="188"/>
      <c r="H809"/>
      <c r="I809" s="202"/>
      <c r="J809"/>
      <c r="K809" s="205"/>
      <c r="L809" s="205"/>
      <c r="M809" s="205"/>
    </row>
    <row r="810" spans="2:13" ht="15.75">
      <c r="B810" s="79"/>
      <c r="D810"/>
      <c r="E810" s="188"/>
      <c r="H810"/>
      <c r="I810" s="202"/>
      <c r="J810"/>
      <c r="K810" s="205"/>
      <c r="L810" s="205"/>
      <c r="M810" s="205"/>
    </row>
    <row r="811" spans="2:13" ht="15.75">
      <c r="B811" s="79"/>
      <c r="D811"/>
      <c r="E811" s="188"/>
      <c r="H811"/>
      <c r="I811" s="202"/>
      <c r="J811"/>
      <c r="K811" s="205"/>
      <c r="L811" s="205"/>
      <c r="M811" s="205"/>
    </row>
    <row r="812" spans="2:13" ht="15.75">
      <c r="B812" s="79"/>
      <c r="D812"/>
      <c r="E812" s="188"/>
      <c r="H812"/>
      <c r="I812" s="202"/>
      <c r="J812"/>
      <c r="K812" s="205"/>
      <c r="L812" s="205"/>
      <c r="M812" s="205"/>
    </row>
    <row r="813" spans="2:13" ht="15.75">
      <c r="B813" s="79"/>
      <c r="D813"/>
      <c r="E813" s="188"/>
      <c r="H813"/>
      <c r="I813" s="202"/>
      <c r="J813"/>
      <c r="K813" s="205"/>
      <c r="L813" s="205"/>
      <c r="M813" s="205"/>
    </row>
    <row r="814" spans="2:13" ht="15.75">
      <c r="B814" s="79"/>
      <c r="D814"/>
      <c r="E814" s="188"/>
      <c r="H814"/>
      <c r="I814" s="202"/>
      <c r="J814"/>
      <c r="K814" s="205"/>
      <c r="L814" s="205"/>
      <c r="M814" s="205"/>
    </row>
    <row r="815" spans="2:13" ht="15.75">
      <c r="B815" s="79"/>
      <c r="D815"/>
      <c r="E815" s="188"/>
      <c r="H815"/>
      <c r="I815" s="202"/>
      <c r="J815"/>
      <c r="K815" s="205"/>
      <c r="L815" s="205"/>
      <c r="M815" s="205"/>
    </row>
    <row r="816" spans="2:13" ht="15.75">
      <c r="B816" s="79"/>
      <c r="D816"/>
      <c r="E816" s="188"/>
      <c r="H816"/>
      <c r="I816" s="202"/>
      <c r="J816"/>
      <c r="K816" s="205"/>
      <c r="L816" s="205"/>
      <c r="M816" s="205"/>
    </row>
    <row r="817" spans="2:13" ht="15.75">
      <c r="B817" s="79"/>
      <c r="D817"/>
      <c r="E817" s="188"/>
      <c r="H817"/>
      <c r="I817" s="202"/>
      <c r="J817"/>
      <c r="K817" s="205"/>
      <c r="L817" s="205"/>
      <c r="M817" s="205"/>
    </row>
    <row r="818" spans="2:13" ht="15.75">
      <c r="B818" s="79"/>
      <c r="D818"/>
      <c r="E818" s="188"/>
      <c r="H818"/>
      <c r="I818" s="202"/>
      <c r="J818"/>
      <c r="K818" s="205"/>
      <c r="L818" s="205"/>
      <c r="M818" s="205"/>
    </row>
    <row r="819" spans="2:13" ht="15.75">
      <c r="B819" s="79"/>
      <c r="D819"/>
      <c r="E819" s="188"/>
      <c r="H819"/>
      <c r="I819" s="202"/>
      <c r="J819"/>
      <c r="K819" s="205"/>
      <c r="L819" s="205"/>
      <c r="M819" s="205"/>
    </row>
    <row r="820" spans="2:13" ht="15.75">
      <c r="B820" s="79"/>
      <c r="D820"/>
      <c r="E820" s="188"/>
      <c r="H820"/>
      <c r="I820" s="202"/>
      <c r="J820"/>
      <c r="K820" s="205"/>
      <c r="L820" s="205"/>
      <c r="M820" s="205"/>
    </row>
    <row r="821" spans="2:13" ht="15.75">
      <c r="B821" s="79"/>
      <c r="D821"/>
      <c r="E821" s="188"/>
      <c r="H821"/>
      <c r="I821" s="202"/>
      <c r="J821"/>
      <c r="K821" s="205"/>
      <c r="L821" s="205"/>
      <c r="M821" s="205"/>
    </row>
    <row r="822" spans="2:13" ht="15.75">
      <c r="B822" s="79"/>
      <c r="D822"/>
      <c r="E822" s="188"/>
      <c r="H822"/>
      <c r="I822" s="202"/>
      <c r="J822"/>
      <c r="K822" s="205"/>
      <c r="L822" s="205"/>
      <c r="M822" s="205"/>
    </row>
    <row r="823" spans="2:13" ht="15.75">
      <c r="B823" s="79"/>
      <c r="D823"/>
      <c r="E823" s="188"/>
      <c r="H823"/>
      <c r="I823" s="202"/>
      <c r="J823"/>
      <c r="K823" s="205"/>
      <c r="L823" s="205"/>
      <c r="M823" s="205"/>
    </row>
    <row r="824" spans="2:13" ht="15.75">
      <c r="B824" s="79"/>
      <c r="D824"/>
      <c r="E824" s="188"/>
      <c r="H824"/>
      <c r="I824" s="202"/>
      <c r="J824"/>
      <c r="K824" s="205"/>
      <c r="L824" s="205"/>
      <c r="M824" s="205"/>
    </row>
    <row r="825" spans="2:13" ht="15.75">
      <c r="B825" s="79"/>
      <c r="D825"/>
      <c r="E825" s="188"/>
      <c r="H825"/>
      <c r="I825" s="202"/>
      <c r="J825"/>
      <c r="K825" s="205"/>
      <c r="L825" s="205"/>
      <c r="M825" s="205"/>
    </row>
    <row r="826" spans="2:13" ht="15.75">
      <c r="B826" s="79"/>
      <c r="D826"/>
      <c r="E826" s="188"/>
      <c r="H826"/>
      <c r="I826" s="202"/>
      <c r="J826"/>
      <c r="K826" s="205"/>
      <c r="L826" s="205"/>
      <c r="M826" s="205"/>
    </row>
    <row r="827" spans="2:13" ht="15.75">
      <c r="B827" s="79"/>
      <c r="D827"/>
      <c r="E827" s="188"/>
      <c r="H827"/>
      <c r="I827" s="202"/>
      <c r="J827"/>
      <c r="K827" s="205"/>
      <c r="L827" s="205"/>
      <c r="M827" s="205"/>
    </row>
    <row r="828" spans="2:13" ht="15.75">
      <c r="B828" s="79"/>
      <c r="D828"/>
      <c r="E828" s="188"/>
      <c r="H828"/>
      <c r="I828" s="202"/>
      <c r="J828"/>
      <c r="K828" s="205"/>
      <c r="L828" s="205"/>
      <c r="M828" s="205"/>
    </row>
    <row r="829" spans="2:13" ht="15.75">
      <c r="B829" s="79"/>
      <c r="D829"/>
      <c r="E829" s="188"/>
      <c r="H829"/>
      <c r="I829" s="202"/>
      <c r="J829"/>
      <c r="K829" s="205"/>
      <c r="L829" s="205"/>
      <c r="M829" s="205"/>
    </row>
    <row r="830" spans="2:13" ht="15.75">
      <c r="B830" s="79"/>
      <c r="D830"/>
      <c r="E830" s="188"/>
      <c r="H830"/>
      <c r="I830" s="202"/>
      <c r="J830"/>
      <c r="K830" s="205"/>
      <c r="L830" s="205"/>
      <c r="M830" s="205"/>
    </row>
    <row r="831" spans="2:13" ht="15.75">
      <c r="B831" s="79"/>
      <c r="D831"/>
      <c r="E831" s="188"/>
      <c r="H831"/>
      <c r="I831" s="202"/>
      <c r="J831"/>
      <c r="K831" s="205"/>
      <c r="L831" s="205"/>
      <c r="M831" s="205"/>
    </row>
    <row r="832" spans="2:13" ht="15.75">
      <c r="B832" s="79"/>
      <c r="D832"/>
      <c r="E832" s="188"/>
      <c r="H832"/>
      <c r="I832" s="202"/>
      <c r="J832"/>
      <c r="K832" s="205"/>
      <c r="L832" s="205"/>
      <c r="M832" s="205"/>
    </row>
    <row r="833" spans="2:13" ht="15.75">
      <c r="B833" s="79"/>
      <c r="D833"/>
      <c r="E833" s="188"/>
      <c r="H833"/>
      <c r="I833" s="202"/>
      <c r="J833"/>
      <c r="K833" s="205"/>
      <c r="L833" s="205"/>
      <c r="M833" s="205"/>
    </row>
    <row r="834" spans="2:13" ht="15.75">
      <c r="B834" s="79"/>
      <c r="D834"/>
      <c r="E834" s="188"/>
      <c r="H834"/>
      <c r="I834" s="202"/>
      <c r="J834"/>
      <c r="K834" s="205"/>
      <c r="L834" s="205"/>
      <c r="M834" s="205"/>
    </row>
    <row r="835" spans="2:13" ht="15.75">
      <c r="B835" s="79"/>
      <c r="D835"/>
      <c r="E835" s="188"/>
      <c r="H835"/>
      <c r="I835" s="202"/>
      <c r="J835"/>
      <c r="K835" s="205"/>
      <c r="L835" s="205"/>
      <c r="M835" s="205"/>
    </row>
    <row r="836" spans="2:13" ht="15.75">
      <c r="B836" s="79"/>
      <c r="D836"/>
      <c r="E836" s="188"/>
      <c r="H836"/>
      <c r="I836" s="202"/>
      <c r="J836"/>
      <c r="K836" s="205"/>
      <c r="L836" s="205"/>
      <c r="M836" s="205"/>
    </row>
    <row r="837" spans="2:13" ht="15.75">
      <c r="B837" s="79"/>
      <c r="D837"/>
      <c r="E837" s="188"/>
      <c r="H837"/>
      <c r="I837" s="202"/>
      <c r="J837"/>
      <c r="K837" s="205"/>
      <c r="L837" s="205"/>
      <c r="M837" s="205"/>
    </row>
    <row r="838" spans="2:13" ht="15.75">
      <c r="B838" s="79"/>
      <c r="D838"/>
      <c r="E838" s="188"/>
      <c r="H838"/>
      <c r="I838" s="202"/>
      <c r="J838"/>
      <c r="K838" s="205"/>
      <c r="L838" s="205"/>
      <c r="M838" s="205"/>
    </row>
    <row r="839" spans="2:13" ht="15.75">
      <c r="B839" s="79"/>
      <c r="D839"/>
      <c r="E839" s="188"/>
      <c r="H839"/>
      <c r="I839" s="202"/>
      <c r="J839"/>
      <c r="K839" s="205"/>
      <c r="L839" s="205"/>
      <c r="M839" s="205"/>
    </row>
    <row r="840" spans="2:13" ht="15.75">
      <c r="B840" s="79"/>
      <c r="D840"/>
      <c r="E840" s="188"/>
      <c r="H840"/>
      <c r="I840" s="202"/>
      <c r="J840"/>
      <c r="K840" s="205"/>
      <c r="L840" s="205"/>
      <c r="M840" s="205"/>
    </row>
    <row r="841" spans="2:13" ht="15.75">
      <c r="B841" s="79"/>
      <c r="D841"/>
      <c r="E841" s="188"/>
      <c r="H841"/>
      <c r="I841" s="202"/>
      <c r="J841"/>
      <c r="K841" s="205"/>
      <c r="L841" s="205"/>
      <c r="M841" s="205"/>
    </row>
    <row r="842" spans="2:13" ht="15.75">
      <c r="B842" s="79"/>
      <c r="D842"/>
      <c r="E842" s="188"/>
      <c r="H842"/>
      <c r="I842" s="202"/>
      <c r="J842"/>
      <c r="K842" s="205"/>
      <c r="L842" s="205"/>
      <c r="M842" s="205"/>
    </row>
    <row r="843" spans="2:13" ht="15.75">
      <c r="B843" s="79"/>
      <c r="D843"/>
      <c r="E843" s="188"/>
      <c r="H843"/>
      <c r="I843" s="202"/>
      <c r="J843"/>
      <c r="K843" s="205"/>
      <c r="L843" s="205"/>
      <c r="M843" s="205"/>
    </row>
    <row r="844" spans="2:13" ht="15.75">
      <c r="B844" s="79"/>
      <c r="D844"/>
      <c r="E844" s="188"/>
      <c r="H844"/>
      <c r="I844" s="202"/>
      <c r="J844"/>
      <c r="K844" s="205"/>
      <c r="L844" s="205"/>
      <c r="M844" s="205"/>
    </row>
    <row r="845" spans="2:13" ht="15.75">
      <c r="B845" s="79"/>
      <c r="D845"/>
      <c r="E845" s="188"/>
      <c r="H845"/>
      <c r="I845" s="202"/>
      <c r="J845"/>
      <c r="K845" s="205"/>
      <c r="L845" s="205"/>
      <c r="M845" s="205"/>
    </row>
    <row r="846" spans="2:13" ht="15.75">
      <c r="B846" s="79"/>
      <c r="D846"/>
      <c r="E846" s="188"/>
      <c r="H846"/>
      <c r="I846" s="202"/>
      <c r="J846"/>
      <c r="K846" s="205"/>
      <c r="L846" s="205"/>
      <c r="M846" s="205"/>
    </row>
    <row r="847" spans="2:13" ht="15.75">
      <c r="B847" s="79"/>
      <c r="D847"/>
      <c r="E847" s="188"/>
      <c r="H847"/>
      <c r="I847" s="202"/>
      <c r="J847"/>
      <c r="K847" s="205"/>
      <c r="L847" s="205"/>
      <c r="M847" s="205"/>
    </row>
    <row r="848" spans="2:13" ht="15.75">
      <c r="B848" s="79"/>
      <c r="D848"/>
      <c r="E848" s="188"/>
      <c r="H848"/>
      <c r="I848" s="202"/>
      <c r="J848"/>
      <c r="K848" s="205"/>
      <c r="L848" s="205"/>
      <c r="M848" s="205"/>
    </row>
    <row r="849" spans="2:13" ht="15.75">
      <c r="B849" s="79"/>
      <c r="D849"/>
      <c r="E849" s="188"/>
      <c r="H849"/>
      <c r="I849" s="202"/>
      <c r="J849"/>
      <c r="K849" s="205"/>
      <c r="L849" s="205"/>
      <c r="M849" s="205"/>
    </row>
    <row r="850" spans="2:13" ht="15.75">
      <c r="B850" s="79"/>
      <c r="D850"/>
      <c r="E850" s="188"/>
      <c r="H850"/>
      <c r="I850" s="202"/>
      <c r="J850"/>
      <c r="K850" s="205"/>
      <c r="L850" s="205"/>
      <c r="M850" s="205"/>
    </row>
    <row r="851" spans="2:13" ht="15.75">
      <c r="B851" s="79"/>
      <c r="D851"/>
      <c r="E851" s="188"/>
      <c r="H851"/>
      <c r="I851" s="202"/>
      <c r="J851"/>
      <c r="K851" s="205"/>
      <c r="L851" s="205"/>
      <c r="M851" s="205"/>
    </row>
    <row r="852" spans="2:13" ht="15.75">
      <c r="B852" s="79"/>
      <c r="D852"/>
      <c r="E852" s="188"/>
      <c r="H852"/>
      <c r="I852" s="202"/>
      <c r="J852"/>
      <c r="K852" s="205"/>
      <c r="L852" s="205"/>
      <c r="M852" s="205"/>
    </row>
    <row r="853" spans="2:13" ht="15.75">
      <c r="B853" s="79"/>
      <c r="D853"/>
      <c r="E853" s="188"/>
      <c r="H853"/>
      <c r="I853" s="202"/>
      <c r="J853"/>
      <c r="K853" s="205"/>
      <c r="L853" s="205"/>
      <c r="M853" s="205"/>
    </row>
    <row r="854" spans="2:13" ht="15.75">
      <c r="B854" s="79"/>
      <c r="D854"/>
      <c r="E854" s="188"/>
      <c r="H854"/>
      <c r="I854" s="202"/>
      <c r="J854"/>
      <c r="K854" s="205"/>
      <c r="L854" s="205"/>
      <c r="M854" s="205"/>
    </row>
    <row r="855" spans="2:13" ht="15.75">
      <c r="B855" s="79"/>
      <c r="D855"/>
      <c r="E855" s="188"/>
      <c r="H855"/>
      <c r="I855" s="202"/>
      <c r="J855"/>
      <c r="K855" s="205"/>
      <c r="L855" s="205"/>
      <c r="M855" s="205"/>
    </row>
    <row r="856" spans="2:13" ht="15.75">
      <c r="B856" s="79"/>
      <c r="D856"/>
      <c r="E856" s="188"/>
      <c r="H856"/>
      <c r="I856" s="202"/>
      <c r="J856"/>
      <c r="K856" s="205"/>
      <c r="L856" s="205"/>
      <c r="M856" s="205"/>
    </row>
    <row r="857" spans="2:13" ht="15.75">
      <c r="B857" s="79"/>
      <c r="D857"/>
      <c r="E857" s="188"/>
      <c r="H857"/>
      <c r="I857" s="202"/>
      <c r="J857"/>
      <c r="K857" s="205"/>
      <c r="L857" s="205"/>
      <c r="M857" s="205"/>
    </row>
    <row r="858" spans="2:13" ht="15.75">
      <c r="B858" s="79"/>
      <c r="D858"/>
      <c r="E858" s="188"/>
      <c r="H858"/>
      <c r="I858" s="202"/>
      <c r="J858"/>
      <c r="K858" s="205"/>
      <c r="L858" s="205"/>
      <c r="M858" s="205"/>
    </row>
    <row r="859" spans="2:13" ht="15.75">
      <c r="B859" s="79"/>
      <c r="D859"/>
      <c r="E859" s="188"/>
      <c r="H859"/>
      <c r="I859" s="202"/>
      <c r="J859"/>
      <c r="K859" s="205"/>
      <c r="L859" s="205"/>
      <c r="M859" s="205"/>
    </row>
    <row r="860" spans="2:13" ht="15.75">
      <c r="B860" s="79"/>
      <c r="D860"/>
      <c r="E860" s="188"/>
      <c r="H860"/>
      <c r="I860" s="202"/>
      <c r="J860"/>
      <c r="K860" s="205"/>
      <c r="L860" s="205"/>
      <c r="M860" s="205"/>
    </row>
    <row r="861" spans="2:13" ht="15.75">
      <c r="B861" s="79"/>
      <c r="D861"/>
      <c r="E861" s="188"/>
      <c r="H861"/>
      <c r="I861" s="202"/>
      <c r="J861"/>
      <c r="K861" s="205"/>
      <c r="L861" s="205"/>
      <c r="M861" s="205"/>
    </row>
    <row r="862" spans="2:13" ht="15.75">
      <c r="B862" s="79"/>
      <c r="D862"/>
      <c r="E862" s="188"/>
      <c r="H862"/>
      <c r="I862" s="202"/>
      <c r="J862"/>
      <c r="K862" s="205"/>
      <c r="L862" s="205"/>
      <c r="M862" s="205"/>
    </row>
    <row r="863" spans="2:13" ht="15.75">
      <c r="B863" s="79"/>
      <c r="D863"/>
      <c r="E863" s="188"/>
      <c r="H863"/>
      <c r="I863" s="202"/>
      <c r="J863"/>
      <c r="K863" s="205"/>
      <c r="L863" s="205"/>
      <c r="M863" s="205"/>
    </row>
    <row r="864" spans="2:13" ht="15.75">
      <c r="B864" s="79"/>
      <c r="D864"/>
      <c r="E864" s="188"/>
      <c r="H864"/>
      <c r="I864" s="202"/>
      <c r="J864"/>
      <c r="K864" s="205"/>
      <c r="L864" s="205"/>
      <c r="M864" s="205"/>
    </row>
    <row r="865" spans="2:13" ht="15.75">
      <c r="B865" s="79"/>
      <c r="D865"/>
      <c r="E865" s="188"/>
      <c r="H865"/>
      <c r="I865" s="202"/>
      <c r="J865"/>
      <c r="K865" s="205"/>
      <c r="L865" s="205"/>
      <c r="M865" s="205"/>
    </row>
    <row r="866" spans="2:13" ht="15.75">
      <c r="B866" s="79"/>
      <c r="D866"/>
      <c r="E866" s="188"/>
      <c r="H866"/>
      <c r="I866" s="202"/>
      <c r="J866"/>
      <c r="K866" s="205"/>
      <c r="L866" s="205"/>
      <c r="M866" s="205"/>
    </row>
    <row r="867" spans="2:13" ht="15.75">
      <c r="B867" s="79"/>
      <c r="D867"/>
      <c r="E867" s="188"/>
      <c r="H867"/>
      <c r="I867" s="202"/>
      <c r="J867"/>
      <c r="K867" s="205"/>
      <c r="L867" s="205"/>
      <c r="M867" s="205"/>
    </row>
    <row r="868" spans="2:13" ht="15.75">
      <c r="B868" s="79"/>
      <c r="D868"/>
      <c r="E868" s="188"/>
      <c r="H868"/>
      <c r="I868" s="202"/>
      <c r="J868"/>
      <c r="K868" s="205"/>
      <c r="L868" s="205"/>
      <c r="M868" s="205"/>
    </row>
    <row r="869" spans="2:13" ht="15.75">
      <c r="B869" s="79"/>
      <c r="D869"/>
      <c r="E869" s="188"/>
      <c r="H869"/>
      <c r="I869" s="202"/>
      <c r="J869"/>
      <c r="K869" s="205"/>
      <c r="L869" s="205"/>
      <c r="M869" s="205"/>
    </row>
    <row r="870" spans="2:13" ht="15.75">
      <c r="B870" s="79"/>
      <c r="D870"/>
      <c r="E870" s="188"/>
      <c r="H870"/>
      <c r="I870" s="202"/>
      <c r="J870"/>
      <c r="K870" s="205"/>
      <c r="L870" s="205"/>
      <c r="M870" s="205"/>
    </row>
    <row r="871" spans="2:13" ht="15.75">
      <c r="B871" s="79"/>
      <c r="D871"/>
      <c r="E871" s="188"/>
      <c r="H871"/>
      <c r="I871" s="202"/>
      <c r="J871"/>
      <c r="K871" s="205"/>
      <c r="L871" s="205"/>
      <c r="M871" s="205"/>
    </row>
    <row r="872" spans="2:13" ht="15.75">
      <c r="B872" s="79"/>
      <c r="D872"/>
      <c r="E872" s="188"/>
      <c r="H872"/>
      <c r="I872" s="202"/>
      <c r="J872"/>
      <c r="K872" s="205"/>
      <c r="L872" s="205"/>
      <c r="M872" s="205"/>
    </row>
    <row r="873" spans="2:13" ht="15.75">
      <c r="B873" s="79"/>
      <c r="D873"/>
      <c r="E873" s="188"/>
      <c r="H873"/>
      <c r="I873" s="202"/>
      <c r="J873"/>
      <c r="K873" s="205"/>
      <c r="L873" s="205"/>
      <c r="M873" s="205"/>
    </row>
    <row r="874" spans="2:13" ht="15.75">
      <c r="B874" s="79"/>
      <c r="D874"/>
      <c r="E874" s="188"/>
      <c r="H874"/>
      <c r="I874" s="202"/>
      <c r="J874"/>
      <c r="K874" s="205"/>
      <c r="L874" s="205"/>
      <c r="M874" s="205"/>
    </row>
    <row r="875" spans="2:13" ht="15.75">
      <c r="B875" s="79"/>
      <c r="D875"/>
      <c r="E875" s="188"/>
      <c r="H875"/>
      <c r="I875" s="202"/>
      <c r="J875"/>
      <c r="K875" s="205"/>
      <c r="L875" s="205"/>
      <c r="M875" s="205"/>
    </row>
    <row r="876" spans="2:13" ht="15.75">
      <c r="B876" s="79"/>
      <c r="D876"/>
      <c r="E876" s="188"/>
      <c r="H876"/>
      <c r="I876" s="202"/>
      <c r="J876"/>
      <c r="K876" s="205"/>
      <c r="L876" s="205"/>
      <c r="M876" s="205"/>
    </row>
    <row r="877" spans="2:13" ht="15.75">
      <c r="B877" s="79"/>
      <c r="D877"/>
      <c r="E877" s="188"/>
      <c r="H877"/>
      <c r="I877" s="202"/>
      <c r="J877"/>
      <c r="K877" s="205"/>
      <c r="L877" s="205"/>
      <c r="M877" s="205"/>
    </row>
    <row r="878" spans="2:13" ht="15.75">
      <c r="B878" s="79"/>
      <c r="D878"/>
      <c r="E878" s="188"/>
      <c r="H878"/>
      <c r="I878" s="202"/>
      <c r="J878"/>
      <c r="K878" s="205"/>
      <c r="L878" s="205"/>
      <c r="M878" s="205"/>
    </row>
    <row r="879" spans="2:13" ht="15.75">
      <c r="B879" s="79"/>
      <c r="D879"/>
      <c r="E879" s="188"/>
      <c r="H879"/>
      <c r="I879" s="202"/>
      <c r="J879"/>
      <c r="K879" s="205"/>
      <c r="L879" s="205"/>
      <c r="M879" s="205"/>
    </row>
    <row r="880" spans="2:13" ht="15.75">
      <c r="B880" s="79"/>
      <c r="D880"/>
      <c r="E880" s="188"/>
      <c r="H880"/>
      <c r="I880" s="202"/>
      <c r="J880"/>
      <c r="K880" s="205"/>
      <c r="L880" s="205"/>
      <c r="M880" s="205"/>
    </row>
    <row r="881" spans="2:13" ht="15.75">
      <c r="B881" s="79"/>
      <c r="D881"/>
      <c r="E881" s="188"/>
      <c r="H881"/>
      <c r="I881" s="202"/>
      <c r="J881"/>
      <c r="K881" s="205"/>
      <c r="L881" s="205"/>
      <c r="M881" s="205"/>
    </row>
    <row r="882" spans="2:13" ht="15.75">
      <c r="B882" s="79"/>
      <c r="D882"/>
      <c r="E882" s="188"/>
      <c r="H882"/>
      <c r="I882" s="202"/>
      <c r="J882"/>
      <c r="K882" s="205"/>
      <c r="L882" s="205"/>
      <c r="M882" s="205"/>
    </row>
    <row r="883" spans="2:13" ht="15.75">
      <c r="B883" s="79"/>
      <c r="D883"/>
      <c r="E883" s="188"/>
      <c r="H883"/>
      <c r="I883" s="202"/>
      <c r="J883"/>
      <c r="K883" s="205"/>
      <c r="L883" s="205"/>
      <c r="M883" s="205"/>
    </row>
    <row r="884" spans="2:13" ht="15.75">
      <c r="B884" s="79"/>
      <c r="D884"/>
      <c r="E884" s="188"/>
      <c r="H884"/>
      <c r="I884" s="202"/>
      <c r="J884"/>
      <c r="K884" s="205"/>
      <c r="L884" s="205"/>
      <c r="M884" s="205"/>
    </row>
    <row r="885" spans="2:13" ht="15.75">
      <c r="B885" s="79"/>
      <c r="D885"/>
      <c r="E885" s="188"/>
      <c r="H885"/>
      <c r="I885" s="202"/>
      <c r="J885"/>
      <c r="K885" s="205"/>
      <c r="L885" s="205"/>
      <c r="M885" s="205"/>
    </row>
    <row r="886" spans="2:13" ht="15.75">
      <c r="B886" s="79"/>
      <c r="D886"/>
      <c r="E886" s="188"/>
      <c r="H886"/>
      <c r="I886" s="202"/>
      <c r="J886"/>
      <c r="K886" s="205"/>
      <c r="L886" s="205"/>
      <c r="M886" s="205"/>
    </row>
    <row r="887" spans="2:13" ht="15.75">
      <c r="B887" s="79"/>
      <c r="D887"/>
      <c r="E887" s="188"/>
      <c r="H887"/>
      <c r="I887" s="202"/>
      <c r="J887"/>
      <c r="K887" s="205"/>
      <c r="L887" s="205"/>
      <c r="M887" s="205"/>
    </row>
    <row r="888" spans="2:13" ht="15.75">
      <c r="B888" s="79"/>
      <c r="D888"/>
      <c r="E888" s="188"/>
      <c r="H888"/>
      <c r="I888" s="202"/>
      <c r="J888"/>
      <c r="K888" s="205"/>
      <c r="L888" s="205"/>
      <c r="M888" s="205"/>
    </row>
    <row r="889" spans="2:13" ht="15.75">
      <c r="B889" s="79"/>
      <c r="D889"/>
      <c r="E889" s="188"/>
      <c r="H889"/>
      <c r="I889" s="202"/>
      <c r="J889"/>
      <c r="K889" s="205"/>
      <c r="L889" s="205"/>
      <c r="M889" s="205"/>
    </row>
    <row r="890" spans="2:13" ht="15.75">
      <c r="B890" s="79"/>
      <c r="D890"/>
      <c r="E890" s="188"/>
      <c r="H890"/>
      <c r="I890" s="202"/>
      <c r="J890"/>
      <c r="K890" s="205"/>
      <c r="L890" s="205"/>
      <c r="M890" s="205"/>
    </row>
    <row r="891" spans="2:13" ht="15.75">
      <c r="B891" s="79"/>
      <c r="D891"/>
      <c r="E891" s="188"/>
      <c r="H891"/>
      <c r="I891" s="202"/>
      <c r="J891"/>
      <c r="K891" s="205"/>
      <c r="L891" s="205"/>
      <c r="M891" s="205"/>
    </row>
    <row r="892" spans="2:13" ht="15.75">
      <c r="B892" s="79"/>
      <c r="D892"/>
      <c r="E892" s="188"/>
      <c r="H892"/>
      <c r="I892" s="202"/>
      <c r="J892"/>
      <c r="K892" s="205"/>
      <c r="L892" s="205"/>
      <c r="M892" s="205"/>
    </row>
    <row r="893" spans="2:13" ht="15.75">
      <c r="B893" s="79"/>
      <c r="D893"/>
      <c r="E893" s="188"/>
      <c r="H893"/>
      <c r="I893" s="202"/>
      <c r="J893"/>
      <c r="K893" s="205"/>
      <c r="L893" s="205"/>
      <c r="M893" s="205"/>
    </row>
    <row r="894" spans="2:13" ht="15.75">
      <c r="B894" s="79"/>
      <c r="D894"/>
      <c r="E894" s="188"/>
      <c r="H894"/>
      <c r="I894" s="202"/>
      <c r="J894"/>
      <c r="K894" s="205"/>
      <c r="L894" s="205"/>
      <c r="M894" s="205"/>
    </row>
    <row r="895" spans="2:13" ht="15.75">
      <c r="B895" s="79"/>
      <c r="D895"/>
      <c r="E895" s="188"/>
      <c r="H895"/>
      <c r="I895" s="202"/>
      <c r="J895"/>
      <c r="K895" s="205"/>
      <c r="L895" s="205"/>
      <c r="M895" s="205"/>
    </row>
    <row r="896" spans="2:13" ht="15.75">
      <c r="B896" s="79"/>
      <c r="D896"/>
      <c r="E896" s="188"/>
      <c r="H896"/>
      <c r="I896" s="202"/>
      <c r="J896"/>
      <c r="K896" s="205"/>
      <c r="L896" s="205"/>
      <c r="M896" s="205"/>
    </row>
    <row r="897" spans="2:13" ht="15.75">
      <c r="B897" s="79"/>
      <c r="D897"/>
      <c r="E897" s="188"/>
      <c r="H897"/>
      <c r="I897" s="202"/>
      <c r="J897"/>
      <c r="K897" s="205"/>
      <c r="L897" s="205"/>
      <c r="M897" s="205"/>
    </row>
    <row r="898" spans="2:13" ht="15.75">
      <c r="B898" s="79"/>
      <c r="D898"/>
      <c r="E898" s="188"/>
      <c r="H898"/>
      <c r="I898" s="202"/>
      <c r="J898"/>
      <c r="K898" s="205"/>
      <c r="L898" s="205"/>
      <c r="M898" s="205"/>
    </row>
    <row r="899" spans="2:13" ht="15.75">
      <c r="B899" s="79"/>
      <c r="D899"/>
      <c r="E899" s="188"/>
      <c r="H899"/>
      <c r="I899" s="202"/>
      <c r="J899"/>
      <c r="K899" s="205"/>
      <c r="L899" s="205"/>
      <c r="M899" s="205"/>
    </row>
    <row r="900" spans="2:13" ht="15.75">
      <c r="B900" s="79"/>
      <c r="D900"/>
      <c r="E900" s="188"/>
      <c r="H900"/>
      <c r="I900" s="202"/>
      <c r="J900"/>
      <c r="K900" s="205"/>
      <c r="L900" s="205"/>
      <c r="M900" s="205"/>
    </row>
    <row r="901" spans="2:13" ht="15.75">
      <c r="B901" s="79"/>
      <c r="D901"/>
      <c r="E901" s="188"/>
      <c r="H901"/>
      <c r="I901" s="202"/>
      <c r="J901"/>
      <c r="K901" s="205"/>
      <c r="L901" s="205"/>
      <c r="M901" s="205"/>
    </row>
    <row r="902" spans="2:13" ht="15.75">
      <c r="B902" s="79"/>
      <c r="D902"/>
      <c r="E902" s="188"/>
      <c r="H902"/>
      <c r="I902" s="202"/>
      <c r="J902"/>
      <c r="K902" s="205"/>
      <c r="L902" s="205"/>
      <c r="M902" s="205"/>
    </row>
    <row r="903" spans="2:13" ht="15.75">
      <c r="B903" s="79"/>
      <c r="D903"/>
      <c r="E903" s="188"/>
      <c r="H903"/>
      <c r="I903" s="202"/>
      <c r="J903"/>
      <c r="K903" s="205"/>
      <c r="L903" s="205"/>
      <c r="M903" s="205"/>
    </row>
    <row r="904" spans="2:13" ht="15.75">
      <c r="B904" s="79"/>
      <c r="D904"/>
      <c r="E904" s="188"/>
      <c r="H904"/>
      <c r="I904" s="202"/>
      <c r="J904"/>
      <c r="K904" s="205"/>
      <c r="L904" s="205"/>
      <c r="M904" s="205"/>
    </row>
    <row r="905" spans="2:13" ht="15.75">
      <c r="B905" s="79"/>
      <c r="D905"/>
      <c r="E905" s="188"/>
      <c r="H905"/>
      <c r="I905" s="202"/>
      <c r="J905"/>
      <c r="K905" s="205"/>
      <c r="L905" s="205"/>
      <c r="M905" s="205"/>
    </row>
    <row r="906" spans="2:13" ht="15.75">
      <c r="B906" s="79"/>
      <c r="D906"/>
      <c r="E906" s="188"/>
      <c r="H906"/>
      <c r="I906" s="202"/>
      <c r="J906"/>
      <c r="K906" s="205"/>
      <c r="L906" s="205"/>
      <c r="M906" s="205"/>
    </row>
    <row r="907" spans="2:13" ht="15.75">
      <c r="B907" s="79"/>
      <c r="D907"/>
      <c r="E907" s="188"/>
      <c r="H907"/>
      <c r="I907" s="202"/>
      <c r="J907"/>
      <c r="K907" s="205"/>
      <c r="L907" s="205"/>
      <c r="M907" s="205"/>
    </row>
    <row r="908" spans="2:13" ht="15.75">
      <c r="B908" s="79"/>
      <c r="D908"/>
      <c r="E908" s="188"/>
      <c r="H908"/>
      <c r="I908" s="202"/>
      <c r="J908"/>
      <c r="K908" s="205"/>
      <c r="L908" s="205"/>
      <c r="M908" s="205"/>
    </row>
    <row r="909" spans="2:13" ht="15.75">
      <c r="B909" s="79"/>
      <c r="D909"/>
      <c r="E909" s="188"/>
      <c r="H909"/>
      <c r="I909" s="202"/>
      <c r="J909"/>
      <c r="K909" s="205"/>
      <c r="L909" s="205"/>
      <c r="M909" s="205"/>
    </row>
    <row r="910" spans="2:13" ht="15.75">
      <c r="B910" s="79"/>
      <c r="D910"/>
      <c r="E910" s="188"/>
      <c r="H910"/>
      <c r="I910" s="202"/>
      <c r="J910"/>
      <c r="K910" s="205"/>
      <c r="L910" s="205"/>
      <c r="M910" s="205"/>
    </row>
    <row r="911" spans="2:13" ht="15.75">
      <c r="B911" s="79"/>
      <c r="D911"/>
      <c r="E911" s="188"/>
      <c r="H911"/>
      <c r="I911" s="202"/>
      <c r="J911"/>
      <c r="K911" s="205"/>
      <c r="L911" s="205"/>
      <c r="M911" s="205"/>
    </row>
    <row r="912" spans="2:13" ht="15.75">
      <c r="B912" s="79"/>
      <c r="D912"/>
      <c r="E912" s="188"/>
      <c r="H912"/>
      <c r="I912" s="202"/>
      <c r="J912"/>
      <c r="K912" s="205"/>
      <c r="L912" s="205"/>
      <c r="M912" s="205"/>
    </row>
    <row r="913" spans="2:13" ht="15.75">
      <c r="B913" s="79"/>
      <c r="D913"/>
      <c r="E913" s="188"/>
      <c r="H913"/>
      <c r="I913" s="202"/>
      <c r="J913"/>
      <c r="K913" s="205"/>
      <c r="L913" s="205"/>
      <c r="M913" s="205"/>
    </row>
    <row r="914" spans="2:13" ht="15.75">
      <c r="B914" s="79"/>
      <c r="D914"/>
      <c r="E914" s="188"/>
      <c r="H914"/>
      <c r="I914" s="202"/>
      <c r="J914"/>
      <c r="K914" s="205"/>
      <c r="L914" s="205"/>
      <c r="M914" s="205"/>
    </row>
    <row r="915" spans="2:13" ht="15.75">
      <c r="B915" s="79"/>
      <c r="D915"/>
      <c r="E915" s="188"/>
      <c r="H915"/>
      <c r="I915" s="202"/>
      <c r="J915"/>
      <c r="K915" s="205"/>
      <c r="L915" s="205"/>
      <c r="M915" s="205"/>
    </row>
    <row r="916" spans="2:13" ht="15.75">
      <c r="B916" s="79"/>
      <c r="D916"/>
      <c r="E916" s="188"/>
      <c r="H916"/>
      <c r="I916" s="202"/>
      <c r="J916"/>
      <c r="K916" s="205"/>
      <c r="L916" s="205"/>
      <c r="M916" s="205"/>
    </row>
    <row r="917" spans="2:13" ht="15.75">
      <c r="B917" s="79"/>
      <c r="D917"/>
      <c r="E917" s="188"/>
      <c r="H917"/>
      <c r="I917" s="202"/>
      <c r="J917"/>
      <c r="K917" s="205"/>
      <c r="L917" s="205"/>
      <c r="M917" s="205"/>
    </row>
    <row r="918" spans="2:13" ht="15.75">
      <c r="B918" s="79"/>
      <c r="D918"/>
      <c r="E918" s="188"/>
      <c r="H918"/>
      <c r="I918" s="202"/>
      <c r="J918"/>
      <c r="K918" s="205"/>
      <c r="L918" s="205"/>
      <c r="M918" s="205"/>
    </row>
    <row r="919" spans="2:13" ht="15.75">
      <c r="B919" s="79"/>
      <c r="D919"/>
      <c r="E919" s="188"/>
      <c r="H919"/>
      <c r="I919" s="202"/>
      <c r="J919"/>
      <c r="K919" s="205"/>
      <c r="L919" s="205"/>
      <c r="M919" s="205"/>
    </row>
    <row r="920" spans="2:13" ht="15.75">
      <c r="B920" s="79"/>
      <c r="D920"/>
      <c r="E920" s="188"/>
      <c r="H920"/>
      <c r="I920" s="202"/>
      <c r="J920"/>
      <c r="K920" s="205"/>
      <c r="L920" s="205"/>
      <c r="M920" s="205"/>
    </row>
    <row r="921" spans="2:13" ht="15.75">
      <c r="B921" s="79"/>
      <c r="D921"/>
      <c r="E921" s="188"/>
      <c r="H921"/>
      <c r="I921" s="202"/>
      <c r="J921"/>
      <c r="K921" s="205"/>
      <c r="L921" s="205"/>
      <c r="M921" s="205"/>
    </row>
    <row r="922" spans="2:13" ht="15.75">
      <c r="B922" s="79"/>
      <c r="D922"/>
      <c r="E922" s="188"/>
      <c r="H922"/>
      <c r="I922" s="202"/>
      <c r="J922"/>
      <c r="K922" s="205"/>
      <c r="L922" s="205"/>
      <c r="M922" s="205"/>
    </row>
    <row r="923" spans="2:13" ht="15.75">
      <c r="B923" s="79"/>
      <c r="D923"/>
      <c r="E923" s="188"/>
      <c r="H923"/>
      <c r="I923" s="202"/>
      <c r="J923"/>
      <c r="K923" s="205"/>
      <c r="L923" s="205"/>
      <c r="M923" s="205"/>
    </row>
    <row r="924" spans="2:13" ht="15.75">
      <c r="B924" s="79"/>
      <c r="D924"/>
      <c r="E924" s="188"/>
      <c r="H924"/>
      <c r="I924" s="202"/>
      <c r="J924"/>
      <c r="K924" s="205"/>
      <c r="L924" s="205"/>
      <c r="M924" s="205"/>
    </row>
    <row r="925" spans="2:13" ht="15.75">
      <c r="B925" s="79"/>
      <c r="D925"/>
      <c r="E925" s="188"/>
      <c r="H925"/>
      <c r="I925" s="202"/>
      <c r="J925"/>
      <c r="K925" s="205"/>
      <c r="L925" s="205"/>
      <c r="M925" s="205"/>
    </row>
    <row r="926" spans="2:13" ht="15.75">
      <c r="B926" s="79"/>
      <c r="D926"/>
      <c r="E926" s="188"/>
      <c r="H926"/>
      <c r="I926" s="202"/>
      <c r="J926"/>
      <c r="K926" s="205"/>
      <c r="L926" s="205"/>
      <c r="M926" s="205"/>
    </row>
    <row r="927" spans="2:13" ht="15.75">
      <c r="B927" s="79"/>
      <c r="D927"/>
      <c r="E927" s="188"/>
      <c r="H927"/>
      <c r="I927" s="202"/>
      <c r="J927"/>
      <c r="K927" s="205"/>
      <c r="L927" s="205"/>
      <c r="M927" s="205"/>
    </row>
    <row r="928" spans="2:13" ht="15.75">
      <c r="B928" s="79"/>
      <c r="D928"/>
      <c r="E928" s="188"/>
      <c r="H928"/>
      <c r="I928" s="202"/>
      <c r="J928"/>
      <c r="K928" s="205"/>
      <c r="L928" s="205"/>
      <c r="M928" s="205"/>
    </row>
    <row r="929" spans="2:13" ht="15.75">
      <c r="B929" s="79"/>
      <c r="D929"/>
      <c r="E929" s="188"/>
      <c r="H929"/>
      <c r="I929" s="202"/>
      <c r="J929"/>
      <c r="K929" s="205"/>
      <c r="L929" s="205"/>
      <c r="M929" s="205"/>
    </row>
    <row r="930" spans="2:13" ht="15.75">
      <c r="B930" s="79"/>
      <c r="D930"/>
      <c r="E930" s="188"/>
      <c r="H930"/>
      <c r="I930" s="202"/>
      <c r="J930"/>
      <c r="K930" s="205"/>
      <c r="L930" s="205"/>
      <c r="M930" s="205"/>
    </row>
    <row r="931" spans="2:13" ht="15.75">
      <c r="B931" s="79"/>
      <c r="D931"/>
      <c r="E931" s="188"/>
      <c r="H931"/>
      <c r="I931" s="202"/>
      <c r="J931"/>
      <c r="K931" s="205"/>
      <c r="L931" s="205"/>
      <c r="M931" s="205"/>
    </row>
    <row r="932" spans="2:13" ht="15.75">
      <c r="B932" s="79"/>
      <c r="D932"/>
      <c r="E932" s="188"/>
      <c r="H932"/>
      <c r="I932" s="202"/>
      <c r="J932"/>
      <c r="K932" s="205"/>
      <c r="L932" s="205"/>
      <c r="M932" s="205"/>
    </row>
    <row r="933" spans="2:13" ht="15.75">
      <c r="B933" s="79"/>
      <c r="D933"/>
      <c r="E933" s="188"/>
      <c r="H933"/>
      <c r="I933" s="202"/>
      <c r="J933"/>
      <c r="K933" s="205"/>
      <c r="L933" s="205"/>
      <c r="M933" s="205"/>
    </row>
    <row r="934" spans="2:13" ht="15.75">
      <c r="B934" s="79"/>
      <c r="D934"/>
      <c r="E934" s="188"/>
      <c r="H934"/>
      <c r="I934" s="202"/>
      <c r="J934"/>
      <c r="K934" s="205"/>
      <c r="L934" s="205"/>
      <c r="M934" s="205"/>
    </row>
    <row r="935" spans="2:13" ht="15.75">
      <c r="B935" s="79"/>
      <c r="D935"/>
      <c r="E935" s="188"/>
      <c r="H935"/>
      <c r="I935" s="202"/>
      <c r="J935"/>
      <c r="K935" s="205"/>
      <c r="L935" s="205"/>
      <c r="M935" s="205"/>
    </row>
    <row r="936" spans="2:13" ht="15.75">
      <c r="B936" s="79"/>
      <c r="D936"/>
      <c r="E936" s="188"/>
      <c r="H936"/>
      <c r="I936" s="202"/>
      <c r="J936"/>
      <c r="K936" s="205"/>
      <c r="L936" s="205"/>
      <c r="M936" s="205"/>
    </row>
    <row r="937" spans="2:13" ht="15.75">
      <c r="B937" s="79"/>
      <c r="D937"/>
      <c r="E937" s="188"/>
      <c r="H937"/>
      <c r="I937" s="202"/>
      <c r="J937"/>
      <c r="K937" s="205"/>
      <c r="L937" s="205"/>
      <c r="M937" s="205"/>
    </row>
    <row r="938" spans="2:13" ht="15.75">
      <c r="B938" s="79"/>
      <c r="D938"/>
      <c r="E938" s="188"/>
      <c r="H938"/>
      <c r="I938" s="202"/>
      <c r="J938"/>
      <c r="K938" s="205"/>
      <c r="L938" s="205"/>
      <c r="M938" s="205"/>
    </row>
    <row r="939" spans="2:13" ht="15.75">
      <c r="B939" s="79"/>
      <c r="D939"/>
      <c r="E939" s="188"/>
      <c r="H939"/>
      <c r="I939" s="202"/>
      <c r="J939"/>
      <c r="K939" s="205"/>
      <c r="L939" s="205"/>
      <c r="M939" s="205"/>
    </row>
    <row r="940" spans="2:13" ht="15.75">
      <c r="B940" s="79"/>
      <c r="D940"/>
      <c r="E940" s="188"/>
      <c r="H940"/>
      <c r="I940" s="202"/>
      <c r="J940"/>
      <c r="K940" s="205"/>
      <c r="L940" s="205"/>
      <c r="M940" s="205"/>
    </row>
    <row r="941" spans="2:13" ht="15.75">
      <c r="B941" s="79"/>
      <c r="D941"/>
      <c r="E941" s="188"/>
      <c r="H941"/>
      <c r="I941" s="202"/>
      <c r="J941"/>
      <c r="K941" s="205"/>
      <c r="L941" s="205"/>
      <c r="M941" s="205"/>
    </row>
    <row r="942" spans="2:13" ht="15.75">
      <c r="B942" s="79"/>
      <c r="D942"/>
      <c r="E942" s="188"/>
      <c r="H942"/>
      <c r="I942" s="202"/>
      <c r="J942"/>
      <c r="K942" s="205"/>
      <c r="L942" s="205"/>
      <c r="M942" s="205"/>
    </row>
    <row r="943" spans="2:13" ht="15.75">
      <c r="B943" s="79"/>
      <c r="D943"/>
      <c r="E943" s="188"/>
      <c r="H943"/>
      <c r="I943" s="202"/>
      <c r="J943"/>
      <c r="K943" s="205"/>
      <c r="L943" s="205"/>
      <c r="M943" s="205"/>
    </row>
    <row r="944" spans="2:13" ht="15.75">
      <c r="B944" s="79"/>
      <c r="D944"/>
      <c r="E944" s="188"/>
      <c r="H944"/>
      <c r="I944" s="202"/>
      <c r="J944"/>
      <c r="K944" s="205"/>
      <c r="L944" s="205"/>
      <c r="M944" s="205"/>
    </row>
    <row r="945" spans="2:13" ht="15.75">
      <c r="B945" s="79"/>
      <c r="D945"/>
      <c r="E945" s="188"/>
      <c r="H945"/>
      <c r="I945" s="202"/>
      <c r="J945"/>
      <c r="K945" s="205"/>
      <c r="L945" s="205"/>
      <c r="M945" s="205"/>
    </row>
    <row r="946" spans="2:13" ht="15.75">
      <c r="B946" s="79"/>
      <c r="D946"/>
      <c r="E946" s="188"/>
      <c r="H946"/>
      <c r="I946" s="202"/>
      <c r="J946"/>
      <c r="K946" s="205"/>
      <c r="L946" s="205"/>
      <c r="M946" s="205"/>
    </row>
    <row r="947" spans="2:13" ht="15.75">
      <c r="B947" s="79"/>
      <c r="D947"/>
      <c r="E947" s="188"/>
      <c r="H947"/>
      <c r="I947" s="202"/>
      <c r="J947"/>
      <c r="K947" s="205"/>
      <c r="L947" s="205"/>
      <c r="M947" s="205"/>
    </row>
    <row r="948" spans="2:13" ht="15.75">
      <c r="B948" s="79"/>
      <c r="D948"/>
      <c r="E948" s="188"/>
      <c r="H948"/>
      <c r="I948" s="202"/>
      <c r="J948"/>
      <c r="K948" s="205"/>
      <c r="L948" s="205"/>
      <c r="M948" s="205"/>
    </row>
    <row r="949" spans="2:13" ht="15.75">
      <c r="B949" s="79"/>
      <c r="D949"/>
      <c r="E949" s="188"/>
      <c r="H949"/>
      <c r="I949" s="202"/>
      <c r="J949"/>
      <c r="K949" s="205"/>
      <c r="L949" s="205"/>
      <c r="M949" s="205"/>
    </row>
    <row r="950" spans="2:13" ht="15.75">
      <c r="B950" s="79"/>
      <c r="D950"/>
      <c r="E950" s="188"/>
      <c r="H950"/>
      <c r="I950" s="202"/>
      <c r="J950"/>
      <c r="K950" s="205"/>
      <c r="L950" s="205"/>
      <c r="M950" s="205"/>
    </row>
    <row r="951" spans="2:13" ht="15.75">
      <c r="B951" s="79"/>
      <c r="D951"/>
      <c r="E951" s="188"/>
      <c r="H951"/>
      <c r="I951" s="202"/>
      <c r="J951"/>
      <c r="K951" s="205"/>
      <c r="L951" s="205"/>
      <c r="M951" s="205"/>
    </row>
    <row r="952" spans="2:13" ht="15.75">
      <c r="B952" s="79"/>
      <c r="D952"/>
      <c r="E952" s="188"/>
      <c r="H952"/>
      <c r="I952" s="202"/>
      <c r="J952"/>
      <c r="K952" s="205"/>
      <c r="L952" s="205"/>
      <c r="M952" s="205"/>
    </row>
    <row r="953" spans="2:13" ht="15.75">
      <c r="B953" s="79"/>
      <c r="D953"/>
      <c r="E953" s="188"/>
      <c r="H953"/>
      <c r="I953" s="202"/>
      <c r="J953"/>
      <c r="K953" s="205"/>
      <c r="L953" s="205"/>
      <c r="M953" s="205"/>
    </row>
    <row r="954" spans="2:13" ht="15.75">
      <c r="B954" s="79"/>
      <c r="D954"/>
      <c r="E954" s="188"/>
      <c r="H954"/>
      <c r="I954" s="202"/>
      <c r="J954"/>
      <c r="K954" s="205"/>
      <c r="L954" s="205"/>
      <c r="M954" s="205"/>
    </row>
    <row r="955" spans="2:13" ht="15.75">
      <c r="B955" s="79"/>
      <c r="D955"/>
      <c r="E955" s="188"/>
      <c r="H955"/>
      <c r="I955" s="202"/>
      <c r="J955"/>
      <c r="K955" s="205"/>
      <c r="L955" s="205"/>
      <c r="M955" s="205"/>
    </row>
    <row r="956" spans="2:13" ht="15.75">
      <c r="B956" s="79"/>
      <c r="D956"/>
      <c r="E956" s="188"/>
      <c r="H956"/>
      <c r="I956" s="202"/>
      <c r="J956"/>
      <c r="K956" s="205"/>
      <c r="L956" s="205"/>
      <c r="M956" s="205"/>
    </row>
    <row r="957" spans="2:13" ht="15.75">
      <c r="B957" s="79"/>
      <c r="D957"/>
      <c r="E957" s="188"/>
      <c r="H957"/>
      <c r="I957" s="202"/>
      <c r="J957"/>
      <c r="K957" s="205"/>
      <c r="L957" s="205"/>
      <c r="M957" s="205"/>
    </row>
    <row r="958" spans="2:13" ht="15.75">
      <c r="B958" s="79"/>
      <c r="D958"/>
      <c r="E958" s="188"/>
      <c r="H958"/>
      <c r="I958" s="202"/>
      <c r="J958"/>
      <c r="K958" s="205"/>
      <c r="L958" s="205"/>
      <c r="M958" s="205"/>
    </row>
    <row r="959" spans="2:13" ht="15.75">
      <c r="B959" s="79"/>
      <c r="D959"/>
      <c r="E959" s="188"/>
      <c r="H959"/>
      <c r="I959" s="202"/>
      <c r="J959"/>
      <c r="K959" s="205"/>
      <c r="L959" s="205"/>
      <c r="M959" s="205"/>
    </row>
    <row r="960" spans="2:13" ht="15.75">
      <c r="B960" s="79"/>
      <c r="D960"/>
      <c r="E960" s="188"/>
      <c r="H960"/>
      <c r="I960" s="202"/>
      <c r="J960"/>
      <c r="K960" s="205"/>
      <c r="L960" s="205"/>
      <c r="M960" s="205"/>
    </row>
    <row r="961" spans="2:13" ht="15.75">
      <c r="B961" s="79"/>
      <c r="D961"/>
      <c r="E961" s="188"/>
      <c r="H961"/>
      <c r="I961" s="202"/>
      <c r="J961"/>
      <c r="K961" s="205"/>
      <c r="L961" s="205"/>
      <c r="M961" s="205"/>
    </row>
    <row r="962" spans="2:13" ht="15.75">
      <c r="B962" s="79"/>
      <c r="D962"/>
      <c r="E962" s="188"/>
      <c r="H962"/>
      <c r="I962" s="202"/>
      <c r="J962"/>
      <c r="K962" s="205"/>
      <c r="L962" s="205"/>
      <c r="M962" s="205"/>
    </row>
    <row r="963" spans="2:13" ht="15.75">
      <c r="B963" s="79"/>
      <c r="D963"/>
      <c r="E963" s="188"/>
      <c r="H963"/>
      <c r="I963" s="202"/>
      <c r="J963"/>
      <c r="K963" s="205"/>
      <c r="L963" s="205"/>
      <c r="M963" s="205"/>
    </row>
    <row r="964" spans="2:13" ht="15.75">
      <c r="B964" s="79"/>
      <c r="D964"/>
      <c r="E964" s="188"/>
      <c r="H964"/>
      <c r="I964" s="202"/>
      <c r="J964"/>
      <c r="K964" s="205"/>
      <c r="L964" s="205"/>
      <c r="M964" s="205"/>
    </row>
    <row r="965" spans="2:13" ht="15.75">
      <c r="B965" s="79"/>
      <c r="D965"/>
      <c r="E965" s="188"/>
      <c r="H965"/>
      <c r="I965" s="202"/>
      <c r="J965"/>
      <c r="K965" s="205"/>
      <c r="L965" s="205"/>
      <c r="M965" s="205"/>
    </row>
    <row r="966" spans="2:13" ht="15.75">
      <c r="B966" s="79"/>
      <c r="D966"/>
      <c r="E966" s="188"/>
      <c r="H966"/>
      <c r="I966" s="202"/>
      <c r="J966"/>
      <c r="K966" s="205"/>
      <c r="L966" s="205"/>
      <c r="M966" s="205"/>
    </row>
    <row r="967" spans="2:13" ht="15.75">
      <c r="B967" s="79"/>
      <c r="D967"/>
      <c r="E967" s="188"/>
      <c r="H967"/>
      <c r="I967" s="202"/>
      <c r="J967"/>
      <c r="K967" s="205"/>
      <c r="L967" s="205"/>
      <c r="M967" s="205"/>
    </row>
    <row r="968" spans="2:13" ht="15.75">
      <c r="B968" s="79"/>
      <c r="D968"/>
      <c r="E968" s="188"/>
      <c r="H968"/>
      <c r="I968" s="202"/>
      <c r="J968"/>
      <c r="K968" s="205"/>
      <c r="L968" s="205"/>
      <c r="M968" s="205"/>
    </row>
    <row r="969" spans="2:13" ht="15.75">
      <c r="B969" s="79"/>
      <c r="D969"/>
      <c r="E969" s="188"/>
      <c r="H969"/>
      <c r="I969" s="202"/>
      <c r="J969"/>
      <c r="K969" s="205"/>
      <c r="L969" s="205"/>
      <c r="M969" s="205"/>
    </row>
    <row r="970" spans="2:13" ht="15.75">
      <c r="B970" s="79"/>
      <c r="D970"/>
      <c r="E970" s="188"/>
      <c r="H970"/>
      <c r="I970" s="202"/>
      <c r="J970"/>
      <c r="K970" s="205"/>
      <c r="L970" s="205"/>
      <c r="M970" s="205"/>
    </row>
    <row r="971" spans="2:13" ht="15.75">
      <c r="B971" s="79"/>
      <c r="D971"/>
      <c r="E971" s="188"/>
      <c r="H971"/>
      <c r="I971" s="202"/>
      <c r="J971"/>
      <c r="K971" s="205"/>
      <c r="L971" s="205"/>
      <c r="M971" s="205"/>
    </row>
    <row r="972" spans="2:13" ht="15.75">
      <c r="B972" s="79"/>
      <c r="D972"/>
      <c r="E972" s="188"/>
      <c r="H972"/>
      <c r="I972" s="202"/>
      <c r="J972"/>
      <c r="K972" s="205"/>
      <c r="L972" s="205"/>
      <c r="M972" s="205"/>
    </row>
    <row r="973" spans="2:13" ht="15.75">
      <c r="B973" s="79"/>
      <c r="D973"/>
      <c r="E973" s="188"/>
      <c r="H973"/>
      <c r="I973" s="202"/>
      <c r="J973"/>
      <c r="K973" s="205"/>
      <c r="L973" s="205"/>
      <c r="M973" s="205"/>
    </row>
    <row r="974" spans="2:13" ht="15.75">
      <c r="B974" s="79"/>
      <c r="D974"/>
      <c r="E974" s="188"/>
      <c r="H974"/>
      <c r="I974" s="202"/>
      <c r="J974"/>
      <c r="K974" s="205"/>
      <c r="L974" s="205"/>
      <c r="M974" s="205"/>
    </row>
    <row r="975" spans="2:13" ht="15.75">
      <c r="B975" s="79"/>
      <c r="D975"/>
      <c r="E975" s="188"/>
      <c r="H975"/>
      <c r="I975" s="202"/>
      <c r="J975"/>
      <c r="K975" s="205"/>
      <c r="L975" s="205"/>
      <c r="M975" s="205"/>
    </row>
    <row r="976" spans="2:13" ht="15.75">
      <c r="B976" s="79"/>
      <c r="D976"/>
      <c r="E976" s="188"/>
      <c r="H976"/>
      <c r="I976" s="202"/>
      <c r="J976"/>
      <c r="K976" s="205"/>
      <c r="L976" s="205"/>
      <c r="M976" s="205"/>
    </row>
    <row r="977" spans="2:13" ht="15.75">
      <c r="B977" s="79"/>
      <c r="D977"/>
      <c r="E977" s="188"/>
      <c r="H977"/>
      <c r="I977" s="202"/>
      <c r="J977"/>
      <c r="K977" s="205"/>
      <c r="L977" s="205"/>
      <c r="M977" s="205"/>
    </row>
    <row r="978" spans="2:13" ht="15.75">
      <c r="B978" s="79"/>
      <c r="D978"/>
      <c r="E978" s="188"/>
      <c r="H978"/>
      <c r="I978" s="202"/>
      <c r="J978"/>
      <c r="K978" s="205"/>
      <c r="L978" s="205"/>
      <c r="M978" s="205"/>
    </row>
    <row r="979" spans="2:13" ht="15.75">
      <c r="B979" s="79"/>
      <c r="D979"/>
      <c r="E979" s="188"/>
      <c r="H979"/>
      <c r="I979" s="202"/>
      <c r="J979"/>
      <c r="K979" s="205"/>
      <c r="L979" s="205"/>
      <c r="M979" s="205"/>
    </row>
    <row r="980" spans="2:13" ht="15.75">
      <c r="B980" s="79"/>
      <c r="D980"/>
      <c r="E980" s="188"/>
      <c r="H980"/>
      <c r="I980" s="202"/>
      <c r="J980"/>
      <c r="K980" s="205"/>
      <c r="L980" s="205"/>
      <c r="M980" s="205"/>
    </row>
    <row r="981" spans="2:13" ht="15.75">
      <c r="B981" s="79"/>
      <c r="D981"/>
      <c r="E981" s="188"/>
      <c r="H981"/>
      <c r="I981" s="202"/>
      <c r="J981"/>
      <c r="K981" s="205"/>
      <c r="L981" s="205"/>
      <c r="M981" s="205"/>
    </row>
    <row r="982" spans="2:13" ht="15.75">
      <c r="B982" s="79"/>
      <c r="D982"/>
      <c r="E982" s="188"/>
      <c r="H982"/>
      <c r="I982" s="202"/>
      <c r="J982"/>
      <c r="K982" s="205"/>
      <c r="L982" s="205"/>
      <c r="M982" s="205"/>
    </row>
    <row r="983" spans="2:13" ht="15.75">
      <c r="B983" s="79"/>
      <c r="D983"/>
      <c r="E983" s="188"/>
      <c r="H983"/>
      <c r="I983" s="202"/>
      <c r="J983"/>
      <c r="K983" s="205"/>
      <c r="L983" s="205"/>
      <c r="M983" s="205"/>
    </row>
    <row r="984" spans="2:13" ht="15.75">
      <c r="B984" s="79"/>
      <c r="D984"/>
      <c r="E984" s="188"/>
      <c r="H984"/>
      <c r="I984" s="202"/>
      <c r="J984"/>
      <c r="K984" s="205"/>
      <c r="L984" s="205"/>
      <c r="M984" s="205"/>
    </row>
    <row r="985" spans="2:13" ht="15.75">
      <c r="B985" s="79"/>
      <c r="D985"/>
      <c r="E985" s="188"/>
      <c r="H985"/>
      <c r="I985" s="202"/>
      <c r="J985"/>
      <c r="K985" s="205"/>
      <c r="L985" s="205"/>
      <c r="M985" s="205"/>
    </row>
    <row r="986" spans="2:13" ht="15.75">
      <c r="B986" s="79"/>
      <c r="D986"/>
      <c r="E986" s="188"/>
      <c r="H986"/>
      <c r="I986" s="202"/>
      <c r="J986"/>
      <c r="K986" s="205"/>
      <c r="L986" s="205"/>
      <c r="M986" s="205"/>
    </row>
    <row r="987" spans="2:13" ht="15.75">
      <c r="B987" s="79"/>
      <c r="D987"/>
      <c r="E987" s="188"/>
      <c r="H987"/>
      <c r="I987" s="202"/>
      <c r="J987"/>
      <c r="K987" s="205"/>
      <c r="L987" s="205"/>
      <c r="M987" s="205"/>
    </row>
    <row r="988" spans="2:13" ht="15.75">
      <c r="B988" s="79"/>
      <c r="D988"/>
      <c r="E988" s="188"/>
      <c r="H988"/>
      <c r="I988" s="202"/>
      <c r="J988"/>
      <c r="K988" s="205"/>
      <c r="L988" s="205"/>
      <c r="M988" s="205"/>
    </row>
    <row r="989" spans="2:13" ht="15.75">
      <c r="B989" s="79"/>
      <c r="D989"/>
      <c r="E989" s="188"/>
      <c r="H989"/>
      <c r="I989" s="202"/>
      <c r="J989"/>
      <c r="K989" s="205"/>
      <c r="L989" s="205"/>
      <c r="M989" s="205"/>
    </row>
    <row r="990" spans="2:13" ht="15.75">
      <c r="B990" s="79"/>
      <c r="D990"/>
      <c r="E990" s="188"/>
      <c r="H990"/>
      <c r="I990" s="202"/>
      <c r="J990"/>
      <c r="K990" s="205"/>
      <c r="L990" s="205"/>
      <c r="M990" s="205"/>
    </row>
    <row r="991" spans="2:13" ht="15.75">
      <c r="B991" s="79"/>
      <c r="D991"/>
      <c r="E991" s="188"/>
      <c r="H991"/>
      <c r="I991" s="202"/>
      <c r="J991"/>
      <c r="K991" s="205"/>
      <c r="L991" s="205"/>
      <c r="M991" s="205"/>
    </row>
    <row r="992" spans="2:13" ht="15.75">
      <c r="B992" s="79"/>
      <c r="D992"/>
      <c r="E992" s="188"/>
      <c r="H992"/>
      <c r="I992" s="202"/>
      <c r="J992"/>
      <c r="K992" s="205"/>
      <c r="L992" s="205"/>
      <c r="M992" s="205"/>
    </row>
    <row r="993" spans="2:13" ht="15.75">
      <c r="B993" s="79"/>
      <c r="D993"/>
      <c r="E993" s="188"/>
      <c r="H993"/>
      <c r="I993" s="202"/>
      <c r="J993"/>
      <c r="K993" s="205"/>
      <c r="L993" s="205"/>
      <c r="M993" s="205"/>
    </row>
    <row r="994" spans="2:13" ht="15.75">
      <c r="B994" s="79"/>
      <c r="D994"/>
      <c r="E994" s="188"/>
      <c r="H994"/>
      <c r="I994" s="202"/>
      <c r="J994"/>
      <c r="K994" s="205"/>
      <c r="L994" s="205"/>
      <c r="M994" s="205"/>
    </row>
    <row r="995" spans="2:13" ht="15.75">
      <c r="B995" s="79"/>
      <c r="D995"/>
      <c r="E995" s="188"/>
      <c r="H995"/>
      <c r="I995" s="202"/>
      <c r="J995"/>
      <c r="K995" s="205"/>
      <c r="L995" s="205"/>
      <c r="M995" s="205"/>
    </row>
    <row r="996" spans="2:13" ht="15.75">
      <c r="B996" s="79"/>
      <c r="D996"/>
      <c r="E996" s="188"/>
      <c r="H996"/>
      <c r="I996" s="202"/>
      <c r="J996"/>
      <c r="K996" s="205"/>
      <c r="L996" s="205"/>
      <c r="M996" s="205"/>
    </row>
    <row r="997" spans="2:13" ht="15.75">
      <c r="B997" s="79"/>
      <c r="D997"/>
      <c r="E997" s="188"/>
      <c r="H997"/>
      <c r="I997" s="202"/>
      <c r="J997"/>
      <c r="K997" s="205"/>
      <c r="L997" s="205"/>
      <c r="M997" s="205"/>
    </row>
    <row r="998" spans="2:13" ht="15.75">
      <c r="B998" s="79"/>
      <c r="D998"/>
      <c r="E998" s="188"/>
      <c r="H998"/>
      <c r="I998" s="202"/>
      <c r="J998"/>
      <c r="K998" s="205"/>
      <c r="L998" s="205"/>
      <c r="M998" s="205"/>
    </row>
    <row r="999" spans="2:13" ht="15.75">
      <c r="B999" s="79"/>
      <c r="D999"/>
      <c r="E999" s="188"/>
      <c r="H999"/>
      <c r="I999" s="202"/>
      <c r="J999"/>
      <c r="K999" s="205"/>
      <c r="L999" s="205"/>
      <c r="M999" s="205"/>
    </row>
    <row r="1000" spans="2:13" ht="15.75">
      <c r="B1000" s="79"/>
      <c r="D1000"/>
      <c r="E1000" s="188"/>
      <c r="H1000"/>
      <c r="I1000" s="202"/>
      <c r="J1000"/>
      <c r="K1000" s="205"/>
      <c r="L1000" s="205"/>
      <c r="M1000" s="205"/>
    </row>
    <row r="1001" spans="2:13" ht="15.75">
      <c r="B1001" s="79"/>
      <c r="D1001"/>
      <c r="E1001" s="188"/>
      <c r="H1001"/>
      <c r="I1001" s="202"/>
      <c r="J1001"/>
      <c r="K1001" s="205"/>
      <c r="L1001" s="205"/>
      <c r="M1001" s="205"/>
    </row>
    <row r="1002" spans="2:13" ht="15.75">
      <c r="B1002" s="79"/>
      <c r="D1002"/>
      <c r="E1002" s="188"/>
      <c r="H1002"/>
      <c r="I1002" s="202"/>
      <c r="J1002"/>
      <c r="K1002" s="205"/>
      <c r="L1002" s="205"/>
      <c r="M1002" s="205"/>
    </row>
    <row r="1003" spans="2:13" ht="15.75">
      <c r="B1003" s="79"/>
      <c r="D1003"/>
      <c r="E1003" s="188"/>
      <c r="H1003"/>
      <c r="I1003" s="202"/>
      <c r="J1003"/>
      <c r="K1003" s="205"/>
      <c r="L1003" s="205"/>
      <c r="M1003" s="205"/>
    </row>
    <row r="1004" spans="2:13" ht="15.75">
      <c r="B1004" s="79"/>
      <c r="D1004"/>
      <c r="E1004" s="188"/>
      <c r="H1004"/>
      <c r="I1004" s="202"/>
      <c r="J1004"/>
      <c r="K1004" s="205"/>
      <c r="L1004" s="205"/>
      <c r="M1004" s="205"/>
    </row>
    <row r="1005" spans="2:13" ht="15.75">
      <c r="B1005" s="79"/>
      <c r="D1005"/>
      <c r="E1005" s="188"/>
      <c r="H1005"/>
      <c r="I1005" s="202"/>
      <c r="J1005"/>
      <c r="K1005" s="205"/>
      <c r="L1005" s="205"/>
      <c r="M1005" s="205"/>
    </row>
    <row r="1006" spans="2:13" ht="15.75">
      <c r="B1006" s="79"/>
      <c r="D1006"/>
      <c r="E1006" s="188"/>
      <c r="H1006"/>
      <c r="I1006" s="202"/>
      <c r="J1006"/>
      <c r="K1006" s="205"/>
      <c r="L1006" s="205"/>
      <c r="M1006" s="205"/>
    </row>
    <row r="1007" spans="2:13" ht="15.75">
      <c r="B1007" s="79"/>
      <c r="D1007"/>
      <c r="E1007" s="188"/>
      <c r="H1007"/>
      <c r="I1007" s="202"/>
      <c r="J1007"/>
      <c r="K1007" s="205"/>
      <c r="L1007" s="205"/>
      <c r="M1007" s="205"/>
    </row>
    <row r="1008" spans="2:13" ht="15.75">
      <c r="B1008" s="79"/>
      <c r="D1008"/>
      <c r="E1008" s="188"/>
      <c r="H1008"/>
      <c r="I1008" s="202"/>
      <c r="J1008"/>
      <c r="K1008" s="205"/>
      <c r="L1008" s="205"/>
      <c r="M1008" s="205"/>
    </row>
    <row r="1009" spans="2:13" ht="15.75">
      <c r="B1009" s="79"/>
      <c r="D1009"/>
      <c r="E1009" s="188"/>
      <c r="H1009"/>
      <c r="I1009" s="202"/>
      <c r="J1009"/>
      <c r="K1009" s="205"/>
      <c r="L1009" s="205"/>
      <c r="M1009" s="205"/>
    </row>
    <row r="1010" spans="2:13" ht="15.75">
      <c r="B1010" s="79"/>
      <c r="D1010"/>
      <c r="E1010" s="188"/>
      <c r="H1010"/>
      <c r="I1010" s="202"/>
      <c r="J1010"/>
      <c r="K1010" s="205"/>
      <c r="L1010" s="205"/>
      <c r="M1010" s="205"/>
    </row>
    <row r="1011" spans="2:13" ht="15.75">
      <c r="B1011" s="79"/>
      <c r="D1011"/>
      <c r="E1011" s="188"/>
      <c r="H1011"/>
      <c r="I1011" s="202"/>
      <c r="J1011"/>
      <c r="K1011" s="205"/>
      <c r="L1011" s="205"/>
      <c r="M1011" s="205"/>
    </row>
    <row r="1012" spans="2:13" ht="15.75">
      <c r="B1012" s="79"/>
      <c r="D1012"/>
      <c r="E1012" s="188"/>
      <c r="H1012"/>
      <c r="I1012" s="202"/>
      <c r="J1012"/>
      <c r="K1012" s="205"/>
      <c r="L1012" s="205"/>
      <c r="M1012" s="205"/>
    </row>
    <row r="1013" spans="2:13" ht="15.75">
      <c r="B1013" s="79"/>
      <c r="D1013"/>
      <c r="E1013" s="188"/>
      <c r="H1013"/>
      <c r="I1013" s="202"/>
      <c r="J1013"/>
      <c r="K1013" s="205"/>
      <c r="L1013" s="205"/>
      <c r="M1013" s="205"/>
    </row>
    <row r="1014" spans="2:13" ht="15.75">
      <c r="B1014" s="79"/>
      <c r="D1014"/>
      <c r="E1014" s="188"/>
      <c r="H1014"/>
      <c r="I1014" s="202"/>
      <c r="J1014"/>
      <c r="K1014" s="205"/>
      <c r="L1014" s="205"/>
      <c r="M1014" s="205"/>
    </row>
    <row r="1015" spans="2:13" ht="15.75">
      <c r="B1015" s="79"/>
      <c r="D1015"/>
      <c r="E1015" s="188"/>
      <c r="H1015"/>
      <c r="I1015" s="202"/>
      <c r="J1015"/>
      <c r="K1015" s="205"/>
      <c r="L1015" s="205"/>
      <c r="M1015" s="205"/>
    </row>
    <row r="1016" spans="2:13" ht="15.75">
      <c r="B1016" s="79"/>
      <c r="D1016"/>
      <c r="E1016" s="188"/>
      <c r="H1016"/>
      <c r="I1016" s="202"/>
      <c r="J1016"/>
      <c r="K1016" s="205"/>
      <c r="L1016" s="205"/>
      <c r="M1016" s="205"/>
    </row>
    <row r="1017" spans="2:13" ht="15.75">
      <c r="B1017" s="79"/>
      <c r="D1017"/>
      <c r="E1017" s="188"/>
      <c r="H1017"/>
      <c r="I1017" s="202"/>
      <c r="J1017"/>
      <c r="K1017" s="205"/>
      <c r="L1017" s="205"/>
      <c r="M1017" s="205"/>
    </row>
    <row r="1018" spans="2:13" ht="15.75">
      <c r="B1018" s="79"/>
      <c r="D1018"/>
      <c r="E1018" s="188"/>
      <c r="H1018"/>
      <c r="I1018" s="202"/>
      <c r="J1018"/>
      <c r="K1018" s="205"/>
      <c r="L1018" s="205"/>
      <c r="M1018" s="205"/>
    </row>
    <row r="1019" spans="2:13" ht="15.75">
      <c r="B1019" s="79"/>
      <c r="D1019"/>
      <c r="E1019" s="188"/>
      <c r="H1019"/>
      <c r="I1019" s="202"/>
      <c r="J1019"/>
      <c r="K1019" s="205"/>
      <c r="L1019" s="205"/>
      <c r="M1019" s="205"/>
    </row>
    <row r="1020" spans="2:13" ht="15.75">
      <c r="B1020" s="79"/>
      <c r="D1020"/>
      <c r="E1020" s="188"/>
      <c r="H1020"/>
      <c r="I1020" s="202"/>
      <c r="J1020"/>
      <c r="K1020" s="205"/>
      <c r="L1020" s="205"/>
      <c r="M1020" s="205"/>
    </row>
    <row r="1021" spans="2:13" ht="15.75">
      <c r="B1021" s="79"/>
      <c r="D1021"/>
      <c r="E1021" s="188"/>
      <c r="H1021"/>
      <c r="I1021" s="202"/>
      <c r="J1021"/>
      <c r="K1021" s="205"/>
      <c r="L1021" s="205"/>
      <c r="M1021" s="205"/>
    </row>
    <row r="1022" spans="2:13" ht="15.75">
      <c r="B1022" s="79"/>
      <c r="D1022"/>
      <c r="E1022" s="188"/>
      <c r="H1022"/>
      <c r="I1022" s="202"/>
      <c r="J1022"/>
      <c r="K1022" s="205"/>
      <c r="L1022" s="205"/>
      <c r="M1022" s="205"/>
    </row>
    <row r="1023" spans="2:13" ht="15.75">
      <c r="B1023" s="79"/>
      <c r="D1023"/>
      <c r="E1023" s="188"/>
      <c r="H1023"/>
      <c r="I1023" s="202"/>
      <c r="J1023"/>
      <c r="K1023" s="205"/>
      <c r="L1023" s="205"/>
      <c r="M1023" s="205"/>
    </row>
    <row r="1024" spans="2:13" ht="15.75">
      <c r="B1024" s="79"/>
      <c r="D1024"/>
      <c r="E1024" s="188"/>
      <c r="H1024"/>
      <c r="I1024" s="202"/>
      <c r="J1024"/>
      <c r="K1024" s="205"/>
      <c r="L1024" s="205"/>
      <c r="M1024" s="205"/>
    </row>
    <row r="1025" spans="2:13" ht="15.75">
      <c r="B1025" s="79"/>
      <c r="D1025"/>
      <c r="E1025" s="188"/>
      <c r="H1025"/>
      <c r="I1025" s="202"/>
      <c r="J1025"/>
      <c r="K1025" s="205"/>
      <c r="L1025" s="205"/>
      <c r="M1025" s="205"/>
    </row>
    <row r="1026" spans="2:13" ht="15.75">
      <c r="B1026" s="79"/>
      <c r="D1026"/>
      <c r="E1026" s="188"/>
      <c r="H1026"/>
      <c r="I1026" s="202"/>
      <c r="J1026"/>
      <c r="K1026" s="205"/>
      <c r="L1026" s="205"/>
      <c r="M1026" s="205"/>
    </row>
    <row r="1027" spans="2:13" ht="15.75">
      <c r="B1027" s="79"/>
      <c r="D1027"/>
      <c r="E1027" s="188"/>
      <c r="H1027"/>
      <c r="I1027" s="202"/>
      <c r="J1027"/>
      <c r="K1027" s="205"/>
      <c r="L1027" s="205"/>
      <c r="M1027" s="205"/>
    </row>
    <row r="1028" spans="2:13" ht="15.75">
      <c r="B1028" s="79"/>
      <c r="D1028"/>
      <c r="E1028" s="188"/>
      <c r="H1028"/>
      <c r="I1028" s="202"/>
      <c r="J1028"/>
      <c r="K1028" s="205"/>
      <c r="L1028" s="205"/>
      <c r="M1028" s="205"/>
    </row>
    <row r="1029" spans="2:13" ht="15.75">
      <c r="B1029" s="79"/>
      <c r="D1029"/>
      <c r="E1029" s="188"/>
      <c r="H1029"/>
      <c r="I1029" s="202"/>
      <c r="J1029"/>
      <c r="K1029" s="205"/>
      <c r="L1029" s="205"/>
      <c r="M1029" s="205"/>
    </row>
    <row r="1030" spans="2:13" ht="15.75">
      <c r="B1030" s="79"/>
      <c r="D1030"/>
      <c r="E1030" s="188"/>
      <c r="H1030"/>
      <c r="I1030" s="202"/>
      <c r="J1030"/>
      <c r="K1030" s="205"/>
      <c r="L1030" s="205"/>
      <c r="M1030" s="205"/>
    </row>
    <row r="1031" spans="2:13" ht="15.75">
      <c r="B1031" s="79"/>
      <c r="D1031"/>
      <c r="E1031" s="188"/>
      <c r="H1031"/>
      <c r="I1031" s="202"/>
      <c r="J1031"/>
      <c r="K1031" s="205"/>
      <c r="L1031" s="205"/>
      <c r="M1031" s="205"/>
    </row>
    <row r="1032" spans="2:13" ht="15.75">
      <c r="B1032" s="79"/>
      <c r="D1032"/>
      <c r="E1032" s="188"/>
      <c r="H1032"/>
      <c r="I1032" s="202"/>
      <c r="J1032"/>
      <c r="K1032" s="205"/>
      <c r="L1032" s="205"/>
      <c r="M1032" s="205"/>
    </row>
    <row r="1033" spans="2:13" ht="15.75">
      <c r="B1033" s="79"/>
      <c r="D1033"/>
      <c r="E1033" s="188"/>
      <c r="H1033"/>
      <c r="I1033" s="202"/>
      <c r="J1033"/>
      <c r="K1033" s="205"/>
      <c r="L1033" s="205"/>
      <c r="M1033" s="205"/>
    </row>
    <row r="1034" spans="2:13" ht="15.75">
      <c r="B1034" s="79"/>
      <c r="D1034"/>
      <c r="E1034" s="188"/>
      <c r="H1034"/>
      <c r="I1034" s="202"/>
      <c r="J1034"/>
      <c r="K1034" s="205"/>
      <c r="L1034" s="205"/>
      <c r="M1034" s="205"/>
    </row>
    <row r="1035" spans="2:13" ht="15.75">
      <c r="B1035" s="79"/>
      <c r="D1035"/>
      <c r="E1035" s="188"/>
      <c r="H1035"/>
      <c r="I1035" s="202"/>
      <c r="J1035"/>
      <c r="K1035" s="205"/>
      <c r="L1035" s="205"/>
      <c r="M1035" s="205"/>
    </row>
    <row r="1036" spans="2:13" ht="15.75">
      <c r="B1036" s="79"/>
      <c r="D1036"/>
      <c r="E1036" s="188"/>
      <c r="H1036"/>
      <c r="I1036" s="202"/>
      <c r="J1036"/>
      <c r="K1036" s="205"/>
      <c r="L1036" s="205"/>
      <c r="M1036" s="205"/>
    </row>
    <row r="1037" spans="2:13" ht="15.75">
      <c r="B1037" s="79"/>
      <c r="D1037"/>
      <c r="E1037" s="188"/>
      <c r="H1037"/>
      <c r="I1037" s="202"/>
      <c r="J1037"/>
      <c r="K1037" s="205"/>
      <c r="L1037" s="205"/>
      <c r="M1037" s="205"/>
    </row>
    <row r="1038" spans="2:13" ht="15.75">
      <c r="B1038" s="79"/>
      <c r="D1038"/>
      <c r="E1038" s="188"/>
      <c r="H1038"/>
      <c r="I1038" s="202"/>
      <c r="J1038"/>
      <c r="K1038" s="205"/>
      <c r="L1038" s="205"/>
      <c r="M1038" s="205"/>
    </row>
    <row r="1039" spans="2:13" ht="15.75">
      <c r="B1039" s="79"/>
      <c r="D1039"/>
      <c r="E1039" s="188"/>
      <c r="H1039"/>
      <c r="I1039" s="202"/>
      <c r="J1039"/>
      <c r="K1039" s="205"/>
      <c r="L1039" s="205"/>
      <c r="M1039" s="205"/>
    </row>
    <row r="1040" spans="2:13" ht="15.75">
      <c r="B1040" s="79"/>
      <c r="D1040"/>
      <c r="E1040" s="188"/>
      <c r="H1040"/>
      <c r="I1040" s="202"/>
      <c r="J1040"/>
      <c r="K1040" s="205"/>
      <c r="L1040" s="205"/>
      <c r="M1040" s="205"/>
    </row>
    <row r="1041" spans="2:13" ht="15.75">
      <c r="B1041" s="79"/>
      <c r="D1041"/>
      <c r="E1041" s="188"/>
      <c r="H1041"/>
      <c r="I1041" s="202"/>
      <c r="J1041"/>
      <c r="K1041" s="205"/>
      <c r="L1041" s="205"/>
      <c r="M1041" s="205"/>
    </row>
    <row r="1042" spans="2:13" ht="15.75">
      <c r="B1042" s="79"/>
      <c r="D1042"/>
      <c r="E1042" s="188"/>
      <c r="H1042"/>
      <c r="I1042" s="202"/>
      <c r="J1042"/>
      <c r="K1042" s="205"/>
      <c r="L1042" s="205"/>
      <c r="M1042" s="205"/>
    </row>
    <row r="1043" spans="2:13" ht="15.75">
      <c r="B1043" s="79"/>
      <c r="D1043"/>
      <c r="E1043" s="188"/>
      <c r="H1043"/>
      <c r="I1043" s="202"/>
      <c r="J1043"/>
      <c r="K1043" s="205"/>
      <c r="L1043" s="205"/>
      <c r="M1043" s="205"/>
    </row>
    <row r="1044" spans="2:13" ht="15.75">
      <c r="B1044" s="79"/>
      <c r="D1044"/>
      <c r="E1044" s="188"/>
      <c r="H1044"/>
      <c r="I1044" s="202"/>
      <c r="J1044"/>
      <c r="K1044" s="205"/>
      <c r="L1044" s="205"/>
      <c r="M1044" s="205"/>
    </row>
    <row r="1045" spans="2:13" ht="15.75">
      <c r="B1045" s="79"/>
      <c r="D1045"/>
      <c r="E1045" s="188"/>
      <c r="H1045"/>
      <c r="I1045" s="202"/>
      <c r="J1045"/>
      <c r="K1045" s="205"/>
      <c r="L1045" s="205"/>
      <c r="M1045" s="205"/>
    </row>
    <row r="1046" spans="2:13" ht="15.75">
      <c r="B1046" s="79"/>
      <c r="D1046"/>
      <c r="E1046" s="188"/>
      <c r="H1046"/>
      <c r="I1046" s="202"/>
      <c r="J1046"/>
      <c r="K1046" s="205"/>
      <c r="L1046" s="205"/>
      <c r="M1046" s="205"/>
    </row>
    <row r="1047" spans="2:13" ht="15.75">
      <c r="B1047" s="79"/>
      <c r="D1047"/>
      <c r="E1047" s="188"/>
      <c r="H1047"/>
      <c r="I1047" s="202"/>
      <c r="J1047"/>
      <c r="K1047" s="205"/>
      <c r="L1047" s="205"/>
      <c r="M1047" s="205"/>
    </row>
    <row r="1048" spans="2:13" ht="15.75">
      <c r="B1048" s="79"/>
      <c r="D1048"/>
      <c r="E1048" s="188"/>
      <c r="H1048"/>
      <c r="I1048" s="202"/>
      <c r="J1048"/>
      <c r="K1048" s="205"/>
      <c r="L1048" s="205"/>
      <c r="M1048" s="205"/>
    </row>
    <row r="1049" spans="2:13" ht="15.75">
      <c r="B1049" s="79"/>
      <c r="D1049"/>
      <c r="E1049" s="188"/>
      <c r="H1049"/>
      <c r="I1049" s="202"/>
      <c r="J1049"/>
      <c r="K1049" s="205"/>
      <c r="L1049" s="205"/>
      <c r="M1049" s="205"/>
    </row>
    <row r="1050" spans="2:13" ht="15.75">
      <c r="B1050" s="79"/>
      <c r="D1050"/>
      <c r="E1050" s="188"/>
      <c r="H1050"/>
      <c r="I1050" s="202"/>
      <c r="J1050"/>
      <c r="K1050" s="205"/>
      <c r="L1050" s="205"/>
      <c r="M1050" s="205"/>
    </row>
    <row r="1051" spans="2:13" ht="15.75">
      <c r="B1051" s="79"/>
      <c r="D1051"/>
      <c r="E1051" s="188"/>
      <c r="H1051"/>
      <c r="I1051" s="202"/>
      <c r="J1051"/>
      <c r="K1051" s="205"/>
      <c r="L1051" s="205"/>
      <c r="M1051" s="205"/>
    </row>
    <row r="1052" spans="2:13" ht="15.75">
      <c r="B1052" s="79"/>
      <c r="D1052"/>
      <c r="E1052" s="188"/>
      <c r="H1052"/>
      <c r="I1052" s="202"/>
      <c r="J1052"/>
      <c r="K1052" s="205"/>
      <c r="L1052" s="205"/>
      <c r="M1052" s="205"/>
    </row>
    <row r="1053" spans="2:13" ht="15.75">
      <c r="B1053" s="79"/>
      <c r="D1053"/>
      <c r="E1053" s="188"/>
      <c r="H1053"/>
      <c r="I1053" s="202"/>
      <c r="J1053"/>
      <c r="K1053" s="205"/>
      <c r="L1053" s="205"/>
      <c r="M1053" s="205"/>
    </row>
    <row r="1054" spans="2:13" ht="15.75">
      <c r="B1054" s="79"/>
      <c r="D1054"/>
      <c r="E1054" s="188"/>
      <c r="H1054"/>
      <c r="I1054" s="202"/>
      <c r="J1054"/>
      <c r="K1054" s="205"/>
      <c r="L1054" s="205"/>
      <c r="M1054" s="205"/>
    </row>
    <row r="1055" spans="2:13" ht="15.75">
      <c r="B1055" s="79"/>
      <c r="D1055"/>
      <c r="E1055" s="188"/>
      <c r="H1055"/>
      <c r="I1055" s="202"/>
      <c r="J1055"/>
      <c r="K1055" s="205"/>
      <c r="L1055" s="205"/>
      <c r="M1055" s="205"/>
    </row>
    <row r="1056" spans="2:13" ht="15.75">
      <c r="B1056" s="79"/>
      <c r="D1056"/>
      <c r="E1056" s="188"/>
      <c r="H1056"/>
      <c r="I1056" s="202"/>
      <c r="J1056"/>
      <c r="K1056" s="205"/>
      <c r="L1056" s="205"/>
      <c r="M1056" s="205"/>
    </row>
    <row r="1057" spans="2:13" ht="15.75">
      <c r="B1057" s="79"/>
      <c r="D1057"/>
      <c r="E1057" s="188"/>
      <c r="H1057"/>
      <c r="I1057" s="202"/>
      <c r="J1057"/>
      <c r="K1057" s="205"/>
      <c r="L1057" s="205"/>
      <c r="M1057" s="205"/>
    </row>
    <row r="1058" spans="2:13" ht="15.75">
      <c r="B1058" s="79"/>
      <c r="D1058"/>
      <c r="E1058" s="188"/>
      <c r="H1058"/>
      <c r="I1058" s="202"/>
      <c r="J1058"/>
      <c r="K1058" s="205"/>
      <c r="L1058" s="205"/>
      <c r="M1058" s="205"/>
    </row>
    <row r="1059" spans="2:13" ht="15.75">
      <c r="B1059" s="79"/>
      <c r="D1059"/>
      <c r="E1059" s="188"/>
      <c r="H1059"/>
      <c r="I1059" s="202"/>
      <c r="J1059"/>
      <c r="K1059" s="205"/>
      <c r="L1059" s="205"/>
      <c r="M1059" s="205"/>
    </row>
    <row r="1060" spans="2:13" ht="15.75">
      <c r="B1060" s="79"/>
      <c r="D1060"/>
      <c r="E1060" s="188"/>
      <c r="H1060"/>
      <c r="I1060" s="202"/>
      <c r="J1060"/>
      <c r="K1060" s="205"/>
      <c r="L1060" s="205"/>
      <c r="M1060" s="205"/>
    </row>
    <row r="1061" spans="2:13" ht="15.75">
      <c r="B1061" s="79"/>
      <c r="D1061"/>
      <c r="E1061" s="188"/>
      <c r="H1061"/>
      <c r="I1061" s="202"/>
      <c r="J1061"/>
      <c r="K1061" s="205"/>
      <c r="L1061" s="205"/>
      <c r="M1061" s="205"/>
    </row>
    <row r="1062" spans="2:13" ht="15.75">
      <c r="B1062" s="79"/>
      <c r="D1062"/>
      <c r="E1062" s="188"/>
      <c r="H1062"/>
      <c r="I1062" s="202"/>
      <c r="J1062"/>
      <c r="K1062" s="205"/>
      <c r="L1062" s="205"/>
      <c r="M1062" s="205"/>
    </row>
    <row r="1063" spans="2:13" ht="15.75">
      <c r="B1063" s="79"/>
      <c r="D1063"/>
      <c r="E1063" s="188"/>
      <c r="H1063"/>
      <c r="I1063" s="202"/>
      <c r="J1063"/>
      <c r="K1063" s="205"/>
      <c r="L1063" s="205"/>
      <c r="M1063" s="205"/>
    </row>
    <row r="1064" spans="2:13" ht="15.75">
      <c r="B1064" s="79"/>
      <c r="D1064"/>
      <c r="E1064" s="188"/>
      <c r="H1064"/>
      <c r="I1064" s="202"/>
      <c r="J1064"/>
      <c r="K1064" s="205"/>
      <c r="L1064" s="205"/>
      <c r="M1064" s="205"/>
    </row>
    <row r="1065" spans="2:13" ht="15.75">
      <c r="B1065" s="79"/>
      <c r="D1065"/>
      <c r="E1065" s="188"/>
      <c r="H1065"/>
      <c r="I1065" s="202"/>
      <c r="J1065"/>
      <c r="K1065" s="205"/>
      <c r="L1065" s="205"/>
      <c r="M1065" s="205"/>
    </row>
    <row r="1066" spans="2:13" ht="15.75">
      <c r="B1066" s="79"/>
      <c r="D1066"/>
      <c r="E1066" s="188"/>
      <c r="H1066"/>
      <c r="I1066" s="202"/>
      <c r="J1066"/>
      <c r="K1066" s="205"/>
      <c r="L1066" s="205"/>
      <c r="M1066" s="205"/>
    </row>
    <row r="1067" spans="2:13" ht="15.75">
      <c r="B1067" s="79"/>
      <c r="D1067"/>
      <c r="E1067" s="188"/>
      <c r="H1067"/>
      <c r="I1067" s="202"/>
      <c r="J1067"/>
      <c r="K1067" s="205"/>
      <c r="L1067" s="205"/>
      <c r="M1067" s="205"/>
    </row>
    <row r="1068" spans="2:13" ht="15.75">
      <c r="B1068" s="79"/>
      <c r="D1068"/>
      <c r="E1068" s="188"/>
      <c r="H1068"/>
      <c r="I1068" s="202"/>
      <c r="J1068"/>
      <c r="K1068" s="205"/>
      <c r="L1068" s="205"/>
      <c r="M1068" s="205"/>
    </row>
    <row r="1069" spans="2:13" ht="15.75">
      <c r="B1069" s="79"/>
      <c r="D1069"/>
      <c r="E1069" s="188"/>
      <c r="H1069"/>
      <c r="I1069" s="202"/>
      <c r="J1069"/>
      <c r="K1069" s="205"/>
      <c r="L1069" s="205"/>
      <c r="M1069" s="205"/>
    </row>
    <row r="1070" spans="2:13" ht="15.75">
      <c r="B1070" s="79"/>
      <c r="D1070"/>
      <c r="E1070" s="188"/>
      <c r="H1070"/>
      <c r="I1070" s="202"/>
      <c r="J1070"/>
      <c r="K1070" s="205"/>
      <c r="L1070" s="205"/>
      <c r="M1070" s="205"/>
    </row>
    <row r="1071" spans="2:13" ht="15.75">
      <c r="B1071" s="79"/>
      <c r="D1071"/>
      <c r="E1071" s="188"/>
      <c r="H1071"/>
      <c r="I1071" s="202"/>
      <c r="J1071"/>
      <c r="K1071" s="205"/>
      <c r="L1071" s="205"/>
      <c r="M1071" s="205"/>
    </row>
    <row r="1072" spans="2:13" ht="15.75">
      <c r="B1072" s="79"/>
      <c r="D1072"/>
      <c r="E1072" s="188"/>
      <c r="H1072"/>
      <c r="I1072" s="202"/>
      <c r="J1072"/>
      <c r="K1072" s="205"/>
      <c r="L1072" s="205"/>
      <c r="M1072" s="205"/>
    </row>
    <row r="1073" spans="2:13" ht="15.75">
      <c r="B1073" s="79"/>
      <c r="D1073"/>
      <c r="E1073" s="188"/>
      <c r="H1073"/>
      <c r="I1073" s="202"/>
      <c r="J1073"/>
      <c r="K1073" s="205"/>
      <c r="L1073" s="205"/>
      <c r="M1073" s="205"/>
    </row>
    <row r="1074" spans="2:13" ht="15.75">
      <c r="B1074" s="79"/>
      <c r="D1074"/>
      <c r="E1074" s="188"/>
      <c r="H1074"/>
      <c r="I1074" s="202"/>
      <c r="J1074"/>
      <c r="K1074" s="205"/>
      <c r="L1074" s="205"/>
      <c r="M1074" s="205"/>
    </row>
    <row r="1075" spans="2:13" ht="15.75">
      <c r="B1075" s="79"/>
      <c r="D1075"/>
      <c r="E1075" s="188"/>
      <c r="H1075"/>
      <c r="I1075" s="202"/>
      <c r="J1075"/>
      <c r="K1075" s="205"/>
      <c r="L1075" s="205"/>
      <c r="M1075" s="205"/>
    </row>
    <row r="1076" spans="2:13" ht="15.75">
      <c r="B1076" s="79"/>
      <c r="D1076"/>
      <c r="E1076" s="188"/>
      <c r="H1076"/>
      <c r="I1076" s="202"/>
      <c r="J1076"/>
      <c r="K1076" s="205"/>
      <c r="L1076" s="205"/>
      <c r="M1076" s="205"/>
    </row>
    <row r="1077" spans="2:13" ht="15.75">
      <c r="B1077" s="79"/>
      <c r="D1077"/>
      <c r="E1077" s="188"/>
      <c r="H1077"/>
      <c r="I1077" s="202"/>
      <c r="J1077"/>
      <c r="K1077" s="205"/>
      <c r="L1077" s="205"/>
      <c r="M1077" s="205"/>
    </row>
    <row r="1078" spans="2:13" ht="15.75">
      <c r="B1078" s="79"/>
      <c r="D1078"/>
      <c r="E1078" s="188"/>
      <c r="H1078"/>
      <c r="I1078" s="202"/>
      <c r="J1078"/>
      <c r="K1078" s="205"/>
      <c r="L1078" s="205"/>
      <c r="M1078" s="205"/>
    </row>
    <row r="1079" spans="2:13" ht="15.75">
      <c r="B1079" s="79"/>
      <c r="D1079"/>
      <c r="E1079" s="188"/>
      <c r="H1079"/>
      <c r="I1079" s="202"/>
      <c r="J1079"/>
      <c r="K1079" s="205"/>
      <c r="L1079" s="205"/>
      <c r="M1079" s="205"/>
    </row>
    <row r="1080" spans="2:13" ht="15.75">
      <c r="B1080" s="79"/>
      <c r="D1080"/>
      <c r="E1080" s="188"/>
      <c r="H1080"/>
      <c r="I1080" s="202"/>
      <c r="J1080"/>
      <c r="K1080" s="205"/>
      <c r="L1080" s="205"/>
      <c r="M1080" s="205"/>
    </row>
    <row r="1081" spans="2:13" ht="15.75">
      <c r="B1081" s="79"/>
      <c r="D1081"/>
      <c r="E1081" s="188"/>
      <c r="H1081"/>
      <c r="I1081" s="202"/>
      <c r="J1081"/>
      <c r="K1081" s="205"/>
      <c r="L1081" s="205"/>
      <c r="M1081" s="205"/>
    </row>
    <row r="1082" spans="2:13" ht="15.75">
      <c r="B1082" s="79"/>
      <c r="D1082"/>
      <c r="E1082" s="188"/>
      <c r="H1082"/>
      <c r="I1082" s="202"/>
      <c r="J1082"/>
      <c r="K1082" s="205"/>
      <c r="L1082" s="205"/>
      <c r="M1082" s="205"/>
    </row>
    <row r="1083" spans="2:13" ht="15.75">
      <c r="B1083" s="79"/>
      <c r="D1083"/>
      <c r="E1083" s="188"/>
      <c r="H1083"/>
      <c r="I1083" s="202"/>
      <c r="J1083"/>
      <c r="K1083" s="205"/>
      <c r="L1083" s="205"/>
      <c r="M1083" s="205"/>
    </row>
    <row r="1084" spans="2:13" ht="15.75">
      <c r="B1084" s="79"/>
      <c r="D1084"/>
      <c r="E1084" s="188"/>
      <c r="H1084"/>
      <c r="I1084" s="202"/>
      <c r="J1084"/>
      <c r="K1084" s="205"/>
      <c r="L1084" s="205"/>
      <c r="M1084" s="205"/>
    </row>
    <row r="1085" spans="2:13" ht="15.75">
      <c r="B1085" s="79"/>
      <c r="D1085"/>
      <c r="E1085" s="188"/>
      <c r="H1085"/>
      <c r="I1085" s="202"/>
      <c r="J1085"/>
      <c r="K1085" s="205"/>
      <c r="L1085" s="205"/>
      <c r="M1085" s="205"/>
    </row>
    <row r="1086" spans="2:13" ht="15.75">
      <c r="B1086" s="79"/>
      <c r="D1086"/>
      <c r="E1086" s="188"/>
      <c r="H1086"/>
      <c r="I1086" s="202"/>
      <c r="J1086"/>
      <c r="K1086" s="205"/>
      <c r="L1086" s="205"/>
      <c r="M1086" s="205"/>
    </row>
    <row r="1087" spans="2:13" ht="15.75">
      <c r="B1087" s="79"/>
      <c r="D1087"/>
      <c r="E1087" s="188"/>
      <c r="H1087"/>
      <c r="I1087" s="202"/>
      <c r="J1087"/>
      <c r="K1087" s="205"/>
      <c r="L1087" s="205"/>
      <c r="M1087" s="205"/>
    </row>
    <row r="1088" spans="2:13" ht="15.75">
      <c r="B1088" s="79"/>
      <c r="D1088"/>
      <c r="E1088" s="188"/>
      <c r="H1088"/>
      <c r="I1088" s="202"/>
      <c r="J1088"/>
      <c r="K1088" s="205"/>
      <c r="L1088" s="205"/>
      <c r="M1088" s="205"/>
    </row>
    <row r="1089" spans="2:13" ht="15.75">
      <c r="B1089" s="79"/>
      <c r="D1089"/>
      <c r="E1089" s="188"/>
      <c r="H1089"/>
      <c r="I1089" s="202"/>
      <c r="J1089"/>
      <c r="K1089" s="205"/>
      <c r="L1089" s="205"/>
      <c r="M1089" s="205"/>
    </row>
    <row r="1090" spans="2:13" ht="15.75">
      <c r="B1090" s="79"/>
      <c r="D1090"/>
      <c r="E1090" s="188"/>
      <c r="H1090"/>
      <c r="I1090" s="202"/>
      <c r="J1090"/>
      <c r="K1090" s="205"/>
      <c r="L1090" s="205"/>
      <c r="M1090" s="205"/>
    </row>
    <row r="1091" spans="2:13" ht="15.75">
      <c r="B1091" s="79"/>
      <c r="D1091"/>
      <c r="E1091" s="188"/>
      <c r="H1091"/>
      <c r="I1091" s="202"/>
      <c r="J1091"/>
      <c r="K1091" s="205"/>
      <c r="L1091" s="205"/>
      <c r="M1091" s="205"/>
    </row>
    <row r="1092" spans="2:13" ht="15.75">
      <c r="B1092" s="79"/>
      <c r="D1092"/>
      <c r="E1092" s="188"/>
      <c r="H1092"/>
      <c r="I1092" s="202"/>
      <c r="J1092"/>
      <c r="K1092" s="205"/>
      <c r="L1092" s="205"/>
      <c r="M1092" s="205"/>
    </row>
    <row r="1093" spans="2:13" ht="15.75">
      <c r="B1093" s="79"/>
      <c r="D1093"/>
      <c r="E1093" s="188"/>
      <c r="H1093"/>
      <c r="I1093" s="202"/>
      <c r="J1093"/>
      <c r="K1093" s="205"/>
      <c r="L1093" s="205"/>
      <c r="M1093" s="205"/>
    </row>
    <row r="1094" spans="2:13" ht="15.75">
      <c r="B1094" s="79"/>
      <c r="D1094"/>
      <c r="E1094" s="188"/>
      <c r="H1094"/>
      <c r="I1094" s="202"/>
      <c r="J1094"/>
      <c r="K1094" s="205"/>
      <c r="L1094" s="205"/>
      <c r="M1094" s="205"/>
    </row>
    <row r="1095" spans="2:13" ht="15.75">
      <c r="B1095" s="79"/>
      <c r="D1095"/>
      <c r="E1095" s="188"/>
      <c r="H1095"/>
      <c r="I1095" s="202"/>
      <c r="J1095"/>
      <c r="K1095" s="205"/>
      <c r="L1095" s="205"/>
      <c r="M1095" s="205"/>
    </row>
    <row r="1096" spans="2:13" ht="15.75">
      <c r="B1096" s="79"/>
      <c r="D1096"/>
      <c r="E1096" s="188"/>
      <c r="H1096"/>
      <c r="I1096" s="202"/>
      <c r="J1096"/>
      <c r="K1096" s="205"/>
      <c r="L1096" s="205"/>
      <c r="M1096" s="205"/>
    </row>
    <row r="1097" spans="2:13" ht="15.75">
      <c r="B1097" s="79"/>
      <c r="D1097"/>
      <c r="E1097" s="188"/>
      <c r="H1097"/>
      <c r="I1097" s="202"/>
      <c r="J1097"/>
      <c r="K1097" s="205"/>
      <c r="L1097" s="205"/>
      <c r="M1097" s="205"/>
    </row>
    <row r="1098" spans="2:13" ht="15.75">
      <c r="B1098" s="79"/>
      <c r="D1098"/>
      <c r="E1098" s="188"/>
      <c r="H1098"/>
      <c r="I1098" s="202"/>
      <c r="J1098"/>
      <c r="K1098" s="205"/>
      <c r="L1098" s="205"/>
      <c r="M1098" s="205"/>
    </row>
    <row r="1099" spans="2:13" ht="15.75">
      <c r="B1099" s="79"/>
      <c r="D1099"/>
      <c r="E1099" s="188"/>
      <c r="H1099"/>
      <c r="I1099" s="202"/>
      <c r="J1099"/>
      <c r="K1099" s="205"/>
      <c r="L1099" s="205"/>
      <c r="M1099" s="205"/>
    </row>
    <row r="1100" spans="2:13" ht="15.75">
      <c r="B1100" s="79"/>
      <c r="D1100"/>
      <c r="E1100" s="188"/>
      <c r="H1100"/>
      <c r="I1100" s="202"/>
      <c r="J1100"/>
      <c r="K1100" s="205"/>
      <c r="L1100" s="205"/>
      <c r="M1100" s="205"/>
    </row>
    <row r="1101" spans="2:13" ht="15.75">
      <c r="B1101" s="79"/>
      <c r="D1101"/>
      <c r="E1101" s="188"/>
      <c r="H1101"/>
      <c r="I1101" s="202"/>
      <c r="J1101"/>
      <c r="K1101" s="205"/>
      <c r="L1101" s="205"/>
      <c r="M1101" s="205"/>
    </row>
    <row r="1102" spans="2:13" ht="15.75">
      <c r="B1102" s="79"/>
      <c r="D1102"/>
      <c r="E1102" s="188"/>
      <c r="H1102"/>
      <c r="I1102" s="202"/>
      <c r="J1102"/>
      <c r="K1102" s="205"/>
      <c r="L1102" s="205"/>
      <c r="M1102" s="205"/>
    </row>
    <row r="1103" spans="2:13" ht="15.75">
      <c r="B1103" s="79"/>
      <c r="D1103"/>
      <c r="E1103" s="188"/>
      <c r="H1103"/>
      <c r="I1103" s="202"/>
      <c r="J1103"/>
      <c r="K1103" s="205"/>
      <c r="L1103" s="205"/>
      <c r="M1103" s="205"/>
    </row>
    <row r="1104" spans="2:13" ht="15.75">
      <c r="B1104" s="79"/>
      <c r="D1104"/>
      <c r="E1104" s="188"/>
      <c r="H1104"/>
      <c r="I1104" s="202"/>
      <c r="J1104"/>
      <c r="K1104" s="205"/>
      <c r="L1104" s="205"/>
      <c r="M1104" s="205"/>
    </row>
    <row r="1105" spans="2:13" ht="15.75">
      <c r="B1105" s="79"/>
      <c r="D1105"/>
      <c r="E1105" s="188"/>
      <c r="H1105"/>
      <c r="I1105" s="202"/>
      <c r="J1105"/>
      <c r="K1105" s="205"/>
      <c r="L1105" s="205"/>
      <c r="M1105" s="205"/>
    </row>
    <row r="1106" spans="2:13" ht="15.75">
      <c r="B1106" s="79"/>
      <c r="D1106"/>
      <c r="E1106" s="188"/>
      <c r="H1106"/>
      <c r="I1106" s="202"/>
      <c r="J1106"/>
      <c r="K1106" s="205"/>
      <c r="L1106" s="205"/>
      <c r="M1106" s="205"/>
    </row>
    <row r="1107" spans="2:13" ht="15.75">
      <c r="B1107" s="79"/>
      <c r="D1107"/>
      <c r="E1107" s="188"/>
      <c r="H1107"/>
      <c r="I1107" s="202"/>
      <c r="J1107"/>
      <c r="K1107" s="205"/>
      <c r="L1107" s="205"/>
      <c r="M1107" s="205"/>
    </row>
    <row r="1108" spans="2:13" ht="15.75">
      <c r="B1108" s="79"/>
      <c r="D1108"/>
      <c r="E1108" s="188"/>
      <c r="H1108"/>
      <c r="I1108" s="202"/>
      <c r="J1108"/>
      <c r="K1108" s="205"/>
      <c r="L1108" s="205"/>
      <c r="M1108" s="205"/>
    </row>
    <row r="1109" spans="2:13" ht="15.75">
      <c r="B1109" s="79"/>
      <c r="D1109"/>
      <c r="E1109" s="188"/>
      <c r="H1109"/>
      <c r="I1109" s="202"/>
      <c r="J1109"/>
      <c r="K1109" s="205"/>
      <c r="L1109" s="205"/>
      <c r="M1109" s="205"/>
    </row>
    <row r="1110" spans="2:13" ht="15.75">
      <c r="B1110" s="79"/>
      <c r="D1110"/>
      <c r="E1110" s="188"/>
      <c r="H1110"/>
      <c r="I1110" s="202"/>
      <c r="J1110"/>
      <c r="K1110" s="205"/>
      <c r="L1110" s="205"/>
      <c r="M1110" s="205"/>
    </row>
    <row r="1111" spans="2:13" ht="15.75">
      <c r="B1111" s="79"/>
      <c r="D1111"/>
      <c r="E1111" s="188"/>
      <c r="H1111"/>
      <c r="I1111" s="202"/>
      <c r="J1111"/>
      <c r="K1111" s="205"/>
      <c r="L1111" s="205"/>
      <c r="M1111" s="205"/>
    </row>
    <row r="1112" spans="2:13" ht="15.75">
      <c r="B1112" s="79"/>
      <c r="D1112"/>
      <c r="E1112" s="188"/>
      <c r="H1112"/>
      <c r="I1112" s="202"/>
      <c r="J1112"/>
      <c r="K1112" s="205"/>
      <c r="L1112" s="205"/>
      <c r="M1112" s="205"/>
    </row>
    <row r="1113" spans="2:13" ht="15.75">
      <c r="B1113" s="79"/>
      <c r="D1113"/>
      <c r="E1113" s="188"/>
      <c r="H1113"/>
      <c r="I1113" s="202"/>
      <c r="J1113"/>
      <c r="K1113" s="205"/>
      <c r="L1113" s="205"/>
      <c r="M1113" s="205"/>
    </row>
    <row r="1114" spans="2:13" ht="15.75">
      <c r="B1114" s="79"/>
      <c r="D1114"/>
      <c r="E1114" s="188"/>
      <c r="H1114"/>
      <c r="I1114" s="202"/>
      <c r="J1114"/>
      <c r="K1114" s="205"/>
      <c r="L1114" s="205"/>
      <c r="M1114" s="205"/>
    </row>
    <row r="1115" spans="2:13" ht="15.75">
      <c r="B1115" s="79"/>
      <c r="D1115"/>
      <c r="E1115" s="188"/>
      <c r="H1115"/>
      <c r="I1115" s="202"/>
      <c r="J1115"/>
      <c r="K1115" s="205"/>
      <c r="L1115" s="205"/>
      <c r="M1115" s="205"/>
    </row>
    <row r="1116" spans="2:13" ht="15.75">
      <c r="B1116" s="79"/>
      <c r="D1116"/>
      <c r="E1116" s="188"/>
      <c r="H1116"/>
      <c r="I1116" s="202"/>
      <c r="J1116"/>
      <c r="K1116" s="205"/>
      <c r="L1116" s="205"/>
      <c r="M1116" s="205"/>
    </row>
    <row r="1117" spans="2:13" ht="15.75">
      <c r="B1117" s="79"/>
      <c r="D1117"/>
      <c r="E1117" s="188"/>
      <c r="H1117"/>
      <c r="I1117" s="202"/>
      <c r="J1117"/>
      <c r="K1117" s="205"/>
      <c r="L1117" s="205"/>
      <c r="M1117" s="205"/>
    </row>
    <row r="1118" spans="2:13" ht="15.75">
      <c r="B1118" s="79"/>
      <c r="D1118"/>
      <c r="E1118" s="188"/>
      <c r="H1118"/>
      <c r="I1118" s="202"/>
      <c r="J1118"/>
      <c r="K1118" s="205"/>
      <c r="L1118" s="205"/>
      <c r="M1118" s="205"/>
    </row>
    <row r="1119" spans="2:13" ht="15.75">
      <c r="B1119" s="79"/>
      <c r="D1119"/>
      <c r="E1119" s="188"/>
      <c r="H1119"/>
      <c r="I1119" s="202"/>
      <c r="J1119"/>
      <c r="K1119" s="205"/>
      <c r="L1119" s="205"/>
      <c r="M1119" s="205"/>
    </row>
    <row r="1120" spans="2:13" ht="15.75">
      <c r="B1120" s="79"/>
      <c r="D1120"/>
      <c r="E1120" s="188"/>
      <c r="H1120"/>
      <c r="I1120" s="202"/>
      <c r="J1120"/>
      <c r="K1120" s="205"/>
      <c r="L1120" s="205"/>
      <c r="M1120" s="205"/>
    </row>
    <row r="1121" spans="2:13" ht="15.75">
      <c r="B1121" s="79"/>
      <c r="D1121"/>
      <c r="E1121" s="188"/>
      <c r="H1121"/>
      <c r="I1121" s="202"/>
      <c r="J1121"/>
      <c r="K1121" s="205"/>
      <c r="L1121" s="205"/>
      <c r="M1121" s="205"/>
    </row>
    <row r="1122" spans="2:13" ht="15.75">
      <c r="B1122" s="79"/>
      <c r="D1122"/>
      <c r="E1122" s="188"/>
      <c r="H1122"/>
      <c r="I1122" s="202"/>
      <c r="J1122"/>
      <c r="K1122" s="205"/>
      <c r="L1122" s="205"/>
      <c r="M1122" s="205"/>
    </row>
    <row r="1123" spans="2:13" ht="15.75">
      <c r="B1123" s="79"/>
      <c r="D1123"/>
      <c r="E1123" s="188"/>
      <c r="H1123"/>
      <c r="I1123" s="202"/>
      <c r="J1123"/>
      <c r="K1123" s="205"/>
      <c r="L1123" s="205"/>
      <c r="M1123" s="205"/>
    </row>
    <row r="1124" spans="2:13" ht="15.75">
      <c r="B1124" s="79"/>
      <c r="D1124"/>
      <c r="E1124" s="188"/>
      <c r="H1124"/>
      <c r="I1124" s="202"/>
      <c r="J1124"/>
      <c r="K1124" s="205"/>
      <c r="L1124" s="205"/>
      <c r="M1124" s="205"/>
    </row>
    <row r="1125" spans="2:13" ht="15.75">
      <c r="B1125" s="79"/>
      <c r="D1125"/>
      <c r="E1125" s="188"/>
      <c r="H1125"/>
      <c r="I1125" s="202"/>
      <c r="J1125"/>
      <c r="K1125" s="205"/>
      <c r="L1125" s="205"/>
      <c r="M1125" s="205"/>
    </row>
    <row r="1126" spans="2:13" ht="15.75">
      <c r="B1126" s="79"/>
      <c r="D1126"/>
      <c r="E1126" s="188"/>
      <c r="H1126"/>
      <c r="I1126" s="202"/>
      <c r="J1126"/>
      <c r="K1126" s="205"/>
      <c r="L1126" s="205"/>
      <c r="M1126" s="205"/>
    </row>
    <row r="1127" spans="2:13" ht="15.75">
      <c r="B1127" s="79"/>
      <c r="D1127"/>
      <c r="E1127" s="188"/>
      <c r="H1127"/>
      <c r="I1127" s="202"/>
      <c r="J1127"/>
      <c r="K1127" s="205"/>
      <c r="L1127" s="205"/>
      <c r="M1127" s="205"/>
    </row>
    <row r="1128" spans="2:13" ht="15.75">
      <c r="B1128" s="79"/>
      <c r="D1128"/>
      <c r="E1128" s="188"/>
      <c r="H1128"/>
      <c r="I1128" s="202"/>
      <c r="J1128"/>
      <c r="K1128" s="205"/>
      <c r="L1128" s="205"/>
      <c r="M1128" s="205"/>
    </row>
    <row r="1129" spans="2:13" ht="15.75">
      <c r="B1129" s="79"/>
      <c r="D1129"/>
      <c r="E1129" s="188"/>
      <c r="H1129"/>
      <c r="I1129" s="202"/>
      <c r="J1129"/>
      <c r="K1129" s="205"/>
      <c r="L1129" s="205"/>
      <c r="M1129" s="205"/>
    </row>
    <row r="1130" spans="2:13" ht="15.75">
      <c r="B1130" s="79"/>
      <c r="D1130"/>
      <c r="E1130" s="188"/>
      <c r="H1130"/>
      <c r="I1130" s="202"/>
      <c r="J1130"/>
      <c r="K1130" s="205"/>
      <c r="L1130" s="205"/>
      <c r="M1130" s="205"/>
    </row>
    <row r="1131" spans="2:13" ht="15.75">
      <c r="B1131" s="79"/>
      <c r="D1131"/>
      <c r="E1131" s="188"/>
      <c r="H1131"/>
      <c r="I1131" s="202"/>
      <c r="J1131"/>
      <c r="K1131" s="205"/>
      <c r="L1131" s="205"/>
      <c r="M1131" s="205"/>
    </row>
    <row r="1132" spans="2:13" ht="15.75">
      <c r="B1132" s="79"/>
      <c r="D1132"/>
      <c r="E1132" s="188"/>
      <c r="H1132"/>
      <c r="I1132" s="202"/>
      <c r="J1132"/>
      <c r="K1132" s="205"/>
      <c r="L1132" s="205"/>
      <c r="M1132" s="205"/>
    </row>
    <row r="1133" spans="2:13" ht="15.75">
      <c r="B1133" s="79"/>
      <c r="D1133"/>
      <c r="E1133" s="188"/>
      <c r="H1133"/>
      <c r="I1133" s="202"/>
      <c r="J1133"/>
      <c r="K1133" s="205"/>
      <c r="L1133" s="205"/>
      <c r="M1133" s="205"/>
    </row>
    <row r="1134" spans="2:13" ht="15.75">
      <c r="B1134" s="79"/>
      <c r="D1134"/>
      <c r="E1134" s="188"/>
      <c r="H1134"/>
      <c r="I1134" s="202"/>
      <c r="J1134"/>
      <c r="K1134" s="205"/>
      <c r="L1134" s="205"/>
      <c r="M1134" s="205"/>
    </row>
    <row r="1135" spans="2:13" ht="15.75">
      <c r="B1135" s="79"/>
      <c r="D1135"/>
      <c r="E1135" s="188"/>
      <c r="H1135"/>
      <c r="I1135" s="202"/>
      <c r="J1135"/>
      <c r="K1135" s="205"/>
      <c r="L1135" s="205"/>
      <c r="M1135" s="205"/>
    </row>
    <row r="1136" spans="2:13" ht="15.75">
      <c r="B1136" s="79"/>
      <c r="D1136"/>
      <c r="E1136" s="188"/>
      <c r="H1136"/>
      <c r="I1136" s="202"/>
      <c r="J1136"/>
      <c r="K1136" s="205"/>
      <c r="L1136" s="205"/>
      <c r="M1136" s="205"/>
    </row>
    <row r="1137" spans="2:13" ht="15.75">
      <c r="B1137" s="79"/>
      <c r="D1137"/>
      <c r="E1137" s="188"/>
      <c r="H1137"/>
      <c r="I1137" s="202"/>
      <c r="J1137"/>
      <c r="K1137" s="205"/>
      <c r="L1137" s="205"/>
      <c r="M1137" s="205"/>
    </row>
    <row r="1138" spans="2:13" ht="15.75">
      <c r="B1138" s="79"/>
      <c r="D1138"/>
      <c r="E1138" s="188"/>
      <c r="H1138"/>
      <c r="I1138" s="202"/>
      <c r="J1138"/>
      <c r="K1138" s="205"/>
      <c r="L1138" s="205"/>
      <c r="M1138" s="205"/>
    </row>
    <row r="1139" spans="2:13" ht="15.75">
      <c r="B1139" s="79"/>
      <c r="D1139"/>
      <c r="E1139" s="188"/>
      <c r="H1139"/>
      <c r="I1139" s="202"/>
      <c r="J1139"/>
      <c r="K1139" s="205"/>
      <c r="L1139" s="205"/>
      <c r="M1139" s="205"/>
    </row>
    <row r="1140" spans="2:13" ht="15.75">
      <c r="B1140" s="79"/>
      <c r="D1140"/>
      <c r="E1140" s="188"/>
      <c r="H1140"/>
      <c r="I1140" s="202"/>
      <c r="J1140"/>
      <c r="K1140" s="205"/>
      <c r="L1140" s="205"/>
      <c r="M1140" s="205"/>
    </row>
    <row r="1141" spans="2:13" ht="15.75">
      <c r="B1141" s="79"/>
      <c r="D1141"/>
      <c r="E1141" s="188"/>
      <c r="H1141"/>
      <c r="I1141" s="202"/>
      <c r="J1141"/>
      <c r="K1141" s="205"/>
      <c r="L1141" s="205"/>
      <c r="M1141" s="205"/>
    </row>
    <row r="1142" spans="2:13" ht="15.75">
      <c r="B1142" s="79"/>
      <c r="D1142"/>
      <c r="E1142" s="188"/>
      <c r="H1142"/>
      <c r="I1142" s="202"/>
      <c r="J1142"/>
      <c r="K1142" s="205"/>
      <c r="L1142" s="205"/>
      <c r="M1142" s="205"/>
    </row>
    <row r="1143" spans="2:13" ht="15.75">
      <c r="B1143" s="79"/>
      <c r="D1143"/>
      <c r="E1143" s="188"/>
      <c r="H1143"/>
      <c r="I1143" s="202"/>
      <c r="J1143"/>
      <c r="K1143" s="205"/>
      <c r="L1143" s="205"/>
      <c r="M1143" s="205"/>
    </row>
    <row r="1144" spans="2:13" ht="15.75">
      <c r="B1144" s="79"/>
      <c r="D1144"/>
      <c r="E1144" s="188"/>
      <c r="H1144"/>
      <c r="I1144" s="202"/>
      <c r="J1144"/>
      <c r="K1144" s="205"/>
      <c r="L1144" s="205"/>
      <c r="M1144" s="205"/>
    </row>
    <row r="1145" spans="2:13" ht="15.75">
      <c r="B1145" s="79"/>
      <c r="D1145"/>
      <c r="E1145" s="188"/>
      <c r="H1145"/>
      <c r="I1145" s="202"/>
      <c r="J1145"/>
      <c r="K1145" s="205"/>
      <c r="L1145" s="205"/>
      <c r="M1145" s="205"/>
    </row>
    <row r="1146" spans="2:13" ht="15.75">
      <c r="B1146" s="79"/>
      <c r="D1146"/>
      <c r="E1146" s="188"/>
      <c r="H1146"/>
      <c r="I1146" s="202"/>
      <c r="J1146"/>
      <c r="K1146" s="205"/>
      <c r="L1146" s="205"/>
      <c r="M1146" s="205"/>
    </row>
    <row r="1147" spans="2:13" ht="15.75">
      <c r="B1147" s="79"/>
      <c r="D1147"/>
      <c r="E1147" s="188"/>
      <c r="H1147"/>
      <c r="I1147" s="202"/>
      <c r="J1147"/>
      <c r="K1147" s="205"/>
      <c r="L1147" s="205"/>
      <c r="M1147" s="205"/>
    </row>
    <row r="1148" spans="2:13" ht="15.75">
      <c r="B1148" s="79"/>
      <c r="D1148"/>
      <c r="E1148" s="188"/>
      <c r="H1148"/>
      <c r="I1148" s="202"/>
      <c r="J1148"/>
      <c r="K1148" s="205"/>
      <c r="L1148" s="205"/>
      <c r="M1148" s="205"/>
    </row>
    <row r="1149" spans="2:13" ht="15.75">
      <c r="B1149" s="79"/>
      <c r="D1149"/>
      <c r="E1149" s="188"/>
      <c r="H1149"/>
      <c r="I1149" s="202"/>
      <c r="J1149"/>
      <c r="K1149" s="205"/>
      <c r="L1149" s="205"/>
      <c r="M1149" s="205"/>
    </row>
    <row r="1150" spans="2:13" ht="15.75">
      <c r="B1150" s="79"/>
      <c r="D1150"/>
      <c r="E1150" s="188"/>
      <c r="H1150"/>
      <c r="I1150" s="202"/>
      <c r="J1150"/>
      <c r="K1150" s="205"/>
      <c r="L1150" s="205"/>
      <c r="M1150" s="205"/>
    </row>
    <row r="1151" spans="2:13" ht="15.75">
      <c r="B1151" s="79"/>
      <c r="D1151"/>
      <c r="E1151" s="188"/>
      <c r="H1151"/>
      <c r="I1151" s="202"/>
      <c r="J1151"/>
      <c r="K1151" s="205"/>
      <c r="L1151" s="205"/>
      <c r="M1151" s="205"/>
    </row>
    <row r="1152" spans="2:13" ht="15.75">
      <c r="B1152" s="79"/>
      <c r="D1152"/>
      <c r="E1152" s="188"/>
      <c r="H1152"/>
      <c r="I1152" s="202"/>
      <c r="J1152"/>
      <c r="K1152" s="205"/>
      <c r="L1152" s="205"/>
      <c r="M1152" s="205"/>
    </row>
    <row r="1153" spans="2:13" ht="15.75">
      <c r="B1153" s="79"/>
      <c r="D1153"/>
      <c r="E1153" s="188"/>
      <c r="H1153"/>
      <c r="I1153" s="202"/>
      <c r="J1153"/>
      <c r="K1153" s="205"/>
      <c r="L1153" s="205"/>
      <c r="M1153" s="205"/>
    </row>
    <row r="1154" spans="2:13" ht="15.75">
      <c r="B1154" s="79"/>
      <c r="D1154"/>
      <c r="E1154" s="188"/>
      <c r="H1154"/>
      <c r="I1154" s="202"/>
      <c r="J1154"/>
      <c r="K1154" s="205"/>
      <c r="L1154" s="205"/>
      <c r="M1154" s="205"/>
    </row>
    <row r="1155" spans="2:13" ht="15.75">
      <c r="B1155" s="79"/>
      <c r="D1155"/>
      <c r="E1155" s="188"/>
      <c r="H1155"/>
      <c r="I1155" s="202"/>
      <c r="J1155"/>
      <c r="K1155" s="205"/>
      <c r="L1155" s="205"/>
      <c r="M1155" s="205"/>
    </row>
    <row r="1156" spans="2:13" ht="15.75">
      <c r="B1156" s="79"/>
      <c r="D1156"/>
      <c r="E1156" s="188"/>
      <c r="H1156"/>
      <c r="I1156" s="202"/>
      <c r="J1156"/>
      <c r="K1156" s="205"/>
      <c r="L1156" s="205"/>
      <c r="M1156" s="205"/>
    </row>
    <row r="1157" spans="2:13" ht="15.75">
      <c r="B1157" s="79"/>
      <c r="D1157"/>
      <c r="E1157" s="188"/>
      <c r="H1157"/>
      <c r="I1157" s="202"/>
      <c r="J1157"/>
      <c r="K1157" s="205"/>
      <c r="L1157" s="205"/>
      <c r="M1157" s="205"/>
    </row>
    <row r="1158" spans="2:13" ht="15.75">
      <c r="B1158" s="79"/>
      <c r="D1158"/>
      <c r="E1158" s="188"/>
      <c r="H1158"/>
      <c r="I1158" s="202"/>
      <c r="J1158"/>
      <c r="K1158" s="205"/>
      <c r="L1158" s="205"/>
      <c r="M1158" s="205"/>
    </row>
    <row r="1159" spans="2:13" ht="15.75">
      <c r="B1159" s="79"/>
      <c r="D1159"/>
      <c r="E1159" s="188"/>
      <c r="H1159"/>
      <c r="I1159" s="202"/>
      <c r="J1159"/>
      <c r="K1159" s="205"/>
      <c r="L1159" s="205"/>
      <c r="M1159" s="205"/>
    </row>
    <row r="1160" spans="2:13" ht="15.75">
      <c r="B1160" s="79"/>
      <c r="D1160"/>
      <c r="E1160" s="188"/>
      <c r="H1160"/>
      <c r="I1160" s="202"/>
      <c r="J1160"/>
      <c r="K1160" s="205"/>
      <c r="L1160" s="205"/>
      <c r="M1160" s="205"/>
    </row>
    <row r="1161" spans="2:13" ht="15.75">
      <c r="B1161" s="79"/>
      <c r="D1161"/>
      <c r="E1161" s="188"/>
      <c r="H1161"/>
      <c r="I1161" s="202"/>
      <c r="J1161"/>
      <c r="K1161" s="205"/>
      <c r="L1161" s="205"/>
      <c r="M1161" s="205"/>
    </row>
    <row r="1162" spans="2:13" ht="15.75">
      <c r="B1162" s="79"/>
      <c r="D1162"/>
      <c r="E1162" s="188"/>
      <c r="H1162"/>
      <c r="I1162" s="202"/>
      <c r="J1162"/>
      <c r="K1162" s="205"/>
      <c r="L1162" s="205"/>
      <c r="M1162" s="205"/>
    </row>
    <row r="1163" spans="2:13" ht="15.75">
      <c r="B1163" s="79"/>
      <c r="D1163"/>
      <c r="E1163" s="188"/>
      <c r="H1163"/>
      <c r="I1163" s="202"/>
      <c r="J1163"/>
      <c r="K1163" s="205"/>
      <c r="L1163" s="205"/>
      <c r="M1163" s="205"/>
    </row>
    <row r="1164" spans="2:13" ht="15.75">
      <c r="B1164" s="79"/>
      <c r="D1164"/>
      <c r="E1164" s="188"/>
      <c r="H1164"/>
      <c r="I1164" s="202"/>
      <c r="J1164"/>
      <c r="K1164" s="205"/>
      <c r="L1164" s="205"/>
      <c r="M1164" s="205"/>
    </row>
    <row r="1165" spans="2:13" ht="15.75">
      <c r="B1165" s="79"/>
      <c r="D1165"/>
      <c r="E1165" s="188"/>
      <c r="H1165"/>
      <c r="I1165" s="202"/>
      <c r="J1165"/>
      <c r="K1165" s="205"/>
      <c r="L1165" s="205"/>
      <c r="M1165" s="205"/>
    </row>
    <row r="1166" spans="2:13" ht="15.75">
      <c r="B1166" s="79"/>
      <c r="D1166"/>
      <c r="E1166" s="188"/>
      <c r="H1166"/>
      <c r="I1166" s="202"/>
      <c r="J1166"/>
      <c r="K1166" s="205"/>
      <c r="L1166" s="205"/>
      <c r="M1166" s="205"/>
    </row>
    <row r="1167" spans="2:13" ht="15.75">
      <c r="B1167" s="79"/>
      <c r="D1167"/>
      <c r="E1167" s="188"/>
      <c r="H1167"/>
      <c r="I1167" s="202"/>
      <c r="J1167"/>
      <c r="K1167" s="205"/>
      <c r="L1167" s="205"/>
      <c r="M1167" s="205"/>
    </row>
    <row r="1168" spans="2:13" ht="15.75">
      <c r="B1168" s="79"/>
      <c r="D1168"/>
      <c r="E1168" s="188"/>
      <c r="H1168"/>
      <c r="I1168" s="202"/>
      <c r="J1168"/>
      <c r="K1168" s="205"/>
      <c r="L1168" s="205"/>
      <c r="M1168" s="205"/>
    </row>
    <row r="1169" spans="2:13" ht="15.75">
      <c r="B1169" s="79"/>
      <c r="D1169"/>
      <c r="E1169" s="188"/>
      <c r="H1169"/>
      <c r="I1169" s="202"/>
      <c r="J1169"/>
      <c r="K1169" s="205"/>
      <c r="L1169" s="205"/>
      <c r="M1169" s="205"/>
    </row>
    <row r="1170" spans="2:13" ht="15.75">
      <c r="B1170" s="79"/>
      <c r="D1170"/>
      <c r="E1170" s="188"/>
      <c r="H1170"/>
      <c r="I1170" s="202"/>
      <c r="J1170"/>
      <c r="K1170" s="205"/>
      <c r="L1170" s="205"/>
      <c r="M1170" s="205"/>
    </row>
    <row r="1171" spans="2:13" ht="15.75">
      <c r="B1171" s="79"/>
      <c r="D1171"/>
      <c r="E1171" s="188"/>
      <c r="H1171"/>
      <c r="I1171" s="202"/>
      <c r="J1171"/>
      <c r="K1171" s="205"/>
      <c r="L1171" s="205"/>
      <c r="M1171" s="205"/>
    </row>
    <row r="1172" spans="2:13" ht="15.75">
      <c r="B1172" s="79"/>
      <c r="D1172"/>
      <c r="E1172" s="188"/>
      <c r="H1172"/>
      <c r="I1172" s="202"/>
      <c r="J1172"/>
      <c r="K1172" s="205"/>
      <c r="L1172" s="205"/>
      <c r="M1172" s="205"/>
    </row>
    <row r="1173" spans="2:13" ht="15.75">
      <c r="B1173" s="79"/>
      <c r="D1173"/>
      <c r="E1173" s="188"/>
      <c r="H1173"/>
      <c r="I1173" s="202"/>
      <c r="J1173"/>
      <c r="K1173" s="205"/>
      <c r="L1173" s="205"/>
      <c r="M1173" s="205"/>
    </row>
    <row r="1174" spans="2:13" ht="15.75">
      <c r="B1174" s="79"/>
      <c r="D1174"/>
      <c r="E1174" s="188"/>
      <c r="H1174"/>
      <c r="I1174" s="202"/>
      <c r="J1174"/>
      <c r="K1174" s="205"/>
      <c r="L1174" s="205"/>
      <c r="M1174" s="205"/>
    </row>
    <row r="1175" spans="2:13" ht="15.75">
      <c r="B1175" s="79"/>
      <c r="D1175"/>
      <c r="E1175" s="188"/>
      <c r="H1175"/>
      <c r="I1175" s="202"/>
      <c r="J1175"/>
      <c r="K1175" s="205"/>
      <c r="L1175" s="205"/>
      <c r="M1175" s="205"/>
    </row>
    <row r="1176" spans="2:13" ht="15.75">
      <c r="B1176" s="79"/>
      <c r="D1176"/>
      <c r="E1176" s="188"/>
      <c r="H1176"/>
      <c r="I1176" s="202"/>
      <c r="J1176"/>
      <c r="K1176" s="205"/>
      <c r="L1176" s="205"/>
      <c r="M1176" s="205"/>
    </row>
    <row r="1177" spans="2:13" ht="15.75">
      <c r="B1177" s="79"/>
      <c r="D1177"/>
      <c r="E1177" s="188"/>
      <c r="H1177"/>
      <c r="I1177" s="202"/>
      <c r="J1177"/>
      <c r="K1177" s="205"/>
      <c r="L1177" s="205"/>
      <c r="M1177" s="205"/>
    </row>
    <row r="1178" spans="2:13" ht="15.75">
      <c r="B1178" s="79"/>
      <c r="D1178"/>
      <c r="E1178" s="188"/>
      <c r="H1178"/>
      <c r="I1178" s="202"/>
      <c r="J1178"/>
      <c r="K1178" s="205"/>
      <c r="L1178" s="205"/>
      <c r="M1178" s="205"/>
    </row>
    <row r="1179" spans="2:13" ht="15.75">
      <c r="B1179" s="79"/>
      <c r="D1179"/>
      <c r="E1179" s="188"/>
      <c r="H1179"/>
      <c r="I1179" s="202"/>
      <c r="J1179"/>
      <c r="K1179" s="205"/>
      <c r="L1179" s="205"/>
      <c r="M1179" s="205"/>
    </row>
    <row r="1180" spans="2:13" ht="15.75">
      <c r="B1180" s="79"/>
      <c r="D1180"/>
      <c r="E1180" s="188"/>
      <c r="H1180"/>
      <c r="I1180" s="202"/>
      <c r="J1180"/>
      <c r="K1180" s="205"/>
      <c r="L1180" s="205"/>
      <c r="M1180" s="205"/>
    </row>
    <row r="1181" spans="2:13" ht="15.75">
      <c r="B1181" s="79"/>
      <c r="D1181"/>
      <c r="E1181" s="188"/>
      <c r="H1181"/>
      <c r="I1181" s="202"/>
      <c r="J1181"/>
      <c r="K1181" s="205"/>
      <c r="L1181" s="205"/>
      <c r="M1181" s="205"/>
    </row>
    <row r="1182" spans="2:13" ht="15.75">
      <c r="B1182" s="79"/>
      <c r="D1182"/>
      <c r="E1182" s="188"/>
      <c r="H1182"/>
      <c r="I1182" s="202"/>
      <c r="J1182"/>
      <c r="K1182" s="205"/>
      <c r="L1182" s="205"/>
      <c r="M1182" s="205"/>
    </row>
    <row r="1183" spans="2:13" ht="15.75">
      <c r="B1183" s="79"/>
      <c r="D1183"/>
      <c r="E1183" s="188"/>
      <c r="H1183"/>
      <c r="I1183" s="202"/>
      <c r="J1183"/>
      <c r="K1183" s="205"/>
      <c r="L1183" s="205"/>
      <c r="M1183" s="205"/>
    </row>
    <row r="1184" spans="2:13" ht="15.75">
      <c r="B1184" s="79"/>
      <c r="D1184"/>
      <c r="E1184" s="188"/>
      <c r="H1184"/>
      <c r="I1184" s="202"/>
      <c r="J1184"/>
      <c r="K1184" s="205"/>
      <c r="L1184" s="205"/>
      <c r="M1184" s="205"/>
    </row>
    <row r="1185" spans="2:13" ht="15.75">
      <c r="B1185" s="79"/>
      <c r="D1185"/>
      <c r="E1185" s="188"/>
      <c r="H1185"/>
      <c r="I1185" s="202"/>
      <c r="J1185"/>
      <c r="K1185" s="205"/>
      <c r="L1185" s="205"/>
      <c r="M1185" s="205"/>
    </row>
    <row r="1186" spans="2:13" ht="15.75">
      <c r="B1186" s="79"/>
      <c r="D1186"/>
      <c r="E1186" s="188"/>
      <c r="H1186"/>
      <c r="I1186" s="202"/>
      <c r="J1186"/>
      <c r="K1186" s="205"/>
      <c r="L1186" s="205"/>
      <c r="M1186" s="205"/>
    </row>
    <row r="1187" spans="2:13" ht="15.75">
      <c r="B1187" s="79"/>
      <c r="D1187"/>
      <c r="E1187" s="188"/>
      <c r="H1187"/>
      <c r="I1187" s="202"/>
      <c r="J1187"/>
      <c r="K1187" s="205"/>
      <c r="L1187" s="205"/>
      <c r="M1187" s="205"/>
    </row>
    <row r="1188" spans="2:13" ht="15.75">
      <c r="B1188" s="79"/>
      <c r="D1188"/>
      <c r="E1188" s="188"/>
      <c r="H1188"/>
      <c r="I1188" s="202"/>
      <c r="J1188"/>
      <c r="K1188" s="205"/>
      <c r="L1188" s="205"/>
      <c r="M1188" s="205"/>
    </row>
    <row r="1189" spans="2:13" ht="15.75">
      <c r="B1189" s="79"/>
      <c r="D1189"/>
      <c r="E1189" s="188"/>
      <c r="H1189"/>
      <c r="I1189" s="202"/>
      <c r="J1189"/>
      <c r="K1189" s="205"/>
      <c r="L1189" s="205"/>
      <c r="M1189" s="205"/>
    </row>
    <row r="1190" spans="2:13" ht="15.75">
      <c r="B1190" s="79"/>
      <c r="D1190"/>
      <c r="E1190" s="188"/>
      <c r="H1190"/>
      <c r="I1190" s="202"/>
      <c r="J1190"/>
      <c r="K1190" s="205"/>
      <c r="L1190" s="205"/>
      <c r="M1190" s="205"/>
    </row>
    <row r="1191" spans="2:13" ht="15.75">
      <c r="B1191" s="79"/>
      <c r="D1191"/>
      <c r="E1191" s="188"/>
      <c r="H1191"/>
      <c r="I1191" s="202"/>
      <c r="J1191"/>
      <c r="K1191" s="205"/>
      <c r="L1191" s="205"/>
      <c r="M1191" s="205"/>
    </row>
    <row r="1192" spans="2:13" ht="15.75">
      <c r="B1192" s="79"/>
      <c r="D1192"/>
      <c r="E1192" s="188"/>
      <c r="H1192"/>
      <c r="I1192" s="202"/>
      <c r="J1192"/>
      <c r="K1192" s="205"/>
      <c r="L1192" s="205"/>
      <c r="M1192" s="205"/>
    </row>
    <row r="1193" spans="2:13" ht="15.75">
      <c r="B1193" s="79"/>
      <c r="D1193"/>
      <c r="E1193" s="188"/>
      <c r="H1193"/>
      <c r="I1193" s="202"/>
      <c r="J1193"/>
      <c r="K1193" s="205"/>
      <c r="L1193" s="205"/>
      <c r="M1193" s="205"/>
    </row>
    <row r="1194" spans="2:13" ht="15.75">
      <c r="B1194" s="79"/>
      <c r="D1194"/>
      <c r="E1194" s="188"/>
      <c r="H1194"/>
      <c r="I1194" s="202"/>
      <c r="J1194"/>
      <c r="K1194" s="205"/>
      <c r="L1194" s="205"/>
      <c r="M1194" s="205"/>
    </row>
    <row r="1195" spans="2:13" ht="15.75">
      <c r="B1195" s="79"/>
      <c r="D1195"/>
      <c r="E1195" s="188"/>
      <c r="H1195"/>
      <c r="I1195" s="202"/>
      <c r="J1195"/>
      <c r="K1195" s="205"/>
      <c r="L1195" s="205"/>
      <c r="M1195" s="205"/>
    </row>
    <row r="1196" spans="2:13" ht="15.75">
      <c r="B1196" s="79"/>
      <c r="D1196"/>
      <c r="E1196" s="188"/>
      <c r="H1196"/>
      <c r="I1196" s="202"/>
      <c r="J1196"/>
      <c r="K1196" s="205"/>
      <c r="L1196" s="205"/>
      <c r="M1196" s="205"/>
    </row>
    <row r="1197" spans="2:13" ht="15.75">
      <c r="B1197" s="79"/>
      <c r="D1197"/>
      <c r="E1197" s="188"/>
      <c r="H1197"/>
      <c r="I1197" s="202"/>
      <c r="J1197"/>
      <c r="K1197" s="205"/>
      <c r="L1197" s="205"/>
      <c r="M1197" s="205"/>
    </row>
    <row r="1198" spans="2:13" ht="15.75">
      <c r="B1198" s="79"/>
      <c r="D1198"/>
      <c r="E1198" s="188"/>
      <c r="H1198"/>
      <c r="I1198" s="202"/>
      <c r="J1198"/>
      <c r="K1198" s="205"/>
      <c r="L1198" s="205"/>
      <c r="M1198" s="205"/>
    </row>
    <row r="1199" spans="2:13" ht="15.75">
      <c r="B1199" s="79"/>
      <c r="D1199"/>
      <c r="E1199" s="188"/>
      <c r="H1199"/>
      <c r="I1199" s="202"/>
      <c r="J1199"/>
      <c r="K1199" s="205"/>
      <c r="L1199" s="205"/>
      <c r="M1199" s="205"/>
    </row>
    <row r="1200" spans="2:13" ht="15.75">
      <c r="B1200" s="79"/>
      <c r="D1200"/>
      <c r="E1200" s="188"/>
      <c r="H1200"/>
      <c r="I1200" s="202"/>
      <c r="J1200"/>
      <c r="K1200" s="205"/>
      <c r="L1200" s="205"/>
      <c r="M1200" s="205"/>
    </row>
    <row r="1201" spans="2:13" ht="15.75">
      <c r="B1201" s="79"/>
      <c r="D1201"/>
      <c r="E1201" s="188"/>
      <c r="H1201"/>
      <c r="I1201" s="202"/>
      <c r="J1201"/>
      <c r="K1201" s="205"/>
      <c r="L1201" s="205"/>
      <c r="M1201" s="205"/>
    </row>
    <row r="1202" spans="2:13" ht="15.75">
      <c r="B1202" s="79"/>
      <c r="D1202"/>
      <c r="E1202" s="188"/>
      <c r="H1202"/>
      <c r="I1202" s="202"/>
      <c r="J1202"/>
      <c r="K1202" s="205"/>
      <c r="L1202" s="205"/>
      <c r="M1202" s="205"/>
    </row>
    <row r="1203" spans="2:13" ht="15.75">
      <c r="B1203" s="79"/>
      <c r="D1203"/>
      <c r="E1203" s="188"/>
      <c r="H1203"/>
      <c r="I1203" s="202"/>
      <c r="J1203"/>
      <c r="K1203" s="205"/>
      <c r="L1203" s="205"/>
      <c r="M1203" s="205"/>
    </row>
    <row r="1204" spans="2:13" ht="15.75">
      <c r="B1204" s="79"/>
      <c r="D1204"/>
      <c r="E1204" s="188"/>
      <c r="H1204"/>
      <c r="I1204" s="202"/>
      <c r="J1204"/>
      <c r="K1204" s="205"/>
      <c r="L1204" s="205"/>
      <c r="M1204" s="205"/>
    </row>
    <row r="1205" spans="2:13" ht="15.75">
      <c r="B1205" s="79"/>
      <c r="D1205"/>
      <c r="E1205" s="188"/>
      <c r="H1205"/>
      <c r="I1205" s="202"/>
      <c r="J1205"/>
      <c r="K1205" s="205"/>
      <c r="L1205" s="205"/>
      <c r="M1205" s="205"/>
    </row>
    <row r="1206" spans="2:13" ht="15.75">
      <c r="B1206" s="79"/>
      <c r="D1206"/>
      <c r="E1206" s="188"/>
      <c r="H1206"/>
      <c r="I1206" s="202"/>
      <c r="J1206"/>
      <c r="K1206" s="205"/>
      <c r="L1206" s="205"/>
      <c r="M1206" s="205"/>
    </row>
    <row r="1207" spans="2:13" ht="15.75">
      <c r="B1207" s="79"/>
      <c r="D1207"/>
      <c r="E1207" s="188"/>
      <c r="H1207"/>
      <c r="I1207" s="202"/>
      <c r="J1207"/>
      <c r="K1207" s="205"/>
      <c r="L1207" s="205"/>
      <c r="M1207" s="205"/>
    </row>
    <row r="1208" spans="2:13" ht="15.75">
      <c r="B1208" s="79"/>
      <c r="D1208"/>
      <c r="E1208" s="188"/>
      <c r="H1208"/>
      <c r="I1208" s="202"/>
      <c r="J1208"/>
      <c r="K1208" s="205"/>
      <c r="L1208" s="205"/>
      <c r="M1208" s="205"/>
    </row>
    <row r="1209" spans="2:13" ht="15.75">
      <c r="B1209" s="79"/>
      <c r="D1209"/>
      <c r="E1209" s="188"/>
      <c r="H1209"/>
      <c r="I1209" s="202"/>
      <c r="J1209"/>
      <c r="K1209" s="205"/>
      <c r="L1209" s="205"/>
      <c r="M1209" s="205"/>
    </row>
    <row r="1210" spans="2:13" ht="15.75">
      <c r="B1210" s="79"/>
      <c r="D1210"/>
      <c r="E1210" s="188"/>
      <c r="H1210"/>
      <c r="I1210" s="202"/>
      <c r="J1210"/>
      <c r="K1210" s="205"/>
      <c r="L1210" s="205"/>
      <c r="M1210" s="205"/>
    </row>
    <row r="1211" spans="2:13" ht="15.75">
      <c r="B1211" s="79"/>
      <c r="D1211"/>
      <c r="E1211" s="188"/>
      <c r="H1211"/>
      <c r="I1211" s="202"/>
      <c r="J1211"/>
      <c r="K1211" s="205"/>
      <c r="L1211" s="205"/>
      <c r="M1211" s="205"/>
    </row>
    <row r="1212" spans="2:13" ht="15.75">
      <c r="B1212" s="79"/>
      <c r="D1212"/>
      <c r="E1212" s="188"/>
      <c r="H1212"/>
      <c r="I1212" s="202"/>
      <c r="J1212"/>
      <c r="K1212" s="205"/>
      <c r="L1212" s="205"/>
      <c r="M1212" s="205"/>
    </row>
    <row r="1213" spans="2:13" ht="15.75">
      <c r="B1213" s="79"/>
      <c r="D1213"/>
      <c r="E1213" s="188"/>
      <c r="H1213"/>
      <c r="I1213" s="202"/>
      <c r="J1213"/>
      <c r="K1213" s="205"/>
      <c r="L1213" s="205"/>
      <c r="M1213" s="205"/>
    </row>
    <row r="1214" spans="2:13" ht="15.75">
      <c r="B1214" s="79"/>
      <c r="D1214"/>
      <c r="E1214" s="188"/>
      <c r="H1214"/>
      <c r="I1214" s="202"/>
      <c r="J1214"/>
      <c r="K1214" s="205"/>
      <c r="L1214" s="205"/>
      <c r="M1214" s="205"/>
    </row>
    <row r="1215" spans="2:13" ht="15.75">
      <c r="B1215" s="79"/>
      <c r="D1215"/>
      <c r="E1215" s="188"/>
      <c r="H1215"/>
      <c r="I1215" s="202"/>
      <c r="J1215"/>
      <c r="K1215" s="205"/>
      <c r="L1215" s="205"/>
      <c r="M1215" s="205"/>
    </row>
    <row r="1216" spans="2:13" ht="15.75">
      <c r="B1216" s="79"/>
      <c r="D1216"/>
      <c r="E1216" s="188"/>
      <c r="H1216"/>
      <c r="I1216" s="202"/>
      <c r="J1216"/>
      <c r="K1216" s="205"/>
      <c r="L1216" s="205"/>
      <c r="M1216" s="205"/>
    </row>
    <row r="1217" spans="2:13" ht="15.75">
      <c r="B1217" s="79"/>
      <c r="D1217"/>
      <c r="E1217" s="188"/>
      <c r="H1217"/>
      <c r="I1217" s="202"/>
      <c r="J1217"/>
      <c r="K1217" s="205"/>
      <c r="L1217" s="205"/>
      <c r="M1217" s="205"/>
    </row>
    <row r="1218" spans="2:13" ht="15.75">
      <c r="B1218" s="79"/>
      <c r="D1218"/>
      <c r="E1218" s="188"/>
      <c r="H1218"/>
      <c r="I1218" s="202"/>
      <c r="J1218"/>
      <c r="K1218" s="205"/>
      <c r="L1218" s="205"/>
      <c r="M1218" s="205"/>
    </row>
    <row r="1219" spans="2:13" ht="15.75">
      <c r="B1219" s="79"/>
      <c r="D1219"/>
      <c r="E1219" s="188"/>
      <c r="H1219"/>
      <c r="I1219" s="202"/>
      <c r="J1219"/>
      <c r="K1219" s="205"/>
      <c r="L1219" s="205"/>
      <c r="M1219" s="205"/>
    </row>
    <row r="1220" spans="2:13" ht="15.75">
      <c r="B1220" s="79"/>
      <c r="D1220"/>
      <c r="E1220" s="188"/>
      <c r="H1220"/>
      <c r="I1220" s="202"/>
      <c r="J1220"/>
      <c r="K1220" s="205"/>
      <c r="L1220" s="205"/>
      <c r="M1220" s="205"/>
    </row>
    <row r="1221" spans="2:13" ht="15.75">
      <c r="B1221" s="79"/>
      <c r="D1221"/>
      <c r="E1221" s="188"/>
      <c r="H1221"/>
      <c r="I1221" s="202"/>
      <c r="J1221"/>
      <c r="K1221" s="205"/>
      <c r="L1221" s="205"/>
      <c r="M1221" s="205"/>
    </row>
    <row r="1222" spans="2:13" ht="15.75">
      <c r="B1222" s="79"/>
      <c r="D1222"/>
      <c r="E1222" s="188"/>
      <c r="H1222"/>
      <c r="I1222" s="202"/>
      <c r="J1222"/>
      <c r="K1222" s="205"/>
      <c r="L1222" s="205"/>
      <c r="M1222" s="205"/>
    </row>
    <row r="1223" spans="2:13" ht="15.75">
      <c r="B1223" s="79"/>
      <c r="D1223"/>
      <c r="E1223" s="188"/>
      <c r="H1223"/>
      <c r="I1223" s="202"/>
      <c r="J1223"/>
      <c r="K1223" s="205"/>
      <c r="L1223" s="205"/>
      <c r="M1223" s="205"/>
    </row>
    <row r="1224" spans="2:13" ht="15.75">
      <c r="B1224" s="79"/>
      <c r="D1224"/>
      <c r="E1224" s="188"/>
      <c r="H1224"/>
      <c r="I1224" s="202"/>
      <c r="J1224"/>
      <c r="K1224" s="205"/>
      <c r="L1224" s="205"/>
      <c r="M1224" s="205"/>
    </row>
    <row r="1225" spans="2:13" ht="15.75">
      <c r="B1225" s="79"/>
      <c r="D1225"/>
      <c r="E1225" s="188"/>
      <c r="H1225"/>
      <c r="I1225" s="202"/>
      <c r="J1225"/>
      <c r="K1225" s="205"/>
      <c r="L1225" s="205"/>
      <c r="M1225" s="205"/>
    </row>
    <row r="1226" spans="2:13" ht="15.75">
      <c r="B1226" s="79"/>
      <c r="D1226"/>
      <c r="E1226" s="188"/>
      <c r="H1226"/>
      <c r="I1226" s="202"/>
      <c r="J1226"/>
      <c r="K1226" s="205"/>
      <c r="L1226" s="205"/>
      <c r="M1226" s="205"/>
    </row>
    <row r="1227" spans="2:13" ht="15.75">
      <c r="B1227" s="79"/>
      <c r="D1227"/>
      <c r="E1227" s="188"/>
      <c r="H1227"/>
      <c r="I1227" s="202"/>
      <c r="J1227"/>
      <c r="K1227" s="205"/>
      <c r="L1227" s="205"/>
      <c r="M1227" s="205"/>
    </row>
    <row r="1228" spans="2:13" ht="15.75">
      <c r="B1228" s="79"/>
      <c r="D1228"/>
      <c r="E1228" s="188"/>
      <c r="H1228"/>
      <c r="I1228" s="202"/>
      <c r="J1228"/>
      <c r="K1228" s="205"/>
      <c r="L1228" s="205"/>
      <c r="M1228" s="205"/>
    </row>
    <row r="1229" spans="2:13" ht="15.75">
      <c r="B1229" s="79"/>
      <c r="D1229"/>
      <c r="E1229" s="188"/>
      <c r="H1229"/>
      <c r="I1229" s="202"/>
      <c r="J1229"/>
      <c r="K1229" s="205"/>
      <c r="L1229" s="205"/>
      <c r="M1229" s="205"/>
    </row>
    <row r="1230" spans="2:13" ht="15.75">
      <c r="B1230" s="79"/>
      <c r="D1230"/>
      <c r="E1230" s="188"/>
      <c r="H1230"/>
      <c r="I1230" s="202"/>
      <c r="J1230"/>
      <c r="K1230" s="205"/>
      <c r="L1230" s="205"/>
      <c r="M1230" s="205"/>
    </row>
    <row r="1231" spans="2:13" ht="15.75">
      <c r="B1231" s="79"/>
      <c r="D1231"/>
      <c r="E1231" s="188"/>
      <c r="H1231"/>
      <c r="I1231" s="202"/>
      <c r="J1231"/>
      <c r="K1231" s="205"/>
      <c r="L1231" s="205"/>
      <c r="M1231" s="205"/>
    </row>
    <row r="1232" spans="2:13" ht="15.75">
      <c r="B1232" s="79"/>
      <c r="D1232"/>
      <c r="E1232" s="188"/>
      <c r="H1232"/>
      <c r="I1232" s="202"/>
      <c r="J1232"/>
      <c r="K1232" s="205"/>
      <c r="L1232" s="205"/>
      <c r="M1232" s="205"/>
    </row>
    <row r="1233" spans="2:13" ht="15.75">
      <c r="B1233" s="79"/>
      <c r="D1233"/>
      <c r="E1233" s="188"/>
      <c r="H1233"/>
      <c r="I1233" s="202"/>
      <c r="J1233"/>
      <c r="K1233" s="205"/>
      <c r="L1233" s="205"/>
      <c r="M1233" s="205"/>
    </row>
    <row r="1234" spans="2:13" ht="15.75">
      <c r="B1234" s="79"/>
      <c r="D1234"/>
      <c r="E1234" s="188"/>
      <c r="H1234"/>
      <c r="I1234" s="202"/>
      <c r="J1234"/>
      <c r="K1234" s="205"/>
      <c r="L1234" s="205"/>
      <c r="M1234" s="205"/>
    </row>
    <row r="1235" spans="2:13" ht="15.75">
      <c r="B1235" s="79"/>
      <c r="D1235"/>
      <c r="E1235" s="188"/>
      <c r="H1235"/>
      <c r="I1235" s="202"/>
      <c r="J1235"/>
      <c r="K1235" s="205"/>
      <c r="L1235" s="205"/>
      <c r="M1235" s="205"/>
    </row>
    <row r="1236" spans="2:13" ht="15.75">
      <c r="B1236" s="79"/>
      <c r="D1236"/>
      <c r="E1236" s="188"/>
      <c r="H1236"/>
      <c r="I1236" s="202"/>
      <c r="J1236"/>
      <c r="K1236" s="205"/>
      <c r="L1236" s="205"/>
      <c r="M1236" s="205"/>
    </row>
    <row r="1237" spans="2:13" ht="15.75">
      <c r="B1237" s="79"/>
      <c r="D1237"/>
      <c r="E1237" s="188"/>
      <c r="H1237"/>
      <c r="I1237" s="202"/>
      <c r="J1237"/>
      <c r="K1237" s="205"/>
      <c r="L1237" s="205"/>
      <c r="M1237" s="205"/>
    </row>
    <row r="1238" spans="2:13" ht="15.75">
      <c r="B1238" s="79"/>
      <c r="D1238"/>
      <c r="E1238" s="188"/>
      <c r="H1238"/>
      <c r="I1238" s="202"/>
      <c r="J1238"/>
      <c r="K1238" s="205"/>
      <c r="L1238" s="205"/>
      <c r="M1238" s="205"/>
    </row>
    <row r="1239" spans="2:13" ht="15.75">
      <c r="B1239" s="79"/>
      <c r="D1239"/>
      <c r="E1239" s="188"/>
      <c r="H1239"/>
      <c r="I1239" s="202"/>
      <c r="J1239"/>
      <c r="K1239" s="205"/>
      <c r="L1239" s="205"/>
      <c r="M1239" s="205"/>
    </row>
    <row r="1240" spans="2:13" ht="15.75">
      <c r="B1240" s="79"/>
      <c r="D1240"/>
      <c r="E1240" s="188"/>
      <c r="H1240"/>
      <c r="I1240" s="202"/>
      <c r="J1240"/>
      <c r="K1240" s="205"/>
      <c r="L1240" s="205"/>
      <c r="M1240" s="205"/>
    </row>
    <row r="1241" spans="2:13" ht="15.75">
      <c r="B1241" s="79"/>
      <c r="D1241"/>
      <c r="E1241" s="188"/>
      <c r="H1241"/>
      <c r="I1241" s="202"/>
      <c r="J1241"/>
      <c r="K1241" s="205"/>
      <c r="L1241" s="205"/>
      <c r="M1241" s="205"/>
    </row>
    <row r="1242" spans="2:13" ht="15.75">
      <c r="B1242" s="79"/>
      <c r="D1242"/>
      <c r="E1242" s="188"/>
      <c r="H1242"/>
      <c r="I1242" s="202"/>
      <c r="J1242"/>
      <c r="K1242" s="205"/>
      <c r="L1242" s="205"/>
      <c r="M1242" s="205"/>
    </row>
    <row r="1243" spans="2:13" ht="15.75">
      <c r="B1243" s="79"/>
      <c r="D1243"/>
      <c r="E1243" s="188"/>
      <c r="H1243"/>
      <c r="I1243" s="202"/>
      <c r="J1243"/>
      <c r="K1243" s="205"/>
      <c r="L1243" s="205"/>
      <c r="M1243" s="205"/>
    </row>
    <row r="1244" spans="2:13" ht="15.75">
      <c r="B1244" s="79"/>
      <c r="D1244"/>
      <c r="E1244" s="188"/>
      <c r="H1244"/>
      <c r="I1244" s="202"/>
      <c r="J1244"/>
      <c r="K1244" s="205"/>
      <c r="L1244" s="205"/>
      <c r="M1244" s="205"/>
    </row>
    <row r="1245" spans="2:13" ht="15.75">
      <c r="B1245" s="79"/>
      <c r="D1245"/>
      <c r="E1245" s="188"/>
      <c r="H1245"/>
      <c r="I1245" s="202"/>
      <c r="J1245"/>
      <c r="K1245" s="205"/>
      <c r="L1245" s="205"/>
      <c r="M1245" s="205"/>
    </row>
    <row r="1246" spans="2:13" ht="15.75">
      <c r="B1246" s="79"/>
      <c r="D1246"/>
      <c r="E1246" s="188"/>
      <c r="H1246"/>
      <c r="I1246" s="202"/>
      <c r="J1246"/>
      <c r="K1246" s="205"/>
      <c r="L1246" s="205"/>
      <c r="M1246" s="205"/>
    </row>
    <row r="1247" spans="2:13" ht="15.75">
      <c r="B1247" s="79"/>
      <c r="D1247"/>
      <c r="E1247" s="188"/>
      <c r="H1247"/>
      <c r="I1247" s="202"/>
      <c r="J1247"/>
      <c r="K1247" s="205"/>
      <c r="L1247" s="205"/>
      <c r="M1247" s="205"/>
    </row>
    <row r="1248" spans="2:13" ht="15.75">
      <c r="B1248" s="79"/>
      <c r="D1248"/>
      <c r="E1248" s="188"/>
      <c r="H1248"/>
      <c r="I1248" s="202"/>
      <c r="J1248"/>
      <c r="K1248" s="205"/>
      <c r="L1248" s="205"/>
      <c r="M1248" s="205"/>
    </row>
    <row r="1249" spans="2:13" ht="15.75">
      <c r="B1249" s="79"/>
      <c r="D1249"/>
      <c r="E1249" s="188"/>
      <c r="H1249"/>
      <c r="I1249" s="202"/>
      <c r="J1249"/>
      <c r="K1249" s="205"/>
      <c r="L1249" s="205"/>
      <c r="M1249" s="205"/>
    </row>
    <row r="1250" spans="2:13" ht="15.75">
      <c r="B1250" s="79"/>
      <c r="D1250"/>
      <c r="E1250" s="188"/>
      <c r="H1250"/>
      <c r="I1250" s="202"/>
      <c r="J1250"/>
      <c r="K1250" s="205"/>
      <c r="L1250" s="205"/>
      <c r="M1250" s="205"/>
    </row>
    <row r="1251" spans="2:13" ht="15.75">
      <c r="B1251" s="79"/>
      <c r="D1251"/>
      <c r="E1251" s="188"/>
      <c r="H1251"/>
      <c r="I1251" s="202"/>
      <c r="J1251"/>
      <c r="K1251" s="205"/>
      <c r="L1251" s="205"/>
      <c r="M1251" s="205"/>
    </row>
    <row r="1252" spans="2:13" ht="15.75">
      <c r="B1252" s="79"/>
      <c r="D1252"/>
      <c r="E1252" s="188"/>
      <c r="H1252"/>
      <c r="I1252" s="202"/>
      <c r="J1252"/>
      <c r="K1252" s="205"/>
      <c r="L1252" s="205"/>
      <c r="M1252" s="205"/>
    </row>
    <row r="1253" spans="2:13" ht="15.75">
      <c r="B1253" s="79"/>
      <c r="D1253"/>
      <c r="E1253" s="188"/>
      <c r="H1253"/>
      <c r="I1253" s="202"/>
      <c r="J1253"/>
      <c r="K1253" s="205"/>
      <c r="L1253" s="205"/>
      <c r="M1253" s="205"/>
    </row>
    <row r="1254" spans="2:13" ht="15.75">
      <c r="B1254" s="79"/>
      <c r="D1254"/>
      <c r="E1254" s="188"/>
      <c r="H1254"/>
      <c r="I1254" s="202"/>
      <c r="J1254"/>
      <c r="K1254" s="205"/>
      <c r="L1254" s="205"/>
      <c r="M1254" s="205"/>
    </row>
    <row r="1255" spans="2:13" ht="15.75">
      <c r="B1255" s="79"/>
      <c r="D1255"/>
      <c r="E1255" s="188"/>
      <c r="H1255"/>
      <c r="I1255" s="202"/>
      <c r="J1255"/>
      <c r="K1255" s="205"/>
      <c r="L1255" s="205"/>
      <c r="M1255" s="205"/>
    </row>
    <row r="1256" spans="2:13" ht="15.75">
      <c r="B1256" s="79"/>
      <c r="D1256"/>
      <c r="E1256" s="188"/>
      <c r="H1256"/>
      <c r="I1256" s="202"/>
      <c r="J1256"/>
      <c r="K1256" s="205"/>
      <c r="L1256" s="205"/>
      <c r="M1256" s="205"/>
    </row>
    <row r="1257" spans="2:13" ht="15.75">
      <c r="B1257" s="79"/>
      <c r="D1257"/>
      <c r="E1257" s="188"/>
      <c r="H1257"/>
      <c r="I1257" s="202"/>
      <c r="J1257"/>
      <c r="K1257" s="205"/>
      <c r="L1257" s="205"/>
      <c r="M1257" s="205"/>
    </row>
    <row r="1258" spans="2:13" ht="15.75">
      <c r="B1258" s="79"/>
      <c r="D1258"/>
      <c r="E1258" s="188"/>
      <c r="H1258"/>
      <c r="I1258" s="202"/>
      <c r="J1258"/>
      <c r="K1258" s="205"/>
      <c r="L1258" s="205"/>
      <c r="M1258" s="205"/>
    </row>
    <row r="1259" spans="2:13" ht="15.75">
      <c r="B1259" s="79"/>
      <c r="D1259"/>
      <c r="E1259" s="188"/>
      <c r="H1259"/>
      <c r="I1259" s="202"/>
      <c r="J1259"/>
      <c r="K1259" s="205"/>
      <c r="L1259" s="205"/>
      <c r="M1259" s="205"/>
    </row>
    <row r="1260" spans="2:13" ht="15.75">
      <c r="B1260" s="79"/>
      <c r="D1260"/>
      <c r="E1260" s="188"/>
      <c r="H1260"/>
      <c r="I1260" s="202"/>
      <c r="J1260"/>
      <c r="K1260" s="205"/>
      <c r="L1260" s="205"/>
      <c r="M1260" s="205"/>
    </row>
    <row r="1261" spans="2:13" ht="15.75">
      <c r="B1261" s="79"/>
      <c r="D1261"/>
      <c r="E1261" s="188"/>
      <c r="H1261"/>
      <c r="I1261" s="202"/>
      <c r="J1261"/>
      <c r="K1261" s="205"/>
      <c r="L1261" s="205"/>
      <c r="M1261" s="205"/>
    </row>
    <row r="1262" spans="2:13" ht="15.75">
      <c r="B1262" s="79"/>
      <c r="D1262"/>
      <c r="E1262" s="188"/>
      <c r="H1262"/>
      <c r="I1262" s="202"/>
      <c r="J1262"/>
      <c r="K1262" s="205"/>
      <c r="L1262" s="205"/>
      <c r="M1262" s="205"/>
    </row>
    <row r="1263" spans="2:13" ht="15.75">
      <c r="B1263" s="79"/>
      <c r="D1263"/>
      <c r="E1263" s="188"/>
      <c r="H1263"/>
      <c r="I1263" s="202"/>
      <c r="J1263"/>
      <c r="K1263" s="205"/>
      <c r="L1263" s="205"/>
      <c r="M1263" s="205"/>
    </row>
    <row r="1264" spans="2:13" ht="15.75">
      <c r="B1264" s="79"/>
      <c r="D1264"/>
      <c r="E1264" s="188"/>
      <c r="H1264"/>
      <c r="I1264" s="202"/>
      <c r="J1264"/>
      <c r="K1264" s="205"/>
      <c r="L1264" s="205"/>
      <c r="M1264" s="205"/>
    </row>
    <row r="1265" spans="2:13" ht="15.75">
      <c r="B1265" s="79"/>
      <c r="D1265"/>
      <c r="E1265" s="188"/>
      <c r="H1265"/>
      <c r="I1265" s="202"/>
      <c r="J1265"/>
      <c r="K1265" s="205"/>
      <c r="L1265" s="205"/>
      <c r="M1265" s="205"/>
    </row>
    <row r="1266" spans="2:13" ht="15.75">
      <c r="B1266" s="79"/>
      <c r="D1266"/>
      <c r="E1266" s="188"/>
      <c r="H1266"/>
      <c r="I1266" s="202"/>
      <c r="J1266"/>
      <c r="K1266" s="205"/>
      <c r="L1266" s="205"/>
      <c r="M1266" s="205"/>
    </row>
    <row r="1267" spans="2:13" ht="15.75">
      <c r="B1267" s="79"/>
      <c r="D1267"/>
      <c r="E1267" s="188"/>
      <c r="H1267"/>
      <c r="I1267" s="202"/>
      <c r="J1267"/>
      <c r="K1267" s="205"/>
      <c r="L1267" s="205"/>
      <c r="M1267" s="205"/>
    </row>
    <row r="1268" spans="2:13" ht="15.75">
      <c r="B1268" s="79"/>
      <c r="D1268"/>
      <c r="E1268" s="188"/>
      <c r="H1268"/>
      <c r="I1268" s="202"/>
      <c r="J1268"/>
      <c r="K1268" s="205"/>
      <c r="L1268" s="205"/>
      <c r="M1268" s="205"/>
    </row>
    <row r="1269" spans="2:13" ht="15.75">
      <c r="B1269" s="79"/>
      <c r="D1269"/>
      <c r="E1269" s="188"/>
      <c r="H1269"/>
      <c r="I1269" s="202"/>
      <c r="J1269"/>
      <c r="K1269" s="205"/>
      <c r="L1269" s="205"/>
      <c r="M1269" s="205"/>
    </row>
    <row r="1270" spans="2:13" ht="15.75">
      <c r="B1270" s="79"/>
      <c r="D1270"/>
      <c r="E1270" s="188"/>
      <c r="H1270"/>
      <c r="I1270" s="202"/>
      <c r="J1270"/>
      <c r="K1270" s="205"/>
      <c r="L1270" s="205"/>
      <c r="M1270" s="205"/>
    </row>
    <row r="1271" spans="2:13" ht="15.75">
      <c r="B1271" s="79"/>
      <c r="D1271"/>
      <c r="E1271" s="188"/>
      <c r="H1271"/>
      <c r="I1271" s="202"/>
      <c r="J1271"/>
      <c r="K1271" s="205"/>
      <c r="L1271" s="205"/>
      <c r="M1271" s="205"/>
    </row>
    <row r="1272" spans="2:13" ht="15.75">
      <c r="B1272" s="79"/>
      <c r="D1272"/>
      <c r="E1272" s="188"/>
      <c r="H1272"/>
      <c r="I1272" s="202"/>
      <c r="J1272"/>
      <c r="K1272" s="205"/>
      <c r="L1272" s="205"/>
      <c r="M1272" s="205"/>
    </row>
    <row r="1273" spans="2:13" ht="15.75">
      <c r="B1273" s="79"/>
      <c r="D1273"/>
      <c r="E1273" s="188"/>
      <c r="H1273"/>
      <c r="I1273" s="202"/>
      <c r="J1273"/>
      <c r="K1273" s="205"/>
      <c r="L1273" s="205"/>
      <c r="M1273" s="205"/>
    </row>
    <row r="1274" spans="2:13" ht="15.75">
      <c r="B1274" s="79"/>
      <c r="D1274"/>
      <c r="E1274" s="188"/>
      <c r="H1274"/>
      <c r="I1274" s="202"/>
      <c r="J1274"/>
      <c r="K1274" s="205"/>
      <c r="L1274" s="205"/>
      <c r="M1274" s="205"/>
    </row>
    <row r="1275" spans="2:13" ht="15.75">
      <c r="B1275" s="79"/>
      <c r="D1275"/>
      <c r="E1275" s="188"/>
      <c r="H1275"/>
      <c r="I1275" s="202"/>
      <c r="J1275"/>
      <c r="K1275" s="205"/>
      <c r="L1275" s="205"/>
      <c r="M1275" s="205"/>
    </row>
    <row r="1276" spans="2:13" ht="15.75">
      <c r="B1276" s="79"/>
      <c r="D1276"/>
      <c r="E1276" s="188"/>
      <c r="H1276"/>
      <c r="I1276" s="202"/>
      <c r="J1276"/>
      <c r="K1276" s="205"/>
      <c r="L1276" s="205"/>
      <c r="M1276" s="205"/>
    </row>
    <row r="1277" spans="2:13" ht="15.75">
      <c r="B1277" s="79"/>
      <c r="D1277"/>
      <c r="E1277" s="188"/>
      <c r="H1277"/>
      <c r="I1277" s="202"/>
      <c r="J1277"/>
      <c r="K1277" s="205"/>
      <c r="L1277" s="205"/>
      <c r="M1277" s="205"/>
    </row>
    <row r="1278" spans="2:13" ht="15.75">
      <c r="B1278" s="79"/>
      <c r="D1278"/>
      <c r="E1278" s="188"/>
      <c r="H1278"/>
      <c r="I1278" s="202"/>
      <c r="J1278"/>
      <c r="K1278" s="205"/>
      <c r="L1278" s="205"/>
      <c r="M1278" s="205"/>
    </row>
    <row r="1279" spans="2:13" ht="15.75">
      <c r="B1279" s="79"/>
      <c r="D1279"/>
      <c r="E1279" s="188"/>
      <c r="H1279"/>
      <c r="I1279" s="202"/>
      <c r="J1279"/>
      <c r="K1279" s="205"/>
      <c r="L1279" s="205"/>
      <c r="M1279" s="205"/>
    </row>
    <row r="1280" spans="2:13" ht="15.75">
      <c r="B1280" s="79"/>
      <c r="D1280"/>
      <c r="E1280" s="188"/>
      <c r="H1280"/>
      <c r="I1280" s="202"/>
      <c r="J1280"/>
      <c r="K1280" s="205"/>
      <c r="L1280" s="205"/>
      <c r="M1280" s="205"/>
    </row>
    <row r="1281" spans="2:13" ht="15.75">
      <c r="B1281" s="79"/>
      <c r="D1281"/>
      <c r="E1281" s="188"/>
      <c r="H1281"/>
      <c r="I1281" s="202"/>
      <c r="J1281"/>
      <c r="K1281" s="205"/>
      <c r="L1281" s="205"/>
      <c r="M1281" s="205"/>
    </row>
    <row r="1282" spans="2:13" ht="15.75">
      <c r="B1282" s="79"/>
      <c r="D1282"/>
      <c r="E1282" s="188"/>
      <c r="H1282"/>
      <c r="I1282" s="202"/>
      <c r="J1282"/>
      <c r="K1282" s="205"/>
      <c r="L1282" s="205"/>
      <c r="M1282" s="205"/>
    </row>
    <row r="1283" spans="2:13" ht="15.75">
      <c r="B1283" s="79"/>
      <c r="D1283"/>
      <c r="E1283" s="188"/>
      <c r="H1283"/>
      <c r="I1283" s="202"/>
      <c r="J1283"/>
      <c r="K1283" s="205"/>
      <c r="L1283" s="205"/>
      <c r="M1283" s="205"/>
    </row>
    <row r="1284" spans="2:13" ht="15.75">
      <c r="B1284" s="79"/>
      <c r="D1284"/>
      <c r="E1284" s="188"/>
      <c r="H1284"/>
      <c r="I1284" s="202"/>
      <c r="J1284"/>
      <c r="K1284" s="205"/>
      <c r="L1284" s="205"/>
      <c r="M1284" s="205"/>
    </row>
    <row r="1285" spans="2:13" ht="15.75">
      <c r="B1285" s="79"/>
      <c r="D1285"/>
      <c r="E1285" s="188"/>
      <c r="H1285"/>
      <c r="I1285" s="202"/>
      <c r="J1285"/>
      <c r="K1285" s="205"/>
      <c r="L1285" s="205"/>
      <c r="M1285" s="205"/>
    </row>
    <row r="1286" spans="2:13" ht="15.75">
      <c r="B1286" s="79"/>
      <c r="D1286"/>
      <c r="E1286" s="188"/>
      <c r="H1286"/>
      <c r="I1286" s="202"/>
      <c r="J1286"/>
      <c r="K1286" s="205"/>
      <c r="L1286" s="205"/>
      <c r="M1286" s="205"/>
    </row>
    <row r="1287" spans="2:13" ht="15.75">
      <c r="B1287" s="79"/>
      <c r="D1287"/>
      <c r="E1287" s="188"/>
      <c r="H1287"/>
      <c r="I1287" s="202"/>
      <c r="J1287"/>
      <c r="K1287" s="205"/>
      <c r="L1287" s="205"/>
      <c r="M1287" s="205"/>
    </row>
    <row r="1288" spans="2:13" ht="15.75">
      <c r="B1288" s="79"/>
      <c r="D1288"/>
      <c r="E1288" s="188"/>
      <c r="H1288"/>
      <c r="I1288" s="202"/>
      <c r="J1288"/>
      <c r="K1288" s="205"/>
      <c r="L1288" s="205"/>
      <c r="M1288" s="205"/>
    </row>
    <row r="1289" spans="2:13" ht="15.75">
      <c r="B1289" s="79"/>
      <c r="D1289"/>
      <c r="E1289" s="188"/>
      <c r="H1289"/>
      <c r="I1289" s="202"/>
      <c r="J1289"/>
      <c r="K1289" s="205"/>
      <c r="L1289" s="205"/>
      <c r="M1289" s="205"/>
    </row>
    <row r="1290" spans="2:13" ht="15.75">
      <c r="B1290" s="79"/>
      <c r="D1290"/>
      <c r="E1290" s="188"/>
      <c r="H1290"/>
      <c r="I1290" s="202"/>
      <c r="J1290"/>
      <c r="K1290" s="205"/>
      <c r="L1290" s="205"/>
      <c r="M1290" s="205"/>
    </row>
    <row r="1291" spans="2:13" ht="15.75">
      <c r="B1291" s="79"/>
      <c r="D1291"/>
      <c r="E1291" s="188"/>
      <c r="H1291"/>
      <c r="I1291" s="202"/>
      <c r="J1291"/>
      <c r="K1291" s="205"/>
      <c r="L1291" s="205"/>
      <c r="M1291" s="205"/>
    </row>
    <row r="1292" spans="2:13" ht="15.75">
      <c r="B1292" s="79"/>
      <c r="D1292"/>
      <c r="E1292" s="188"/>
      <c r="H1292"/>
      <c r="I1292" s="202"/>
      <c r="J1292"/>
      <c r="K1292" s="205"/>
      <c r="L1292" s="205"/>
      <c r="M1292" s="205"/>
    </row>
    <row r="1293" spans="2:13" ht="15.75">
      <c r="B1293" s="79"/>
      <c r="D1293"/>
      <c r="E1293" s="188"/>
      <c r="H1293"/>
      <c r="I1293" s="202"/>
      <c r="J1293"/>
      <c r="K1293" s="205"/>
      <c r="L1293" s="205"/>
      <c r="M1293" s="205"/>
    </row>
    <row r="1294" spans="2:13" ht="15.75">
      <c r="B1294" s="79"/>
      <c r="D1294"/>
      <c r="E1294" s="188"/>
      <c r="H1294"/>
      <c r="I1294" s="202"/>
      <c r="J1294"/>
      <c r="K1294" s="205"/>
      <c r="L1294" s="205"/>
      <c r="M1294" s="205"/>
    </row>
    <row r="1295" spans="2:13" ht="15.75">
      <c r="B1295" s="79"/>
      <c r="D1295"/>
      <c r="E1295" s="188"/>
      <c r="H1295"/>
      <c r="I1295" s="202"/>
      <c r="J1295"/>
      <c r="K1295" s="205"/>
      <c r="L1295" s="205"/>
      <c r="M1295" s="205"/>
    </row>
    <row r="1296" spans="2:13" ht="15.75">
      <c r="B1296" s="79"/>
      <c r="D1296"/>
      <c r="E1296" s="188"/>
      <c r="H1296"/>
      <c r="I1296" s="202"/>
      <c r="J1296"/>
      <c r="K1296" s="205"/>
      <c r="L1296" s="205"/>
      <c r="M1296" s="205"/>
    </row>
    <row r="1297" spans="2:13" ht="15.75">
      <c r="B1297" s="79"/>
      <c r="D1297"/>
      <c r="E1297" s="188"/>
      <c r="H1297"/>
      <c r="I1297" s="202"/>
      <c r="J1297"/>
      <c r="K1297" s="205"/>
      <c r="L1297" s="205"/>
      <c r="M1297" s="205"/>
    </row>
    <row r="1298" spans="2:13" ht="15.75">
      <c r="B1298" s="79"/>
      <c r="D1298"/>
      <c r="E1298" s="188"/>
      <c r="H1298"/>
      <c r="I1298" s="202"/>
      <c r="J1298"/>
      <c r="K1298" s="205"/>
      <c r="L1298" s="205"/>
      <c r="M1298" s="205"/>
    </row>
    <row r="1299" spans="2:13" ht="15.75">
      <c r="B1299" s="79"/>
      <c r="D1299"/>
      <c r="E1299" s="188"/>
      <c r="H1299"/>
      <c r="I1299" s="202"/>
      <c r="J1299"/>
      <c r="K1299" s="205"/>
      <c r="L1299" s="205"/>
      <c r="M1299" s="205"/>
    </row>
    <row r="1300" spans="2:13" ht="15.75">
      <c r="B1300" s="79"/>
      <c r="D1300"/>
      <c r="E1300" s="188"/>
      <c r="H1300"/>
      <c r="I1300" s="202"/>
      <c r="J1300"/>
      <c r="K1300" s="205"/>
      <c r="L1300" s="205"/>
      <c r="M1300" s="205"/>
    </row>
    <row r="1301" spans="2:13" ht="15.75">
      <c r="B1301" s="79"/>
      <c r="D1301"/>
      <c r="E1301" s="188"/>
      <c r="H1301"/>
      <c r="I1301" s="202"/>
      <c r="J1301"/>
      <c r="K1301" s="205"/>
      <c r="L1301" s="205"/>
      <c r="M1301" s="205"/>
    </row>
    <row r="1302" spans="2:13" ht="15.75">
      <c r="B1302" s="79"/>
      <c r="D1302"/>
      <c r="E1302" s="188"/>
      <c r="H1302"/>
      <c r="I1302" s="202"/>
      <c r="J1302"/>
      <c r="K1302" s="205"/>
      <c r="L1302" s="205"/>
      <c r="M1302" s="205"/>
    </row>
    <row r="1303" spans="2:13" ht="15.75">
      <c r="B1303" s="79"/>
      <c r="D1303"/>
      <c r="E1303" s="188"/>
      <c r="H1303"/>
      <c r="I1303" s="202"/>
      <c r="J1303"/>
      <c r="K1303" s="205"/>
      <c r="L1303" s="205"/>
      <c r="M1303" s="205"/>
    </row>
    <row r="1304" spans="2:13" ht="15.75">
      <c r="B1304" s="79"/>
      <c r="D1304"/>
      <c r="E1304" s="188"/>
      <c r="H1304"/>
      <c r="I1304" s="202"/>
      <c r="J1304"/>
      <c r="K1304" s="205"/>
      <c r="L1304" s="205"/>
      <c r="M1304" s="205"/>
    </row>
    <row r="1305" spans="2:13" ht="15.75">
      <c r="B1305" s="79"/>
      <c r="D1305"/>
      <c r="E1305" s="188"/>
      <c r="H1305"/>
      <c r="I1305" s="202"/>
      <c r="J1305"/>
      <c r="K1305" s="205"/>
      <c r="L1305" s="205"/>
      <c r="M1305" s="205"/>
    </row>
    <row r="1306" spans="2:13" ht="15.75">
      <c r="B1306" s="79"/>
      <c r="D1306"/>
      <c r="E1306" s="188"/>
      <c r="H1306"/>
      <c r="I1306" s="202"/>
      <c r="J1306"/>
      <c r="K1306" s="205"/>
      <c r="L1306" s="205"/>
      <c r="M1306" s="205"/>
    </row>
    <row r="1307" spans="2:13" ht="15.75">
      <c r="B1307" s="79"/>
      <c r="D1307"/>
      <c r="E1307" s="188"/>
      <c r="H1307"/>
      <c r="I1307" s="202"/>
      <c r="J1307"/>
      <c r="K1307" s="205"/>
      <c r="L1307" s="205"/>
      <c r="M1307" s="205"/>
    </row>
    <row r="1308" spans="2:13" ht="15.75">
      <c r="B1308" s="79"/>
      <c r="D1308"/>
      <c r="E1308" s="188"/>
      <c r="H1308"/>
      <c r="I1308" s="202"/>
      <c r="J1308"/>
      <c r="K1308" s="205"/>
      <c r="L1308" s="205"/>
      <c r="M1308" s="205"/>
    </row>
    <row r="1309" spans="2:13" ht="15.75">
      <c r="B1309" s="79"/>
      <c r="D1309"/>
      <c r="E1309" s="188"/>
      <c r="H1309"/>
      <c r="I1309" s="202"/>
      <c r="J1309"/>
      <c r="K1309" s="205"/>
      <c r="L1309" s="205"/>
      <c r="M1309" s="205"/>
    </row>
    <row r="1310" spans="2:13" ht="15.75">
      <c r="B1310" s="79"/>
      <c r="D1310"/>
      <c r="E1310" s="188"/>
      <c r="H1310"/>
      <c r="I1310" s="202"/>
      <c r="J1310"/>
      <c r="K1310" s="205"/>
      <c r="L1310" s="205"/>
      <c r="M1310" s="205"/>
    </row>
    <row r="1311" spans="2:13" ht="15.75">
      <c r="B1311" s="79"/>
      <c r="D1311"/>
      <c r="E1311" s="188"/>
      <c r="H1311"/>
      <c r="I1311" s="202"/>
      <c r="J1311"/>
      <c r="K1311" s="205"/>
      <c r="L1311" s="205"/>
      <c r="M1311" s="205"/>
    </row>
    <row r="1312" spans="2:13" ht="15.75">
      <c r="B1312" s="79"/>
      <c r="D1312"/>
      <c r="E1312" s="188"/>
      <c r="H1312"/>
      <c r="I1312" s="202"/>
      <c r="J1312"/>
      <c r="K1312" s="205"/>
      <c r="L1312" s="205"/>
      <c r="M1312" s="205"/>
    </row>
    <row r="1313" spans="2:13" ht="15.75">
      <c r="B1313" s="79"/>
      <c r="D1313"/>
      <c r="E1313" s="188"/>
      <c r="H1313"/>
      <c r="I1313" s="202"/>
      <c r="J1313"/>
      <c r="K1313" s="205"/>
      <c r="L1313" s="205"/>
      <c r="M1313" s="205"/>
    </row>
    <row r="1314" spans="2:13" ht="15.75">
      <c r="B1314" s="79"/>
      <c r="D1314"/>
      <c r="E1314" s="188"/>
      <c r="H1314"/>
      <c r="I1314" s="202"/>
      <c r="J1314"/>
      <c r="K1314" s="205"/>
      <c r="L1314" s="205"/>
      <c r="M1314" s="205"/>
    </row>
    <row r="1315" spans="2:13" ht="15.75">
      <c r="B1315" s="79"/>
      <c r="D1315"/>
      <c r="E1315" s="188"/>
      <c r="H1315"/>
      <c r="I1315" s="202"/>
      <c r="J1315"/>
      <c r="K1315" s="205"/>
      <c r="L1315" s="205"/>
      <c r="M1315" s="205"/>
    </row>
    <row r="1316" spans="2:13" ht="15.75">
      <c r="B1316" s="79"/>
      <c r="D1316"/>
      <c r="E1316" s="188"/>
      <c r="H1316"/>
      <c r="I1316" s="202"/>
      <c r="J1316"/>
      <c r="K1316" s="205"/>
      <c r="L1316" s="205"/>
      <c r="M1316" s="205"/>
    </row>
    <row r="1317" spans="2:13" ht="15.75">
      <c r="B1317" s="79"/>
      <c r="D1317"/>
      <c r="E1317" s="188"/>
      <c r="H1317"/>
      <c r="I1317" s="202"/>
      <c r="J1317"/>
      <c r="K1317" s="205"/>
      <c r="L1317" s="205"/>
      <c r="M1317" s="205"/>
    </row>
    <row r="1318" spans="2:13" ht="15.75">
      <c r="B1318" s="79"/>
      <c r="D1318"/>
      <c r="E1318" s="188"/>
      <c r="H1318"/>
      <c r="I1318" s="202"/>
      <c r="J1318"/>
      <c r="K1318" s="205"/>
      <c r="L1318" s="205"/>
      <c r="M1318" s="205"/>
    </row>
    <row r="1319" spans="2:13" ht="15.75">
      <c r="B1319" s="79"/>
      <c r="D1319"/>
      <c r="E1319" s="188"/>
      <c r="H1319"/>
      <c r="I1319" s="202"/>
      <c r="J1319"/>
      <c r="K1319" s="205"/>
      <c r="L1319" s="205"/>
      <c r="M1319" s="205"/>
    </row>
    <row r="1320" spans="2:13" ht="15.75">
      <c r="B1320" s="79"/>
      <c r="D1320"/>
      <c r="E1320" s="188"/>
      <c r="H1320"/>
      <c r="I1320" s="202"/>
      <c r="J1320"/>
      <c r="K1320" s="205"/>
      <c r="L1320" s="205"/>
      <c r="M1320" s="205"/>
    </row>
    <row r="1321" spans="2:13" ht="15.75">
      <c r="B1321" s="79"/>
      <c r="D1321"/>
      <c r="E1321" s="188"/>
      <c r="H1321"/>
      <c r="I1321" s="202"/>
      <c r="J1321"/>
      <c r="K1321" s="205"/>
      <c r="L1321" s="205"/>
      <c r="M1321" s="205"/>
    </row>
    <row r="1322" spans="2:13" ht="15.75">
      <c r="B1322" s="79"/>
      <c r="D1322"/>
      <c r="E1322" s="188"/>
      <c r="H1322"/>
      <c r="I1322" s="202"/>
      <c r="J1322"/>
      <c r="K1322" s="205"/>
      <c r="L1322" s="205"/>
      <c r="M1322" s="205"/>
    </row>
    <row r="1323" spans="2:13" ht="15.75">
      <c r="B1323" s="79"/>
      <c r="D1323"/>
      <c r="E1323" s="188"/>
      <c r="H1323"/>
      <c r="I1323" s="202"/>
      <c r="J1323"/>
      <c r="K1323" s="205"/>
      <c r="L1323" s="205"/>
      <c r="M1323" s="205"/>
    </row>
    <row r="1324" spans="2:13" ht="15.75">
      <c r="B1324" s="79"/>
      <c r="D1324"/>
      <c r="E1324" s="188"/>
      <c r="H1324"/>
      <c r="I1324" s="202"/>
      <c r="J1324"/>
      <c r="K1324" s="205"/>
      <c r="L1324" s="205"/>
      <c r="M1324" s="205"/>
    </row>
    <row r="1325" spans="2:13" ht="15.75">
      <c r="B1325" s="79"/>
      <c r="D1325"/>
      <c r="E1325" s="188"/>
      <c r="H1325"/>
      <c r="I1325" s="202"/>
      <c r="J1325"/>
      <c r="K1325" s="205"/>
      <c r="L1325" s="205"/>
      <c r="M1325" s="205"/>
    </row>
    <row r="1326" spans="2:13" ht="15.75">
      <c r="B1326" s="79"/>
      <c r="D1326"/>
      <c r="E1326" s="188"/>
      <c r="H1326"/>
      <c r="I1326" s="202"/>
      <c r="J1326"/>
      <c r="K1326" s="205"/>
      <c r="L1326" s="205"/>
      <c r="M1326" s="205"/>
    </row>
    <row r="1327" spans="2:13" ht="15.75">
      <c r="B1327" s="79"/>
      <c r="D1327"/>
      <c r="E1327" s="188"/>
      <c r="H1327"/>
      <c r="I1327" s="202"/>
      <c r="J1327"/>
      <c r="K1327" s="205"/>
      <c r="L1327" s="205"/>
      <c r="M1327" s="205"/>
    </row>
    <row r="1328" spans="2:13" ht="15.75">
      <c r="B1328" s="79"/>
      <c r="D1328"/>
      <c r="E1328" s="188"/>
      <c r="H1328"/>
      <c r="I1328" s="202"/>
      <c r="J1328"/>
      <c r="K1328" s="205"/>
      <c r="L1328" s="205"/>
      <c r="M1328" s="205"/>
    </row>
    <row r="1329" spans="2:13" ht="15.75">
      <c r="B1329" s="79"/>
      <c r="D1329"/>
      <c r="E1329" s="188"/>
      <c r="H1329"/>
      <c r="I1329" s="202"/>
      <c r="J1329"/>
      <c r="K1329" s="205"/>
      <c r="L1329" s="205"/>
      <c r="M1329" s="205"/>
    </row>
    <row r="1330" spans="2:13" ht="15.75">
      <c r="B1330" s="79"/>
      <c r="D1330"/>
      <c r="E1330" s="188"/>
      <c r="H1330"/>
      <c r="I1330" s="202"/>
      <c r="J1330"/>
      <c r="K1330" s="205"/>
      <c r="L1330" s="205"/>
      <c r="M1330" s="205"/>
    </row>
    <row r="1331" spans="2:13" ht="15.75">
      <c r="B1331" s="79"/>
      <c r="D1331"/>
      <c r="E1331" s="188"/>
      <c r="H1331"/>
      <c r="I1331" s="202"/>
      <c r="J1331"/>
      <c r="K1331" s="205"/>
      <c r="L1331" s="205"/>
      <c r="M1331" s="205"/>
    </row>
    <row r="1332" spans="2:13" ht="15.75">
      <c r="B1332" s="79"/>
      <c r="D1332"/>
      <c r="E1332" s="188"/>
      <c r="H1332"/>
      <c r="I1332" s="202"/>
      <c r="J1332"/>
      <c r="K1332" s="205"/>
      <c r="L1332" s="205"/>
      <c r="M1332" s="205"/>
    </row>
    <row r="1333" spans="2:13" ht="15.75">
      <c r="B1333" s="79"/>
      <c r="D1333"/>
      <c r="E1333" s="188"/>
      <c r="H1333"/>
      <c r="I1333" s="202"/>
      <c r="J1333"/>
      <c r="K1333" s="205"/>
      <c r="L1333" s="205"/>
      <c r="M1333" s="205"/>
    </row>
    <row r="1334" spans="2:13" ht="15.75">
      <c r="B1334" s="79"/>
      <c r="D1334"/>
      <c r="E1334" s="188"/>
      <c r="H1334"/>
      <c r="I1334" s="202"/>
      <c r="J1334"/>
      <c r="K1334" s="205"/>
      <c r="L1334" s="205"/>
      <c r="M1334" s="205"/>
    </row>
    <row r="1335" spans="2:13" ht="15.75">
      <c r="B1335" s="79"/>
      <c r="D1335"/>
      <c r="E1335" s="188"/>
      <c r="H1335"/>
      <c r="I1335" s="202"/>
      <c r="J1335"/>
      <c r="K1335" s="205"/>
      <c r="L1335" s="205"/>
      <c r="M1335" s="205"/>
    </row>
    <row r="1336" spans="2:13" ht="15.75">
      <c r="B1336" s="79"/>
      <c r="D1336"/>
      <c r="E1336" s="188"/>
      <c r="H1336"/>
      <c r="I1336" s="202"/>
      <c r="J1336"/>
      <c r="K1336" s="205"/>
      <c r="L1336" s="205"/>
      <c r="M1336" s="205"/>
    </row>
    <row r="1337" spans="2:13" ht="15.75">
      <c r="B1337" s="79"/>
      <c r="D1337"/>
      <c r="E1337" s="188"/>
      <c r="H1337"/>
      <c r="I1337" s="202"/>
      <c r="J1337"/>
      <c r="K1337" s="205"/>
      <c r="L1337" s="205"/>
      <c r="M1337" s="205"/>
    </row>
    <row r="1338" spans="2:13" ht="15.75">
      <c r="B1338" s="79"/>
      <c r="D1338"/>
      <c r="E1338" s="188"/>
      <c r="H1338"/>
      <c r="I1338" s="202"/>
      <c r="J1338"/>
      <c r="K1338" s="205"/>
      <c r="L1338" s="205"/>
      <c r="M1338" s="205"/>
    </row>
    <row r="1339" spans="2:13" ht="15.75">
      <c r="B1339" s="79"/>
      <c r="D1339"/>
      <c r="E1339" s="188"/>
      <c r="H1339"/>
      <c r="I1339" s="202"/>
      <c r="J1339"/>
      <c r="K1339" s="205"/>
      <c r="L1339" s="205"/>
      <c r="M1339" s="205"/>
    </row>
    <row r="1340" spans="2:13" ht="15.75">
      <c r="B1340" s="79"/>
      <c r="D1340"/>
      <c r="E1340" s="188"/>
      <c r="H1340"/>
      <c r="I1340" s="202"/>
      <c r="J1340"/>
      <c r="K1340" s="205"/>
      <c r="L1340" s="205"/>
      <c r="M1340" s="205"/>
    </row>
    <row r="1341" spans="2:13" ht="15.75">
      <c r="B1341" s="79"/>
      <c r="D1341"/>
      <c r="E1341" s="188"/>
      <c r="H1341"/>
      <c r="I1341" s="202"/>
      <c r="J1341"/>
      <c r="K1341" s="205"/>
      <c r="L1341" s="205"/>
      <c r="M1341" s="205"/>
    </row>
    <row r="1342" spans="2:13" ht="15.75">
      <c r="B1342" s="79"/>
      <c r="D1342"/>
      <c r="E1342" s="188"/>
      <c r="H1342"/>
      <c r="I1342" s="202"/>
      <c r="J1342"/>
      <c r="K1342" s="205"/>
      <c r="L1342" s="205"/>
      <c r="M1342" s="205"/>
    </row>
    <row r="1343" spans="2:13" ht="15.75">
      <c r="B1343" s="79"/>
      <c r="D1343"/>
      <c r="E1343" s="188"/>
      <c r="H1343"/>
      <c r="I1343" s="202"/>
      <c r="J1343"/>
      <c r="K1343" s="205"/>
      <c r="L1343" s="205"/>
      <c r="M1343" s="205"/>
    </row>
    <row r="1344" spans="2:13" ht="15.75">
      <c r="B1344" s="79"/>
      <c r="D1344"/>
      <c r="E1344" s="188"/>
      <c r="H1344"/>
      <c r="I1344" s="202"/>
      <c r="J1344"/>
      <c r="K1344" s="205"/>
      <c r="L1344" s="205"/>
      <c r="M1344" s="205"/>
    </row>
    <row r="1345" spans="2:13" ht="15.75">
      <c r="B1345" s="79"/>
      <c r="D1345"/>
      <c r="E1345" s="188"/>
      <c r="H1345"/>
      <c r="I1345" s="202"/>
      <c r="J1345"/>
      <c r="K1345" s="205"/>
      <c r="L1345" s="205"/>
      <c r="M1345" s="205"/>
    </row>
    <row r="1346" spans="2:13" ht="15.75">
      <c r="B1346" s="79"/>
      <c r="D1346"/>
      <c r="E1346" s="188"/>
      <c r="H1346"/>
      <c r="I1346" s="202"/>
      <c r="J1346"/>
      <c r="K1346" s="205"/>
      <c r="L1346" s="205"/>
      <c r="M1346" s="205"/>
    </row>
    <row r="1347" spans="2:13" ht="15.75">
      <c r="B1347" s="79"/>
      <c r="D1347"/>
      <c r="E1347" s="188"/>
      <c r="H1347"/>
      <c r="I1347" s="202"/>
      <c r="J1347"/>
      <c r="K1347" s="205"/>
      <c r="L1347" s="205"/>
      <c r="M1347" s="205"/>
    </row>
    <row r="1348" spans="2:13" ht="15.75">
      <c r="B1348" s="79"/>
      <c r="D1348"/>
      <c r="E1348" s="188"/>
      <c r="H1348"/>
      <c r="I1348" s="202"/>
      <c r="J1348"/>
      <c r="K1348" s="205"/>
      <c r="L1348" s="205"/>
      <c r="M1348" s="205"/>
    </row>
    <row r="1349" spans="2:13" ht="15.75">
      <c r="B1349" s="79"/>
      <c r="D1349"/>
      <c r="E1349" s="188"/>
      <c r="H1349"/>
      <c r="I1349" s="202"/>
      <c r="J1349"/>
      <c r="K1349" s="205"/>
      <c r="L1349" s="205"/>
      <c r="M1349" s="205"/>
    </row>
    <row r="1350" spans="2:13" ht="15.75">
      <c r="B1350" s="79"/>
      <c r="D1350"/>
      <c r="E1350" s="188"/>
      <c r="H1350"/>
      <c r="I1350" s="202"/>
      <c r="J1350"/>
      <c r="K1350" s="205"/>
      <c r="L1350" s="205"/>
      <c r="M1350" s="205"/>
    </row>
    <row r="1351" spans="2:13" ht="15.75">
      <c r="B1351" s="79"/>
      <c r="D1351"/>
      <c r="E1351" s="188"/>
      <c r="H1351"/>
      <c r="I1351" s="202"/>
      <c r="J1351"/>
      <c r="K1351" s="205"/>
      <c r="L1351" s="205"/>
      <c r="M1351" s="205"/>
    </row>
    <row r="1352" spans="2:13" ht="15.75">
      <c r="B1352" s="79"/>
      <c r="D1352"/>
      <c r="E1352" s="188"/>
      <c r="H1352"/>
      <c r="I1352" s="202"/>
      <c r="J1352"/>
      <c r="K1352" s="205"/>
      <c r="L1352" s="205"/>
      <c r="M1352" s="205"/>
    </row>
    <row r="1353" spans="2:13" ht="15.75">
      <c r="B1353" s="79"/>
      <c r="D1353"/>
      <c r="E1353" s="188"/>
      <c r="H1353"/>
      <c r="I1353" s="202"/>
      <c r="J1353"/>
      <c r="K1353" s="205"/>
      <c r="L1353" s="205"/>
      <c r="M1353" s="205"/>
    </row>
    <row r="1354" spans="2:13" ht="15.75">
      <c r="B1354" s="79"/>
      <c r="D1354"/>
      <c r="E1354" s="188"/>
      <c r="H1354"/>
      <c r="I1354" s="202"/>
      <c r="J1354"/>
      <c r="K1354" s="205"/>
      <c r="L1354" s="205"/>
      <c r="M1354" s="205"/>
    </row>
    <row r="1355" spans="2:13" ht="15.75">
      <c r="B1355" s="79"/>
      <c r="D1355"/>
      <c r="E1355" s="188"/>
      <c r="H1355"/>
      <c r="I1355" s="202"/>
      <c r="J1355"/>
      <c r="K1355" s="205"/>
      <c r="L1355" s="205"/>
      <c r="M1355" s="205"/>
    </row>
    <row r="1356" spans="2:13" ht="15.75">
      <c r="B1356" s="79"/>
      <c r="D1356"/>
      <c r="E1356" s="188"/>
      <c r="H1356"/>
      <c r="I1356" s="202"/>
      <c r="J1356"/>
      <c r="K1356" s="205"/>
      <c r="L1356" s="205"/>
      <c r="M1356" s="205"/>
    </row>
    <row r="1357" spans="2:13" ht="15.75">
      <c r="B1357" s="79"/>
      <c r="D1357"/>
      <c r="E1357" s="188"/>
      <c r="H1357"/>
      <c r="I1357" s="202"/>
      <c r="J1357"/>
      <c r="K1357" s="205"/>
      <c r="L1357" s="205"/>
      <c r="M1357" s="205"/>
    </row>
    <row r="1358" spans="2:13" ht="15.75">
      <c r="B1358" s="79"/>
      <c r="D1358"/>
      <c r="E1358" s="188"/>
      <c r="H1358"/>
      <c r="I1358" s="202"/>
      <c r="J1358"/>
      <c r="K1358" s="205"/>
      <c r="L1358" s="205"/>
      <c r="M1358" s="205"/>
    </row>
    <row r="1359" spans="2:13" ht="15.75">
      <c r="B1359" s="79"/>
      <c r="D1359"/>
      <c r="E1359" s="188"/>
      <c r="H1359"/>
      <c r="I1359" s="202"/>
      <c r="J1359"/>
      <c r="K1359" s="205"/>
      <c r="L1359" s="205"/>
      <c r="M1359" s="205"/>
    </row>
    <row r="1360" spans="2:13" ht="15.75">
      <c r="B1360" s="79"/>
      <c r="D1360"/>
      <c r="E1360" s="188"/>
      <c r="H1360"/>
      <c r="I1360" s="202"/>
      <c r="J1360"/>
      <c r="K1360" s="205"/>
      <c r="L1360" s="205"/>
      <c r="M1360" s="205"/>
    </row>
    <row r="1361" spans="2:13" ht="15.75">
      <c r="B1361" s="79"/>
      <c r="D1361"/>
      <c r="E1361" s="188"/>
      <c r="H1361"/>
      <c r="I1361" s="202"/>
      <c r="J1361"/>
      <c r="K1361" s="205"/>
      <c r="L1361" s="205"/>
      <c r="M1361" s="205"/>
    </row>
    <row r="1362" spans="2:13" ht="15.75">
      <c r="B1362" s="79"/>
      <c r="D1362"/>
      <c r="E1362" s="188"/>
      <c r="H1362"/>
      <c r="I1362" s="202"/>
      <c r="J1362"/>
      <c r="K1362" s="205"/>
      <c r="L1362" s="205"/>
      <c r="M1362" s="205"/>
    </row>
    <row r="1363" spans="2:13" ht="15.75">
      <c r="B1363" s="79"/>
      <c r="D1363"/>
      <c r="E1363" s="188"/>
      <c r="H1363"/>
      <c r="I1363" s="202"/>
      <c r="J1363"/>
      <c r="K1363" s="205"/>
      <c r="L1363" s="205"/>
      <c r="M1363" s="205"/>
    </row>
    <row r="1364" spans="2:13" ht="15.75">
      <c r="B1364" s="79"/>
      <c r="D1364"/>
      <c r="E1364" s="188"/>
      <c r="H1364"/>
      <c r="I1364" s="202"/>
      <c r="J1364"/>
      <c r="K1364" s="205"/>
      <c r="L1364" s="205"/>
      <c r="M1364" s="205"/>
    </row>
    <row r="1365" spans="2:13" ht="15.75">
      <c r="B1365" s="79"/>
      <c r="D1365"/>
      <c r="E1365" s="188"/>
      <c r="H1365"/>
      <c r="I1365" s="202"/>
      <c r="J1365"/>
      <c r="K1365" s="205"/>
      <c r="L1365" s="205"/>
      <c r="M1365" s="205"/>
    </row>
    <row r="1366" spans="2:13" ht="15.75">
      <c r="B1366" s="79"/>
      <c r="D1366"/>
      <c r="E1366" s="188"/>
      <c r="H1366"/>
      <c r="I1366" s="202"/>
      <c r="J1366"/>
      <c r="K1366" s="205"/>
      <c r="L1366" s="205"/>
      <c r="M1366" s="205"/>
    </row>
    <row r="1367" spans="2:13" ht="15.75">
      <c r="B1367" s="79"/>
      <c r="D1367"/>
      <c r="E1367" s="188"/>
      <c r="H1367"/>
      <c r="I1367" s="202"/>
      <c r="J1367"/>
      <c r="K1367" s="205"/>
      <c r="L1367" s="205"/>
      <c r="M1367" s="205"/>
    </row>
    <row r="1368" spans="2:13" ht="15.75">
      <c r="B1368" s="79"/>
      <c r="D1368"/>
      <c r="E1368" s="188"/>
      <c r="H1368"/>
      <c r="I1368" s="202"/>
      <c r="J1368"/>
      <c r="K1368" s="205"/>
      <c r="L1368" s="205"/>
      <c r="M1368" s="205"/>
    </row>
    <row r="1369" spans="2:13" ht="15.75">
      <c r="B1369" s="79"/>
      <c r="D1369"/>
      <c r="E1369" s="188"/>
      <c r="H1369"/>
      <c r="I1369" s="202"/>
      <c r="J1369"/>
      <c r="K1369" s="205"/>
      <c r="L1369" s="205"/>
      <c r="M1369" s="205"/>
    </row>
    <row r="1370" spans="2:13" ht="15.75">
      <c r="B1370" s="79"/>
      <c r="D1370"/>
      <c r="E1370" s="188"/>
      <c r="H1370"/>
      <c r="I1370" s="202"/>
      <c r="J1370"/>
      <c r="K1370" s="205"/>
      <c r="L1370" s="205"/>
      <c r="M1370" s="205"/>
    </row>
    <row r="1371" spans="2:13" ht="15.75">
      <c r="B1371" s="79"/>
      <c r="D1371"/>
      <c r="E1371" s="188"/>
      <c r="H1371"/>
      <c r="I1371" s="202"/>
      <c r="J1371"/>
      <c r="K1371" s="205"/>
      <c r="L1371" s="205"/>
      <c r="M1371" s="205"/>
    </row>
    <row r="1372" spans="2:13" ht="15.75">
      <c r="B1372" s="79"/>
      <c r="D1372"/>
      <c r="E1372" s="188"/>
      <c r="H1372"/>
      <c r="I1372" s="202"/>
      <c r="J1372"/>
      <c r="K1372" s="205"/>
      <c r="L1372" s="205"/>
      <c r="M1372" s="205"/>
    </row>
    <row r="1373" spans="2:13" ht="15.75">
      <c r="B1373" s="79"/>
      <c r="D1373"/>
      <c r="E1373" s="188"/>
      <c r="H1373"/>
      <c r="I1373" s="202"/>
      <c r="J1373"/>
      <c r="K1373" s="205"/>
      <c r="L1373" s="205"/>
      <c r="M1373" s="205"/>
    </row>
    <row r="1374" spans="2:13" ht="15.75">
      <c r="B1374" s="79"/>
      <c r="D1374"/>
      <c r="E1374" s="188"/>
      <c r="H1374"/>
      <c r="I1374" s="202"/>
      <c r="J1374"/>
      <c r="K1374" s="205"/>
      <c r="L1374" s="205"/>
      <c r="M1374" s="205"/>
    </row>
    <row r="1375" spans="2:13" ht="15.75">
      <c r="B1375" s="79"/>
      <c r="D1375"/>
      <c r="E1375" s="188"/>
      <c r="H1375"/>
      <c r="I1375" s="202"/>
      <c r="J1375"/>
      <c r="K1375" s="205"/>
      <c r="L1375" s="205"/>
      <c r="M1375" s="205"/>
    </row>
    <row r="1376" spans="2:13" ht="15.75">
      <c r="B1376" s="79"/>
      <c r="D1376"/>
      <c r="E1376" s="188"/>
      <c r="H1376"/>
      <c r="I1376" s="202"/>
      <c r="J1376"/>
      <c r="K1376" s="205"/>
      <c r="L1376" s="205"/>
      <c r="M1376" s="205"/>
    </row>
    <row r="1377" spans="2:13" ht="15.75">
      <c r="B1377" s="79"/>
      <c r="D1377"/>
      <c r="E1377" s="188"/>
      <c r="H1377"/>
      <c r="I1377" s="202"/>
      <c r="J1377"/>
      <c r="K1377" s="205"/>
      <c r="L1377" s="205"/>
      <c r="M1377" s="205"/>
    </row>
    <row r="1378" spans="2:13" ht="15.75">
      <c r="B1378" s="79"/>
      <c r="D1378"/>
      <c r="E1378" s="188"/>
      <c r="H1378"/>
      <c r="I1378" s="202"/>
      <c r="J1378"/>
      <c r="K1378" s="205"/>
      <c r="L1378" s="205"/>
      <c r="M1378" s="205"/>
    </row>
    <row r="1379" spans="2:13" ht="15.75">
      <c r="B1379" s="79"/>
      <c r="D1379"/>
      <c r="E1379" s="188"/>
      <c r="H1379"/>
      <c r="I1379" s="202"/>
      <c r="J1379"/>
      <c r="K1379" s="205"/>
      <c r="L1379" s="205"/>
      <c r="M1379" s="205"/>
    </row>
    <row r="1380" spans="2:13" ht="15.75">
      <c r="B1380" s="79"/>
      <c r="D1380"/>
      <c r="E1380" s="188"/>
      <c r="H1380"/>
      <c r="I1380" s="202"/>
      <c r="J1380"/>
      <c r="K1380" s="205"/>
      <c r="L1380" s="205"/>
      <c r="M1380" s="205"/>
    </row>
    <row r="1381" spans="2:13" ht="15.75">
      <c r="B1381" s="79"/>
      <c r="D1381"/>
      <c r="E1381" s="188"/>
      <c r="H1381"/>
      <c r="I1381" s="202"/>
      <c r="J1381"/>
      <c r="K1381" s="205"/>
      <c r="L1381" s="205"/>
      <c r="M1381" s="205"/>
    </row>
    <row r="1382" spans="2:13" ht="15.75">
      <c r="B1382" s="79"/>
      <c r="D1382"/>
      <c r="E1382" s="188"/>
      <c r="H1382"/>
      <c r="I1382" s="202"/>
      <c r="J1382"/>
      <c r="K1382" s="205"/>
      <c r="L1382" s="205"/>
      <c r="M1382" s="205"/>
    </row>
    <row r="1383" spans="2:13" ht="15.75">
      <c r="B1383" s="79"/>
      <c r="D1383"/>
      <c r="E1383" s="188"/>
      <c r="H1383"/>
      <c r="I1383" s="202"/>
      <c r="J1383"/>
      <c r="K1383" s="205"/>
      <c r="L1383" s="205"/>
      <c r="M1383" s="205"/>
    </row>
    <row r="1384" spans="2:13" ht="15.75">
      <c r="B1384" s="79"/>
      <c r="D1384"/>
      <c r="E1384" s="188"/>
      <c r="H1384"/>
      <c r="I1384" s="202"/>
      <c r="J1384"/>
      <c r="K1384" s="205"/>
      <c r="L1384" s="205"/>
      <c r="M1384" s="205"/>
    </row>
    <row r="1385" spans="2:13" ht="15.75">
      <c r="B1385" s="79"/>
      <c r="D1385"/>
      <c r="E1385" s="188"/>
      <c r="H1385"/>
      <c r="I1385" s="202"/>
      <c r="J1385"/>
      <c r="K1385" s="205"/>
      <c r="L1385" s="205"/>
      <c r="M1385" s="205"/>
    </row>
    <row r="1386" spans="2:13" ht="15.75">
      <c r="B1386" s="79"/>
      <c r="D1386"/>
      <c r="E1386" s="188"/>
      <c r="H1386"/>
      <c r="I1386" s="202"/>
      <c r="J1386"/>
      <c r="K1386" s="205"/>
      <c r="L1386" s="205"/>
      <c r="M1386" s="205"/>
    </row>
    <row r="1387" spans="2:13" ht="15.75">
      <c r="B1387" s="79"/>
      <c r="D1387"/>
      <c r="E1387" s="188"/>
      <c r="H1387"/>
      <c r="I1387" s="202"/>
      <c r="J1387"/>
      <c r="K1387" s="205"/>
      <c r="L1387" s="205"/>
      <c r="M1387" s="205"/>
    </row>
    <row r="1388" spans="2:13" ht="15.75">
      <c r="B1388" s="79"/>
      <c r="D1388"/>
      <c r="E1388" s="188"/>
      <c r="H1388"/>
      <c r="I1388" s="202"/>
      <c r="J1388"/>
      <c r="K1388" s="205"/>
      <c r="L1388" s="205"/>
      <c r="M1388" s="205"/>
    </row>
    <row r="1389" spans="2:13" ht="15.75">
      <c r="B1389" s="79"/>
      <c r="D1389"/>
      <c r="E1389" s="188"/>
      <c r="H1389"/>
      <c r="I1389" s="202"/>
      <c r="J1389"/>
      <c r="K1389" s="205"/>
      <c r="L1389" s="205"/>
      <c r="M1389" s="205"/>
    </row>
    <row r="1390" spans="2:13" ht="15.75">
      <c r="B1390" s="79"/>
      <c r="D1390"/>
      <c r="E1390" s="188"/>
      <c r="H1390"/>
      <c r="I1390" s="202"/>
      <c r="J1390"/>
      <c r="K1390" s="205"/>
      <c r="L1390" s="205"/>
      <c r="M1390" s="205"/>
    </row>
    <row r="1391" spans="2:13" ht="15.75">
      <c r="B1391" s="79"/>
      <c r="D1391"/>
      <c r="E1391" s="188"/>
      <c r="H1391"/>
      <c r="I1391" s="202"/>
      <c r="J1391"/>
      <c r="K1391" s="205"/>
      <c r="L1391" s="205"/>
      <c r="M1391" s="205"/>
    </row>
    <row r="1392" spans="2:13" ht="15.75">
      <c r="B1392" s="79"/>
      <c r="D1392"/>
      <c r="E1392" s="188"/>
      <c r="H1392"/>
      <c r="I1392" s="202"/>
      <c r="J1392"/>
      <c r="K1392" s="205"/>
      <c r="L1392" s="205"/>
      <c r="M1392" s="205"/>
    </row>
    <row r="1393" spans="2:13" ht="15.75">
      <c r="B1393" s="79"/>
      <c r="D1393"/>
      <c r="E1393" s="188"/>
      <c r="H1393"/>
      <c r="I1393" s="202"/>
      <c r="J1393"/>
      <c r="K1393" s="205"/>
      <c r="L1393" s="205"/>
      <c r="M1393" s="205"/>
    </row>
    <row r="1394" spans="2:13" ht="15.75">
      <c r="B1394" s="79"/>
      <c r="D1394"/>
      <c r="E1394" s="188"/>
      <c r="H1394"/>
      <c r="I1394" s="202"/>
      <c r="J1394"/>
      <c r="K1394" s="205"/>
      <c r="L1394" s="205"/>
      <c r="M1394" s="205"/>
    </row>
    <row r="1395" spans="2:13" ht="15.75">
      <c r="B1395" s="79"/>
      <c r="D1395"/>
      <c r="E1395" s="188"/>
      <c r="H1395"/>
      <c r="I1395" s="202"/>
      <c r="J1395"/>
      <c r="K1395" s="205"/>
      <c r="L1395" s="205"/>
      <c r="M1395" s="205"/>
    </row>
    <row r="1396" spans="2:13" ht="15.75">
      <c r="B1396" s="79"/>
      <c r="D1396"/>
      <c r="E1396" s="188"/>
      <c r="H1396"/>
      <c r="I1396" s="202"/>
      <c r="J1396"/>
      <c r="K1396" s="205"/>
      <c r="L1396" s="205"/>
      <c r="M1396" s="205"/>
    </row>
    <row r="1397" spans="2:13" ht="15.75">
      <c r="B1397" s="79"/>
      <c r="D1397"/>
      <c r="E1397" s="188"/>
      <c r="H1397"/>
      <c r="I1397" s="202"/>
      <c r="J1397"/>
      <c r="K1397" s="205"/>
      <c r="L1397" s="205"/>
      <c r="M1397" s="205"/>
    </row>
    <row r="1398" spans="2:13" ht="15.75">
      <c r="B1398" s="79"/>
      <c r="D1398"/>
      <c r="E1398" s="188"/>
      <c r="H1398"/>
      <c r="I1398" s="202"/>
      <c r="J1398"/>
      <c r="K1398" s="205"/>
      <c r="L1398" s="205"/>
      <c r="M1398" s="205"/>
    </row>
    <row r="1399" spans="2:13" ht="15.75">
      <c r="B1399" s="79"/>
      <c r="D1399"/>
      <c r="E1399" s="188"/>
      <c r="H1399"/>
      <c r="I1399" s="202"/>
      <c r="J1399"/>
      <c r="K1399" s="205"/>
      <c r="L1399" s="205"/>
      <c r="M1399" s="205"/>
    </row>
    <row r="1400" spans="2:13" ht="15.75">
      <c r="B1400" s="79"/>
      <c r="D1400"/>
      <c r="E1400" s="188"/>
      <c r="H1400"/>
      <c r="I1400" s="202"/>
      <c r="J1400"/>
      <c r="K1400" s="205"/>
      <c r="L1400" s="205"/>
      <c r="M1400" s="205"/>
    </row>
    <row r="1401" spans="2:13" ht="15.75">
      <c r="B1401" s="79"/>
      <c r="D1401"/>
      <c r="E1401" s="188"/>
      <c r="H1401"/>
      <c r="I1401" s="202"/>
      <c r="J1401"/>
      <c r="K1401" s="205"/>
      <c r="L1401" s="205"/>
      <c r="M1401" s="205"/>
    </row>
    <row r="1402" spans="2:13" ht="15.75">
      <c r="B1402" s="79"/>
      <c r="D1402"/>
      <c r="E1402" s="188"/>
      <c r="H1402"/>
      <c r="I1402" s="202"/>
      <c r="J1402"/>
      <c r="K1402" s="205"/>
      <c r="L1402" s="205"/>
      <c r="M1402" s="205"/>
    </row>
    <row r="1403" spans="2:13" ht="15.75">
      <c r="B1403" s="79"/>
      <c r="D1403"/>
      <c r="E1403" s="188"/>
      <c r="H1403"/>
      <c r="I1403" s="202"/>
      <c r="J1403"/>
      <c r="K1403" s="205"/>
      <c r="L1403" s="205"/>
      <c r="M1403" s="205"/>
    </row>
    <row r="1404" spans="2:13" ht="15.75">
      <c r="B1404" s="79"/>
      <c r="D1404"/>
      <c r="E1404" s="188"/>
      <c r="H1404"/>
      <c r="I1404" s="202"/>
      <c r="J1404"/>
      <c r="K1404" s="205"/>
      <c r="L1404" s="205"/>
      <c r="M1404" s="205"/>
    </row>
    <row r="1405" spans="2:13" ht="15.75">
      <c r="B1405" s="79"/>
      <c r="D1405"/>
      <c r="E1405" s="188"/>
      <c r="H1405"/>
      <c r="I1405" s="202"/>
      <c r="J1405"/>
      <c r="K1405" s="205"/>
      <c r="L1405" s="205"/>
      <c r="M1405" s="205"/>
    </row>
    <row r="1406" spans="2:13" ht="15.75">
      <c r="B1406" s="79"/>
      <c r="D1406"/>
      <c r="E1406" s="188"/>
      <c r="H1406"/>
      <c r="I1406" s="202"/>
      <c r="J1406"/>
      <c r="K1406" s="205"/>
      <c r="L1406" s="205"/>
      <c r="M1406" s="205"/>
    </row>
    <row r="1407" spans="2:13" ht="15.75">
      <c r="B1407" s="79"/>
      <c r="D1407"/>
      <c r="E1407" s="188"/>
      <c r="H1407"/>
      <c r="I1407" s="202"/>
      <c r="J1407"/>
      <c r="K1407" s="205"/>
      <c r="L1407" s="205"/>
      <c r="M1407" s="205"/>
    </row>
    <row r="1408" spans="2:13" ht="15.75">
      <c r="B1408" s="79"/>
      <c r="D1408"/>
      <c r="E1408" s="188"/>
      <c r="H1408"/>
      <c r="I1408" s="202"/>
      <c r="J1408"/>
      <c r="K1408" s="205"/>
      <c r="L1408" s="205"/>
      <c r="M1408" s="205"/>
    </row>
    <row r="1409" spans="2:13" ht="15.75">
      <c r="B1409" s="79"/>
      <c r="D1409"/>
      <c r="E1409" s="188"/>
      <c r="H1409"/>
      <c r="I1409" s="202"/>
      <c r="J1409"/>
      <c r="K1409" s="205"/>
      <c r="L1409" s="205"/>
      <c r="M1409" s="205"/>
    </row>
    <row r="1410" spans="2:13" ht="15.75">
      <c r="B1410" s="79"/>
      <c r="D1410"/>
      <c r="E1410" s="188"/>
      <c r="H1410"/>
      <c r="I1410" s="202"/>
      <c r="J1410"/>
      <c r="K1410" s="205"/>
      <c r="L1410" s="205"/>
      <c r="M1410" s="205"/>
    </row>
    <row r="1411" spans="2:13" ht="15.75">
      <c r="B1411" s="79"/>
      <c r="D1411"/>
      <c r="E1411" s="188"/>
      <c r="H1411"/>
      <c r="I1411" s="202"/>
      <c r="J1411"/>
      <c r="K1411" s="205"/>
      <c r="L1411" s="205"/>
      <c r="M1411" s="205"/>
    </row>
    <row r="1412" spans="2:13" ht="15.75">
      <c r="B1412" s="79"/>
      <c r="D1412"/>
      <c r="E1412" s="188"/>
      <c r="H1412"/>
      <c r="I1412" s="202"/>
      <c r="J1412"/>
      <c r="K1412" s="205"/>
      <c r="L1412" s="205"/>
      <c r="M1412" s="205"/>
    </row>
    <row r="1413" spans="2:13" ht="15.75">
      <c r="B1413" s="79"/>
      <c r="D1413"/>
      <c r="E1413" s="188"/>
      <c r="H1413"/>
      <c r="I1413" s="202"/>
      <c r="J1413"/>
      <c r="K1413" s="205"/>
      <c r="L1413" s="205"/>
      <c r="M1413" s="205"/>
    </row>
    <row r="1414" spans="2:13" ht="15.75">
      <c r="B1414" s="79"/>
      <c r="D1414"/>
      <c r="E1414" s="188"/>
      <c r="H1414"/>
      <c r="I1414" s="202"/>
      <c r="J1414"/>
      <c r="K1414" s="205"/>
      <c r="L1414" s="205"/>
      <c r="M1414" s="205"/>
    </row>
    <row r="1415" spans="2:13" ht="15.75">
      <c r="B1415" s="79"/>
      <c r="D1415"/>
      <c r="E1415" s="188"/>
      <c r="H1415"/>
      <c r="I1415" s="202"/>
      <c r="J1415"/>
      <c r="K1415" s="205"/>
      <c r="L1415" s="205"/>
      <c r="M1415" s="205"/>
    </row>
    <row r="1416" spans="2:13" ht="15.75">
      <c r="B1416" s="79"/>
      <c r="D1416"/>
      <c r="E1416" s="188"/>
      <c r="H1416"/>
      <c r="I1416" s="202"/>
      <c r="J1416"/>
      <c r="K1416" s="205"/>
      <c r="L1416" s="205"/>
      <c r="M1416" s="205"/>
    </row>
    <row r="1417" spans="2:13" ht="15.75">
      <c r="B1417" s="79"/>
      <c r="D1417"/>
      <c r="E1417" s="188"/>
      <c r="H1417"/>
      <c r="I1417" s="202"/>
      <c r="J1417"/>
      <c r="K1417" s="205"/>
      <c r="L1417" s="205"/>
      <c r="M1417" s="205"/>
    </row>
    <row r="1418" spans="2:13" ht="15.75">
      <c r="B1418" s="79"/>
      <c r="D1418"/>
      <c r="E1418" s="188"/>
      <c r="H1418"/>
      <c r="I1418" s="202"/>
      <c r="J1418"/>
      <c r="K1418" s="205"/>
      <c r="L1418" s="205"/>
      <c r="M1418" s="205"/>
    </row>
    <row r="1419" spans="2:13" ht="15.75">
      <c r="B1419" s="79"/>
      <c r="D1419"/>
      <c r="E1419" s="188"/>
      <c r="H1419"/>
      <c r="I1419" s="202"/>
      <c r="J1419"/>
      <c r="K1419" s="205"/>
      <c r="L1419" s="205"/>
      <c r="M1419" s="205"/>
    </row>
    <row r="1420" spans="2:13" ht="15.75">
      <c r="B1420" s="79"/>
      <c r="D1420"/>
      <c r="E1420" s="188"/>
      <c r="H1420"/>
      <c r="I1420" s="202"/>
      <c r="J1420"/>
      <c r="K1420" s="205"/>
      <c r="L1420" s="205"/>
      <c r="M1420" s="205"/>
    </row>
    <row r="1421" spans="2:13" ht="15.75">
      <c r="B1421" s="79"/>
      <c r="D1421"/>
      <c r="E1421" s="188"/>
      <c r="H1421"/>
      <c r="I1421" s="202"/>
      <c r="J1421"/>
      <c r="K1421" s="205"/>
      <c r="L1421" s="205"/>
      <c r="M1421" s="205"/>
    </row>
    <row r="1422" spans="2:13" ht="15.75">
      <c r="B1422" s="79"/>
      <c r="D1422"/>
      <c r="E1422" s="188"/>
      <c r="H1422"/>
      <c r="I1422" s="202"/>
      <c r="J1422"/>
      <c r="K1422" s="205"/>
      <c r="L1422" s="205"/>
      <c r="M1422" s="205"/>
    </row>
    <row r="1423" spans="2:13" ht="15.75">
      <c r="B1423" s="79"/>
      <c r="D1423"/>
      <c r="E1423" s="188"/>
      <c r="H1423"/>
      <c r="I1423" s="202"/>
      <c r="J1423"/>
      <c r="K1423" s="205"/>
      <c r="L1423" s="205"/>
      <c r="M1423" s="205"/>
    </row>
    <row r="1424" spans="2:13" ht="15.75">
      <c r="B1424" s="79"/>
      <c r="D1424"/>
      <c r="E1424" s="188"/>
      <c r="H1424"/>
      <c r="I1424" s="202"/>
      <c r="J1424"/>
      <c r="K1424" s="205"/>
      <c r="L1424" s="205"/>
      <c r="M1424" s="205"/>
    </row>
    <row r="1425" spans="2:13" ht="15.75">
      <c r="B1425" s="79"/>
      <c r="D1425"/>
      <c r="E1425" s="188"/>
      <c r="H1425"/>
      <c r="I1425" s="202"/>
      <c r="J1425"/>
      <c r="K1425" s="205"/>
      <c r="L1425" s="205"/>
      <c r="M1425" s="205"/>
    </row>
    <row r="1426" spans="2:13" ht="15.75">
      <c r="B1426" s="79"/>
      <c r="D1426"/>
      <c r="E1426" s="188"/>
      <c r="H1426"/>
      <c r="I1426" s="202"/>
      <c r="J1426"/>
      <c r="K1426" s="205"/>
      <c r="L1426" s="205"/>
      <c r="M1426" s="205"/>
    </row>
    <row r="1427" spans="2:13" ht="15.75">
      <c r="B1427" s="79"/>
      <c r="D1427"/>
      <c r="E1427" s="188"/>
      <c r="H1427"/>
      <c r="I1427" s="202"/>
      <c r="J1427"/>
      <c r="K1427" s="205"/>
      <c r="L1427" s="205"/>
      <c r="M1427" s="205"/>
    </row>
    <row r="1428" spans="2:13" ht="15.75">
      <c r="B1428" s="79"/>
      <c r="D1428"/>
      <c r="E1428" s="188"/>
      <c r="H1428"/>
      <c r="I1428" s="202"/>
      <c r="J1428"/>
      <c r="K1428" s="205"/>
      <c r="L1428" s="205"/>
      <c r="M1428" s="205"/>
    </row>
    <row r="1429" spans="2:13" ht="15.75">
      <c r="B1429" s="79"/>
      <c r="D1429"/>
      <c r="E1429" s="188"/>
      <c r="H1429"/>
      <c r="I1429" s="202"/>
      <c r="J1429"/>
      <c r="K1429" s="205"/>
      <c r="L1429" s="205"/>
      <c r="M1429" s="205"/>
    </row>
    <row r="1430" spans="2:13" ht="15.75">
      <c r="B1430" s="79"/>
      <c r="D1430"/>
      <c r="E1430" s="188"/>
      <c r="H1430"/>
      <c r="I1430" s="202"/>
      <c r="J1430"/>
      <c r="K1430" s="205"/>
      <c r="L1430" s="205"/>
      <c r="M1430" s="205"/>
    </row>
    <row r="1431" spans="2:13" ht="15.75">
      <c r="B1431" s="79"/>
      <c r="D1431"/>
      <c r="E1431" s="188"/>
      <c r="H1431"/>
      <c r="I1431" s="202"/>
      <c r="J1431"/>
      <c r="K1431" s="205"/>
      <c r="L1431" s="205"/>
      <c r="M1431" s="205"/>
    </row>
    <row r="1432" spans="2:13" ht="15.75">
      <c r="B1432" s="79"/>
      <c r="D1432"/>
      <c r="E1432" s="188"/>
      <c r="H1432"/>
      <c r="I1432" s="202"/>
      <c r="J1432"/>
      <c r="K1432" s="205"/>
      <c r="L1432" s="205"/>
      <c r="M1432" s="205"/>
    </row>
    <row r="1433" spans="2:13" ht="15.75">
      <c r="B1433" s="79"/>
      <c r="D1433"/>
      <c r="E1433" s="188"/>
      <c r="H1433"/>
      <c r="I1433" s="202"/>
      <c r="J1433"/>
      <c r="K1433" s="205"/>
      <c r="L1433" s="205"/>
      <c r="M1433" s="205"/>
    </row>
    <row r="1434" spans="2:13" ht="15.75">
      <c r="B1434" s="79"/>
      <c r="D1434"/>
      <c r="E1434" s="188"/>
      <c r="H1434"/>
      <c r="I1434" s="202"/>
      <c r="J1434"/>
      <c r="K1434" s="205"/>
      <c r="L1434" s="205"/>
      <c r="M1434" s="205"/>
    </row>
    <row r="1435" spans="2:13" ht="15.75">
      <c r="B1435" s="79"/>
      <c r="D1435"/>
      <c r="E1435" s="188"/>
      <c r="H1435"/>
      <c r="I1435" s="202"/>
      <c r="J1435"/>
      <c r="K1435" s="205"/>
      <c r="L1435" s="205"/>
      <c r="M1435" s="205"/>
    </row>
    <row r="1436" spans="2:13" ht="15.75">
      <c r="B1436" s="79"/>
      <c r="D1436"/>
      <c r="E1436" s="188"/>
      <c r="H1436"/>
      <c r="I1436" s="202"/>
      <c r="J1436"/>
      <c r="K1436" s="205"/>
      <c r="L1436" s="205"/>
      <c r="M1436" s="205"/>
    </row>
    <row r="1437" spans="2:13" ht="15.75">
      <c r="B1437" s="79"/>
      <c r="D1437"/>
      <c r="E1437" s="188"/>
      <c r="H1437"/>
      <c r="I1437" s="202"/>
      <c r="J1437"/>
      <c r="K1437" s="205"/>
      <c r="L1437" s="205"/>
      <c r="M1437" s="205"/>
    </row>
    <row r="1438" spans="2:13" ht="15.75">
      <c r="B1438" s="79"/>
      <c r="D1438"/>
      <c r="E1438" s="188"/>
      <c r="H1438"/>
      <c r="I1438" s="202"/>
      <c r="J1438"/>
      <c r="K1438" s="205"/>
      <c r="L1438" s="205"/>
      <c r="M1438" s="205"/>
    </row>
    <row r="1439" spans="2:13" ht="15.75">
      <c r="B1439" s="79"/>
      <c r="D1439"/>
      <c r="E1439" s="188"/>
      <c r="H1439"/>
      <c r="I1439" s="202"/>
      <c r="J1439"/>
      <c r="K1439" s="205"/>
      <c r="L1439" s="205"/>
      <c r="M1439" s="205"/>
    </row>
    <row r="1440" spans="2:13" ht="15.75">
      <c r="B1440" s="79"/>
      <c r="D1440"/>
      <c r="E1440" s="188"/>
      <c r="H1440"/>
      <c r="I1440" s="202"/>
      <c r="J1440"/>
      <c r="K1440" s="205"/>
      <c r="L1440" s="205"/>
      <c r="M1440" s="205"/>
    </row>
    <row r="1441" spans="2:13" ht="15.75">
      <c r="B1441" s="79"/>
      <c r="D1441"/>
      <c r="E1441" s="188"/>
      <c r="H1441"/>
      <c r="I1441" s="202"/>
      <c r="J1441"/>
      <c r="K1441" s="205"/>
      <c r="L1441" s="205"/>
      <c r="M1441" s="205"/>
    </row>
    <row r="1442" spans="2:13" ht="15.75">
      <c r="B1442" s="79"/>
      <c r="D1442"/>
      <c r="E1442" s="188"/>
      <c r="H1442"/>
      <c r="I1442" s="202"/>
      <c r="J1442"/>
      <c r="K1442" s="205"/>
      <c r="L1442" s="205"/>
      <c r="M1442" s="205"/>
    </row>
    <row r="1443" spans="2:13" ht="15.75">
      <c r="B1443" s="79"/>
      <c r="D1443"/>
      <c r="E1443" s="188"/>
      <c r="H1443"/>
      <c r="I1443" s="202"/>
      <c r="J1443"/>
      <c r="K1443" s="205"/>
      <c r="L1443" s="205"/>
      <c r="M1443" s="205"/>
    </row>
    <row r="1444" spans="2:13" ht="15.75">
      <c r="B1444" s="79"/>
      <c r="D1444"/>
      <c r="E1444" s="188"/>
      <c r="H1444"/>
      <c r="I1444" s="202"/>
      <c r="J1444"/>
      <c r="K1444" s="205"/>
      <c r="L1444" s="205"/>
      <c r="M1444" s="205"/>
    </row>
    <row r="1445" spans="2:13" ht="15.75">
      <c r="B1445" s="79"/>
      <c r="D1445"/>
      <c r="E1445" s="188"/>
      <c r="H1445"/>
      <c r="I1445" s="202"/>
      <c r="J1445"/>
      <c r="K1445" s="205"/>
      <c r="L1445" s="205"/>
      <c r="M1445" s="205"/>
    </row>
    <row r="1446" spans="2:13" ht="15.75">
      <c r="B1446" s="79"/>
      <c r="D1446"/>
      <c r="E1446" s="188"/>
      <c r="H1446"/>
      <c r="I1446" s="202"/>
      <c r="J1446"/>
      <c r="K1446" s="205"/>
      <c r="L1446" s="205"/>
      <c r="M1446" s="205"/>
    </row>
    <row r="1447" spans="2:13" ht="15.75">
      <c r="B1447" s="79"/>
      <c r="D1447"/>
      <c r="E1447" s="188"/>
      <c r="H1447"/>
      <c r="I1447" s="202"/>
      <c r="J1447"/>
      <c r="K1447" s="205"/>
      <c r="L1447" s="205"/>
      <c r="M1447" s="205"/>
    </row>
    <row r="1448" spans="2:13" ht="15.75">
      <c r="B1448" s="79"/>
      <c r="D1448"/>
      <c r="E1448" s="188"/>
      <c r="H1448"/>
      <c r="I1448" s="202"/>
      <c r="J1448"/>
      <c r="K1448" s="205"/>
      <c r="L1448" s="205"/>
      <c r="M1448" s="205"/>
    </row>
    <row r="1449" spans="2:13" ht="15.75">
      <c r="B1449" s="79"/>
      <c r="D1449"/>
      <c r="E1449" s="188"/>
      <c r="H1449"/>
      <c r="I1449" s="202"/>
      <c r="J1449"/>
      <c r="K1449" s="205"/>
      <c r="L1449" s="205"/>
      <c r="M1449" s="205"/>
    </row>
    <row r="1450" spans="2:13" ht="15.75">
      <c r="B1450" s="79"/>
      <c r="D1450"/>
      <c r="E1450" s="188"/>
      <c r="H1450"/>
      <c r="I1450" s="202"/>
      <c r="J1450"/>
      <c r="K1450" s="205"/>
      <c r="L1450" s="205"/>
      <c r="M1450" s="205"/>
    </row>
    <row r="1451" spans="2:13" ht="15.75">
      <c r="B1451" s="79"/>
      <c r="D1451"/>
      <c r="E1451" s="188"/>
      <c r="H1451"/>
      <c r="I1451" s="202"/>
      <c r="J1451"/>
      <c r="K1451" s="205"/>
      <c r="L1451" s="205"/>
      <c r="M1451" s="205"/>
    </row>
    <row r="1452" spans="2:13" ht="15.75">
      <c r="B1452" s="79"/>
      <c r="D1452"/>
      <c r="E1452" s="188"/>
      <c r="H1452"/>
      <c r="I1452" s="202"/>
      <c r="J1452"/>
      <c r="K1452" s="205"/>
      <c r="L1452" s="205"/>
      <c r="M1452" s="205"/>
    </row>
    <row r="1453" spans="2:13" ht="15.75">
      <c r="B1453" s="79"/>
      <c r="D1453"/>
      <c r="E1453" s="188"/>
      <c r="H1453"/>
      <c r="I1453" s="202"/>
      <c r="J1453"/>
      <c r="K1453" s="205"/>
      <c r="L1453" s="205"/>
      <c r="M1453" s="205"/>
    </row>
    <row r="1454" spans="2:13" ht="15.75">
      <c r="B1454" s="79"/>
      <c r="D1454"/>
      <c r="E1454" s="188"/>
      <c r="H1454"/>
      <c r="I1454" s="202"/>
      <c r="J1454"/>
      <c r="K1454" s="205"/>
      <c r="L1454" s="205"/>
      <c r="M1454" s="205"/>
    </row>
    <row r="1455" spans="2:13" ht="15.75">
      <c r="B1455" s="79"/>
      <c r="D1455"/>
      <c r="E1455" s="188"/>
      <c r="H1455"/>
      <c r="I1455" s="202"/>
      <c r="J1455"/>
      <c r="K1455" s="205"/>
      <c r="L1455" s="205"/>
      <c r="M1455" s="205"/>
    </row>
    <row r="1456" spans="2:13" ht="15.75">
      <c r="B1456" s="79"/>
      <c r="D1456"/>
      <c r="E1456" s="188"/>
      <c r="H1456"/>
      <c r="I1456" s="202"/>
      <c r="J1456"/>
      <c r="K1456" s="205"/>
      <c r="L1456" s="205"/>
      <c r="M1456" s="205"/>
    </row>
    <row r="1457" spans="2:13" ht="15.75">
      <c r="B1457" s="79"/>
      <c r="D1457"/>
      <c r="E1457" s="188"/>
      <c r="H1457"/>
      <c r="I1457" s="202"/>
      <c r="J1457"/>
      <c r="K1457" s="205"/>
      <c r="L1457" s="205"/>
      <c r="M1457" s="205"/>
    </row>
    <row r="1458" spans="2:13" ht="15.75">
      <c r="B1458" s="79"/>
      <c r="D1458"/>
      <c r="E1458" s="188"/>
      <c r="H1458"/>
      <c r="I1458" s="202"/>
      <c r="J1458"/>
      <c r="K1458" s="205"/>
      <c r="L1458" s="205"/>
      <c r="M1458" s="205"/>
    </row>
    <row r="1459" spans="2:13" ht="15.75">
      <c r="B1459" s="79"/>
      <c r="D1459"/>
      <c r="E1459" s="188"/>
      <c r="H1459"/>
      <c r="I1459" s="202"/>
      <c r="J1459"/>
      <c r="K1459" s="205"/>
      <c r="L1459" s="205"/>
      <c r="M1459" s="205"/>
    </row>
    <row r="1460" spans="2:13" ht="15.75">
      <c r="B1460" s="79"/>
      <c r="D1460"/>
      <c r="E1460" s="188"/>
      <c r="H1460"/>
      <c r="I1460" s="202"/>
      <c r="J1460"/>
      <c r="K1460" s="205"/>
      <c r="L1460" s="205"/>
      <c r="M1460" s="205"/>
    </row>
    <row r="1461" spans="2:13" ht="15.75">
      <c r="B1461" s="79"/>
      <c r="D1461"/>
      <c r="E1461" s="188"/>
      <c r="H1461"/>
      <c r="I1461" s="202"/>
      <c r="J1461"/>
      <c r="K1461" s="205"/>
      <c r="L1461" s="205"/>
      <c r="M1461" s="205"/>
    </row>
    <row r="1462" spans="2:13" ht="15.75">
      <c r="B1462" s="79"/>
      <c r="D1462"/>
      <c r="E1462" s="188"/>
      <c r="H1462"/>
      <c r="I1462" s="202"/>
      <c r="J1462"/>
      <c r="K1462" s="205"/>
      <c r="L1462" s="205"/>
      <c r="M1462" s="205"/>
    </row>
    <row r="1463" spans="2:13" ht="15.75">
      <c r="B1463" s="79"/>
      <c r="D1463"/>
      <c r="E1463" s="188"/>
      <c r="H1463"/>
      <c r="I1463" s="202"/>
      <c r="J1463"/>
      <c r="K1463" s="205"/>
      <c r="L1463" s="205"/>
      <c r="M1463" s="205"/>
    </row>
    <row r="1464" spans="2:13" ht="15.75">
      <c r="B1464" s="79"/>
      <c r="D1464"/>
      <c r="E1464" s="188"/>
      <c r="H1464"/>
      <c r="I1464" s="202"/>
      <c r="J1464"/>
      <c r="K1464" s="205"/>
      <c r="L1464" s="205"/>
      <c r="M1464" s="205"/>
    </row>
    <row r="1465" spans="2:13" ht="15.75">
      <c r="B1465" s="79"/>
      <c r="D1465"/>
      <c r="E1465" s="188"/>
      <c r="H1465"/>
      <c r="I1465" s="202"/>
      <c r="J1465"/>
      <c r="K1465" s="205"/>
      <c r="L1465" s="205"/>
      <c r="M1465" s="205"/>
    </row>
    <row r="1466" spans="2:13" ht="15.75">
      <c r="B1466" s="79"/>
      <c r="D1466"/>
      <c r="E1466" s="188"/>
      <c r="H1466"/>
      <c r="I1466" s="202"/>
      <c r="J1466"/>
      <c r="K1466" s="205"/>
      <c r="L1466" s="205"/>
      <c r="M1466" s="205"/>
    </row>
    <row r="1467" spans="2:13" ht="15.75">
      <c r="B1467" s="79"/>
      <c r="D1467"/>
      <c r="E1467" s="188"/>
      <c r="H1467"/>
      <c r="I1467" s="202"/>
      <c r="J1467"/>
      <c r="K1467" s="205"/>
      <c r="L1467" s="205"/>
      <c r="M1467" s="205"/>
    </row>
    <row r="1468" spans="2:13" ht="15.75">
      <c r="B1468" s="79"/>
      <c r="D1468"/>
      <c r="E1468" s="188"/>
      <c r="H1468"/>
      <c r="I1468" s="202"/>
      <c r="J1468"/>
      <c r="K1468" s="205"/>
      <c r="L1468" s="205"/>
      <c r="M1468" s="205"/>
    </row>
    <row r="1469" spans="2:13" ht="15.75">
      <c r="B1469" s="79"/>
      <c r="D1469"/>
      <c r="E1469" s="188"/>
      <c r="H1469"/>
      <c r="I1469" s="202"/>
      <c r="J1469"/>
      <c r="K1469" s="205"/>
      <c r="L1469" s="205"/>
      <c r="M1469" s="205"/>
    </row>
    <row r="1470" spans="2:13" ht="15.75">
      <c r="B1470" s="79"/>
      <c r="D1470"/>
      <c r="E1470" s="188"/>
      <c r="H1470"/>
      <c r="I1470" s="202"/>
      <c r="J1470"/>
      <c r="K1470" s="205"/>
      <c r="L1470" s="205"/>
      <c r="M1470" s="205"/>
    </row>
    <row r="1471" spans="2:13" ht="15.75">
      <c r="B1471" s="79"/>
      <c r="D1471"/>
      <c r="E1471" s="188"/>
      <c r="H1471"/>
      <c r="I1471" s="202"/>
      <c r="J1471"/>
      <c r="K1471" s="205"/>
      <c r="L1471" s="205"/>
      <c r="M1471" s="205"/>
    </row>
    <row r="1472" spans="2:13" ht="15.75">
      <c r="B1472" s="79"/>
      <c r="D1472"/>
      <c r="E1472" s="188"/>
      <c r="H1472"/>
      <c r="I1472" s="202"/>
      <c r="J1472"/>
      <c r="K1472" s="205"/>
      <c r="L1472" s="205"/>
      <c r="M1472" s="205"/>
    </row>
    <row r="1473" spans="2:13" ht="15.75">
      <c r="B1473" s="79"/>
      <c r="D1473"/>
      <c r="E1473" s="188"/>
      <c r="H1473"/>
      <c r="I1473" s="202"/>
      <c r="J1473"/>
      <c r="K1473" s="205"/>
      <c r="L1473" s="205"/>
      <c r="M1473" s="205"/>
    </row>
    <row r="1474" spans="2:13" ht="15.75">
      <c r="B1474" s="79"/>
      <c r="D1474"/>
      <c r="E1474" s="188"/>
      <c r="H1474"/>
      <c r="I1474" s="202"/>
      <c r="J1474"/>
      <c r="K1474" s="205"/>
      <c r="L1474" s="205"/>
      <c r="M1474" s="205"/>
    </row>
    <row r="1475" spans="2:13" ht="15.75">
      <c r="B1475" s="79"/>
      <c r="D1475"/>
      <c r="E1475" s="188"/>
      <c r="H1475"/>
      <c r="I1475" s="202"/>
      <c r="J1475"/>
      <c r="K1475" s="205"/>
      <c r="L1475" s="205"/>
      <c r="M1475" s="205"/>
    </row>
    <row r="1476" spans="2:13" ht="15.75">
      <c r="B1476" s="79"/>
      <c r="D1476"/>
      <c r="E1476" s="188"/>
      <c r="H1476"/>
      <c r="I1476" s="202"/>
      <c r="J1476"/>
      <c r="K1476" s="205"/>
      <c r="L1476" s="205"/>
      <c r="M1476" s="205"/>
    </row>
    <row r="1477" spans="2:13" ht="15.75">
      <c r="B1477" s="79"/>
      <c r="D1477"/>
      <c r="E1477" s="188"/>
      <c r="H1477"/>
      <c r="I1477" s="202"/>
      <c r="J1477"/>
      <c r="K1477" s="205"/>
      <c r="L1477" s="205"/>
      <c r="M1477" s="205"/>
    </row>
    <row r="1478" spans="2:13" ht="15.75">
      <c r="B1478" s="79"/>
      <c r="D1478"/>
      <c r="E1478" s="188"/>
      <c r="H1478"/>
      <c r="I1478" s="202"/>
      <c r="J1478"/>
      <c r="K1478" s="205"/>
      <c r="L1478" s="205"/>
      <c r="M1478" s="205"/>
    </row>
    <row r="1479" spans="2:13" ht="15.75">
      <c r="B1479" s="79"/>
      <c r="D1479"/>
      <c r="E1479" s="188"/>
      <c r="H1479"/>
      <c r="I1479" s="202"/>
      <c r="J1479"/>
      <c r="K1479" s="205"/>
      <c r="L1479" s="205"/>
      <c r="M1479" s="205"/>
    </row>
    <row r="1480" spans="2:13" ht="15.75">
      <c r="B1480" s="79"/>
      <c r="D1480"/>
      <c r="E1480" s="188"/>
      <c r="H1480"/>
      <c r="I1480" s="202"/>
      <c r="J1480"/>
      <c r="K1480" s="205"/>
      <c r="L1480" s="205"/>
      <c r="M1480" s="205"/>
    </row>
    <row r="1481" spans="2:13" ht="15.75">
      <c r="B1481" s="79"/>
      <c r="D1481"/>
      <c r="E1481" s="188"/>
      <c r="H1481"/>
      <c r="I1481" s="202"/>
      <c r="J1481"/>
      <c r="K1481" s="205"/>
      <c r="L1481" s="205"/>
      <c r="M1481" s="205"/>
    </row>
    <row r="1482" spans="2:13" ht="15.75">
      <c r="B1482" s="79"/>
      <c r="D1482"/>
      <c r="E1482" s="188"/>
      <c r="H1482"/>
      <c r="I1482" s="202"/>
      <c r="J1482"/>
      <c r="K1482" s="205"/>
      <c r="L1482" s="205"/>
      <c r="M1482" s="205"/>
    </row>
    <row r="1483" spans="2:13" ht="15.75">
      <c r="B1483" s="79"/>
      <c r="D1483"/>
      <c r="E1483" s="188"/>
      <c r="H1483"/>
      <c r="I1483" s="202"/>
      <c r="J1483"/>
      <c r="K1483" s="205"/>
      <c r="L1483" s="205"/>
      <c r="M1483" s="205"/>
    </row>
    <row r="1484" spans="2:13" ht="15.75">
      <c r="B1484" s="79"/>
      <c r="D1484"/>
      <c r="E1484" s="188"/>
      <c r="H1484"/>
      <c r="I1484" s="202"/>
      <c r="J1484"/>
      <c r="K1484" s="205"/>
      <c r="L1484" s="205"/>
      <c r="M1484" s="205"/>
    </row>
    <row r="1485" spans="2:13" ht="15.75">
      <c r="B1485" s="79"/>
      <c r="D1485"/>
      <c r="E1485" s="188"/>
      <c r="H1485"/>
      <c r="I1485" s="202"/>
      <c r="J1485"/>
      <c r="K1485" s="205"/>
      <c r="L1485" s="205"/>
      <c r="M1485" s="205"/>
    </row>
    <row r="1486" spans="2:13" ht="15.75">
      <c r="B1486" s="79"/>
      <c r="D1486"/>
      <c r="E1486" s="188"/>
      <c r="H1486"/>
      <c r="I1486" s="202"/>
      <c r="J1486"/>
      <c r="K1486" s="205"/>
      <c r="L1486" s="205"/>
      <c r="M1486" s="205"/>
    </row>
    <row r="1487" spans="2:13" ht="15.75">
      <c r="B1487" s="79"/>
      <c r="D1487"/>
      <c r="E1487" s="188"/>
      <c r="H1487"/>
      <c r="I1487" s="202"/>
      <c r="J1487"/>
      <c r="K1487" s="205"/>
      <c r="L1487" s="205"/>
      <c r="M1487" s="205"/>
    </row>
    <row r="1488" spans="2:13" ht="15.75">
      <c r="B1488" s="79"/>
      <c r="D1488"/>
      <c r="E1488" s="188"/>
      <c r="H1488"/>
      <c r="I1488" s="202"/>
      <c r="J1488"/>
      <c r="K1488" s="205"/>
      <c r="L1488" s="205"/>
      <c r="M1488" s="205"/>
    </row>
    <row r="1489" spans="2:13" ht="15.75">
      <c r="B1489" s="79"/>
      <c r="D1489"/>
      <c r="E1489" s="188"/>
      <c r="H1489"/>
      <c r="I1489" s="202"/>
      <c r="J1489"/>
      <c r="K1489" s="205"/>
      <c r="L1489" s="205"/>
      <c r="M1489" s="205"/>
    </row>
    <row r="1490" spans="2:13" ht="15.75">
      <c r="B1490" s="79"/>
      <c r="D1490"/>
      <c r="E1490" s="188"/>
      <c r="H1490"/>
      <c r="I1490" s="202"/>
      <c r="J1490"/>
      <c r="K1490" s="205"/>
      <c r="L1490" s="205"/>
      <c r="M1490" s="205"/>
    </row>
    <row r="1491" spans="2:13" ht="15.75">
      <c r="B1491" s="79"/>
      <c r="D1491"/>
      <c r="E1491" s="188"/>
      <c r="H1491"/>
      <c r="I1491" s="202"/>
      <c r="J1491"/>
      <c r="K1491" s="205"/>
      <c r="L1491" s="205"/>
      <c r="M1491" s="205"/>
    </row>
    <row r="1492" spans="2:13" ht="15.75">
      <c r="B1492" s="79"/>
      <c r="D1492"/>
      <c r="E1492" s="188"/>
      <c r="H1492"/>
      <c r="I1492" s="202"/>
      <c r="J1492"/>
      <c r="K1492" s="205"/>
      <c r="L1492" s="205"/>
      <c r="M1492" s="205"/>
    </row>
    <row r="1493" spans="2:13" ht="15.75">
      <c r="B1493" s="79"/>
      <c r="D1493"/>
      <c r="E1493" s="188"/>
      <c r="H1493"/>
      <c r="I1493" s="202"/>
      <c r="J1493"/>
      <c r="K1493" s="205"/>
      <c r="L1493" s="205"/>
      <c r="M1493" s="205"/>
    </row>
    <row r="1494" spans="2:13" ht="15.75">
      <c r="B1494" s="79"/>
      <c r="D1494"/>
      <c r="E1494" s="188"/>
      <c r="H1494"/>
      <c r="I1494" s="202"/>
      <c r="J1494"/>
      <c r="K1494" s="205"/>
      <c r="L1494" s="205"/>
      <c r="M1494" s="205"/>
    </row>
    <row r="1495" spans="2:13" ht="15.75">
      <c r="B1495" s="79"/>
      <c r="D1495"/>
      <c r="E1495" s="188"/>
      <c r="H1495"/>
      <c r="I1495" s="202"/>
      <c r="J1495"/>
      <c r="K1495" s="205"/>
      <c r="L1495" s="205"/>
      <c r="M1495" s="205"/>
    </row>
    <row r="1496" spans="2:13" ht="15.75">
      <c r="B1496" s="79"/>
      <c r="D1496"/>
      <c r="E1496" s="188"/>
      <c r="H1496"/>
      <c r="I1496" s="202"/>
      <c r="J1496"/>
      <c r="K1496" s="205"/>
      <c r="L1496" s="205"/>
      <c r="M1496" s="205"/>
    </row>
    <row r="1497" spans="2:13" ht="15.75">
      <c r="B1497" s="79"/>
      <c r="D1497"/>
      <c r="E1497" s="188"/>
      <c r="H1497"/>
      <c r="I1497" s="202"/>
      <c r="J1497"/>
      <c r="K1497" s="205"/>
      <c r="L1497" s="205"/>
      <c r="M1497" s="205"/>
    </row>
    <row r="1498" spans="2:13" ht="15.75">
      <c r="B1498" s="79"/>
      <c r="D1498"/>
      <c r="E1498" s="188"/>
      <c r="H1498"/>
      <c r="I1498" s="202"/>
      <c r="J1498"/>
      <c r="K1498" s="205"/>
      <c r="L1498" s="205"/>
      <c r="M1498" s="205"/>
    </row>
    <row r="1499" spans="2:13" ht="15.75">
      <c r="B1499" s="79"/>
      <c r="D1499"/>
      <c r="E1499" s="188"/>
      <c r="H1499"/>
      <c r="I1499" s="202"/>
      <c r="J1499"/>
      <c r="K1499" s="205"/>
      <c r="L1499" s="205"/>
      <c r="M1499" s="205"/>
    </row>
    <row r="1500" spans="2:13" ht="15.75">
      <c r="B1500" s="79"/>
      <c r="D1500"/>
      <c r="E1500" s="188"/>
      <c r="H1500"/>
      <c r="I1500" s="202"/>
      <c r="J1500"/>
      <c r="K1500" s="205"/>
      <c r="L1500" s="205"/>
      <c r="M1500" s="205"/>
    </row>
    <row r="1501" spans="2:13" ht="15.75">
      <c r="B1501" s="79"/>
      <c r="D1501"/>
      <c r="E1501" s="188"/>
      <c r="H1501"/>
      <c r="I1501" s="202"/>
      <c r="J1501"/>
      <c r="K1501" s="205"/>
      <c r="L1501" s="205"/>
      <c r="M1501" s="205"/>
    </row>
    <row r="1502" spans="2:13" ht="15.75">
      <c r="B1502" s="79"/>
      <c r="D1502"/>
      <c r="E1502" s="188"/>
      <c r="H1502"/>
      <c r="I1502" s="202"/>
      <c r="J1502"/>
      <c r="K1502" s="205"/>
      <c r="L1502" s="205"/>
      <c r="M1502" s="205"/>
    </row>
    <row r="1503" spans="2:13" ht="15.75">
      <c r="B1503" s="79"/>
      <c r="D1503"/>
      <c r="E1503" s="188"/>
      <c r="H1503"/>
      <c r="I1503" s="202"/>
      <c r="J1503"/>
      <c r="K1503" s="205"/>
      <c r="L1503" s="205"/>
      <c r="M1503" s="205"/>
    </row>
    <row r="1504" spans="2:13" ht="15.75">
      <c r="B1504" s="79"/>
      <c r="D1504"/>
      <c r="E1504" s="188"/>
      <c r="H1504"/>
      <c r="I1504" s="202"/>
      <c r="J1504"/>
      <c r="K1504" s="205"/>
      <c r="L1504" s="205"/>
      <c r="M1504" s="205"/>
    </row>
    <row r="1505" spans="2:13" ht="15.75">
      <c r="B1505" s="79"/>
      <c r="D1505"/>
      <c r="E1505" s="188"/>
      <c r="H1505"/>
      <c r="I1505" s="202"/>
      <c r="J1505"/>
      <c r="K1505" s="205"/>
      <c r="L1505" s="205"/>
      <c r="M1505" s="205"/>
    </row>
    <row r="1506" spans="2:13" ht="15.75">
      <c r="B1506" s="79"/>
      <c r="D1506"/>
      <c r="E1506" s="188"/>
      <c r="H1506"/>
      <c r="I1506" s="202"/>
      <c r="J1506"/>
      <c r="K1506" s="205"/>
      <c r="L1506" s="205"/>
      <c r="M1506" s="205"/>
    </row>
    <row r="1507" spans="2:13" ht="15.75">
      <c r="B1507" s="79"/>
      <c r="D1507"/>
      <c r="E1507" s="188"/>
      <c r="H1507"/>
      <c r="I1507" s="202"/>
      <c r="J1507"/>
      <c r="K1507" s="205"/>
      <c r="L1507" s="205"/>
      <c r="M1507" s="205"/>
    </row>
    <row r="1508" spans="2:13" ht="15.75">
      <c r="B1508" s="79"/>
      <c r="D1508"/>
      <c r="E1508" s="188"/>
      <c r="H1508"/>
      <c r="I1508" s="202"/>
      <c r="J1508"/>
      <c r="K1508" s="205"/>
      <c r="L1508" s="205"/>
      <c r="M1508" s="205"/>
    </row>
    <row r="1509" spans="2:13" ht="15.75">
      <c r="B1509" s="79"/>
      <c r="D1509"/>
      <c r="E1509" s="188"/>
      <c r="H1509"/>
      <c r="I1509" s="202"/>
      <c r="J1509"/>
      <c r="K1509" s="205"/>
      <c r="L1509" s="205"/>
      <c r="M1509" s="205"/>
    </row>
    <row r="1510" spans="2:13" ht="15.75">
      <c r="B1510" s="79"/>
      <c r="D1510"/>
      <c r="E1510" s="188"/>
      <c r="H1510"/>
      <c r="I1510" s="202"/>
      <c r="J1510"/>
      <c r="K1510" s="205"/>
      <c r="L1510" s="205"/>
      <c r="M1510" s="205"/>
    </row>
    <row r="1511" spans="2:13" ht="15.75">
      <c r="B1511" s="79"/>
      <c r="D1511"/>
      <c r="E1511" s="188"/>
      <c r="H1511"/>
      <c r="I1511" s="202"/>
      <c r="J1511"/>
      <c r="K1511" s="205"/>
      <c r="L1511" s="205"/>
      <c r="M1511" s="205"/>
    </row>
    <row r="1512" spans="2:13" ht="15.75">
      <c r="B1512" s="79"/>
      <c r="D1512"/>
      <c r="E1512" s="188"/>
      <c r="H1512"/>
      <c r="I1512" s="202"/>
      <c r="J1512"/>
      <c r="K1512" s="205"/>
      <c r="L1512" s="205"/>
      <c r="M1512" s="205"/>
    </row>
    <row r="1513" spans="2:13" ht="15.75">
      <c r="B1513" s="79"/>
      <c r="D1513"/>
      <c r="E1513" s="188"/>
      <c r="H1513"/>
      <c r="I1513" s="202"/>
      <c r="J1513"/>
      <c r="K1513" s="205"/>
      <c r="L1513" s="205"/>
      <c r="M1513" s="205"/>
    </row>
    <row r="1514" spans="2:13" ht="15.75">
      <c r="B1514" s="79"/>
      <c r="D1514"/>
      <c r="E1514" s="188"/>
      <c r="H1514"/>
      <c r="I1514" s="202"/>
      <c r="J1514"/>
      <c r="K1514" s="205"/>
      <c r="L1514" s="205"/>
      <c r="M1514" s="205"/>
    </row>
    <row r="1515" spans="2:13" ht="15.75">
      <c r="B1515" s="79"/>
      <c r="D1515"/>
      <c r="E1515" s="188"/>
      <c r="H1515"/>
      <c r="I1515" s="202"/>
      <c r="J1515"/>
      <c r="K1515" s="205"/>
      <c r="L1515" s="205"/>
      <c r="M1515" s="205"/>
    </row>
    <row r="1516" spans="2:13" ht="15.75">
      <c r="B1516" s="79"/>
      <c r="D1516"/>
      <c r="E1516" s="188"/>
      <c r="H1516"/>
      <c r="I1516" s="202"/>
      <c r="J1516"/>
      <c r="K1516" s="205"/>
      <c r="L1516" s="205"/>
      <c r="M1516" s="205"/>
    </row>
    <row r="1517" spans="2:13" ht="15.75">
      <c r="B1517" s="79"/>
      <c r="D1517"/>
      <c r="E1517" s="188"/>
      <c r="H1517"/>
      <c r="I1517" s="202"/>
      <c r="J1517"/>
      <c r="K1517" s="205"/>
      <c r="L1517" s="205"/>
      <c r="M1517" s="205"/>
    </row>
    <row r="1518" spans="2:13" ht="15.75">
      <c r="B1518" s="79"/>
      <c r="D1518"/>
      <c r="E1518" s="188"/>
      <c r="H1518"/>
      <c r="I1518" s="202"/>
      <c r="J1518"/>
      <c r="K1518" s="205"/>
      <c r="L1518" s="205"/>
      <c r="M1518" s="205"/>
    </row>
    <row r="1519" spans="2:13" ht="15.75">
      <c r="B1519" s="79"/>
      <c r="D1519"/>
      <c r="E1519" s="188"/>
      <c r="H1519"/>
      <c r="I1519" s="202"/>
      <c r="J1519"/>
      <c r="K1519" s="205"/>
      <c r="L1519" s="205"/>
      <c r="M1519" s="205"/>
    </row>
    <row r="1520" spans="2:13" ht="15.75">
      <c r="B1520" s="79"/>
      <c r="D1520"/>
      <c r="E1520" s="188"/>
      <c r="H1520"/>
      <c r="I1520" s="202"/>
      <c r="J1520"/>
      <c r="K1520" s="205"/>
      <c r="L1520" s="205"/>
      <c r="M1520" s="205"/>
    </row>
    <row r="1521" spans="2:13" ht="15.75">
      <c r="B1521" s="79"/>
      <c r="D1521"/>
      <c r="E1521" s="188"/>
      <c r="H1521"/>
      <c r="I1521" s="202"/>
      <c r="J1521"/>
      <c r="K1521" s="205"/>
      <c r="L1521" s="205"/>
      <c r="M1521" s="205"/>
    </row>
    <row r="1522" spans="2:13" ht="15.75">
      <c r="B1522" s="79"/>
      <c r="D1522"/>
      <c r="E1522" s="188"/>
      <c r="H1522"/>
      <c r="I1522" s="202"/>
      <c r="J1522"/>
      <c r="K1522" s="205"/>
      <c r="L1522" s="205"/>
      <c r="M1522" s="205"/>
    </row>
    <row r="1523" spans="2:13" ht="15.75">
      <c r="B1523" s="79"/>
      <c r="D1523"/>
      <c r="E1523" s="188"/>
      <c r="H1523"/>
      <c r="I1523" s="202"/>
      <c r="J1523"/>
      <c r="K1523" s="205"/>
      <c r="L1523" s="205"/>
      <c r="M1523" s="205"/>
    </row>
    <row r="1524" spans="2:13" ht="15.75">
      <c r="B1524" s="79"/>
      <c r="D1524"/>
      <c r="E1524" s="188"/>
      <c r="H1524"/>
      <c r="I1524" s="202"/>
      <c r="J1524"/>
      <c r="K1524" s="205"/>
      <c r="L1524" s="205"/>
      <c r="M1524" s="205"/>
    </row>
    <row r="1525" spans="2:13" ht="15.75">
      <c r="B1525" s="79"/>
      <c r="D1525"/>
      <c r="E1525" s="188"/>
      <c r="H1525"/>
      <c r="I1525" s="202"/>
      <c r="J1525"/>
      <c r="K1525" s="205"/>
      <c r="L1525" s="205"/>
      <c r="M1525" s="205"/>
    </row>
    <row r="1526" spans="2:13" ht="15.75">
      <c r="B1526" s="79"/>
      <c r="D1526"/>
      <c r="E1526" s="188"/>
      <c r="H1526"/>
      <c r="I1526" s="202"/>
      <c r="J1526"/>
      <c r="K1526" s="205"/>
      <c r="L1526" s="205"/>
      <c r="M1526" s="205"/>
    </row>
    <row r="1527" spans="2:13" ht="15.75">
      <c r="B1527" s="79"/>
      <c r="D1527"/>
      <c r="E1527" s="188"/>
      <c r="H1527"/>
      <c r="I1527" s="202"/>
      <c r="J1527"/>
      <c r="K1527" s="205"/>
      <c r="L1527" s="205"/>
      <c r="M1527" s="205"/>
    </row>
    <row r="1528" spans="2:13" ht="15.75">
      <c r="B1528" s="79"/>
      <c r="D1528"/>
      <c r="E1528" s="188"/>
      <c r="H1528"/>
      <c r="I1528" s="202"/>
      <c r="J1528"/>
      <c r="K1528" s="205"/>
      <c r="L1528" s="205"/>
      <c r="M1528" s="205"/>
    </row>
    <row r="1529" spans="2:13" ht="15.75">
      <c r="B1529" s="79"/>
      <c r="D1529"/>
      <c r="E1529" s="188"/>
      <c r="H1529"/>
      <c r="I1529" s="202"/>
      <c r="J1529"/>
      <c r="K1529" s="205"/>
      <c r="L1529" s="205"/>
      <c r="M1529" s="205"/>
    </row>
    <row r="1530" spans="2:13" ht="15.75">
      <c r="B1530" s="79"/>
      <c r="D1530"/>
      <c r="E1530" s="188"/>
      <c r="H1530"/>
      <c r="I1530" s="202"/>
      <c r="J1530"/>
      <c r="K1530" s="205"/>
      <c r="L1530" s="205"/>
      <c r="M1530" s="205"/>
    </row>
    <row r="1531" spans="2:13" ht="15.75">
      <c r="B1531" s="79"/>
      <c r="D1531"/>
      <c r="E1531" s="188"/>
      <c r="H1531"/>
      <c r="I1531" s="202"/>
      <c r="J1531"/>
      <c r="K1531" s="205"/>
      <c r="L1531" s="205"/>
      <c r="M1531" s="205"/>
    </row>
    <row r="1532" spans="2:13" ht="15.75">
      <c r="B1532" s="79"/>
      <c r="D1532"/>
      <c r="E1532" s="188"/>
      <c r="H1532"/>
      <c r="I1532" s="202"/>
      <c r="J1532"/>
      <c r="K1532" s="205"/>
      <c r="L1532" s="205"/>
      <c r="M1532" s="205"/>
    </row>
    <row r="1533" spans="2:13" ht="15.75">
      <c r="B1533" s="79"/>
      <c r="D1533"/>
      <c r="E1533" s="188"/>
      <c r="H1533"/>
      <c r="I1533" s="202"/>
      <c r="J1533"/>
      <c r="K1533" s="205"/>
      <c r="L1533" s="205"/>
      <c r="M1533" s="205"/>
    </row>
    <row r="1534" spans="2:13" ht="15.75">
      <c r="B1534" s="79"/>
      <c r="D1534"/>
      <c r="E1534" s="188"/>
      <c r="H1534"/>
      <c r="I1534" s="202"/>
      <c r="J1534"/>
      <c r="K1534" s="205"/>
      <c r="L1534" s="205"/>
      <c r="M1534" s="205"/>
    </row>
    <row r="1535" spans="2:13" ht="15.75">
      <c r="B1535" s="79"/>
      <c r="D1535"/>
      <c r="E1535" s="188"/>
      <c r="H1535"/>
      <c r="I1535" s="202"/>
      <c r="J1535"/>
      <c r="K1535" s="205"/>
      <c r="L1535" s="205"/>
      <c r="M1535" s="205"/>
    </row>
    <row r="1536" spans="2:13" ht="15.75">
      <c r="B1536" s="79"/>
      <c r="D1536"/>
      <c r="E1536" s="188"/>
      <c r="H1536"/>
      <c r="I1536" s="202"/>
      <c r="J1536"/>
      <c r="K1536" s="205"/>
      <c r="L1536" s="205"/>
      <c r="M1536" s="205"/>
    </row>
    <row r="1537" spans="2:13" ht="15.75">
      <c r="B1537" s="79"/>
      <c r="D1537"/>
      <c r="E1537" s="188"/>
      <c r="H1537"/>
      <c r="I1537" s="202"/>
      <c r="J1537"/>
      <c r="K1537" s="205"/>
      <c r="L1537" s="205"/>
      <c r="M1537" s="205"/>
    </row>
    <row r="1538" spans="2:13" ht="15.75">
      <c r="B1538" s="79"/>
      <c r="D1538"/>
      <c r="E1538" s="188"/>
      <c r="H1538"/>
      <c r="I1538" s="202"/>
      <c r="J1538"/>
      <c r="K1538" s="205"/>
      <c r="L1538" s="205"/>
      <c r="M1538" s="205"/>
    </row>
    <row r="1539" spans="2:13" ht="15.75">
      <c r="B1539" s="79"/>
      <c r="D1539"/>
      <c r="E1539" s="188"/>
      <c r="H1539"/>
      <c r="I1539" s="202"/>
      <c r="J1539"/>
      <c r="K1539" s="205"/>
      <c r="L1539" s="205"/>
      <c r="M1539" s="205"/>
    </row>
    <row r="1540" spans="2:13" ht="15.75">
      <c r="B1540" s="79"/>
      <c r="D1540"/>
      <c r="E1540" s="188"/>
      <c r="H1540"/>
      <c r="I1540" s="202"/>
      <c r="J1540"/>
      <c r="K1540" s="205"/>
      <c r="L1540" s="205"/>
      <c r="M1540" s="205"/>
    </row>
    <row r="1541" spans="2:13" ht="15.75">
      <c r="B1541" s="79"/>
      <c r="D1541"/>
      <c r="E1541" s="188"/>
      <c r="H1541"/>
      <c r="I1541" s="202"/>
      <c r="J1541"/>
      <c r="K1541" s="205"/>
      <c r="L1541" s="205"/>
      <c r="M1541" s="205"/>
    </row>
    <row r="1542" spans="2:13" ht="15.75">
      <c r="B1542" s="79"/>
      <c r="D1542"/>
      <c r="E1542" s="188"/>
      <c r="H1542"/>
      <c r="I1542" s="202"/>
      <c r="J1542"/>
      <c r="K1542" s="205"/>
      <c r="L1542" s="205"/>
      <c r="M1542" s="205"/>
    </row>
    <row r="1543" spans="2:13" ht="15.75">
      <c r="B1543" s="79"/>
      <c r="D1543"/>
      <c r="E1543" s="188"/>
      <c r="H1543"/>
      <c r="I1543" s="202"/>
      <c r="J1543"/>
      <c r="K1543" s="205"/>
      <c r="L1543" s="205"/>
      <c r="M1543" s="205"/>
    </row>
    <row r="1544" spans="2:13" ht="15.75">
      <c r="B1544" s="79"/>
      <c r="D1544"/>
      <c r="E1544" s="188"/>
      <c r="H1544"/>
      <c r="I1544" s="202"/>
      <c r="J1544"/>
      <c r="K1544" s="205"/>
      <c r="L1544" s="205"/>
      <c r="M1544" s="205"/>
    </row>
    <row r="1545" spans="2:13" ht="15.75">
      <c r="B1545" s="79"/>
      <c r="D1545"/>
      <c r="E1545" s="188"/>
      <c r="H1545"/>
      <c r="I1545" s="202"/>
      <c r="J1545"/>
      <c r="K1545" s="205"/>
      <c r="L1545" s="205"/>
      <c r="M1545" s="205"/>
    </row>
    <row r="1546" spans="2:13" ht="15.75">
      <c r="B1546" s="79"/>
      <c r="D1546"/>
      <c r="E1546" s="188"/>
      <c r="H1546"/>
      <c r="I1546" s="202"/>
      <c r="J1546"/>
      <c r="K1546" s="205"/>
      <c r="L1546" s="205"/>
      <c r="M1546" s="205"/>
    </row>
    <row r="1547" spans="2:13" ht="15.75">
      <c r="B1547" s="79"/>
      <c r="D1547"/>
      <c r="E1547" s="188"/>
      <c r="H1547"/>
      <c r="I1547" s="202"/>
      <c r="J1547"/>
      <c r="K1547" s="205"/>
      <c r="L1547" s="205"/>
      <c r="M1547" s="205"/>
    </row>
    <row r="1548" spans="2:13" ht="15.75">
      <c r="B1548" s="79"/>
      <c r="D1548"/>
      <c r="E1548" s="188"/>
      <c r="H1548"/>
      <c r="I1548" s="202"/>
      <c r="J1548"/>
      <c r="K1548" s="205"/>
      <c r="L1548" s="205"/>
      <c r="M1548" s="205"/>
    </row>
    <row r="1549" spans="2:13" ht="15.75">
      <c r="B1549" s="79"/>
      <c r="D1549"/>
      <c r="E1549" s="188"/>
      <c r="H1549"/>
      <c r="I1549" s="202"/>
      <c r="J1549"/>
      <c r="K1549" s="205"/>
      <c r="L1549" s="205"/>
      <c r="M1549" s="205"/>
    </row>
    <row r="1550" spans="2:13" ht="15.75">
      <c r="B1550" s="79"/>
      <c r="D1550"/>
      <c r="E1550" s="188"/>
      <c r="H1550"/>
      <c r="I1550" s="202"/>
      <c r="J1550"/>
      <c r="K1550" s="205"/>
      <c r="L1550" s="205"/>
      <c r="M1550" s="205"/>
    </row>
    <row r="1551" spans="2:13" ht="15.75">
      <c r="B1551" s="79"/>
      <c r="D1551"/>
      <c r="E1551" s="188"/>
      <c r="H1551"/>
      <c r="I1551" s="202"/>
      <c r="J1551"/>
      <c r="K1551" s="205"/>
      <c r="L1551" s="205"/>
      <c r="M1551" s="205"/>
    </row>
    <row r="1552" spans="2:13" ht="15.75">
      <c r="B1552" s="79"/>
      <c r="D1552"/>
      <c r="E1552" s="188"/>
      <c r="H1552"/>
      <c r="I1552" s="202"/>
      <c r="J1552"/>
      <c r="K1552" s="205"/>
      <c r="L1552" s="205"/>
      <c r="M1552" s="205"/>
    </row>
    <row r="1553" spans="2:13" ht="15.75">
      <c r="B1553" s="79"/>
      <c r="D1553"/>
      <c r="E1553" s="188"/>
      <c r="H1553"/>
      <c r="I1553" s="202"/>
      <c r="J1553"/>
      <c r="K1553" s="205"/>
      <c r="L1553" s="205"/>
      <c r="M1553" s="205"/>
    </row>
    <row r="1554" spans="2:13" ht="15.75">
      <c r="B1554" s="79"/>
      <c r="D1554"/>
      <c r="E1554" s="188"/>
      <c r="H1554"/>
      <c r="I1554" s="202"/>
      <c r="J1554"/>
      <c r="K1554" s="205"/>
      <c r="L1554" s="205"/>
      <c r="M1554" s="205"/>
    </row>
    <row r="1555" spans="2:13" ht="15.75">
      <c r="B1555" s="79"/>
      <c r="D1555"/>
      <c r="E1555" s="188"/>
      <c r="H1555"/>
      <c r="I1555" s="202"/>
      <c r="J1555"/>
      <c r="K1555" s="205"/>
      <c r="L1555" s="205"/>
      <c r="M1555" s="205"/>
    </row>
    <row r="1556" spans="2:13" ht="15.75">
      <c r="B1556" s="79"/>
      <c r="D1556"/>
      <c r="E1556" s="188"/>
      <c r="H1556"/>
      <c r="I1556" s="202"/>
      <c r="J1556"/>
      <c r="K1556" s="205"/>
      <c r="L1556" s="205"/>
      <c r="M1556" s="205"/>
    </row>
    <row r="1557" spans="2:13" ht="15.75">
      <c r="B1557" s="79"/>
      <c r="D1557"/>
      <c r="E1557" s="188"/>
      <c r="H1557"/>
      <c r="I1557" s="202"/>
      <c r="J1557"/>
      <c r="K1557" s="205"/>
      <c r="L1557" s="205"/>
      <c r="M1557" s="205"/>
    </row>
    <row r="1558" spans="2:13" ht="15.75">
      <c r="B1558" s="79"/>
      <c r="D1558"/>
      <c r="E1558" s="188"/>
      <c r="H1558"/>
      <c r="I1558" s="202"/>
      <c r="J1558"/>
      <c r="K1558" s="205"/>
      <c r="L1558" s="205"/>
      <c r="M1558" s="205"/>
    </row>
    <row r="1559" spans="2:13" ht="15.75">
      <c r="B1559" s="79"/>
      <c r="D1559"/>
      <c r="E1559" s="188"/>
      <c r="H1559"/>
      <c r="I1559" s="202"/>
      <c r="J1559"/>
      <c r="K1559" s="205"/>
      <c r="L1559" s="205"/>
      <c r="M1559" s="205"/>
    </row>
    <row r="1560" spans="2:13" ht="15.75">
      <c r="B1560" s="79"/>
      <c r="D1560"/>
      <c r="E1560" s="188"/>
      <c r="H1560"/>
      <c r="I1560" s="202"/>
      <c r="J1560"/>
      <c r="K1560" s="205"/>
      <c r="L1560" s="205"/>
      <c r="M1560" s="205"/>
    </row>
    <row r="1561" spans="2:13" ht="15.75">
      <c r="B1561" s="79"/>
      <c r="D1561"/>
      <c r="E1561" s="188"/>
      <c r="H1561"/>
      <c r="I1561" s="202"/>
      <c r="J1561"/>
      <c r="K1561" s="205"/>
      <c r="L1561" s="205"/>
      <c r="M1561" s="205"/>
    </row>
    <row r="1562" spans="2:13" ht="15.75">
      <c r="B1562" s="79"/>
      <c r="D1562"/>
      <c r="E1562" s="188"/>
      <c r="H1562"/>
      <c r="I1562" s="202"/>
      <c r="J1562"/>
      <c r="K1562" s="205"/>
      <c r="L1562" s="205"/>
      <c r="M1562" s="205"/>
    </row>
    <row r="1563" spans="2:13" ht="15.75">
      <c r="B1563" s="79"/>
      <c r="D1563"/>
      <c r="E1563" s="188"/>
      <c r="H1563"/>
      <c r="I1563" s="202"/>
      <c r="J1563"/>
      <c r="K1563" s="205"/>
      <c r="L1563" s="205"/>
      <c r="M1563" s="205"/>
    </row>
    <row r="1564" spans="2:13" ht="15.75">
      <c r="B1564" s="79"/>
      <c r="D1564"/>
      <c r="E1564" s="188"/>
      <c r="H1564"/>
      <c r="I1564" s="202"/>
      <c r="J1564"/>
      <c r="K1564" s="205"/>
      <c r="L1564" s="205"/>
      <c r="M1564" s="205"/>
    </row>
    <row r="1565" spans="2:13" ht="15.75">
      <c r="B1565" s="79"/>
      <c r="D1565"/>
      <c r="E1565" s="188"/>
      <c r="H1565"/>
      <c r="I1565" s="202"/>
      <c r="J1565"/>
      <c r="K1565" s="205"/>
      <c r="L1565" s="205"/>
      <c r="M1565" s="205"/>
    </row>
    <row r="1566" spans="2:13" ht="15.75">
      <c r="B1566" s="79"/>
      <c r="D1566"/>
      <c r="E1566" s="188"/>
      <c r="H1566"/>
      <c r="I1566" s="202"/>
      <c r="J1566"/>
      <c r="K1566" s="205"/>
      <c r="L1566" s="205"/>
      <c r="M1566" s="205"/>
    </row>
    <row r="1567" spans="2:13" ht="15.75">
      <c r="B1567" s="79"/>
      <c r="D1567"/>
      <c r="E1567" s="188"/>
      <c r="H1567"/>
      <c r="I1567" s="202"/>
      <c r="J1567"/>
      <c r="K1567" s="205"/>
      <c r="L1567" s="205"/>
      <c r="M1567" s="205"/>
    </row>
    <row r="1568" spans="2:13" ht="15.75">
      <c r="B1568" s="79"/>
      <c r="D1568"/>
      <c r="E1568" s="188"/>
      <c r="H1568"/>
      <c r="I1568" s="202"/>
      <c r="J1568"/>
      <c r="K1568" s="205"/>
      <c r="L1568" s="205"/>
      <c r="M1568" s="205"/>
    </row>
    <row r="1569" spans="2:13" ht="15.75">
      <c r="B1569" s="79"/>
      <c r="D1569"/>
      <c r="E1569" s="188"/>
      <c r="H1569"/>
      <c r="I1569" s="202"/>
      <c r="J1569"/>
      <c r="K1569" s="205"/>
      <c r="L1569" s="205"/>
      <c r="M1569" s="205"/>
    </row>
    <row r="1570" spans="2:13" ht="15.75">
      <c r="B1570" s="79"/>
      <c r="D1570"/>
      <c r="E1570" s="188"/>
      <c r="H1570"/>
      <c r="I1570" s="202"/>
      <c r="J1570"/>
      <c r="K1570" s="205"/>
      <c r="L1570" s="205"/>
      <c r="M1570" s="205"/>
    </row>
    <row r="1571" spans="2:13" ht="15.75">
      <c r="B1571" s="79"/>
      <c r="D1571"/>
      <c r="E1571" s="188"/>
      <c r="H1571"/>
      <c r="I1571" s="202"/>
      <c r="J1571"/>
      <c r="K1571" s="205"/>
      <c r="L1571" s="205"/>
      <c r="M1571" s="205"/>
    </row>
    <row r="1572" spans="2:13" ht="15.75">
      <c r="B1572" s="79"/>
      <c r="D1572"/>
      <c r="E1572" s="188"/>
      <c r="H1572"/>
      <c r="I1572" s="202"/>
      <c r="J1572"/>
      <c r="K1572" s="205"/>
      <c r="L1572" s="205"/>
      <c r="M1572" s="205"/>
    </row>
    <row r="1573" spans="2:13" ht="15.75">
      <c r="B1573" s="79"/>
      <c r="D1573"/>
      <c r="E1573" s="188"/>
      <c r="H1573"/>
      <c r="I1573" s="202"/>
      <c r="J1573"/>
      <c r="K1573" s="205"/>
      <c r="L1573" s="205"/>
      <c r="M1573" s="205"/>
    </row>
    <row r="1574" spans="2:13" ht="15.75">
      <c r="B1574" s="79"/>
      <c r="D1574"/>
      <c r="E1574" s="188"/>
      <c r="H1574"/>
      <c r="I1574" s="202"/>
      <c r="J1574"/>
      <c r="K1574" s="205"/>
      <c r="L1574" s="205"/>
      <c r="M1574" s="205"/>
    </row>
    <row r="1575" spans="2:13" ht="15.75">
      <c r="B1575" s="79"/>
      <c r="D1575"/>
      <c r="E1575" s="188"/>
      <c r="H1575"/>
      <c r="I1575" s="202"/>
      <c r="J1575"/>
      <c r="K1575" s="205"/>
      <c r="L1575" s="205"/>
      <c r="M1575" s="205"/>
    </row>
    <row r="1576" spans="2:13" ht="15.75">
      <c r="B1576" s="79"/>
      <c r="D1576"/>
      <c r="E1576" s="188"/>
      <c r="H1576"/>
      <c r="I1576" s="202"/>
      <c r="J1576"/>
      <c r="K1576" s="205"/>
      <c r="L1576" s="205"/>
      <c r="M1576" s="205"/>
    </row>
    <row r="1577" spans="2:13" ht="15.75">
      <c r="B1577" s="79"/>
      <c r="D1577"/>
      <c r="E1577" s="188"/>
      <c r="H1577"/>
      <c r="I1577" s="202"/>
      <c r="J1577"/>
      <c r="K1577" s="205"/>
      <c r="L1577" s="205"/>
      <c r="M1577" s="205"/>
    </row>
    <row r="1578" spans="2:13" ht="15.75">
      <c r="B1578" s="79"/>
      <c r="D1578"/>
      <c r="E1578" s="188"/>
      <c r="H1578"/>
      <c r="I1578" s="202"/>
      <c r="J1578"/>
      <c r="K1578" s="205"/>
      <c r="L1578" s="205"/>
      <c r="M1578" s="205"/>
    </row>
    <row r="1579" spans="2:13" ht="15.75">
      <c r="B1579" s="79"/>
      <c r="D1579"/>
      <c r="E1579" s="188"/>
      <c r="H1579"/>
      <c r="I1579" s="202"/>
      <c r="J1579"/>
      <c r="K1579" s="205"/>
      <c r="L1579" s="205"/>
      <c r="M1579" s="205"/>
    </row>
    <row r="1580" spans="2:13" ht="15.75">
      <c r="B1580" s="79"/>
      <c r="D1580"/>
      <c r="E1580" s="188"/>
      <c r="H1580"/>
      <c r="I1580" s="202"/>
      <c r="J1580"/>
      <c r="K1580" s="205"/>
      <c r="L1580" s="205"/>
      <c r="M1580" s="205"/>
    </row>
    <row r="1581" spans="2:13" ht="15.75">
      <c r="B1581" s="79"/>
      <c r="D1581"/>
      <c r="E1581" s="188"/>
      <c r="H1581"/>
      <c r="I1581" s="202"/>
      <c r="J1581"/>
      <c r="K1581" s="205"/>
      <c r="L1581" s="205"/>
      <c r="M1581" s="205"/>
    </row>
    <row r="1582" spans="2:13" ht="15.75">
      <c r="B1582" s="79"/>
      <c r="D1582"/>
      <c r="E1582" s="188"/>
      <c r="H1582"/>
      <c r="I1582" s="202"/>
      <c r="J1582"/>
      <c r="K1582" s="205"/>
      <c r="L1582" s="205"/>
      <c r="M1582" s="205"/>
    </row>
    <row r="1583" spans="2:13" ht="15.75">
      <c r="B1583" s="79"/>
      <c r="D1583"/>
      <c r="E1583" s="188"/>
      <c r="H1583"/>
      <c r="I1583" s="202"/>
      <c r="J1583"/>
      <c r="K1583" s="205"/>
      <c r="L1583" s="205"/>
      <c r="M1583" s="205"/>
    </row>
    <row r="1584" spans="2:13" ht="15.75">
      <c r="B1584" s="79"/>
      <c r="D1584"/>
      <c r="E1584" s="188"/>
      <c r="H1584"/>
      <c r="I1584" s="202"/>
      <c r="J1584"/>
      <c r="K1584" s="205"/>
      <c r="L1584" s="205"/>
      <c r="M1584" s="205"/>
    </row>
    <row r="1585" spans="2:13" ht="15.75">
      <c r="B1585" s="79"/>
      <c r="D1585"/>
      <c r="E1585" s="188"/>
      <c r="H1585"/>
      <c r="I1585" s="202"/>
      <c r="J1585"/>
      <c r="K1585" s="205"/>
      <c r="L1585" s="205"/>
      <c r="M1585" s="205"/>
    </row>
    <row r="1586" spans="2:13" ht="15.75">
      <c r="B1586" s="79"/>
      <c r="D1586"/>
      <c r="E1586" s="188"/>
      <c r="H1586"/>
      <c r="I1586" s="202"/>
      <c r="J1586"/>
      <c r="K1586" s="205"/>
      <c r="L1586" s="205"/>
      <c r="M1586" s="205"/>
    </row>
    <row r="1587" spans="2:13" ht="15.75">
      <c r="B1587" s="79"/>
      <c r="D1587"/>
      <c r="E1587" s="188"/>
      <c r="H1587"/>
      <c r="I1587" s="202"/>
      <c r="J1587"/>
      <c r="K1587" s="205"/>
      <c r="L1587" s="205"/>
      <c r="M1587" s="205"/>
    </row>
    <row r="1588" spans="2:13" ht="15.75">
      <c r="B1588" s="79"/>
      <c r="D1588"/>
      <c r="E1588" s="188"/>
      <c r="H1588"/>
      <c r="I1588" s="202"/>
      <c r="J1588"/>
      <c r="K1588" s="205"/>
      <c r="L1588" s="205"/>
      <c r="M1588" s="205"/>
    </row>
    <row r="1589" spans="2:13" ht="15.75">
      <c r="B1589" s="79"/>
      <c r="D1589"/>
      <c r="E1589" s="188"/>
      <c r="H1589"/>
      <c r="I1589" s="202"/>
      <c r="J1589"/>
      <c r="K1589" s="205"/>
      <c r="L1589" s="205"/>
      <c r="M1589" s="205"/>
    </row>
    <row r="1590" spans="2:13" ht="15.75">
      <c r="B1590" s="79"/>
      <c r="D1590"/>
      <c r="E1590" s="188"/>
      <c r="H1590"/>
      <c r="I1590" s="202"/>
      <c r="J1590"/>
      <c r="K1590" s="205"/>
      <c r="L1590" s="205"/>
      <c r="M1590" s="205"/>
    </row>
    <row r="1591" spans="2:13" ht="15.75">
      <c r="B1591" s="79"/>
      <c r="D1591"/>
      <c r="E1591" s="188"/>
      <c r="H1591"/>
      <c r="I1591" s="202"/>
      <c r="J1591"/>
      <c r="K1591" s="205"/>
      <c r="L1591" s="205"/>
      <c r="M1591" s="205"/>
    </row>
    <row r="1592" spans="2:13" ht="15.75">
      <c r="B1592" s="79"/>
      <c r="D1592"/>
      <c r="E1592" s="188"/>
      <c r="H1592"/>
      <c r="I1592" s="202"/>
      <c r="J1592"/>
      <c r="K1592" s="205"/>
      <c r="L1592" s="205"/>
      <c r="M1592" s="205"/>
    </row>
    <row r="1593" spans="2:13" ht="15.75">
      <c r="B1593" s="79"/>
      <c r="D1593"/>
      <c r="E1593" s="188"/>
      <c r="H1593"/>
      <c r="I1593" s="202"/>
      <c r="J1593"/>
      <c r="K1593" s="205"/>
      <c r="L1593" s="205"/>
      <c r="M1593" s="205"/>
    </row>
    <row r="1594" spans="2:13" ht="15.75">
      <c r="B1594" s="79"/>
      <c r="D1594"/>
      <c r="E1594" s="188"/>
      <c r="H1594"/>
      <c r="I1594" s="202"/>
      <c r="J1594"/>
      <c r="K1594" s="205"/>
      <c r="L1594" s="205"/>
      <c r="M1594" s="205"/>
    </row>
    <row r="1595" spans="2:13" ht="15.75">
      <c r="B1595" s="79"/>
      <c r="D1595"/>
      <c r="E1595" s="188"/>
      <c r="H1595"/>
      <c r="I1595" s="202"/>
      <c r="J1595"/>
      <c r="K1595" s="205"/>
      <c r="L1595" s="205"/>
      <c r="M1595" s="205"/>
    </row>
    <row r="1596" spans="2:13" ht="15.75">
      <c r="B1596" s="79"/>
      <c r="D1596"/>
      <c r="E1596" s="188"/>
      <c r="H1596"/>
      <c r="I1596" s="202"/>
      <c r="J1596"/>
      <c r="K1596" s="205"/>
      <c r="L1596" s="205"/>
      <c r="M1596" s="205"/>
    </row>
    <row r="1597" spans="2:13" ht="15.75">
      <c r="B1597" s="79"/>
      <c r="D1597"/>
      <c r="E1597" s="188"/>
      <c r="H1597"/>
      <c r="I1597" s="202"/>
      <c r="J1597"/>
      <c r="K1597" s="205"/>
      <c r="L1597" s="205"/>
      <c r="M1597" s="205"/>
    </row>
    <row r="1598" spans="2:13" ht="15.75">
      <c r="B1598" s="79"/>
      <c r="D1598"/>
      <c r="E1598" s="188"/>
      <c r="H1598"/>
      <c r="I1598" s="202"/>
      <c r="J1598"/>
      <c r="K1598" s="205"/>
      <c r="L1598" s="205"/>
      <c r="M1598" s="205"/>
    </row>
    <row r="1599" spans="2:13" ht="15.75">
      <c r="B1599" s="79"/>
      <c r="D1599"/>
      <c r="E1599" s="188"/>
      <c r="H1599"/>
      <c r="I1599" s="202"/>
      <c r="J1599"/>
      <c r="K1599" s="205"/>
      <c r="L1599" s="205"/>
      <c r="M1599" s="205"/>
    </row>
    <row r="1600" spans="2:13" ht="15.75">
      <c r="B1600" s="79"/>
      <c r="D1600"/>
      <c r="E1600" s="188"/>
      <c r="H1600"/>
      <c r="I1600" s="202"/>
      <c r="J1600"/>
      <c r="K1600" s="205"/>
      <c r="L1600" s="205"/>
      <c r="M1600" s="205"/>
    </row>
    <row r="1601" spans="2:13" ht="15.75">
      <c r="B1601" s="79"/>
      <c r="D1601"/>
      <c r="E1601" s="188"/>
      <c r="H1601"/>
      <c r="I1601" s="202"/>
      <c r="J1601"/>
      <c r="K1601" s="205"/>
      <c r="L1601" s="205"/>
      <c r="M1601" s="205"/>
    </row>
    <row r="1602" spans="2:13" ht="15.75">
      <c r="B1602" s="79"/>
      <c r="D1602"/>
      <c r="E1602" s="188"/>
      <c r="H1602"/>
      <c r="I1602" s="202"/>
      <c r="J1602"/>
      <c r="K1602" s="205"/>
      <c r="L1602" s="205"/>
      <c r="M1602" s="205"/>
    </row>
    <row r="1603" spans="2:13" ht="15.75">
      <c r="B1603" s="79"/>
      <c r="D1603"/>
      <c r="E1603" s="188"/>
      <c r="H1603"/>
      <c r="I1603" s="202"/>
      <c r="J1603"/>
      <c r="K1603" s="205"/>
      <c r="L1603" s="205"/>
      <c r="M1603" s="205"/>
    </row>
    <row r="1604" spans="2:13" ht="15.75">
      <c r="B1604" s="79"/>
      <c r="D1604"/>
      <c r="E1604" s="188"/>
      <c r="H1604"/>
      <c r="I1604" s="202"/>
      <c r="J1604"/>
      <c r="K1604" s="205"/>
      <c r="L1604" s="205"/>
      <c r="M1604" s="205"/>
    </row>
    <row r="1605" spans="2:13" ht="15.75">
      <c r="B1605" s="79"/>
      <c r="D1605"/>
      <c r="E1605" s="188"/>
      <c r="H1605"/>
      <c r="I1605" s="202"/>
      <c r="J1605"/>
      <c r="K1605" s="205"/>
      <c r="L1605" s="205"/>
      <c r="M1605" s="205"/>
    </row>
    <row r="1606" spans="2:13" ht="15.75">
      <c r="B1606" s="79"/>
      <c r="D1606"/>
      <c r="E1606" s="188"/>
      <c r="H1606"/>
      <c r="I1606" s="202"/>
      <c r="J1606"/>
      <c r="K1606" s="205"/>
      <c r="L1606" s="205"/>
      <c r="M1606" s="205"/>
    </row>
    <row r="1607" spans="2:13" ht="15.75">
      <c r="B1607" s="79"/>
      <c r="D1607"/>
      <c r="E1607" s="188"/>
      <c r="H1607"/>
      <c r="I1607" s="202"/>
      <c r="J1607"/>
      <c r="K1607" s="205"/>
      <c r="L1607" s="205"/>
      <c r="M1607" s="205"/>
    </row>
    <row r="1608" spans="2:13" ht="15.75">
      <c r="B1608" s="79"/>
      <c r="D1608"/>
      <c r="E1608" s="188"/>
      <c r="H1608"/>
      <c r="I1608" s="202"/>
      <c r="J1608"/>
      <c r="K1608" s="205"/>
      <c r="L1608" s="205"/>
      <c r="M1608" s="205"/>
    </row>
    <row r="1609" spans="2:13" ht="15.75">
      <c r="B1609" s="79"/>
      <c r="D1609"/>
      <c r="E1609" s="188"/>
      <c r="H1609"/>
      <c r="I1609" s="202"/>
      <c r="J1609"/>
      <c r="K1609" s="205"/>
      <c r="L1609" s="205"/>
      <c r="M1609" s="205"/>
    </row>
    <row r="1610" spans="2:13" ht="15.75">
      <c r="B1610" s="79"/>
      <c r="D1610"/>
      <c r="E1610" s="188"/>
      <c r="H1610"/>
      <c r="I1610" s="202"/>
      <c r="J1610"/>
      <c r="K1610" s="205"/>
      <c r="L1610" s="205"/>
      <c r="M1610" s="205"/>
    </row>
    <row r="1611" spans="2:13" ht="15.75">
      <c r="B1611" s="79"/>
      <c r="D1611"/>
      <c r="E1611" s="188"/>
      <c r="H1611"/>
      <c r="I1611" s="202"/>
      <c r="J1611"/>
      <c r="K1611" s="205"/>
      <c r="L1611" s="205"/>
      <c r="M1611" s="205"/>
    </row>
    <row r="1612" spans="2:13" ht="15.75">
      <c r="B1612" s="79"/>
      <c r="D1612"/>
      <c r="E1612" s="188"/>
      <c r="H1612"/>
      <c r="I1612" s="202"/>
      <c r="J1612"/>
      <c r="K1612" s="205"/>
      <c r="L1612" s="205"/>
      <c r="M1612" s="205"/>
    </row>
    <row r="1613" spans="2:13" ht="15.75">
      <c r="B1613" s="79"/>
      <c r="D1613"/>
      <c r="E1613" s="188"/>
      <c r="H1613"/>
      <c r="I1613" s="202"/>
      <c r="J1613"/>
      <c r="K1613" s="205"/>
      <c r="L1613" s="205"/>
      <c r="M1613" s="205"/>
    </row>
    <row r="1614" spans="2:13" ht="15.75">
      <c r="B1614" s="79"/>
      <c r="D1614"/>
      <c r="E1614" s="188"/>
      <c r="H1614"/>
      <c r="I1614" s="202"/>
      <c r="J1614"/>
      <c r="K1614" s="205"/>
      <c r="L1614" s="205"/>
      <c r="M1614" s="205"/>
    </row>
    <row r="1615" spans="2:13" ht="15.75">
      <c r="B1615" s="79"/>
      <c r="D1615"/>
      <c r="E1615" s="188"/>
      <c r="H1615"/>
      <c r="I1615" s="202"/>
      <c r="J1615"/>
      <c r="K1615" s="205"/>
      <c r="L1615" s="205"/>
      <c r="M1615" s="205"/>
    </row>
    <row r="1616" spans="2:13" ht="15.75">
      <c r="B1616" s="79"/>
      <c r="D1616"/>
      <c r="E1616" s="188"/>
      <c r="H1616"/>
      <c r="I1616" s="202"/>
      <c r="J1616"/>
      <c r="K1616" s="205"/>
      <c r="L1616" s="205"/>
      <c r="M1616" s="205"/>
    </row>
    <row r="1617" spans="2:13" ht="15.75">
      <c r="B1617" s="79"/>
      <c r="D1617"/>
      <c r="E1617" s="188"/>
      <c r="H1617"/>
      <c r="I1617" s="202"/>
      <c r="J1617"/>
      <c r="K1617" s="205"/>
      <c r="L1617" s="205"/>
      <c r="M1617" s="205"/>
    </row>
    <row r="1618" spans="2:13" ht="15.75">
      <c r="B1618" s="79"/>
      <c r="D1618"/>
      <c r="E1618" s="188"/>
      <c r="H1618"/>
      <c r="I1618" s="202"/>
      <c r="J1618"/>
      <c r="K1618" s="205"/>
      <c r="L1618" s="205"/>
      <c r="M1618" s="205"/>
    </row>
    <row r="1619" spans="2:13" ht="15.75">
      <c r="B1619" s="79"/>
      <c r="D1619"/>
      <c r="E1619" s="188"/>
      <c r="H1619"/>
      <c r="I1619" s="202"/>
      <c r="J1619"/>
      <c r="K1619" s="205"/>
      <c r="L1619" s="205"/>
      <c r="M1619" s="205"/>
    </row>
    <row r="1620" spans="2:13" ht="15.75">
      <c r="B1620" s="79"/>
      <c r="D1620"/>
      <c r="E1620" s="188"/>
      <c r="H1620"/>
      <c r="I1620" s="202"/>
      <c r="J1620"/>
      <c r="K1620" s="205"/>
      <c r="L1620" s="205"/>
      <c r="M1620" s="205"/>
    </row>
    <row r="1621" spans="2:13" ht="15.75">
      <c r="B1621" s="79"/>
      <c r="D1621"/>
      <c r="E1621" s="188"/>
      <c r="H1621"/>
      <c r="I1621" s="202"/>
      <c r="J1621"/>
      <c r="K1621" s="205"/>
      <c r="L1621" s="205"/>
      <c r="M1621" s="205"/>
    </row>
    <row r="1622" spans="2:13" ht="15.75">
      <c r="B1622" s="79"/>
      <c r="D1622"/>
      <c r="E1622" s="188"/>
      <c r="H1622"/>
      <c r="I1622" s="202"/>
      <c r="J1622"/>
      <c r="K1622" s="205"/>
      <c r="L1622" s="205"/>
      <c r="M1622" s="205"/>
    </row>
    <row r="1623" spans="2:13" ht="15.75">
      <c r="B1623" s="79"/>
      <c r="D1623"/>
      <c r="E1623" s="188"/>
      <c r="H1623"/>
      <c r="I1623" s="202"/>
      <c r="J1623"/>
      <c r="K1623" s="205"/>
      <c r="L1623" s="205"/>
      <c r="M1623" s="205"/>
    </row>
    <row r="1624" spans="2:13" ht="15.75">
      <c r="B1624" s="79"/>
      <c r="D1624"/>
      <c r="E1624" s="188"/>
      <c r="H1624"/>
      <c r="I1624" s="202"/>
      <c r="J1624"/>
      <c r="K1624" s="205"/>
      <c r="L1624" s="205"/>
      <c r="M1624" s="205"/>
    </row>
    <row r="1625" spans="2:13" ht="15.75">
      <c r="B1625" s="79"/>
      <c r="D1625"/>
      <c r="E1625" s="188"/>
      <c r="H1625"/>
      <c r="I1625" s="202"/>
      <c r="J1625"/>
      <c r="K1625" s="205"/>
      <c r="L1625" s="205"/>
      <c r="M1625" s="205"/>
    </row>
    <row r="1626" spans="2:13" ht="15.75">
      <c r="B1626" s="79"/>
      <c r="D1626"/>
      <c r="E1626" s="188"/>
      <c r="H1626"/>
      <c r="I1626" s="202"/>
      <c r="J1626"/>
      <c r="K1626" s="205"/>
      <c r="L1626" s="205"/>
      <c r="M1626" s="205"/>
    </row>
    <row r="1627" spans="2:13" ht="15.75">
      <c r="B1627" s="79"/>
      <c r="D1627"/>
      <c r="E1627" s="188"/>
      <c r="H1627"/>
      <c r="I1627" s="202"/>
      <c r="J1627"/>
      <c r="K1627" s="205"/>
      <c r="L1627" s="205"/>
      <c r="M1627" s="205"/>
    </row>
    <row r="1628" spans="2:13" ht="15.75">
      <c r="B1628" s="79"/>
      <c r="D1628"/>
      <c r="E1628" s="188"/>
      <c r="H1628"/>
      <c r="I1628" s="202"/>
      <c r="J1628"/>
      <c r="K1628" s="205"/>
      <c r="L1628" s="205"/>
      <c r="M1628" s="205"/>
    </row>
    <row r="1629" spans="2:13" ht="15.75">
      <c r="B1629" s="79"/>
      <c r="D1629"/>
      <c r="E1629" s="188"/>
      <c r="H1629"/>
      <c r="I1629" s="202"/>
      <c r="J1629"/>
      <c r="K1629" s="205"/>
      <c r="L1629" s="205"/>
      <c r="M1629" s="205"/>
    </row>
    <row r="1630" spans="2:13" ht="15.75">
      <c r="B1630" s="79"/>
      <c r="D1630"/>
      <c r="E1630" s="188"/>
      <c r="H1630"/>
      <c r="I1630" s="202"/>
      <c r="J1630"/>
      <c r="K1630" s="205"/>
      <c r="L1630" s="205"/>
      <c r="M1630" s="205"/>
    </row>
    <row r="1631" spans="2:13" ht="15.75">
      <c r="B1631" s="79"/>
      <c r="D1631"/>
      <c r="E1631" s="188"/>
      <c r="H1631"/>
      <c r="I1631" s="202"/>
      <c r="J1631"/>
      <c r="K1631" s="205"/>
      <c r="L1631" s="205"/>
      <c r="M1631" s="205"/>
    </row>
    <row r="1632" spans="2:13" ht="15.75">
      <c r="B1632" s="79"/>
      <c r="D1632"/>
      <c r="E1632" s="188"/>
      <c r="H1632"/>
      <c r="I1632" s="202"/>
      <c r="J1632"/>
      <c r="K1632" s="205"/>
      <c r="L1632" s="205"/>
      <c r="M1632" s="205"/>
    </row>
    <row r="1633" spans="2:13" ht="15.75">
      <c r="B1633" s="79"/>
      <c r="D1633"/>
      <c r="E1633" s="188"/>
      <c r="H1633"/>
      <c r="I1633" s="202"/>
      <c r="J1633"/>
      <c r="K1633" s="205"/>
      <c r="L1633" s="205"/>
      <c r="M1633" s="205"/>
    </row>
    <row r="1634" spans="2:13" ht="15.75">
      <c r="B1634" s="79"/>
      <c r="D1634"/>
      <c r="E1634" s="188"/>
      <c r="H1634"/>
      <c r="I1634" s="202"/>
      <c r="J1634"/>
      <c r="K1634" s="205"/>
      <c r="L1634" s="205"/>
      <c r="M1634" s="205"/>
    </row>
    <row r="1635" spans="2:13" ht="15.75">
      <c r="B1635" s="79"/>
      <c r="D1635"/>
      <c r="E1635" s="188"/>
      <c r="H1635"/>
      <c r="I1635" s="202"/>
      <c r="J1635"/>
      <c r="K1635" s="205"/>
      <c r="L1635" s="205"/>
      <c r="M1635" s="205"/>
    </row>
    <row r="1636" spans="2:13" ht="15.75">
      <c r="B1636" s="79"/>
      <c r="D1636"/>
      <c r="E1636" s="188"/>
      <c r="H1636"/>
      <c r="I1636" s="202"/>
      <c r="J1636"/>
      <c r="K1636" s="205"/>
      <c r="L1636" s="205"/>
      <c r="M1636" s="205"/>
    </row>
    <row r="1637" spans="2:13" ht="15.75">
      <c r="B1637" s="79"/>
      <c r="D1637"/>
      <c r="E1637" s="188"/>
      <c r="H1637"/>
      <c r="I1637" s="202"/>
      <c r="J1637"/>
      <c r="K1637" s="205"/>
      <c r="L1637" s="205"/>
      <c r="M1637" s="205"/>
    </row>
    <row r="1638" spans="2:13" ht="15.75">
      <c r="B1638" s="79"/>
      <c r="D1638"/>
      <c r="E1638" s="188"/>
      <c r="H1638"/>
      <c r="I1638" s="202"/>
      <c r="J1638"/>
      <c r="K1638" s="205"/>
      <c r="L1638" s="205"/>
      <c r="M1638" s="205"/>
    </row>
    <row r="1639" spans="2:13" ht="15.75">
      <c r="B1639" s="79"/>
      <c r="D1639"/>
      <c r="E1639" s="188"/>
      <c r="H1639"/>
      <c r="I1639" s="202"/>
      <c r="J1639"/>
      <c r="K1639" s="205"/>
      <c r="L1639" s="205"/>
      <c r="M1639" s="205"/>
    </row>
    <row r="1640" spans="2:13" ht="15.75">
      <c r="B1640" s="79"/>
      <c r="D1640"/>
      <c r="E1640" s="188"/>
      <c r="H1640"/>
      <c r="I1640" s="202"/>
      <c r="J1640"/>
      <c r="K1640" s="205"/>
      <c r="L1640" s="205"/>
      <c r="M1640" s="205"/>
    </row>
    <row r="1641" spans="2:13" ht="15.75">
      <c r="B1641" s="79"/>
      <c r="D1641"/>
      <c r="E1641" s="188"/>
      <c r="H1641"/>
      <c r="I1641" s="202"/>
      <c r="J1641"/>
      <c r="K1641" s="205"/>
      <c r="L1641" s="205"/>
      <c r="M1641" s="205"/>
    </row>
    <row r="1642" spans="2:13" ht="15.75">
      <c r="B1642" s="79"/>
      <c r="D1642"/>
      <c r="E1642" s="188"/>
      <c r="H1642"/>
      <c r="I1642" s="202"/>
      <c r="J1642"/>
      <c r="K1642" s="205"/>
      <c r="L1642" s="205"/>
      <c r="M1642" s="205"/>
    </row>
    <row r="1643" spans="2:13" ht="15.75">
      <c r="B1643" s="79"/>
      <c r="D1643"/>
      <c r="E1643" s="188"/>
      <c r="H1643"/>
      <c r="I1643" s="202"/>
      <c r="J1643"/>
      <c r="K1643" s="205"/>
      <c r="L1643" s="205"/>
      <c r="M1643" s="205"/>
    </row>
    <row r="1644" spans="2:13" ht="15.75">
      <c r="B1644" s="79"/>
      <c r="D1644"/>
      <c r="E1644" s="188"/>
      <c r="H1644"/>
      <c r="I1644" s="202"/>
      <c r="J1644"/>
      <c r="K1644" s="205"/>
      <c r="L1644" s="205"/>
      <c r="M1644" s="205"/>
    </row>
    <row r="1645" spans="2:13" ht="15.75">
      <c r="B1645" s="79"/>
      <c r="D1645"/>
      <c r="E1645" s="188"/>
      <c r="H1645"/>
      <c r="I1645" s="202"/>
      <c r="J1645"/>
      <c r="K1645" s="205"/>
      <c r="L1645" s="205"/>
      <c r="M1645" s="205"/>
    </row>
    <row r="1646" spans="2:13" ht="15.75">
      <c r="B1646" s="79"/>
      <c r="D1646"/>
      <c r="E1646" s="188"/>
      <c r="H1646"/>
      <c r="I1646" s="202"/>
      <c r="J1646"/>
      <c r="K1646" s="205"/>
      <c r="L1646" s="205"/>
      <c r="M1646" s="205"/>
    </row>
    <row r="1647" spans="2:13" ht="15.75">
      <c r="B1647" s="79"/>
      <c r="D1647"/>
      <c r="E1647" s="188"/>
      <c r="H1647"/>
      <c r="I1647" s="202"/>
      <c r="J1647"/>
      <c r="K1647" s="205"/>
      <c r="L1647" s="205"/>
      <c r="M1647" s="205"/>
    </row>
    <row r="1648" spans="2:13" ht="15.75">
      <c r="B1648" s="79"/>
      <c r="D1648"/>
      <c r="E1648" s="188"/>
      <c r="H1648"/>
      <c r="I1648" s="202"/>
      <c r="J1648"/>
      <c r="K1648" s="205"/>
      <c r="L1648" s="205"/>
      <c r="M1648" s="205"/>
    </row>
    <row r="1649" spans="2:13" ht="15.75">
      <c r="B1649" s="79"/>
      <c r="D1649"/>
      <c r="E1649" s="188"/>
      <c r="H1649"/>
      <c r="I1649" s="202"/>
      <c r="J1649"/>
      <c r="K1649" s="205"/>
      <c r="L1649" s="205"/>
      <c r="M1649" s="205"/>
    </row>
    <row r="1650" spans="2:13" ht="15.75">
      <c r="B1650" s="79"/>
      <c r="D1650"/>
      <c r="E1650" s="188"/>
      <c r="H1650"/>
      <c r="I1650" s="202"/>
      <c r="J1650"/>
      <c r="K1650" s="205"/>
      <c r="L1650" s="205"/>
      <c r="M1650" s="205"/>
    </row>
    <row r="1651" spans="2:13" ht="15.75">
      <c r="B1651" s="79"/>
      <c r="D1651"/>
      <c r="E1651" s="188"/>
      <c r="H1651"/>
      <c r="I1651" s="202"/>
      <c r="J1651"/>
      <c r="K1651" s="205"/>
      <c r="L1651" s="205"/>
      <c r="M1651" s="205"/>
    </row>
    <row r="1652" spans="2:13" ht="15.75">
      <c r="B1652" s="79"/>
      <c r="D1652"/>
      <c r="E1652" s="188"/>
      <c r="H1652"/>
      <c r="I1652" s="202"/>
      <c r="J1652"/>
      <c r="K1652" s="205"/>
      <c r="L1652" s="205"/>
      <c r="M1652" s="205"/>
    </row>
    <row r="1653" spans="2:13" ht="15.75">
      <c r="B1653" s="79"/>
      <c r="D1653"/>
      <c r="E1653" s="188"/>
      <c r="H1653"/>
      <c r="I1653" s="202"/>
      <c r="J1653"/>
      <c r="K1653" s="205"/>
      <c r="L1653" s="205"/>
      <c r="M1653" s="205"/>
    </row>
    <row r="1654" spans="2:13" ht="15.75">
      <c r="B1654" s="79"/>
      <c r="D1654"/>
      <c r="E1654" s="188"/>
      <c r="H1654"/>
      <c r="I1654" s="202"/>
      <c r="J1654"/>
      <c r="K1654" s="205"/>
      <c r="L1654" s="205"/>
      <c r="M1654" s="205"/>
    </row>
    <row r="1655" spans="2:13" ht="15.75">
      <c r="B1655" s="79"/>
      <c r="D1655"/>
      <c r="E1655" s="188"/>
      <c r="H1655"/>
      <c r="I1655" s="202"/>
      <c r="J1655"/>
      <c r="K1655" s="205"/>
      <c r="L1655" s="205"/>
      <c r="M1655" s="205"/>
    </row>
    <row r="1656" spans="2:13" ht="15.75">
      <c r="B1656" s="79"/>
      <c r="D1656"/>
      <c r="E1656" s="188"/>
      <c r="H1656"/>
      <c r="I1656" s="202"/>
      <c r="J1656"/>
      <c r="K1656" s="205"/>
      <c r="L1656" s="205"/>
      <c r="M1656" s="205"/>
    </row>
    <row r="1657" spans="2:13" ht="15.75">
      <c r="B1657" s="79"/>
      <c r="D1657"/>
      <c r="E1657" s="188"/>
      <c r="H1657"/>
      <c r="I1657" s="202"/>
      <c r="J1657"/>
      <c r="K1657" s="205"/>
      <c r="L1657" s="205"/>
      <c r="M1657" s="205"/>
    </row>
    <row r="1658" spans="2:13" ht="15.75">
      <c r="B1658" s="79"/>
      <c r="D1658"/>
      <c r="E1658" s="188"/>
      <c r="H1658"/>
      <c r="I1658" s="202"/>
      <c r="J1658"/>
      <c r="K1658" s="205"/>
      <c r="L1658" s="205"/>
      <c r="M1658" s="205"/>
    </row>
    <row r="1659" spans="2:13" ht="15.75">
      <c r="B1659" s="79"/>
      <c r="D1659"/>
      <c r="E1659" s="188"/>
      <c r="H1659"/>
      <c r="I1659" s="202"/>
      <c r="J1659"/>
      <c r="K1659" s="205"/>
      <c r="L1659" s="205"/>
      <c r="M1659" s="205"/>
    </row>
    <row r="1660" spans="2:13" ht="15.75">
      <c r="B1660" s="79"/>
      <c r="D1660"/>
      <c r="E1660" s="188"/>
      <c r="H1660"/>
      <c r="I1660" s="202"/>
      <c r="J1660"/>
      <c r="K1660" s="205"/>
      <c r="L1660" s="205"/>
      <c r="M1660" s="205"/>
    </row>
    <row r="1661" spans="2:13" ht="15.75">
      <c r="B1661" s="79"/>
      <c r="D1661"/>
      <c r="E1661" s="188"/>
      <c r="H1661"/>
      <c r="I1661" s="202"/>
      <c r="J1661"/>
      <c r="K1661" s="205"/>
      <c r="L1661" s="205"/>
      <c r="M1661" s="205"/>
    </row>
    <row r="1662" spans="2:13" ht="15.75">
      <c r="B1662" s="79"/>
      <c r="D1662"/>
      <c r="E1662" s="188"/>
      <c r="H1662"/>
      <c r="I1662" s="202"/>
      <c r="J1662"/>
      <c r="K1662" s="205"/>
      <c r="L1662" s="205"/>
      <c r="M1662" s="205"/>
    </row>
    <row r="1663" spans="2:13" ht="15.75">
      <c r="B1663" s="79"/>
      <c r="D1663"/>
      <c r="E1663" s="188"/>
      <c r="H1663"/>
      <c r="I1663" s="202"/>
      <c r="J1663"/>
      <c r="K1663" s="205"/>
      <c r="L1663" s="205"/>
      <c r="M1663" s="205"/>
    </row>
    <row r="1664" spans="2:13" ht="15.75">
      <c r="B1664" s="79"/>
      <c r="D1664"/>
      <c r="E1664" s="188"/>
      <c r="H1664"/>
      <c r="I1664" s="202"/>
      <c r="J1664"/>
      <c r="K1664" s="205"/>
      <c r="L1664" s="205"/>
      <c r="M1664" s="205"/>
    </row>
    <row r="1665" spans="2:13" ht="15.75">
      <c r="B1665" s="79"/>
      <c r="D1665"/>
      <c r="E1665" s="188"/>
      <c r="H1665"/>
      <c r="I1665" s="202"/>
      <c r="J1665"/>
      <c r="K1665" s="205"/>
      <c r="L1665" s="205"/>
      <c r="M1665" s="205"/>
    </row>
    <row r="1666" spans="2:13" ht="15.75">
      <c r="B1666" s="79"/>
      <c r="D1666"/>
      <c r="E1666" s="188"/>
      <c r="H1666"/>
      <c r="I1666" s="202"/>
      <c r="J1666"/>
      <c r="K1666" s="205"/>
      <c r="L1666" s="205"/>
      <c r="M1666" s="205"/>
    </row>
    <row r="1667" spans="2:13" ht="15.75">
      <c r="B1667" s="79"/>
      <c r="D1667"/>
      <c r="E1667" s="188"/>
      <c r="H1667"/>
      <c r="I1667" s="202"/>
      <c r="J1667"/>
      <c r="K1667" s="205"/>
      <c r="L1667" s="205"/>
      <c r="M1667" s="205"/>
    </row>
    <row r="1668" spans="2:13" ht="15.75">
      <c r="B1668" s="79"/>
      <c r="D1668"/>
      <c r="E1668" s="188"/>
      <c r="H1668"/>
      <c r="I1668" s="202"/>
      <c r="J1668"/>
      <c r="K1668" s="205"/>
      <c r="L1668" s="205"/>
      <c r="M1668" s="205"/>
    </row>
    <row r="1669" spans="2:13" ht="15.75">
      <c r="B1669" s="79"/>
      <c r="D1669"/>
      <c r="E1669" s="188"/>
      <c r="H1669"/>
      <c r="I1669" s="202"/>
      <c r="J1669"/>
      <c r="K1669" s="205"/>
      <c r="L1669" s="205"/>
      <c r="M1669" s="205"/>
    </row>
    <row r="1670" spans="2:13" ht="15.75">
      <c r="B1670" s="79"/>
      <c r="D1670"/>
      <c r="E1670" s="188"/>
      <c r="H1670"/>
      <c r="I1670" s="202"/>
      <c r="J1670"/>
      <c r="K1670" s="205"/>
      <c r="L1670" s="205"/>
      <c r="M1670" s="205"/>
    </row>
    <row r="1671" spans="2:13" ht="15.75">
      <c r="B1671" s="79"/>
      <c r="D1671"/>
      <c r="E1671" s="188"/>
      <c r="H1671"/>
      <c r="I1671" s="202"/>
      <c r="J1671"/>
      <c r="K1671" s="205"/>
      <c r="L1671" s="205"/>
      <c r="M1671" s="205"/>
    </row>
    <row r="1672" spans="2:13" ht="15.75">
      <c r="B1672" s="79"/>
      <c r="D1672"/>
      <c r="E1672" s="188"/>
      <c r="H1672"/>
      <c r="I1672" s="202"/>
      <c r="J1672"/>
      <c r="K1672" s="205"/>
      <c r="L1672" s="205"/>
      <c r="M1672" s="205"/>
    </row>
    <row r="1673" spans="2:13" ht="15.75">
      <c r="B1673" s="79"/>
      <c r="D1673"/>
      <c r="E1673" s="188"/>
      <c r="H1673"/>
      <c r="I1673" s="202"/>
      <c r="J1673"/>
      <c r="K1673" s="205"/>
      <c r="L1673" s="205"/>
      <c r="M1673" s="205"/>
    </row>
    <row r="1674" spans="2:13" ht="15.75">
      <c r="B1674" s="79"/>
      <c r="D1674"/>
      <c r="E1674" s="188"/>
      <c r="H1674"/>
      <c r="I1674" s="202"/>
      <c r="J1674"/>
      <c r="K1674" s="205"/>
      <c r="L1674" s="205"/>
      <c r="M1674" s="205"/>
    </row>
    <row r="1675" spans="2:13" ht="15.75">
      <c r="B1675" s="79"/>
      <c r="D1675"/>
      <c r="E1675" s="188"/>
      <c r="H1675"/>
      <c r="I1675" s="202"/>
      <c r="J1675"/>
      <c r="K1675" s="205"/>
      <c r="L1675" s="205"/>
      <c r="M1675" s="205"/>
    </row>
    <row r="1676" spans="2:13" ht="15.75">
      <c r="B1676" s="79"/>
      <c r="D1676"/>
      <c r="E1676" s="188"/>
      <c r="H1676"/>
      <c r="I1676" s="202"/>
      <c r="J1676"/>
      <c r="K1676" s="205"/>
      <c r="L1676" s="205"/>
      <c r="M1676" s="205"/>
    </row>
    <row r="1677" spans="2:13" ht="15.75">
      <c r="B1677" s="79"/>
      <c r="D1677"/>
      <c r="E1677" s="188"/>
      <c r="H1677"/>
      <c r="I1677" s="202"/>
      <c r="J1677"/>
      <c r="K1677" s="205"/>
      <c r="L1677" s="205"/>
      <c r="M1677" s="205"/>
    </row>
    <row r="1678" spans="2:13" ht="15.75">
      <c r="B1678" s="79"/>
      <c r="D1678"/>
      <c r="E1678" s="188"/>
      <c r="H1678"/>
      <c r="I1678" s="202"/>
      <c r="J1678"/>
      <c r="K1678" s="205"/>
      <c r="L1678" s="205"/>
      <c r="M1678" s="205"/>
    </row>
    <row r="1679" spans="2:13" ht="15.75">
      <c r="B1679" s="79"/>
      <c r="D1679"/>
      <c r="E1679" s="188"/>
      <c r="H1679"/>
      <c r="I1679" s="202"/>
      <c r="J1679"/>
      <c r="K1679" s="205"/>
      <c r="L1679" s="205"/>
      <c r="M1679" s="205"/>
    </row>
    <row r="1680" spans="2:13" ht="15.75">
      <c r="B1680" s="79"/>
      <c r="D1680"/>
      <c r="E1680" s="188"/>
      <c r="H1680"/>
      <c r="I1680" s="202"/>
      <c r="J1680"/>
      <c r="K1680" s="205"/>
      <c r="L1680" s="205"/>
      <c r="M1680" s="205"/>
    </row>
    <row r="1681" spans="2:13" ht="15.75">
      <c r="B1681" s="79"/>
      <c r="D1681"/>
      <c r="E1681" s="188"/>
      <c r="H1681"/>
      <c r="I1681" s="202"/>
      <c r="J1681"/>
      <c r="K1681" s="205"/>
      <c r="L1681" s="205"/>
      <c r="M1681" s="205"/>
    </row>
    <row r="1682" spans="2:13" ht="15.75">
      <c r="B1682" s="79"/>
      <c r="D1682"/>
      <c r="E1682" s="188"/>
      <c r="H1682"/>
      <c r="I1682" s="202"/>
      <c r="J1682"/>
      <c r="K1682" s="205"/>
      <c r="L1682" s="205"/>
      <c r="M1682" s="205"/>
    </row>
    <row r="1683" spans="2:13" ht="15.75">
      <c r="B1683" s="79"/>
      <c r="D1683"/>
      <c r="E1683" s="188"/>
      <c r="H1683"/>
      <c r="I1683" s="202"/>
      <c r="J1683"/>
      <c r="K1683" s="205"/>
      <c r="L1683" s="205"/>
      <c r="M1683" s="205"/>
    </row>
    <row r="1684" spans="2:13" ht="15.75">
      <c r="B1684" s="79"/>
      <c r="D1684"/>
      <c r="E1684" s="188"/>
      <c r="H1684"/>
      <c r="I1684" s="202"/>
      <c r="J1684"/>
      <c r="K1684" s="205"/>
      <c r="L1684" s="205"/>
      <c r="M1684" s="205"/>
    </row>
    <row r="1685" spans="2:13" ht="15.75">
      <c r="B1685" s="79"/>
      <c r="D1685"/>
      <c r="E1685" s="188"/>
      <c r="H1685"/>
      <c r="I1685" s="202"/>
      <c r="J1685"/>
      <c r="K1685" s="205"/>
      <c r="L1685" s="205"/>
      <c r="M1685" s="205"/>
    </row>
    <row r="1686" spans="2:13" ht="15.75">
      <c r="B1686" s="79"/>
      <c r="D1686"/>
      <c r="E1686" s="188"/>
      <c r="H1686"/>
      <c r="I1686" s="202"/>
      <c r="J1686"/>
      <c r="K1686" s="205"/>
      <c r="L1686" s="205"/>
      <c r="M1686" s="205"/>
    </row>
    <row r="1687" spans="2:13" ht="15.75">
      <c r="B1687" s="79"/>
      <c r="D1687"/>
      <c r="E1687" s="188"/>
      <c r="H1687"/>
      <c r="I1687" s="202"/>
      <c r="J1687"/>
      <c r="K1687" s="205"/>
      <c r="L1687" s="205"/>
      <c r="M1687" s="205"/>
    </row>
    <row r="1688" spans="2:13" ht="15.75">
      <c r="B1688" s="79"/>
      <c r="D1688"/>
      <c r="E1688" s="188"/>
      <c r="H1688"/>
      <c r="I1688" s="202"/>
      <c r="J1688"/>
      <c r="K1688" s="205"/>
      <c r="L1688" s="205"/>
      <c r="M1688" s="205"/>
    </row>
    <row r="1689" spans="2:13" ht="15.75">
      <c r="B1689" s="79"/>
      <c r="D1689"/>
      <c r="E1689" s="188"/>
      <c r="H1689"/>
      <c r="I1689" s="202"/>
      <c r="J1689"/>
      <c r="K1689" s="205"/>
      <c r="L1689" s="205"/>
      <c r="M1689" s="205"/>
    </row>
    <row r="1690" spans="2:13" ht="15.75">
      <c r="B1690" s="79"/>
      <c r="D1690"/>
      <c r="E1690" s="188"/>
      <c r="H1690"/>
      <c r="I1690" s="202"/>
      <c r="J1690"/>
      <c r="K1690" s="205"/>
      <c r="L1690" s="205"/>
      <c r="M1690" s="205"/>
    </row>
    <row r="1691" spans="2:13" ht="15.75">
      <c r="B1691" s="79"/>
      <c r="D1691"/>
      <c r="E1691" s="188"/>
      <c r="H1691"/>
      <c r="I1691" s="202"/>
      <c r="J1691"/>
      <c r="K1691" s="205"/>
      <c r="L1691" s="205"/>
      <c r="M1691" s="205"/>
    </row>
    <row r="1692" spans="2:13" ht="15.75">
      <c r="B1692" s="79"/>
      <c r="D1692"/>
      <c r="E1692" s="188"/>
      <c r="H1692"/>
      <c r="I1692" s="202"/>
      <c r="J1692"/>
      <c r="K1692" s="205"/>
      <c r="L1692" s="205"/>
      <c r="M1692" s="205"/>
    </row>
    <row r="1693" spans="2:13" ht="15.75">
      <c r="B1693" s="79"/>
      <c r="D1693"/>
      <c r="E1693" s="188"/>
      <c r="H1693"/>
      <c r="I1693" s="202"/>
      <c r="J1693"/>
      <c r="K1693" s="205"/>
      <c r="L1693" s="205"/>
      <c r="M1693" s="205"/>
    </row>
    <row r="1694" spans="2:13" ht="15.75">
      <c r="B1694" s="79"/>
      <c r="D1694"/>
      <c r="E1694" s="188"/>
      <c r="H1694"/>
      <c r="I1694" s="202"/>
      <c r="J1694"/>
      <c r="K1694" s="205"/>
      <c r="L1694" s="205"/>
      <c r="M1694" s="205"/>
    </row>
    <row r="1695" spans="2:13" ht="15.75">
      <c r="B1695" s="79"/>
      <c r="D1695"/>
      <c r="E1695" s="188"/>
      <c r="H1695"/>
      <c r="I1695" s="202"/>
      <c r="J1695"/>
      <c r="K1695" s="205"/>
      <c r="L1695" s="205"/>
      <c r="M1695" s="205"/>
    </row>
    <row r="1696" spans="2:13" ht="15.75">
      <c r="B1696" s="79"/>
      <c r="D1696"/>
      <c r="E1696" s="188"/>
      <c r="H1696"/>
      <c r="I1696" s="202"/>
      <c r="J1696"/>
      <c r="K1696" s="205"/>
      <c r="L1696" s="205"/>
      <c r="M1696" s="205"/>
    </row>
    <row r="1697" spans="2:13" ht="15.75">
      <c r="B1697" s="79"/>
      <c r="D1697"/>
      <c r="E1697" s="188"/>
      <c r="H1697"/>
      <c r="I1697" s="202"/>
      <c r="J1697"/>
      <c r="K1697" s="205"/>
      <c r="L1697" s="205"/>
      <c r="M1697" s="205"/>
    </row>
    <row r="1698" spans="2:13" ht="15.75">
      <c r="B1698" s="79"/>
      <c r="D1698"/>
      <c r="E1698" s="188"/>
      <c r="H1698"/>
      <c r="I1698" s="202"/>
      <c r="J1698"/>
      <c r="K1698" s="205"/>
      <c r="L1698" s="205"/>
      <c r="M1698" s="205"/>
    </row>
    <row r="1699" spans="2:13" ht="15.75">
      <c r="B1699" s="79"/>
      <c r="D1699"/>
      <c r="E1699" s="188"/>
      <c r="H1699"/>
      <c r="I1699" s="202"/>
      <c r="J1699"/>
      <c r="K1699" s="205"/>
      <c r="L1699" s="205"/>
      <c r="M1699" s="205"/>
    </row>
    <row r="1700" spans="2:13" ht="15.75">
      <c r="B1700" s="79"/>
      <c r="D1700"/>
      <c r="E1700" s="188"/>
      <c r="H1700"/>
      <c r="I1700" s="202"/>
      <c r="J1700"/>
      <c r="K1700" s="205"/>
      <c r="L1700" s="205"/>
      <c r="M1700" s="205"/>
    </row>
    <row r="1701" spans="2:13" ht="15.75">
      <c r="B1701" s="79"/>
      <c r="D1701"/>
      <c r="E1701" s="188"/>
      <c r="H1701"/>
      <c r="I1701" s="202"/>
      <c r="J1701"/>
      <c r="K1701" s="205"/>
      <c r="L1701" s="205"/>
      <c r="M1701" s="205"/>
    </row>
    <row r="1702" spans="2:13" ht="15.75">
      <c r="B1702" s="79"/>
      <c r="D1702"/>
      <c r="E1702" s="188"/>
      <c r="H1702"/>
      <c r="I1702" s="202"/>
      <c r="J1702"/>
      <c r="K1702" s="205"/>
      <c r="L1702" s="205"/>
      <c r="M1702" s="205"/>
    </row>
    <row r="1703" spans="2:13" ht="15.75">
      <c r="B1703" s="79"/>
      <c r="D1703"/>
      <c r="E1703" s="188"/>
      <c r="H1703"/>
      <c r="I1703" s="202"/>
      <c r="J1703"/>
      <c r="K1703" s="205"/>
      <c r="L1703" s="205"/>
      <c r="M1703" s="205"/>
    </row>
    <row r="1704" spans="2:13" ht="15.75">
      <c r="B1704" s="79"/>
      <c r="D1704"/>
      <c r="E1704" s="188"/>
      <c r="H1704"/>
      <c r="I1704" s="202"/>
      <c r="J1704"/>
      <c r="K1704" s="205"/>
      <c r="L1704" s="205"/>
      <c r="M1704" s="205"/>
    </row>
    <row r="1705" spans="2:13" ht="15.75">
      <c r="B1705" s="79"/>
      <c r="D1705"/>
      <c r="E1705" s="188"/>
      <c r="H1705"/>
      <c r="I1705" s="202"/>
      <c r="J1705"/>
      <c r="K1705" s="205"/>
      <c r="L1705" s="205"/>
      <c r="M1705" s="205"/>
    </row>
    <row r="1706" spans="2:13" ht="15.75">
      <c r="B1706" s="79"/>
      <c r="D1706"/>
      <c r="E1706" s="188"/>
      <c r="H1706"/>
      <c r="I1706" s="202"/>
      <c r="J1706"/>
      <c r="K1706" s="205"/>
      <c r="L1706" s="205"/>
      <c r="M1706" s="205"/>
    </row>
    <row r="1707" spans="2:13" ht="15.75">
      <c r="B1707" s="79"/>
      <c r="D1707"/>
      <c r="E1707" s="188"/>
      <c r="H1707"/>
      <c r="I1707" s="202"/>
      <c r="J1707"/>
      <c r="K1707" s="205"/>
      <c r="L1707" s="205"/>
      <c r="M1707" s="205"/>
    </row>
    <row r="1708" spans="2:13" ht="15.75">
      <c r="B1708" s="79"/>
      <c r="D1708"/>
      <c r="E1708" s="188"/>
      <c r="H1708"/>
      <c r="I1708" s="202"/>
      <c r="J1708"/>
      <c r="K1708" s="205"/>
      <c r="L1708" s="205"/>
      <c r="M1708" s="205"/>
    </row>
    <row r="1709" spans="2:13" ht="15.75">
      <c r="B1709" s="79"/>
      <c r="D1709"/>
      <c r="E1709" s="188"/>
      <c r="H1709"/>
      <c r="I1709" s="202"/>
      <c r="J1709"/>
      <c r="K1709" s="205"/>
      <c r="L1709" s="205"/>
      <c r="M1709" s="205"/>
    </row>
    <row r="1710" spans="2:13" ht="15.75">
      <c r="B1710" s="79"/>
      <c r="D1710"/>
      <c r="E1710" s="188"/>
      <c r="H1710"/>
      <c r="I1710" s="202"/>
      <c r="J1710"/>
      <c r="K1710" s="205"/>
      <c r="L1710" s="205"/>
      <c r="M1710" s="205"/>
    </row>
    <row r="1711" spans="2:13" ht="15.75">
      <c r="B1711" s="79"/>
      <c r="D1711"/>
      <c r="E1711" s="188"/>
      <c r="H1711"/>
      <c r="I1711" s="202"/>
      <c r="J1711"/>
      <c r="K1711" s="205"/>
      <c r="L1711" s="205"/>
      <c r="M1711" s="205"/>
    </row>
    <row r="1712" spans="2:13" ht="15.75">
      <c r="B1712" s="79"/>
      <c r="D1712"/>
      <c r="E1712" s="188"/>
      <c r="H1712"/>
      <c r="I1712" s="202"/>
      <c r="J1712"/>
      <c r="K1712" s="205"/>
      <c r="L1712" s="205"/>
      <c r="M1712" s="205"/>
    </row>
    <row r="1713" spans="2:13" ht="15.75">
      <c r="B1713" s="79"/>
      <c r="D1713"/>
      <c r="E1713" s="188"/>
      <c r="H1713"/>
      <c r="I1713" s="202"/>
      <c r="J1713"/>
      <c r="K1713" s="205"/>
      <c r="L1713" s="205"/>
      <c r="M1713" s="205"/>
    </row>
    <row r="1714" spans="2:13" ht="15.75">
      <c r="B1714" s="79"/>
      <c r="D1714"/>
      <c r="E1714" s="188"/>
      <c r="H1714"/>
      <c r="I1714" s="202"/>
      <c r="J1714"/>
      <c r="K1714" s="205"/>
      <c r="L1714" s="205"/>
      <c r="M1714" s="205"/>
    </row>
    <row r="1715" spans="2:13" ht="15.75">
      <c r="B1715" s="79"/>
      <c r="D1715"/>
      <c r="E1715" s="188"/>
      <c r="H1715"/>
      <c r="I1715" s="202"/>
      <c r="J1715"/>
      <c r="K1715" s="205"/>
      <c r="L1715" s="205"/>
      <c r="M1715" s="205"/>
    </row>
    <row r="1716" spans="2:13" ht="15.75">
      <c r="B1716" s="79"/>
      <c r="D1716"/>
      <c r="E1716" s="188"/>
      <c r="H1716"/>
      <c r="I1716" s="202"/>
      <c r="J1716"/>
      <c r="K1716" s="205"/>
      <c r="L1716" s="205"/>
      <c r="M1716" s="205"/>
    </row>
    <row r="1717" spans="2:13" ht="15.75">
      <c r="B1717" s="79"/>
      <c r="D1717"/>
      <c r="E1717" s="188"/>
      <c r="H1717"/>
      <c r="I1717" s="202"/>
      <c r="J1717"/>
      <c r="K1717" s="205"/>
      <c r="L1717" s="205"/>
      <c r="M1717" s="205"/>
    </row>
    <row r="1718" spans="2:13" ht="15.75">
      <c r="B1718" s="79"/>
      <c r="D1718"/>
      <c r="E1718" s="188"/>
      <c r="H1718"/>
      <c r="I1718" s="202"/>
      <c r="J1718"/>
      <c r="K1718" s="205"/>
      <c r="L1718" s="205"/>
      <c r="M1718" s="205"/>
    </row>
    <row r="1719" spans="2:13" ht="15.75">
      <c r="B1719" s="79"/>
      <c r="D1719"/>
      <c r="E1719" s="188"/>
      <c r="H1719"/>
      <c r="I1719" s="202"/>
      <c r="J1719"/>
      <c r="K1719" s="205"/>
      <c r="L1719" s="205"/>
      <c r="M1719" s="205"/>
    </row>
    <row r="1720" spans="2:13" ht="15.75">
      <c r="B1720" s="79"/>
      <c r="D1720"/>
      <c r="E1720" s="188"/>
      <c r="H1720"/>
      <c r="I1720" s="202"/>
      <c r="J1720"/>
      <c r="K1720" s="205"/>
      <c r="L1720" s="205"/>
      <c r="M1720" s="205"/>
    </row>
    <row r="1721" spans="2:13" ht="15.75">
      <c r="B1721" s="79"/>
      <c r="D1721"/>
      <c r="E1721" s="188"/>
      <c r="H1721"/>
      <c r="I1721" s="202"/>
      <c r="J1721"/>
      <c r="K1721" s="205"/>
      <c r="L1721" s="205"/>
      <c r="M1721" s="205"/>
    </row>
    <row r="1722" spans="2:13" ht="15.75">
      <c r="B1722" s="79"/>
      <c r="D1722"/>
      <c r="E1722" s="188"/>
      <c r="H1722"/>
      <c r="I1722" s="202"/>
      <c r="J1722"/>
      <c r="K1722" s="205"/>
      <c r="L1722" s="205"/>
      <c r="M1722" s="205"/>
    </row>
    <row r="1723" spans="2:13" ht="15.75">
      <c r="B1723" s="79"/>
      <c r="D1723"/>
      <c r="E1723" s="188"/>
      <c r="H1723"/>
      <c r="I1723" s="202"/>
      <c r="J1723"/>
      <c r="K1723" s="205"/>
      <c r="L1723" s="205"/>
      <c r="M1723" s="205"/>
    </row>
    <row r="1724" spans="2:13" ht="15.75">
      <c r="B1724" s="79"/>
      <c r="D1724"/>
      <c r="E1724" s="188"/>
      <c r="H1724"/>
      <c r="I1724" s="202"/>
      <c r="J1724"/>
      <c r="K1724" s="205"/>
      <c r="L1724" s="205"/>
      <c r="M1724" s="205"/>
    </row>
    <row r="1725" spans="2:13" ht="15.75">
      <c r="B1725" s="79"/>
      <c r="D1725"/>
      <c r="E1725" s="188"/>
      <c r="H1725"/>
      <c r="I1725" s="202"/>
      <c r="J1725"/>
      <c r="K1725" s="205"/>
      <c r="L1725" s="205"/>
      <c r="M1725" s="205"/>
    </row>
    <row r="1726" spans="2:13" ht="15.75">
      <c r="B1726" s="79"/>
      <c r="D1726"/>
      <c r="E1726" s="188"/>
      <c r="H1726"/>
      <c r="I1726" s="202"/>
      <c r="J1726"/>
      <c r="K1726" s="205"/>
      <c r="L1726" s="205"/>
      <c r="M1726" s="205"/>
    </row>
    <row r="1727" spans="2:13" ht="15.75">
      <c r="B1727" s="79"/>
      <c r="D1727"/>
      <c r="E1727" s="188"/>
      <c r="H1727"/>
      <c r="I1727" s="202"/>
      <c r="J1727"/>
      <c r="K1727" s="205"/>
      <c r="L1727" s="205"/>
      <c r="M1727" s="205"/>
    </row>
    <row r="1728" spans="2:13" ht="15.75">
      <c r="B1728" s="79"/>
      <c r="D1728"/>
      <c r="E1728" s="188"/>
      <c r="H1728"/>
      <c r="I1728" s="202"/>
      <c r="J1728"/>
      <c r="K1728" s="205"/>
      <c r="L1728" s="205"/>
      <c r="M1728" s="205"/>
    </row>
    <row r="1729" spans="2:13" ht="15.75">
      <c r="B1729" s="79"/>
      <c r="D1729"/>
      <c r="E1729" s="188"/>
      <c r="H1729"/>
      <c r="I1729" s="202"/>
      <c r="J1729"/>
      <c r="K1729" s="205"/>
      <c r="L1729" s="205"/>
      <c r="M1729" s="205"/>
    </row>
    <row r="1730" spans="2:13" ht="15.75">
      <c r="B1730" s="79"/>
      <c r="D1730"/>
      <c r="E1730" s="188"/>
      <c r="H1730"/>
      <c r="I1730" s="202"/>
      <c r="J1730"/>
      <c r="K1730" s="205"/>
      <c r="L1730" s="205"/>
      <c r="M1730" s="205"/>
    </row>
    <row r="1731" spans="2:13" ht="15.75">
      <c r="B1731" s="79"/>
      <c r="D1731"/>
      <c r="E1731" s="188"/>
      <c r="H1731"/>
      <c r="I1731" s="202"/>
      <c r="J1731"/>
      <c r="K1731" s="205"/>
      <c r="L1731" s="205"/>
      <c r="M1731" s="205"/>
    </row>
    <row r="1732" spans="2:13" ht="15.75">
      <c r="B1732" s="79"/>
      <c r="D1732"/>
      <c r="E1732" s="188"/>
      <c r="H1732"/>
      <c r="I1732" s="202"/>
      <c r="J1732"/>
      <c r="K1732" s="205"/>
      <c r="L1732" s="205"/>
      <c r="M1732" s="205"/>
    </row>
    <row r="1733" spans="2:13" ht="15.75">
      <c r="B1733" s="79"/>
      <c r="D1733"/>
      <c r="E1733" s="188"/>
      <c r="H1733"/>
      <c r="I1733" s="202"/>
      <c r="J1733"/>
      <c r="K1733" s="205"/>
      <c r="L1733" s="205"/>
      <c r="M1733" s="205"/>
    </row>
    <row r="1734" spans="2:13" ht="15.75">
      <c r="B1734" s="79"/>
      <c r="D1734"/>
      <c r="E1734" s="188"/>
      <c r="H1734"/>
      <c r="I1734" s="202"/>
      <c r="J1734"/>
      <c r="K1734" s="205"/>
      <c r="L1734" s="205"/>
      <c r="M1734" s="205"/>
    </row>
    <row r="1735" spans="2:13" ht="15.75">
      <c r="B1735" s="79"/>
      <c r="D1735"/>
      <c r="E1735" s="188"/>
      <c r="H1735"/>
      <c r="I1735" s="202"/>
      <c r="J1735"/>
      <c r="K1735" s="205"/>
      <c r="L1735" s="205"/>
      <c r="M1735" s="205"/>
    </row>
    <row r="1736" spans="2:13" ht="15.75">
      <c r="B1736" s="79"/>
      <c r="D1736"/>
      <c r="E1736" s="188"/>
      <c r="H1736"/>
      <c r="I1736" s="202"/>
      <c r="J1736"/>
      <c r="K1736" s="205"/>
      <c r="L1736" s="205"/>
      <c r="M1736" s="205"/>
    </row>
    <row r="1737" spans="2:13" ht="15.75">
      <c r="B1737" s="79"/>
      <c r="D1737"/>
      <c r="E1737" s="188"/>
      <c r="H1737"/>
      <c r="I1737" s="202"/>
      <c r="J1737"/>
      <c r="K1737" s="205"/>
      <c r="L1737" s="205"/>
      <c r="M1737" s="205"/>
    </row>
    <row r="1738" spans="2:13" ht="15.75">
      <c r="B1738" s="79"/>
      <c r="D1738"/>
      <c r="E1738" s="188"/>
      <c r="H1738"/>
      <c r="I1738" s="202"/>
      <c r="J1738"/>
      <c r="K1738" s="205"/>
      <c r="L1738" s="205"/>
      <c r="M1738" s="205"/>
    </row>
    <row r="1739" spans="2:13" ht="15.75">
      <c r="B1739" s="79"/>
      <c r="D1739"/>
      <c r="E1739" s="188"/>
      <c r="H1739"/>
      <c r="I1739" s="202"/>
      <c r="J1739"/>
      <c r="K1739" s="205"/>
      <c r="L1739" s="205"/>
      <c r="M1739" s="205"/>
    </row>
    <row r="1740" spans="2:13" ht="15.75">
      <c r="B1740" s="79"/>
      <c r="D1740"/>
      <c r="E1740" s="188"/>
      <c r="H1740"/>
      <c r="I1740" s="202"/>
      <c r="J1740"/>
      <c r="K1740" s="205"/>
      <c r="L1740" s="205"/>
      <c r="M1740" s="205"/>
    </row>
    <row r="1741" spans="2:13" ht="15.75">
      <c r="B1741" s="79"/>
      <c r="D1741"/>
      <c r="E1741" s="188"/>
      <c r="H1741"/>
      <c r="I1741" s="202"/>
      <c r="J1741"/>
      <c r="K1741" s="205"/>
      <c r="L1741" s="205"/>
      <c r="M1741" s="205"/>
    </row>
    <row r="1742" spans="2:13" ht="15.75">
      <c r="B1742" s="79"/>
      <c r="D1742"/>
      <c r="E1742" s="188"/>
      <c r="H1742"/>
      <c r="I1742" s="202"/>
      <c r="J1742"/>
      <c r="K1742" s="205"/>
      <c r="L1742" s="205"/>
      <c r="M1742" s="205"/>
    </row>
    <row r="1743" spans="2:13" ht="15.75">
      <c r="B1743" s="79"/>
      <c r="D1743"/>
      <c r="E1743" s="188"/>
      <c r="H1743"/>
      <c r="I1743" s="202"/>
      <c r="J1743"/>
      <c r="K1743" s="205"/>
      <c r="L1743" s="205"/>
      <c r="M1743" s="205"/>
    </row>
    <row r="1744" spans="2:13" ht="15.75">
      <c r="B1744" s="79"/>
      <c r="D1744"/>
      <c r="E1744" s="188"/>
      <c r="H1744"/>
      <c r="I1744" s="202"/>
      <c r="J1744"/>
      <c r="K1744" s="205"/>
      <c r="L1744" s="205"/>
      <c r="M1744" s="205"/>
    </row>
    <row r="1745" spans="2:13" ht="15.75">
      <c r="B1745" s="79"/>
      <c r="D1745"/>
      <c r="E1745" s="188"/>
      <c r="H1745"/>
      <c r="I1745" s="202"/>
      <c r="J1745"/>
      <c r="K1745" s="205"/>
      <c r="L1745" s="205"/>
      <c r="M1745" s="205"/>
    </row>
    <row r="1746" spans="2:13" ht="15.75">
      <c r="B1746" s="79"/>
      <c r="D1746"/>
      <c r="E1746" s="188"/>
      <c r="H1746"/>
      <c r="I1746" s="202"/>
      <c r="J1746"/>
      <c r="K1746" s="205"/>
      <c r="L1746" s="205"/>
      <c r="M1746" s="205"/>
    </row>
    <row r="1747" spans="2:13" ht="15.75">
      <c r="B1747" s="79"/>
      <c r="D1747"/>
      <c r="E1747" s="188"/>
      <c r="H1747"/>
      <c r="I1747" s="202"/>
      <c r="J1747"/>
      <c r="K1747" s="205"/>
      <c r="L1747" s="205"/>
      <c r="M1747" s="205"/>
    </row>
    <row r="1748" spans="2:13" ht="15.75">
      <c r="B1748" s="79"/>
      <c r="D1748"/>
      <c r="E1748" s="188"/>
      <c r="H1748"/>
      <c r="I1748" s="202"/>
      <c r="J1748"/>
      <c r="K1748" s="205"/>
      <c r="L1748" s="205"/>
      <c r="M1748" s="205"/>
    </row>
    <row r="1749" spans="2:13" ht="15.75">
      <c r="B1749" s="79"/>
      <c r="D1749"/>
      <c r="E1749" s="188"/>
      <c r="H1749"/>
      <c r="I1749" s="202"/>
      <c r="J1749"/>
      <c r="K1749" s="205"/>
      <c r="L1749" s="205"/>
      <c r="M1749" s="205"/>
    </row>
    <row r="1750" spans="2:13" ht="15.75">
      <c r="B1750" s="79"/>
      <c r="D1750"/>
      <c r="E1750" s="188"/>
      <c r="H1750"/>
      <c r="I1750" s="202"/>
      <c r="J1750"/>
      <c r="K1750" s="205"/>
      <c r="L1750" s="205"/>
      <c r="M1750" s="205"/>
    </row>
    <row r="1751" spans="2:13" ht="15.75">
      <c r="B1751" s="79"/>
      <c r="D1751"/>
      <c r="E1751" s="188"/>
      <c r="H1751"/>
      <c r="I1751" s="202"/>
      <c r="J1751"/>
      <c r="K1751" s="205"/>
      <c r="L1751" s="205"/>
      <c r="M1751" s="205"/>
    </row>
    <row r="1752" spans="2:13" ht="15.75">
      <c r="B1752" s="79"/>
      <c r="D1752"/>
      <c r="E1752" s="188"/>
      <c r="H1752"/>
      <c r="I1752" s="202"/>
      <c r="J1752"/>
      <c r="K1752" s="205"/>
      <c r="L1752" s="205"/>
      <c r="M1752" s="205"/>
    </row>
    <row r="1753" spans="2:13" ht="15.75">
      <c r="B1753" s="79"/>
      <c r="D1753"/>
      <c r="E1753" s="188"/>
      <c r="H1753"/>
      <c r="I1753" s="202"/>
      <c r="J1753"/>
      <c r="K1753" s="205"/>
      <c r="L1753" s="205"/>
      <c r="M1753" s="205"/>
    </row>
    <row r="1754" spans="2:13" ht="15.75">
      <c r="B1754" s="79"/>
      <c r="D1754"/>
      <c r="E1754" s="188"/>
      <c r="H1754"/>
      <c r="I1754" s="202"/>
      <c r="J1754"/>
      <c r="K1754" s="205"/>
      <c r="L1754" s="205"/>
      <c r="M1754" s="205"/>
    </row>
    <row r="1755" spans="2:13" ht="15.75">
      <c r="B1755" s="79"/>
      <c r="D1755"/>
      <c r="E1755" s="188"/>
      <c r="H1755"/>
      <c r="I1755" s="202"/>
      <c r="J1755"/>
      <c r="K1755" s="205"/>
      <c r="L1755" s="205"/>
      <c r="M1755" s="205"/>
    </row>
    <row r="1756" spans="2:13" ht="15.75">
      <c r="B1756" s="79"/>
      <c r="D1756"/>
      <c r="E1756" s="188"/>
      <c r="H1756"/>
      <c r="I1756" s="202"/>
      <c r="J1756"/>
      <c r="K1756" s="205"/>
      <c r="L1756" s="205"/>
      <c r="M1756" s="205"/>
    </row>
    <row r="1757" spans="2:13" ht="15.75">
      <c r="B1757" s="79"/>
      <c r="D1757"/>
      <c r="E1757" s="188"/>
      <c r="H1757"/>
      <c r="I1757" s="202"/>
      <c r="J1757"/>
      <c r="K1757" s="205"/>
      <c r="L1757" s="205"/>
      <c r="M1757" s="205"/>
    </row>
    <row r="1758" spans="2:13" ht="15.75">
      <c r="B1758" s="79"/>
      <c r="D1758"/>
      <c r="E1758" s="188"/>
      <c r="H1758"/>
      <c r="I1758" s="202"/>
      <c r="J1758"/>
      <c r="K1758" s="205"/>
      <c r="L1758" s="205"/>
      <c r="M1758" s="205"/>
    </row>
    <row r="1759" spans="2:13" ht="15.75">
      <c r="B1759" s="79"/>
      <c r="D1759"/>
      <c r="E1759" s="188"/>
      <c r="H1759"/>
      <c r="I1759" s="202"/>
      <c r="J1759"/>
      <c r="K1759" s="205"/>
      <c r="L1759" s="205"/>
      <c r="M1759" s="205"/>
    </row>
    <row r="1760" spans="2:13" ht="15.75">
      <c r="B1760" s="79"/>
      <c r="D1760"/>
      <c r="E1760" s="188"/>
      <c r="H1760"/>
      <c r="I1760" s="202"/>
      <c r="J1760"/>
      <c r="K1760" s="205"/>
      <c r="L1760" s="205"/>
      <c r="M1760" s="205"/>
    </row>
    <row r="1761" spans="2:13" ht="15.75">
      <c r="B1761" s="79"/>
      <c r="D1761"/>
      <c r="E1761" s="188"/>
      <c r="H1761"/>
      <c r="I1761" s="202"/>
      <c r="J1761"/>
      <c r="K1761" s="205"/>
      <c r="L1761" s="205"/>
      <c r="M1761" s="205"/>
    </row>
    <row r="1762" spans="2:13" ht="15.75">
      <c r="B1762" s="79"/>
      <c r="D1762"/>
      <c r="E1762" s="188"/>
      <c r="H1762"/>
      <c r="I1762" s="202"/>
      <c r="J1762"/>
      <c r="K1762" s="205"/>
      <c r="L1762" s="205"/>
      <c r="M1762" s="205"/>
    </row>
    <row r="1763" spans="2:13" ht="15.75">
      <c r="B1763" s="79"/>
      <c r="D1763"/>
      <c r="E1763" s="188"/>
      <c r="H1763"/>
      <c r="I1763" s="202"/>
      <c r="J1763"/>
      <c r="K1763" s="205"/>
      <c r="L1763" s="205"/>
      <c r="M1763" s="205"/>
    </row>
    <row r="1764" spans="2:13" ht="15.75">
      <c r="B1764" s="79"/>
      <c r="D1764"/>
      <c r="E1764" s="188"/>
      <c r="H1764"/>
      <c r="I1764" s="202"/>
      <c r="J1764"/>
      <c r="K1764" s="205"/>
      <c r="L1764" s="205"/>
      <c r="M1764" s="205"/>
    </row>
    <row r="1765" spans="2:13" ht="15.75">
      <c r="B1765" s="79"/>
      <c r="D1765"/>
      <c r="E1765" s="188"/>
      <c r="H1765"/>
      <c r="I1765" s="202"/>
      <c r="J1765"/>
      <c r="K1765" s="205"/>
      <c r="L1765" s="205"/>
      <c r="M1765" s="205"/>
    </row>
    <row r="1766" spans="2:13" ht="15.75">
      <c r="B1766" s="79"/>
      <c r="D1766"/>
      <c r="E1766" s="188"/>
      <c r="H1766"/>
      <c r="I1766" s="202"/>
      <c r="J1766"/>
      <c r="K1766" s="205"/>
      <c r="L1766" s="205"/>
      <c r="M1766" s="205"/>
    </row>
    <row r="1767" spans="2:13" ht="15.75">
      <c r="B1767" s="79"/>
      <c r="D1767"/>
      <c r="E1767" s="188"/>
      <c r="H1767"/>
      <c r="I1767" s="202"/>
      <c r="J1767"/>
      <c r="K1767" s="205"/>
      <c r="L1767" s="205"/>
      <c r="M1767" s="205"/>
    </row>
    <row r="1768" spans="2:13" ht="15.75">
      <c r="B1768" s="79"/>
      <c r="D1768"/>
      <c r="E1768" s="188"/>
      <c r="H1768"/>
      <c r="I1768" s="202"/>
      <c r="J1768"/>
      <c r="K1768" s="205"/>
      <c r="L1768" s="205"/>
      <c r="M1768" s="205"/>
    </row>
    <row r="1769" spans="2:13" ht="15.75">
      <c r="B1769" s="79"/>
      <c r="D1769"/>
      <c r="E1769" s="188"/>
      <c r="H1769"/>
      <c r="I1769" s="202"/>
      <c r="J1769"/>
      <c r="K1769" s="205"/>
      <c r="L1769" s="205"/>
      <c r="M1769" s="205"/>
    </row>
    <row r="1770" spans="2:13" ht="15.75">
      <c r="B1770" s="79"/>
      <c r="D1770"/>
      <c r="E1770" s="188"/>
      <c r="H1770"/>
      <c r="I1770" s="202"/>
      <c r="J1770"/>
      <c r="K1770" s="205"/>
      <c r="L1770" s="205"/>
      <c r="M1770" s="205"/>
    </row>
    <row r="1771" spans="2:13" ht="15.75">
      <c r="B1771" s="79"/>
      <c r="D1771"/>
      <c r="E1771" s="188"/>
      <c r="H1771"/>
      <c r="I1771" s="202"/>
      <c r="J1771"/>
      <c r="K1771" s="205"/>
      <c r="L1771" s="205"/>
      <c r="M1771" s="205"/>
    </row>
    <row r="1772" spans="2:13" ht="15.75">
      <c r="B1772" s="79"/>
      <c r="D1772"/>
      <c r="E1772" s="188"/>
      <c r="H1772"/>
      <c r="I1772" s="202"/>
      <c r="J1772"/>
      <c r="K1772" s="205"/>
      <c r="L1772" s="205"/>
      <c r="M1772" s="205"/>
    </row>
    <row r="1773" spans="2:13" ht="15.75">
      <c r="B1773" s="79"/>
      <c r="D1773"/>
      <c r="E1773" s="188"/>
      <c r="H1773"/>
      <c r="I1773" s="202"/>
      <c r="J1773"/>
      <c r="K1773" s="205"/>
      <c r="L1773" s="205"/>
      <c r="M1773" s="205"/>
    </row>
    <row r="1774" spans="2:13" ht="15.75">
      <c r="B1774" s="79"/>
      <c r="D1774"/>
      <c r="E1774" s="188"/>
      <c r="H1774"/>
      <c r="I1774" s="202"/>
      <c r="J1774"/>
      <c r="K1774" s="205"/>
      <c r="L1774" s="205"/>
      <c r="M1774" s="205"/>
    </row>
    <row r="1775" spans="2:13" ht="15.75">
      <c r="B1775" s="79"/>
      <c r="D1775"/>
      <c r="E1775" s="188"/>
      <c r="H1775"/>
      <c r="I1775" s="202"/>
      <c r="J1775"/>
      <c r="K1775" s="205"/>
      <c r="L1775" s="205"/>
      <c r="M1775" s="205"/>
    </row>
    <row r="1776" spans="2:13" ht="15.75">
      <c r="B1776" s="79"/>
      <c r="D1776"/>
      <c r="E1776" s="188"/>
      <c r="H1776"/>
      <c r="I1776" s="202"/>
      <c r="J1776"/>
      <c r="K1776" s="205"/>
      <c r="L1776" s="205"/>
      <c r="M1776" s="205"/>
    </row>
    <row r="1777" spans="2:13" ht="15.75">
      <c r="B1777" s="79"/>
      <c r="D1777"/>
      <c r="E1777" s="188"/>
      <c r="H1777"/>
      <c r="I1777" s="202"/>
      <c r="J1777"/>
      <c r="K1777" s="205"/>
      <c r="L1777" s="205"/>
      <c r="M1777" s="205"/>
    </row>
    <row r="1778" spans="2:13" ht="15.75">
      <c r="B1778" s="79"/>
      <c r="D1778"/>
      <c r="E1778" s="188"/>
      <c r="H1778"/>
      <c r="I1778" s="202"/>
      <c r="J1778"/>
      <c r="K1778" s="205"/>
      <c r="L1778" s="205"/>
      <c r="M1778" s="205"/>
    </row>
    <row r="1779" spans="2:13" ht="15.75">
      <c r="B1779" s="79"/>
      <c r="D1779"/>
      <c r="E1779" s="188"/>
      <c r="H1779"/>
      <c r="I1779" s="202"/>
      <c r="J1779"/>
      <c r="K1779" s="205"/>
      <c r="L1779" s="205"/>
      <c r="M1779" s="205"/>
    </row>
    <row r="1780" spans="2:13" ht="15.75">
      <c r="B1780" s="79"/>
      <c r="D1780"/>
      <c r="E1780" s="188"/>
      <c r="H1780"/>
      <c r="I1780" s="202"/>
      <c r="J1780"/>
      <c r="K1780" s="205"/>
      <c r="L1780" s="205"/>
      <c r="M1780" s="205"/>
    </row>
    <row r="1781" spans="2:13" ht="15.75">
      <c r="B1781" s="79"/>
      <c r="D1781"/>
      <c r="E1781" s="188"/>
      <c r="H1781"/>
      <c r="I1781" s="202"/>
      <c r="J1781"/>
      <c r="K1781" s="205"/>
      <c r="L1781" s="205"/>
      <c r="M1781" s="205"/>
    </row>
    <row r="1782" spans="2:13" ht="15.75">
      <c r="B1782" s="79"/>
      <c r="D1782"/>
      <c r="E1782" s="188"/>
      <c r="H1782"/>
      <c r="I1782" s="202"/>
      <c r="J1782"/>
      <c r="K1782" s="205"/>
      <c r="L1782" s="205"/>
      <c r="M1782" s="205"/>
    </row>
    <row r="1783" spans="2:13" ht="15.75">
      <c r="B1783" s="79"/>
      <c r="D1783"/>
      <c r="E1783" s="188"/>
      <c r="H1783"/>
      <c r="I1783" s="202"/>
      <c r="J1783"/>
      <c r="K1783" s="205"/>
      <c r="L1783" s="205"/>
      <c r="M1783" s="205"/>
    </row>
    <row r="1784" spans="2:13" ht="15.75">
      <c r="B1784" s="79"/>
      <c r="D1784"/>
      <c r="E1784" s="188"/>
      <c r="H1784"/>
      <c r="I1784" s="202"/>
      <c r="J1784"/>
      <c r="K1784" s="205"/>
      <c r="L1784" s="205"/>
      <c r="M1784" s="205"/>
    </row>
    <row r="1785" spans="2:13" ht="15.75">
      <c r="B1785" s="79"/>
      <c r="D1785"/>
      <c r="E1785" s="188"/>
      <c r="H1785"/>
      <c r="I1785" s="202"/>
      <c r="J1785"/>
      <c r="K1785" s="205"/>
      <c r="L1785" s="205"/>
      <c r="M1785" s="205"/>
    </row>
    <row r="1786" spans="2:13" ht="15.75">
      <c r="B1786" s="79"/>
      <c r="D1786"/>
      <c r="E1786" s="188"/>
      <c r="H1786"/>
      <c r="I1786" s="202"/>
      <c r="J1786"/>
      <c r="K1786" s="205"/>
      <c r="L1786" s="205"/>
      <c r="M1786" s="205"/>
    </row>
    <row r="1787" spans="2:13" ht="15.75">
      <c r="B1787" s="79"/>
      <c r="D1787"/>
      <c r="E1787" s="188"/>
      <c r="H1787"/>
      <c r="I1787" s="202"/>
      <c r="J1787"/>
      <c r="K1787" s="205"/>
      <c r="L1787" s="205"/>
      <c r="M1787" s="205"/>
    </row>
    <row r="1788" spans="2:13" ht="15.75">
      <c r="B1788" s="79"/>
      <c r="D1788"/>
      <c r="E1788" s="188"/>
      <c r="H1788"/>
      <c r="I1788" s="202"/>
      <c r="J1788"/>
      <c r="K1788" s="205"/>
      <c r="L1788" s="205"/>
      <c r="M1788" s="205"/>
    </row>
    <row r="1789" spans="2:13" ht="15.75">
      <c r="B1789" s="79"/>
      <c r="D1789"/>
      <c r="E1789" s="188"/>
      <c r="H1789"/>
      <c r="I1789" s="202"/>
      <c r="J1789"/>
      <c r="K1789" s="205"/>
      <c r="L1789" s="205"/>
      <c r="M1789" s="205"/>
    </row>
    <row r="1790" spans="2:13" ht="15.75">
      <c r="B1790" s="79"/>
      <c r="D1790"/>
      <c r="E1790" s="188"/>
      <c r="H1790"/>
      <c r="I1790" s="202"/>
      <c r="J1790"/>
      <c r="K1790" s="205"/>
      <c r="L1790" s="205"/>
      <c r="M1790" s="205"/>
    </row>
    <row r="1791" spans="2:13" ht="15.75">
      <c r="B1791" s="79"/>
      <c r="D1791"/>
      <c r="E1791" s="188"/>
      <c r="H1791"/>
      <c r="I1791" s="202"/>
      <c r="J1791"/>
      <c r="K1791" s="205"/>
      <c r="L1791" s="205"/>
      <c r="M1791" s="205"/>
    </row>
    <row r="1792" spans="2:13" ht="15.75">
      <c r="B1792" s="79"/>
      <c r="D1792"/>
      <c r="E1792" s="188"/>
      <c r="H1792"/>
      <c r="I1792" s="202"/>
      <c r="J1792"/>
      <c r="K1792" s="205"/>
      <c r="L1792" s="205"/>
      <c r="M1792" s="205"/>
    </row>
    <row r="1793" spans="2:13" ht="15.75">
      <c r="B1793" s="79"/>
      <c r="D1793"/>
      <c r="E1793" s="188"/>
      <c r="H1793"/>
      <c r="I1793" s="202"/>
      <c r="J1793"/>
      <c r="K1793" s="205"/>
      <c r="L1793" s="205"/>
      <c r="M1793" s="205"/>
    </row>
    <row r="1794" spans="2:13" ht="15.75">
      <c r="B1794" s="79"/>
      <c r="D1794"/>
      <c r="E1794" s="188"/>
      <c r="H1794"/>
      <c r="I1794" s="202"/>
      <c r="J1794"/>
      <c r="K1794" s="205"/>
      <c r="L1794" s="205"/>
      <c r="M1794" s="205"/>
    </row>
    <row r="1795" spans="2:13" ht="15.75">
      <c r="B1795" s="79"/>
      <c r="D1795"/>
      <c r="E1795" s="188"/>
      <c r="H1795"/>
      <c r="I1795" s="202"/>
      <c r="J1795"/>
      <c r="K1795" s="205"/>
      <c r="L1795" s="205"/>
      <c r="M1795" s="205"/>
    </row>
    <row r="1796" spans="2:13" ht="15.75">
      <c r="B1796" s="79"/>
      <c r="D1796"/>
      <c r="E1796" s="188"/>
      <c r="H1796"/>
      <c r="I1796" s="202"/>
      <c r="J1796"/>
      <c r="K1796" s="205"/>
      <c r="L1796" s="205"/>
      <c r="M1796" s="205"/>
    </row>
    <row r="1797" spans="2:13" ht="15.75">
      <c r="B1797" s="79"/>
      <c r="D1797"/>
      <c r="E1797" s="188"/>
      <c r="H1797"/>
      <c r="I1797" s="202"/>
      <c r="J1797"/>
      <c r="K1797" s="205"/>
      <c r="L1797" s="205"/>
      <c r="M1797" s="205"/>
    </row>
    <row r="1798" spans="2:13" ht="15.75">
      <c r="B1798" s="79"/>
      <c r="D1798"/>
      <c r="E1798" s="188"/>
      <c r="H1798"/>
      <c r="I1798" s="202"/>
      <c r="J1798"/>
      <c r="K1798" s="205"/>
      <c r="L1798" s="205"/>
      <c r="M1798" s="205"/>
    </row>
    <row r="1799" spans="2:13" ht="15.75">
      <c r="B1799" s="79"/>
      <c r="D1799"/>
      <c r="E1799" s="188"/>
      <c r="H1799"/>
      <c r="I1799" s="202"/>
      <c r="J1799"/>
      <c r="K1799" s="205"/>
      <c r="L1799" s="205"/>
      <c r="M1799" s="205"/>
    </row>
    <row r="1800" spans="2:13" ht="15.75">
      <c r="B1800" s="79"/>
      <c r="D1800"/>
      <c r="E1800" s="188"/>
      <c r="H1800"/>
      <c r="I1800" s="202"/>
      <c r="J1800"/>
      <c r="K1800" s="205"/>
      <c r="L1800" s="205"/>
      <c r="M1800" s="205"/>
    </row>
    <row r="1801" spans="2:13" ht="15.75">
      <c r="B1801" s="79"/>
      <c r="D1801"/>
      <c r="E1801" s="188"/>
      <c r="H1801"/>
      <c r="I1801" s="202"/>
      <c r="J1801"/>
      <c r="K1801" s="205"/>
      <c r="L1801" s="205"/>
      <c r="M1801" s="205"/>
    </row>
    <row r="1802" spans="2:13" ht="15.75">
      <c r="B1802" s="79"/>
      <c r="D1802"/>
      <c r="E1802" s="188"/>
      <c r="H1802"/>
      <c r="I1802" s="202"/>
      <c r="J1802"/>
      <c r="K1802" s="205"/>
      <c r="L1802" s="205"/>
      <c r="M1802" s="205"/>
    </row>
    <row r="1803" spans="2:13" ht="15.75">
      <c r="B1803" s="79"/>
      <c r="D1803"/>
      <c r="E1803" s="188"/>
      <c r="H1803"/>
      <c r="I1803" s="202"/>
      <c r="J1803"/>
      <c r="K1803" s="205"/>
      <c r="L1803" s="205"/>
      <c r="M1803" s="205"/>
    </row>
    <row r="1804" spans="2:13" ht="15.75">
      <c r="B1804" s="79"/>
      <c r="D1804"/>
      <c r="E1804" s="188"/>
      <c r="H1804"/>
      <c r="I1804" s="202"/>
      <c r="J1804"/>
      <c r="K1804" s="205"/>
      <c r="L1804" s="205"/>
      <c r="M1804" s="205"/>
    </row>
    <row r="1805" spans="2:13" ht="15.75">
      <c r="B1805" s="79"/>
      <c r="D1805"/>
      <c r="E1805" s="188"/>
      <c r="H1805"/>
      <c r="I1805" s="202"/>
      <c r="J1805"/>
      <c r="K1805" s="205"/>
      <c r="L1805" s="205"/>
      <c r="M1805" s="205"/>
    </row>
    <row r="1806" spans="2:13" ht="15.75">
      <c r="B1806" s="79"/>
      <c r="D1806"/>
      <c r="E1806" s="188"/>
      <c r="H1806"/>
      <c r="I1806" s="202"/>
      <c r="J1806"/>
      <c r="K1806" s="205"/>
      <c r="L1806" s="205"/>
      <c r="M1806" s="205"/>
    </row>
    <row r="1807" spans="2:13" ht="15.75">
      <c r="B1807" s="79"/>
      <c r="D1807"/>
      <c r="E1807" s="188"/>
      <c r="H1807"/>
      <c r="I1807" s="202"/>
      <c r="J1807"/>
      <c r="K1807" s="205"/>
      <c r="L1807" s="205"/>
      <c r="M1807" s="205"/>
    </row>
    <row r="1808" spans="2:13" ht="15.75">
      <c r="B1808" s="79"/>
      <c r="D1808"/>
      <c r="E1808" s="188"/>
      <c r="H1808"/>
      <c r="I1808" s="202"/>
      <c r="J1808"/>
      <c r="K1808" s="205"/>
      <c r="L1808" s="205"/>
      <c r="M1808" s="205"/>
    </row>
    <row r="1809" spans="2:13" ht="15.75">
      <c r="B1809" s="79"/>
      <c r="D1809"/>
      <c r="E1809" s="188"/>
      <c r="H1809"/>
      <c r="I1809" s="202"/>
      <c r="J1809"/>
      <c r="K1809" s="205"/>
      <c r="L1809" s="205"/>
      <c r="M1809" s="205"/>
    </row>
    <row r="1810" spans="2:13" ht="15.75">
      <c r="B1810" s="79"/>
      <c r="D1810"/>
      <c r="E1810" s="188"/>
      <c r="H1810"/>
      <c r="I1810" s="202"/>
      <c r="J1810"/>
      <c r="K1810" s="205"/>
      <c r="L1810" s="205"/>
      <c r="M1810" s="205"/>
    </row>
    <row r="1811" spans="2:13" ht="15.75">
      <c r="B1811" s="79"/>
      <c r="D1811"/>
      <c r="E1811" s="188"/>
      <c r="H1811"/>
      <c r="I1811" s="202"/>
      <c r="J1811"/>
      <c r="K1811" s="205"/>
      <c r="L1811" s="205"/>
      <c r="M1811" s="205"/>
    </row>
    <row r="1812" spans="2:13" ht="15.75">
      <c r="B1812" s="79"/>
      <c r="D1812"/>
      <c r="E1812" s="188"/>
      <c r="H1812"/>
      <c r="I1812" s="202"/>
      <c r="J1812"/>
      <c r="K1812" s="205"/>
      <c r="L1812" s="205"/>
      <c r="M1812" s="205"/>
    </row>
    <row r="1813" spans="2:13" ht="15.75">
      <c r="B1813" s="79"/>
      <c r="D1813"/>
      <c r="E1813" s="188"/>
      <c r="H1813"/>
      <c r="I1813" s="202"/>
      <c r="J1813"/>
      <c r="K1813" s="205"/>
      <c r="L1813" s="205"/>
      <c r="M1813" s="205"/>
    </row>
    <row r="1814" spans="2:13" ht="15.75">
      <c r="B1814" s="79"/>
      <c r="D1814"/>
      <c r="E1814" s="188"/>
      <c r="H1814"/>
      <c r="I1814" s="202"/>
      <c r="J1814"/>
      <c r="K1814" s="205"/>
      <c r="L1814" s="205"/>
      <c r="M1814" s="205"/>
    </row>
    <row r="1815" spans="2:13" ht="15.75">
      <c r="B1815" s="79"/>
      <c r="D1815"/>
      <c r="E1815" s="188"/>
      <c r="H1815"/>
      <c r="I1815" s="202"/>
      <c r="J1815"/>
      <c r="K1815" s="205"/>
      <c r="L1815" s="205"/>
      <c r="M1815" s="205"/>
    </row>
    <row r="1816" spans="2:13" ht="15.75">
      <c r="B1816" s="79"/>
      <c r="D1816"/>
      <c r="E1816" s="188"/>
      <c r="H1816"/>
      <c r="I1816" s="202"/>
      <c r="J1816"/>
      <c r="K1816" s="205"/>
      <c r="L1816" s="205"/>
      <c r="M1816" s="205"/>
    </row>
    <row r="1817" spans="2:13" ht="15.75">
      <c r="B1817" s="79"/>
      <c r="D1817"/>
      <c r="E1817" s="188"/>
      <c r="H1817"/>
      <c r="I1817" s="202"/>
      <c r="J1817"/>
      <c r="K1817" s="205"/>
      <c r="L1817" s="205"/>
      <c r="M1817" s="205"/>
    </row>
    <row r="1818" spans="2:13" ht="15.75">
      <c r="B1818" s="79"/>
      <c r="D1818"/>
      <c r="E1818" s="188"/>
      <c r="H1818"/>
      <c r="I1818" s="202"/>
      <c r="J1818"/>
      <c r="K1818" s="205"/>
      <c r="L1818" s="205"/>
      <c r="M1818" s="205"/>
    </row>
    <row r="1819" spans="2:13" ht="15.75">
      <c r="B1819" s="79"/>
      <c r="D1819"/>
      <c r="E1819" s="188"/>
      <c r="H1819"/>
      <c r="I1819" s="202"/>
      <c r="J1819"/>
      <c r="K1819" s="205"/>
      <c r="L1819" s="205"/>
      <c r="M1819" s="205"/>
    </row>
    <row r="1820" spans="2:13" ht="15.75">
      <c r="B1820" s="79"/>
      <c r="D1820"/>
      <c r="E1820" s="188"/>
      <c r="H1820"/>
      <c r="I1820" s="202"/>
      <c r="J1820"/>
      <c r="K1820" s="205"/>
      <c r="L1820" s="205"/>
      <c r="M1820" s="205"/>
    </row>
    <row r="1821" spans="2:13" ht="15.75">
      <c r="B1821" s="79"/>
      <c r="D1821"/>
      <c r="E1821" s="188"/>
      <c r="H1821"/>
      <c r="I1821" s="202"/>
      <c r="J1821"/>
      <c r="K1821" s="205"/>
      <c r="L1821" s="205"/>
      <c r="M1821" s="205"/>
    </row>
    <row r="1822" spans="2:13" ht="15.75">
      <c r="B1822" s="79"/>
      <c r="D1822"/>
      <c r="E1822" s="188"/>
      <c r="H1822"/>
      <c r="I1822" s="202"/>
      <c r="J1822"/>
      <c r="K1822" s="205"/>
      <c r="L1822" s="205"/>
      <c r="M1822" s="205"/>
    </row>
    <row r="1823" spans="2:13" ht="15.75">
      <c r="B1823" s="79"/>
      <c r="D1823"/>
      <c r="E1823" s="188"/>
      <c r="H1823"/>
      <c r="I1823" s="202"/>
      <c r="J1823"/>
      <c r="K1823" s="205"/>
      <c r="L1823" s="205"/>
      <c r="M1823" s="205"/>
    </row>
    <row r="1824" spans="2:13" ht="15.75">
      <c r="B1824" s="79"/>
      <c r="D1824"/>
      <c r="E1824" s="188"/>
      <c r="H1824"/>
      <c r="I1824" s="202"/>
      <c r="J1824"/>
      <c r="K1824" s="205"/>
      <c r="L1824" s="205"/>
      <c r="M1824" s="205"/>
    </row>
    <row r="1825" spans="2:13" ht="15.75">
      <c r="B1825" s="79"/>
      <c r="D1825"/>
      <c r="E1825" s="188"/>
      <c r="H1825"/>
      <c r="I1825" s="202"/>
      <c r="J1825"/>
      <c r="K1825" s="205"/>
      <c r="L1825" s="205"/>
      <c r="M1825" s="205"/>
    </row>
    <row r="1826" spans="2:13" ht="15.75">
      <c r="B1826" s="79"/>
      <c r="D1826"/>
      <c r="E1826" s="188"/>
      <c r="H1826"/>
      <c r="I1826" s="202"/>
      <c r="J1826"/>
      <c r="K1826" s="205"/>
      <c r="L1826" s="205"/>
      <c r="M1826" s="205"/>
    </row>
    <row r="1827" spans="2:13" ht="15.75">
      <c r="B1827" s="79"/>
      <c r="D1827"/>
      <c r="E1827" s="188"/>
      <c r="H1827"/>
      <c r="I1827" s="202"/>
      <c r="J1827"/>
      <c r="K1827" s="205"/>
      <c r="L1827" s="205"/>
      <c r="M1827" s="205"/>
    </row>
    <row r="1828" spans="2:13" ht="15.75">
      <c r="B1828" s="79"/>
      <c r="D1828"/>
      <c r="E1828" s="188"/>
      <c r="H1828"/>
      <c r="I1828" s="202"/>
      <c r="J1828"/>
      <c r="K1828" s="205"/>
      <c r="L1828" s="205"/>
      <c r="M1828" s="205"/>
    </row>
    <row r="1829" spans="2:13" ht="15.75">
      <c r="B1829" s="79"/>
      <c r="D1829"/>
      <c r="E1829" s="188"/>
      <c r="H1829"/>
      <c r="I1829" s="202"/>
      <c r="J1829"/>
      <c r="K1829" s="205"/>
      <c r="L1829" s="205"/>
      <c r="M1829" s="205"/>
    </row>
    <row r="1830" spans="2:13" ht="15.75">
      <c r="B1830" s="79"/>
      <c r="D1830"/>
      <c r="E1830" s="188"/>
      <c r="H1830"/>
      <c r="I1830" s="202"/>
      <c r="J1830"/>
      <c r="K1830" s="205"/>
      <c r="L1830" s="205"/>
      <c r="M1830" s="205"/>
    </row>
    <row r="1831" spans="2:13" ht="15.75">
      <c r="B1831" s="79"/>
      <c r="D1831"/>
      <c r="E1831" s="188"/>
      <c r="H1831"/>
      <c r="I1831" s="202"/>
      <c r="J1831"/>
      <c r="K1831" s="205"/>
      <c r="L1831" s="205"/>
      <c r="M1831" s="205"/>
    </row>
    <row r="1832" spans="2:13" ht="15.75">
      <c r="B1832" s="79"/>
      <c r="D1832"/>
      <c r="E1832" s="188"/>
      <c r="H1832"/>
      <c r="I1832" s="202"/>
      <c r="J1832"/>
      <c r="K1832" s="205"/>
      <c r="L1832" s="205"/>
      <c r="M1832" s="205"/>
    </row>
    <row r="1833" spans="2:13" ht="15.75">
      <c r="B1833" s="79"/>
      <c r="D1833"/>
      <c r="E1833" s="188"/>
      <c r="H1833"/>
      <c r="I1833" s="202"/>
      <c r="J1833"/>
      <c r="K1833" s="205"/>
      <c r="L1833" s="205"/>
      <c r="M1833" s="205"/>
    </row>
    <row r="1834" spans="2:13" ht="15.75">
      <c r="B1834" s="79"/>
      <c r="D1834"/>
      <c r="E1834" s="188"/>
      <c r="H1834"/>
      <c r="I1834" s="202"/>
      <c r="J1834"/>
      <c r="K1834" s="205"/>
      <c r="L1834" s="205"/>
      <c r="M1834" s="205"/>
    </row>
    <row r="1835" spans="2:13" ht="15.75">
      <c r="B1835" s="79"/>
      <c r="D1835"/>
      <c r="E1835" s="188"/>
      <c r="H1835"/>
      <c r="I1835" s="202"/>
      <c r="J1835"/>
      <c r="K1835" s="205"/>
      <c r="L1835" s="205"/>
      <c r="M1835" s="205"/>
    </row>
    <row r="1836" spans="2:13" ht="15.75">
      <c r="B1836" s="79"/>
      <c r="D1836"/>
      <c r="E1836" s="188"/>
      <c r="H1836"/>
      <c r="I1836" s="202"/>
      <c r="J1836"/>
      <c r="K1836" s="205"/>
      <c r="L1836" s="205"/>
      <c r="M1836" s="205"/>
    </row>
    <row r="1837" spans="2:13" ht="15.75">
      <c r="B1837" s="79"/>
      <c r="D1837"/>
      <c r="E1837" s="188"/>
      <c r="H1837"/>
      <c r="I1837" s="202"/>
      <c r="J1837"/>
      <c r="K1837" s="205"/>
      <c r="L1837" s="205"/>
      <c r="M1837" s="205"/>
    </row>
    <row r="1838" spans="2:13" ht="15.75">
      <c r="B1838" s="79"/>
      <c r="D1838"/>
      <c r="E1838" s="188"/>
      <c r="H1838"/>
      <c r="I1838" s="202"/>
      <c r="J1838"/>
      <c r="K1838" s="205"/>
      <c r="L1838" s="205"/>
      <c r="M1838" s="205"/>
    </row>
    <row r="1839" spans="2:13" ht="15.75">
      <c r="B1839" s="79"/>
      <c r="D1839"/>
      <c r="E1839" s="188"/>
      <c r="H1839"/>
      <c r="I1839" s="202"/>
      <c r="J1839"/>
      <c r="K1839" s="205"/>
      <c r="L1839" s="205"/>
      <c r="M1839" s="205"/>
    </row>
    <row r="1840" spans="2:13" ht="15.75">
      <c r="B1840" s="79"/>
      <c r="D1840"/>
      <c r="E1840" s="188"/>
      <c r="H1840"/>
      <c r="I1840" s="202"/>
      <c r="J1840"/>
      <c r="K1840" s="205"/>
      <c r="L1840" s="205"/>
      <c r="M1840" s="205"/>
    </row>
    <row r="1841" spans="2:13" ht="15.75">
      <c r="B1841" s="79"/>
      <c r="D1841"/>
      <c r="E1841" s="188"/>
      <c r="H1841"/>
      <c r="I1841" s="202"/>
      <c r="J1841"/>
      <c r="K1841" s="205"/>
      <c r="L1841" s="205"/>
      <c r="M1841" s="205"/>
    </row>
    <row r="1842" spans="2:13" ht="15.75">
      <c r="B1842" s="79"/>
      <c r="D1842"/>
      <c r="E1842" s="188"/>
      <c r="H1842"/>
      <c r="I1842" s="202"/>
      <c r="J1842"/>
      <c r="K1842" s="205"/>
      <c r="L1842" s="205"/>
      <c r="M1842" s="205"/>
    </row>
    <row r="1843" spans="2:13" ht="15.75">
      <c r="B1843" s="79"/>
      <c r="D1843"/>
      <c r="E1843" s="188"/>
      <c r="H1843"/>
      <c r="I1843" s="202"/>
      <c r="J1843"/>
      <c r="K1843" s="205"/>
      <c r="L1843" s="205"/>
      <c r="M1843" s="205"/>
    </row>
    <row r="1844" spans="2:13" ht="15.75">
      <c r="B1844" s="79"/>
      <c r="D1844"/>
      <c r="E1844" s="188"/>
      <c r="H1844"/>
      <c r="I1844" s="202"/>
      <c r="J1844"/>
      <c r="K1844" s="205"/>
      <c r="L1844" s="205"/>
      <c r="M1844" s="205"/>
    </row>
    <row r="1845" spans="2:13" ht="15.75">
      <c r="B1845" s="79"/>
      <c r="D1845"/>
      <c r="E1845" s="188"/>
      <c r="H1845"/>
      <c r="I1845" s="202"/>
      <c r="J1845"/>
      <c r="K1845" s="205"/>
      <c r="L1845" s="205"/>
      <c r="M1845" s="205"/>
    </row>
    <row r="1846" spans="2:13" ht="15.75">
      <c r="B1846" s="79"/>
      <c r="D1846"/>
      <c r="E1846" s="188"/>
      <c r="H1846"/>
      <c r="I1846" s="202"/>
      <c r="J1846"/>
      <c r="K1846" s="205"/>
      <c r="L1846" s="205"/>
      <c r="M1846" s="205"/>
    </row>
    <row r="1847" spans="2:13" ht="15.75">
      <c r="B1847" s="79"/>
      <c r="D1847"/>
      <c r="E1847" s="188"/>
      <c r="H1847"/>
      <c r="I1847" s="202"/>
      <c r="J1847"/>
      <c r="K1847" s="205"/>
      <c r="L1847" s="205"/>
      <c r="M1847" s="205"/>
    </row>
    <row r="1848" spans="2:13" ht="15.75">
      <c r="B1848" s="79"/>
      <c r="D1848"/>
      <c r="E1848" s="188"/>
      <c r="H1848"/>
      <c r="I1848" s="202"/>
      <c r="J1848"/>
      <c r="K1848" s="205"/>
      <c r="L1848" s="205"/>
      <c r="M1848" s="205"/>
    </row>
    <row r="1849" spans="2:13" ht="15.75">
      <c r="B1849" s="79"/>
      <c r="D1849"/>
      <c r="E1849" s="188"/>
      <c r="H1849"/>
      <c r="I1849" s="202"/>
      <c r="J1849"/>
      <c r="K1849" s="205"/>
      <c r="L1849" s="205"/>
      <c r="M1849" s="205"/>
    </row>
    <row r="1850" spans="2:13" ht="15.75">
      <c r="B1850" s="79"/>
      <c r="D1850"/>
      <c r="E1850" s="188"/>
      <c r="H1850"/>
      <c r="I1850" s="202"/>
      <c r="J1850"/>
      <c r="K1850" s="205"/>
      <c r="L1850" s="205"/>
      <c r="M1850" s="205"/>
    </row>
    <row r="1851" spans="2:13" ht="15.75">
      <c r="B1851" s="79"/>
      <c r="D1851"/>
      <c r="E1851" s="188"/>
      <c r="H1851"/>
      <c r="I1851" s="202"/>
      <c r="J1851"/>
      <c r="K1851" s="205"/>
      <c r="L1851" s="205"/>
      <c r="M1851" s="205"/>
    </row>
    <row r="1852" spans="2:13" ht="15.75">
      <c r="B1852" s="79"/>
      <c r="D1852"/>
      <c r="E1852" s="188"/>
      <c r="H1852"/>
      <c r="I1852" s="202"/>
      <c r="J1852"/>
      <c r="K1852" s="205"/>
      <c r="L1852" s="205"/>
      <c r="M1852" s="205"/>
    </row>
    <row r="1853" spans="2:13" ht="15.75">
      <c r="B1853" s="79"/>
      <c r="D1853"/>
      <c r="E1853" s="188"/>
      <c r="H1853"/>
      <c r="I1853" s="202"/>
      <c r="J1853"/>
      <c r="K1853" s="205"/>
      <c r="L1853" s="205"/>
      <c r="M1853" s="205"/>
    </row>
    <row r="1854" spans="2:13" ht="15.75">
      <c r="B1854" s="79"/>
      <c r="D1854"/>
      <c r="E1854" s="188"/>
      <c r="H1854"/>
      <c r="I1854" s="202"/>
      <c r="J1854"/>
      <c r="K1854" s="205"/>
      <c r="L1854" s="205"/>
      <c r="M1854" s="205"/>
    </row>
    <row r="1855" spans="2:13" ht="15.75">
      <c r="B1855" s="79"/>
      <c r="D1855"/>
      <c r="E1855" s="188"/>
      <c r="H1855"/>
      <c r="I1855" s="202"/>
      <c r="J1855"/>
      <c r="K1855" s="205"/>
      <c r="L1855" s="205"/>
      <c r="M1855" s="205"/>
    </row>
    <row r="1856" spans="2:13" ht="15.75">
      <c r="B1856" s="79"/>
      <c r="D1856"/>
      <c r="E1856" s="188"/>
      <c r="H1856"/>
      <c r="I1856" s="202"/>
      <c r="J1856"/>
      <c r="K1856" s="205"/>
      <c r="L1856" s="205"/>
      <c r="M1856" s="205"/>
    </row>
    <row r="1857" spans="2:13" ht="15.75">
      <c r="B1857" s="79"/>
      <c r="D1857"/>
      <c r="E1857" s="188"/>
      <c r="H1857"/>
      <c r="I1857" s="202"/>
      <c r="J1857"/>
      <c r="K1857" s="205"/>
      <c r="L1857" s="205"/>
      <c r="M1857" s="205"/>
    </row>
    <row r="1858" spans="2:13" ht="15.75">
      <c r="B1858" s="79"/>
      <c r="D1858"/>
      <c r="E1858" s="188"/>
      <c r="H1858"/>
      <c r="I1858" s="202"/>
      <c r="J1858"/>
      <c r="K1858" s="205"/>
      <c r="L1858" s="205"/>
      <c r="M1858" s="205"/>
    </row>
    <row r="1859" spans="2:13" ht="15.75">
      <c r="B1859" s="79"/>
      <c r="D1859"/>
      <c r="E1859" s="188"/>
      <c r="H1859"/>
      <c r="I1859" s="202"/>
      <c r="J1859"/>
      <c r="K1859" s="205"/>
      <c r="L1859" s="205"/>
      <c r="M1859" s="205"/>
    </row>
    <row r="1860" spans="2:13" ht="15.75">
      <c r="B1860" s="79"/>
      <c r="D1860"/>
      <c r="E1860" s="188"/>
      <c r="H1860"/>
      <c r="I1860" s="202"/>
      <c r="J1860"/>
      <c r="K1860" s="205"/>
      <c r="L1860" s="205"/>
      <c r="M1860" s="205"/>
    </row>
    <row r="1861" spans="2:13" ht="15.75">
      <c r="B1861" s="79"/>
      <c r="D1861"/>
      <c r="E1861" s="188"/>
      <c r="H1861"/>
      <c r="I1861" s="202"/>
      <c r="J1861"/>
      <c r="K1861" s="205"/>
      <c r="L1861" s="205"/>
      <c r="M1861" s="205"/>
    </row>
    <row r="1862" spans="2:13" ht="15.75">
      <c r="B1862" s="79"/>
      <c r="D1862"/>
      <c r="E1862" s="188"/>
      <c r="H1862"/>
      <c r="I1862" s="202"/>
      <c r="J1862"/>
      <c r="K1862" s="205"/>
      <c r="L1862" s="205"/>
      <c r="M1862" s="205"/>
    </row>
    <row r="1863" spans="2:13" ht="15.75">
      <c r="B1863" s="79"/>
      <c r="D1863"/>
      <c r="E1863" s="188"/>
      <c r="H1863"/>
      <c r="I1863" s="202"/>
      <c r="J1863"/>
      <c r="K1863" s="205"/>
      <c r="L1863" s="205"/>
      <c r="M1863" s="205"/>
    </row>
    <row r="1864" spans="2:13" ht="15.75">
      <c r="B1864" s="79"/>
      <c r="D1864"/>
      <c r="E1864" s="188"/>
      <c r="H1864"/>
      <c r="I1864" s="202"/>
      <c r="J1864"/>
      <c r="K1864" s="205"/>
      <c r="L1864" s="205"/>
      <c r="M1864" s="205"/>
    </row>
    <row r="1865" spans="2:13" ht="15.75">
      <c r="B1865" s="79"/>
      <c r="D1865"/>
      <c r="E1865" s="188"/>
      <c r="H1865"/>
      <c r="I1865" s="202"/>
      <c r="J1865"/>
      <c r="K1865" s="205"/>
      <c r="L1865" s="205"/>
      <c r="M1865" s="205"/>
    </row>
    <row r="1866" spans="2:13" ht="15.75">
      <c r="B1866" s="79"/>
      <c r="D1866"/>
      <c r="E1866" s="188"/>
      <c r="H1866"/>
      <c r="I1866" s="202"/>
      <c r="J1866"/>
      <c r="K1866" s="205"/>
      <c r="L1866" s="205"/>
      <c r="M1866" s="205"/>
    </row>
    <row r="1867" spans="2:13" ht="15.75">
      <c r="B1867" s="79"/>
      <c r="D1867"/>
      <c r="E1867" s="188"/>
      <c r="H1867"/>
      <c r="I1867" s="202"/>
      <c r="J1867"/>
      <c r="K1867" s="205"/>
      <c r="L1867" s="205"/>
      <c r="M1867" s="205"/>
    </row>
    <row r="1868" spans="2:13" ht="15.75">
      <c r="B1868" s="79"/>
      <c r="D1868"/>
      <c r="E1868" s="188"/>
      <c r="H1868"/>
      <c r="I1868" s="202"/>
      <c r="J1868"/>
      <c r="K1868" s="205"/>
      <c r="L1868" s="205"/>
      <c r="M1868" s="205"/>
    </row>
    <row r="1869" spans="2:13" ht="15.75">
      <c r="B1869" s="79"/>
      <c r="D1869"/>
      <c r="E1869" s="188"/>
      <c r="H1869"/>
      <c r="I1869" s="202"/>
      <c r="J1869"/>
      <c r="K1869" s="205"/>
      <c r="L1869" s="205"/>
      <c r="M1869" s="205"/>
    </row>
    <row r="1870" spans="2:13" ht="15.75">
      <c r="B1870" s="79"/>
      <c r="D1870"/>
      <c r="E1870" s="188"/>
      <c r="H1870"/>
      <c r="I1870" s="202"/>
      <c r="J1870"/>
      <c r="K1870" s="205"/>
      <c r="L1870" s="205"/>
      <c r="M1870" s="205"/>
    </row>
    <row r="1871" spans="2:13" ht="15.75">
      <c r="B1871" s="79"/>
      <c r="D1871"/>
      <c r="E1871" s="188"/>
      <c r="H1871"/>
      <c r="I1871" s="202"/>
      <c r="J1871"/>
      <c r="K1871" s="205"/>
      <c r="L1871" s="205"/>
      <c r="M1871" s="205"/>
    </row>
    <row r="1872" spans="2:13" ht="15.75">
      <c r="B1872" s="79"/>
      <c r="D1872"/>
      <c r="E1872" s="188"/>
      <c r="H1872"/>
      <c r="I1872" s="202"/>
      <c r="J1872"/>
      <c r="K1872" s="205"/>
      <c r="L1872" s="205"/>
      <c r="M1872" s="205"/>
    </row>
    <row r="1873" spans="2:13" ht="15.75">
      <c r="B1873" s="79"/>
      <c r="D1873"/>
      <c r="E1873" s="188"/>
      <c r="H1873"/>
      <c r="I1873" s="202"/>
      <c r="J1873"/>
      <c r="K1873" s="205"/>
      <c r="L1873" s="205"/>
      <c r="M1873" s="205"/>
    </row>
    <row r="1874" spans="2:13" ht="15.75">
      <c r="B1874" s="79"/>
      <c r="D1874"/>
      <c r="E1874" s="188"/>
      <c r="H1874"/>
      <c r="I1874" s="202"/>
      <c r="J1874"/>
      <c r="K1874" s="205"/>
      <c r="L1874" s="205"/>
      <c r="M1874" s="205"/>
    </row>
    <row r="1875" spans="2:13" ht="15.75">
      <c r="B1875" s="79"/>
      <c r="D1875"/>
      <c r="E1875" s="188"/>
      <c r="H1875"/>
      <c r="I1875" s="202"/>
      <c r="J1875"/>
      <c r="K1875" s="205"/>
      <c r="L1875" s="205"/>
      <c r="M1875" s="205"/>
    </row>
    <row r="1876" spans="2:13" ht="15.75">
      <c r="B1876" s="79"/>
      <c r="D1876"/>
      <c r="E1876" s="188"/>
      <c r="H1876"/>
      <c r="I1876" s="202"/>
      <c r="J1876"/>
      <c r="K1876" s="205"/>
      <c r="L1876" s="205"/>
      <c r="M1876" s="205"/>
    </row>
    <row r="1877" spans="2:13" ht="15.75">
      <c r="B1877" s="79"/>
      <c r="D1877"/>
      <c r="E1877" s="188"/>
      <c r="H1877"/>
      <c r="I1877" s="202"/>
      <c r="J1877"/>
      <c r="K1877" s="205"/>
      <c r="L1877" s="205"/>
      <c r="M1877" s="205"/>
    </row>
    <row r="1878" spans="2:13" ht="15.75">
      <c r="B1878" s="79"/>
      <c r="D1878"/>
      <c r="E1878" s="188"/>
      <c r="H1878"/>
      <c r="I1878" s="202"/>
      <c r="J1878"/>
      <c r="K1878" s="205"/>
      <c r="L1878" s="205"/>
      <c r="M1878" s="205"/>
    </row>
    <row r="1879" spans="2:13" ht="15.75">
      <c r="B1879" s="79"/>
      <c r="D1879"/>
      <c r="E1879" s="188"/>
      <c r="H1879"/>
      <c r="I1879" s="202"/>
      <c r="J1879"/>
      <c r="K1879" s="205"/>
      <c r="L1879" s="205"/>
      <c r="M1879" s="205"/>
    </row>
    <row r="1880" spans="2:13" ht="15.75">
      <c r="B1880" s="79"/>
      <c r="D1880"/>
      <c r="E1880" s="188"/>
      <c r="H1880"/>
      <c r="I1880" s="202"/>
      <c r="J1880"/>
      <c r="K1880" s="205"/>
      <c r="L1880" s="205"/>
      <c r="M1880" s="205"/>
    </row>
    <row r="1881" spans="2:13" ht="15.75">
      <c r="B1881" s="79"/>
      <c r="D1881"/>
      <c r="E1881" s="188"/>
      <c r="H1881"/>
      <c r="I1881" s="202"/>
      <c r="J1881"/>
      <c r="K1881" s="205"/>
      <c r="L1881" s="205"/>
      <c r="M1881" s="205"/>
    </row>
    <row r="1882" spans="2:13" ht="15.75">
      <c r="B1882" s="79"/>
      <c r="D1882"/>
      <c r="E1882" s="188"/>
      <c r="H1882"/>
      <c r="I1882" s="202"/>
      <c r="J1882"/>
      <c r="K1882" s="205"/>
      <c r="L1882" s="205"/>
      <c r="M1882" s="205"/>
    </row>
    <row r="1883" spans="2:13" ht="15.75">
      <c r="B1883" s="79"/>
      <c r="D1883"/>
      <c r="E1883" s="188"/>
      <c r="H1883"/>
      <c r="I1883" s="202"/>
      <c r="J1883"/>
      <c r="K1883" s="205"/>
      <c r="L1883" s="205"/>
      <c r="M1883" s="205"/>
    </row>
    <row r="1884" spans="2:13" ht="15.75">
      <c r="B1884" s="79"/>
      <c r="D1884"/>
      <c r="E1884" s="188"/>
      <c r="H1884"/>
      <c r="I1884" s="202"/>
      <c r="J1884"/>
      <c r="K1884" s="205"/>
      <c r="L1884" s="205"/>
      <c r="M1884" s="205"/>
    </row>
    <row r="1885" spans="2:13" ht="15.75">
      <c r="B1885" s="79"/>
      <c r="D1885"/>
      <c r="E1885" s="188"/>
      <c r="H1885"/>
      <c r="I1885" s="202"/>
      <c r="J1885"/>
      <c r="K1885" s="205"/>
      <c r="L1885" s="205"/>
      <c r="M1885" s="205"/>
    </row>
    <row r="1886" spans="2:13" ht="15.75">
      <c r="B1886" s="79"/>
      <c r="D1886"/>
      <c r="E1886" s="188"/>
      <c r="H1886"/>
      <c r="I1886" s="202"/>
      <c r="J1886"/>
      <c r="K1886" s="205"/>
      <c r="L1886" s="205"/>
      <c r="M1886" s="205"/>
    </row>
    <row r="1887" spans="2:13" ht="15.75">
      <c r="B1887" s="79"/>
      <c r="D1887"/>
      <c r="E1887" s="188"/>
      <c r="H1887"/>
      <c r="I1887" s="202"/>
      <c r="J1887"/>
      <c r="K1887" s="205"/>
      <c r="L1887" s="205"/>
      <c r="M1887" s="205"/>
    </row>
    <row r="1888" spans="2:13" ht="15.75">
      <c r="B1888" s="79"/>
      <c r="D1888"/>
      <c r="E1888" s="188"/>
      <c r="H1888"/>
      <c r="I1888" s="202"/>
      <c r="J1888"/>
      <c r="K1888" s="205"/>
      <c r="L1888" s="205"/>
      <c r="M1888" s="205"/>
    </row>
    <row r="1889" spans="2:13" ht="15.75">
      <c r="B1889" s="79"/>
      <c r="D1889"/>
      <c r="E1889" s="188"/>
      <c r="H1889"/>
      <c r="I1889" s="202"/>
      <c r="J1889"/>
      <c r="K1889" s="205"/>
      <c r="L1889" s="205"/>
      <c r="M1889" s="205"/>
    </row>
    <row r="1890" spans="2:13" ht="15.75">
      <c r="B1890" s="79"/>
      <c r="D1890"/>
      <c r="E1890" s="188"/>
      <c r="H1890"/>
      <c r="I1890" s="202"/>
      <c r="J1890"/>
      <c r="K1890" s="205"/>
      <c r="L1890" s="205"/>
      <c r="M1890" s="205"/>
    </row>
    <row r="1891" spans="2:13" ht="15.75">
      <c r="B1891" s="79"/>
      <c r="D1891"/>
      <c r="E1891" s="188"/>
      <c r="H1891"/>
      <c r="I1891" s="202"/>
      <c r="J1891"/>
      <c r="K1891" s="205"/>
      <c r="L1891" s="205"/>
      <c r="M1891" s="205"/>
    </row>
    <row r="1892" spans="2:13" ht="15.75">
      <c r="B1892" s="79"/>
      <c r="D1892"/>
      <c r="E1892" s="188"/>
      <c r="H1892"/>
      <c r="I1892" s="202"/>
      <c r="J1892"/>
      <c r="K1892" s="205"/>
      <c r="L1892" s="205"/>
      <c r="M1892" s="205"/>
    </row>
    <row r="1893" spans="2:13" ht="15.75">
      <c r="B1893" s="79"/>
      <c r="D1893"/>
      <c r="E1893" s="188"/>
      <c r="H1893"/>
      <c r="I1893" s="202"/>
      <c r="J1893"/>
      <c r="K1893" s="205"/>
      <c r="L1893" s="205"/>
      <c r="M1893" s="205"/>
    </row>
    <row r="1894" spans="2:13" ht="15.75">
      <c r="B1894" s="79"/>
      <c r="D1894"/>
      <c r="E1894" s="188"/>
      <c r="H1894"/>
      <c r="I1894" s="202"/>
      <c r="J1894"/>
      <c r="K1894" s="205"/>
      <c r="L1894" s="205"/>
      <c r="M1894" s="205"/>
    </row>
    <row r="1895" spans="2:13" ht="15.75">
      <c r="B1895" s="79"/>
      <c r="D1895"/>
      <c r="E1895" s="188"/>
      <c r="H1895"/>
      <c r="I1895" s="202"/>
      <c r="J1895"/>
      <c r="K1895" s="205"/>
      <c r="L1895" s="205"/>
      <c r="M1895" s="205"/>
    </row>
    <row r="1896" spans="2:13" ht="15.75">
      <c r="B1896" s="79"/>
      <c r="D1896"/>
      <c r="E1896" s="188"/>
      <c r="H1896"/>
      <c r="I1896" s="202"/>
      <c r="J1896"/>
      <c r="K1896" s="205"/>
      <c r="L1896" s="205"/>
      <c r="M1896" s="205"/>
    </row>
    <row r="1897" spans="2:13" ht="15.75">
      <c r="B1897" s="79"/>
      <c r="D1897"/>
      <c r="E1897" s="188"/>
      <c r="H1897"/>
      <c r="I1897" s="202"/>
      <c r="J1897"/>
      <c r="K1897" s="205"/>
      <c r="L1897" s="205"/>
      <c r="M1897" s="205"/>
    </row>
    <row r="1898" spans="2:13" ht="15.75">
      <c r="B1898" s="79"/>
      <c r="D1898"/>
      <c r="E1898" s="188"/>
      <c r="H1898"/>
      <c r="I1898" s="202"/>
      <c r="J1898"/>
      <c r="K1898" s="205"/>
      <c r="L1898" s="205"/>
      <c r="M1898" s="205"/>
    </row>
    <row r="1899" spans="2:13" ht="15.75">
      <c r="B1899" s="79"/>
      <c r="D1899"/>
      <c r="E1899" s="188"/>
      <c r="H1899"/>
      <c r="I1899" s="202"/>
      <c r="J1899"/>
      <c r="K1899" s="205"/>
      <c r="L1899" s="205"/>
      <c r="M1899" s="205"/>
    </row>
    <row r="1900" spans="2:13" ht="15.75">
      <c r="B1900" s="79"/>
      <c r="D1900"/>
      <c r="E1900" s="188"/>
      <c r="H1900"/>
      <c r="I1900" s="202"/>
      <c r="J1900"/>
      <c r="K1900" s="205"/>
      <c r="L1900" s="205"/>
      <c r="M1900" s="205"/>
    </row>
    <row r="1901" spans="2:13" ht="15.75">
      <c r="B1901" s="79"/>
      <c r="D1901"/>
      <c r="E1901" s="188"/>
      <c r="H1901"/>
      <c r="I1901" s="202"/>
      <c r="J1901"/>
      <c r="K1901" s="205"/>
      <c r="L1901" s="205"/>
      <c r="M1901" s="205"/>
    </row>
    <row r="1902" spans="2:13" ht="15.75">
      <c r="B1902" s="79"/>
      <c r="D1902"/>
      <c r="E1902" s="188"/>
      <c r="H1902"/>
      <c r="I1902" s="202"/>
      <c r="J1902"/>
      <c r="K1902" s="205"/>
      <c r="L1902" s="205"/>
      <c r="M1902" s="205"/>
    </row>
    <row r="1903" spans="2:13" ht="15.75">
      <c r="B1903" s="79"/>
      <c r="D1903"/>
      <c r="E1903" s="188"/>
      <c r="H1903"/>
      <c r="I1903" s="202"/>
      <c r="J1903"/>
      <c r="K1903" s="205"/>
      <c r="L1903" s="205"/>
      <c r="M1903" s="205"/>
    </row>
    <row r="1904" spans="2:13" ht="15.75">
      <c r="B1904" s="79"/>
      <c r="D1904"/>
      <c r="E1904" s="188"/>
      <c r="H1904"/>
      <c r="I1904" s="202"/>
      <c r="J1904"/>
      <c r="K1904" s="205"/>
      <c r="L1904" s="205"/>
      <c r="M1904" s="205"/>
    </row>
    <row r="1905" spans="2:13" ht="15.75">
      <c r="B1905" s="79"/>
      <c r="D1905"/>
      <c r="E1905" s="188"/>
      <c r="H1905"/>
      <c r="I1905" s="202"/>
      <c r="J1905"/>
      <c r="K1905" s="205"/>
      <c r="L1905" s="205"/>
      <c r="M1905" s="205"/>
    </row>
    <row r="1906" spans="2:13" ht="15.75">
      <c r="B1906" s="79"/>
      <c r="D1906"/>
      <c r="E1906" s="188"/>
      <c r="H1906"/>
      <c r="I1906" s="202"/>
      <c r="J1906"/>
      <c r="K1906" s="205"/>
      <c r="L1906" s="205"/>
      <c r="M1906" s="205"/>
    </row>
    <row r="1907" spans="2:13" ht="15.75">
      <c r="B1907" s="79"/>
      <c r="D1907"/>
      <c r="E1907" s="188"/>
      <c r="H1907"/>
      <c r="I1907" s="202"/>
      <c r="J1907"/>
      <c r="K1907" s="205"/>
      <c r="L1907" s="205"/>
      <c r="M1907" s="205"/>
    </row>
    <row r="1908" spans="2:13" ht="15.75">
      <c r="B1908" s="79"/>
      <c r="D1908"/>
      <c r="E1908" s="188"/>
      <c r="H1908"/>
      <c r="I1908" s="202"/>
      <c r="J1908"/>
      <c r="K1908" s="205"/>
      <c r="L1908" s="205"/>
      <c r="M1908" s="205"/>
    </row>
    <row r="1909" spans="2:13" ht="15.75">
      <c r="B1909" s="79"/>
      <c r="D1909"/>
      <c r="E1909" s="188"/>
      <c r="H1909"/>
      <c r="I1909" s="202"/>
      <c r="J1909"/>
      <c r="K1909" s="205"/>
      <c r="L1909" s="205"/>
      <c r="M1909" s="205"/>
    </row>
    <row r="1910" spans="2:13" ht="15.75">
      <c r="B1910" s="79"/>
      <c r="D1910"/>
      <c r="E1910" s="188"/>
      <c r="H1910"/>
      <c r="I1910" s="202"/>
      <c r="J1910"/>
      <c r="K1910" s="205"/>
      <c r="L1910" s="205"/>
      <c r="M1910" s="205"/>
    </row>
    <row r="1911" spans="2:13" ht="15.75">
      <c r="B1911" s="79"/>
      <c r="D1911"/>
      <c r="E1911" s="188"/>
      <c r="H1911"/>
      <c r="I1911" s="202"/>
      <c r="J1911"/>
      <c r="K1911" s="205"/>
      <c r="L1911" s="205"/>
      <c r="M1911" s="205"/>
    </row>
    <row r="1912" spans="2:13" ht="15.75">
      <c r="B1912" s="79"/>
      <c r="D1912"/>
      <c r="E1912" s="188"/>
      <c r="H1912"/>
      <c r="I1912" s="202"/>
      <c r="J1912"/>
      <c r="K1912" s="205"/>
      <c r="L1912" s="205"/>
      <c r="M1912" s="205"/>
    </row>
    <row r="1913" spans="2:13" ht="15.75">
      <c r="B1913" s="79"/>
      <c r="D1913"/>
      <c r="E1913" s="188"/>
      <c r="H1913"/>
      <c r="I1913" s="202"/>
      <c r="J1913"/>
      <c r="K1913" s="205"/>
      <c r="L1913" s="205"/>
      <c r="M1913" s="205"/>
    </row>
    <row r="1914" spans="2:13" ht="15.75">
      <c r="B1914" s="79"/>
      <c r="D1914"/>
      <c r="E1914" s="188"/>
      <c r="H1914"/>
      <c r="I1914" s="202"/>
      <c r="J1914"/>
      <c r="K1914" s="205"/>
      <c r="L1914" s="205"/>
      <c r="M1914" s="205"/>
    </row>
    <row r="1915" spans="2:13" ht="15.75">
      <c r="B1915" s="79"/>
      <c r="D1915"/>
      <c r="E1915" s="188"/>
      <c r="H1915"/>
      <c r="I1915" s="202"/>
      <c r="J1915"/>
      <c r="K1915" s="205"/>
      <c r="L1915" s="205"/>
      <c r="M1915" s="205"/>
    </row>
    <row r="1916" spans="2:13" ht="15.75">
      <c r="B1916" s="79"/>
      <c r="D1916"/>
      <c r="E1916" s="188"/>
      <c r="H1916"/>
      <c r="I1916" s="202"/>
      <c r="J1916"/>
      <c r="K1916" s="205"/>
      <c r="L1916" s="205"/>
      <c r="M1916" s="205"/>
    </row>
    <row r="1917" spans="2:13" ht="15.75">
      <c r="B1917" s="79"/>
      <c r="D1917"/>
      <c r="E1917" s="188"/>
      <c r="H1917"/>
      <c r="I1917" s="202"/>
      <c r="J1917"/>
      <c r="K1917" s="205"/>
      <c r="L1917" s="205"/>
      <c r="M1917" s="205"/>
    </row>
    <row r="1918" spans="2:13" ht="15.75">
      <c r="B1918" s="79"/>
      <c r="D1918"/>
      <c r="E1918" s="188"/>
      <c r="H1918"/>
      <c r="I1918" s="202"/>
      <c r="J1918"/>
      <c r="K1918" s="205"/>
      <c r="L1918" s="205"/>
      <c r="M1918" s="205"/>
    </row>
    <row r="1919" spans="2:13" ht="15.75">
      <c r="B1919" s="79"/>
      <c r="D1919"/>
      <c r="E1919" s="188"/>
      <c r="H1919"/>
      <c r="I1919" s="202"/>
      <c r="J1919"/>
      <c r="K1919" s="205"/>
      <c r="L1919" s="205"/>
      <c r="M1919" s="205"/>
    </row>
    <row r="1920" spans="2:13" ht="15.75">
      <c r="B1920" s="79"/>
      <c r="D1920"/>
      <c r="E1920" s="188"/>
      <c r="H1920"/>
      <c r="I1920" s="202"/>
      <c r="J1920"/>
      <c r="K1920" s="205"/>
      <c r="L1920" s="205"/>
      <c r="M1920" s="205"/>
    </row>
    <row r="1921" spans="2:13" ht="15.75">
      <c r="B1921" s="79"/>
      <c r="D1921"/>
      <c r="E1921" s="188"/>
      <c r="H1921"/>
      <c r="I1921" s="202"/>
      <c r="J1921"/>
      <c r="K1921" s="205"/>
      <c r="L1921" s="205"/>
      <c r="M1921" s="205"/>
    </row>
    <row r="1922" spans="2:13" ht="15.75">
      <c r="B1922" s="79"/>
      <c r="D1922"/>
      <c r="E1922" s="188"/>
      <c r="H1922"/>
      <c r="I1922" s="202"/>
      <c r="J1922"/>
      <c r="K1922" s="205"/>
      <c r="L1922" s="205"/>
      <c r="M1922" s="205"/>
    </row>
    <row r="1923" spans="2:13" ht="15.75">
      <c r="B1923" s="79"/>
      <c r="D1923"/>
      <c r="E1923" s="188"/>
      <c r="H1923"/>
      <c r="I1923" s="202"/>
      <c r="J1923"/>
      <c r="K1923" s="205"/>
      <c r="L1923" s="205"/>
      <c r="M1923" s="205"/>
    </row>
    <row r="1924" spans="2:13" ht="15.75">
      <c r="B1924" s="79"/>
      <c r="D1924"/>
      <c r="E1924" s="188"/>
      <c r="H1924"/>
      <c r="I1924" s="202"/>
      <c r="J1924"/>
      <c r="K1924" s="205"/>
      <c r="L1924" s="205"/>
      <c r="M1924" s="205"/>
    </row>
    <row r="1925" spans="2:13" ht="15.75">
      <c r="B1925" s="79"/>
      <c r="D1925"/>
      <c r="E1925" s="188"/>
      <c r="H1925"/>
      <c r="I1925" s="202"/>
      <c r="J1925"/>
      <c r="K1925" s="205"/>
      <c r="L1925" s="205"/>
      <c r="M1925" s="205"/>
    </row>
    <row r="1926" spans="2:13" ht="15.75">
      <c r="B1926" s="79"/>
      <c r="D1926"/>
      <c r="E1926" s="188"/>
      <c r="H1926"/>
      <c r="I1926" s="202"/>
      <c r="J1926"/>
      <c r="K1926" s="205"/>
      <c r="L1926" s="205"/>
      <c r="M1926" s="205"/>
    </row>
    <row r="1927" spans="2:13" ht="15.75">
      <c r="B1927" s="79"/>
      <c r="D1927"/>
      <c r="E1927" s="188"/>
      <c r="H1927"/>
      <c r="I1927" s="202"/>
      <c r="J1927"/>
      <c r="K1927" s="205"/>
      <c r="L1927" s="205"/>
      <c r="M1927" s="205"/>
    </row>
    <row r="1928" spans="2:13" ht="15.75">
      <c r="B1928" s="79"/>
      <c r="D1928"/>
      <c r="E1928" s="188"/>
      <c r="H1928"/>
      <c r="I1928" s="202"/>
      <c r="J1928"/>
      <c r="K1928" s="205"/>
      <c r="L1928" s="205"/>
      <c r="M1928" s="205"/>
    </row>
    <row r="1929" spans="2:13" ht="15.75">
      <c r="B1929" s="79"/>
      <c r="D1929"/>
      <c r="E1929" s="188"/>
      <c r="H1929"/>
      <c r="I1929" s="202"/>
      <c r="J1929"/>
      <c r="K1929" s="205"/>
      <c r="L1929" s="205"/>
      <c r="M1929" s="205"/>
    </row>
    <row r="1930" spans="2:13" ht="15.75">
      <c r="B1930" s="79"/>
      <c r="D1930"/>
      <c r="E1930" s="188"/>
      <c r="H1930"/>
      <c r="I1930" s="202"/>
      <c r="J1930"/>
      <c r="K1930" s="205"/>
      <c r="L1930" s="205"/>
      <c r="M1930" s="205"/>
    </row>
    <row r="1931" spans="2:13" ht="15.75">
      <c r="B1931" s="79"/>
      <c r="D1931"/>
      <c r="E1931" s="188"/>
      <c r="H1931"/>
      <c r="I1931" s="202"/>
      <c r="J1931"/>
      <c r="K1931" s="205"/>
      <c r="L1931" s="205"/>
      <c r="M1931" s="205"/>
    </row>
    <row r="1932" spans="2:13" ht="15.75">
      <c r="B1932" s="79"/>
      <c r="D1932"/>
      <c r="E1932" s="188"/>
      <c r="H1932"/>
      <c r="I1932" s="202"/>
      <c r="J1932"/>
      <c r="K1932" s="205"/>
      <c r="L1932" s="205"/>
      <c r="M1932" s="205"/>
    </row>
    <row r="1933" spans="2:13" ht="15.75">
      <c r="B1933" s="79"/>
      <c r="D1933"/>
      <c r="E1933" s="188"/>
      <c r="H1933"/>
      <c r="I1933" s="202"/>
      <c r="J1933"/>
      <c r="K1933" s="205"/>
      <c r="L1933" s="205"/>
      <c r="M1933" s="205"/>
    </row>
    <row r="1934" spans="2:13" ht="15.75">
      <c r="B1934" s="79"/>
      <c r="D1934"/>
      <c r="E1934" s="188"/>
      <c r="H1934"/>
      <c r="I1934" s="202"/>
      <c r="J1934"/>
      <c r="K1934" s="205"/>
      <c r="L1934" s="205"/>
      <c r="M1934" s="205"/>
    </row>
    <row r="1935" spans="2:13" ht="15.75">
      <c r="B1935" s="79"/>
      <c r="D1935"/>
      <c r="E1935" s="188"/>
      <c r="H1935"/>
      <c r="I1935" s="202"/>
      <c r="J1935"/>
      <c r="K1935" s="205"/>
      <c r="L1935" s="205"/>
      <c r="M1935" s="205"/>
    </row>
    <row r="1936" spans="2:13" ht="15.75">
      <c r="B1936" s="79"/>
      <c r="D1936"/>
      <c r="E1936" s="188"/>
      <c r="H1936"/>
      <c r="I1936" s="202"/>
      <c r="J1936"/>
      <c r="K1936" s="205"/>
      <c r="L1936" s="205"/>
      <c r="M1936" s="205"/>
    </row>
    <row r="1937" spans="2:13" ht="15.75">
      <c r="B1937" s="79"/>
      <c r="D1937"/>
      <c r="E1937" s="188"/>
      <c r="H1937"/>
      <c r="I1937" s="202"/>
      <c r="J1937"/>
      <c r="K1937" s="205"/>
      <c r="L1937" s="205"/>
      <c r="M1937" s="205"/>
    </row>
    <row r="1938" spans="2:13" ht="15.75">
      <c r="B1938" s="79"/>
      <c r="D1938"/>
      <c r="E1938" s="188"/>
      <c r="H1938"/>
      <c r="I1938" s="202"/>
      <c r="J1938"/>
      <c r="K1938" s="205"/>
      <c r="L1938" s="205"/>
      <c r="M1938" s="205"/>
    </row>
    <row r="1939" spans="2:13" ht="15.75">
      <c r="B1939" s="79"/>
      <c r="D1939"/>
      <c r="E1939" s="188"/>
      <c r="H1939"/>
      <c r="I1939" s="202"/>
      <c r="J1939"/>
      <c r="K1939" s="205"/>
      <c r="L1939" s="205"/>
      <c r="M1939" s="205"/>
    </row>
    <row r="1940" spans="2:13" ht="15.75">
      <c r="B1940" s="79"/>
      <c r="D1940"/>
      <c r="E1940" s="188"/>
      <c r="H1940"/>
      <c r="I1940" s="202"/>
      <c r="J1940"/>
      <c r="K1940" s="205"/>
      <c r="L1940" s="205"/>
      <c r="M1940" s="205"/>
    </row>
    <row r="1941" spans="2:13" ht="15.75">
      <c r="B1941" s="79"/>
      <c r="D1941"/>
      <c r="E1941" s="188"/>
      <c r="H1941"/>
      <c r="I1941" s="202"/>
      <c r="J1941"/>
      <c r="K1941" s="205"/>
      <c r="L1941" s="205"/>
      <c r="M1941" s="205"/>
    </row>
    <row r="1942" spans="2:13" ht="15.75">
      <c r="B1942" s="79"/>
      <c r="D1942"/>
      <c r="E1942" s="188"/>
      <c r="H1942"/>
      <c r="I1942" s="202"/>
      <c r="J1942"/>
      <c r="K1942" s="205"/>
      <c r="L1942" s="205"/>
      <c r="M1942" s="205"/>
    </row>
    <row r="1943" spans="2:13" ht="15.75">
      <c r="B1943" s="79"/>
      <c r="D1943"/>
      <c r="E1943" s="188"/>
      <c r="H1943"/>
      <c r="I1943" s="202"/>
      <c r="J1943"/>
      <c r="K1943" s="205"/>
      <c r="L1943" s="205"/>
      <c r="M1943" s="205"/>
    </row>
    <row r="1944" spans="2:13" ht="15.75">
      <c r="B1944" s="79"/>
      <c r="D1944"/>
      <c r="E1944" s="188"/>
      <c r="H1944"/>
      <c r="I1944" s="202"/>
      <c r="J1944"/>
      <c r="K1944" s="205"/>
      <c r="L1944" s="205"/>
      <c r="M1944" s="205"/>
    </row>
    <row r="1945" spans="2:13" ht="15.75">
      <c r="B1945" s="79"/>
      <c r="D1945"/>
      <c r="E1945" s="188"/>
      <c r="H1945"/>
      <c r="I1945" s="202"/>
      <c r="J1945"/>
      <c r="K1945" s="205"/>
      <c r="L1945" s="205"/>
      <c r="M1945" s="205"/>
    </row>
    <row r="1946" spans="2:13" ht="15.75">
      <c r="B1946" s="79"/>
      <c r="D1946"/>
      <c r="E1946" s="188"/>
      <c r="H1946"/>
      <c r="I1946" s="202"/>
      <c r="J1946"/>
      <c r="K1946" s="205"/>
      <c r="L1946" s="205"/>
      <c r="M1946" s="205"/>
    </row>
    <row r="1947" spans="2:13" ht="15.75">
      <c r="B1947" s="79"/>
      <c r="D1947"/>
      <c r="E1947" s="188"/>
      <c r="H1947"/>
      <c r="I1947" s="202"/>
      <c r="J1947"/>
      <c r="K1947" s="205"/>
      <c r="L1947" s="205"/>
      <c r="M1947" s="205"/>
    </row>
    <row r="1948" spans="2:13" ht="15.75">
      <c r="B1948" s="79"/>
      <c r="D1948"/>
      <c r="E1948" s="188"/>
      <c r="H1948"/>
      <c r="I1948" s="202"/>
      <c r="J1948"/>
      <c r="K1948" s="205"/>
      <c r="L1948" s="205"/>
      <c r="M1948" s="205"/>
    </row>
    <row r="1949" spans="2:13" ht="15.75">
      <c r="B1949" s="79"/>
      <c r="D1949"/>
      <c r="E1949" s="188"/>
      <c r="H1949"/>
      <c r="I1949" s="202"/>
      <c r="J1949"/>
      <c r="K1949" s="205"/>
      <c r="L1949" s="205"/>
      <c r="M1949" s="205"/>
    </row>
    <row r="1950" spans="2:13" ht="15.75">
      <c r="B1950" s="79"/>
      <c r="D1950"/>
      <c r="E1950" s="188"/>
      <c r="H1950"/>
      <c r="I1950" s="202"/>
      <c r="J1950"/>
      <c r="K1950" s="205"/>
      <c r="L1950" s="205"/>
      <c r="M1950" s="205"/>
    </row>
    <row r="1951" spans="2:13" ht="15.75">
      <c r="B1951" s="79"/>
      <c r="D1951"/>
      <c r="E1951" s="188"/>
      <c r="H1951"/>
      <c r="I1951" s="202"/>
      <c r="J1951"/>
      <c r="K1951" s="205"/>
      <c r="L1951" s="205"/>
      <c r="M1951" s="205"/>
    </row>
    <row r="1952" spans="2:13" ht="15.75">
      <c r="B1952" s="79"/>
      <c r="D1952"/>
      <c r="E1952" s="188"/>
      <c r="H1952"/>
      <c r="I1952" s="202"/>
      <c r="J1952"/>
      <c r="K1952" s="205"/>
      <c r="L1952" s="205"/>
      <c r="M1952" s="205"/>
    </row>
    <row r="1953" spans="2:13" ht="15.75">
      <c r="B1953" s="79"/>
      <c r="D1953"/>
      <c r="E1953" s="188"/>
      <c r="H1953"/>
      <c r="I1953" s="202"/>
      <c r="J1953"/>
      <c r="K1953" s="205"/>
      <c r="L1953" s="205"/>
      <c r="M1953" s="205"/>
    </row>
    <row r="1954" spans="2:13" ht="15.75">
      <c r="B1954" s="79"/>
      <c r="D1954"/>
      <c r="E1954" s="188"/>
      <c r="H1954"/>
      <c r="I1954" s="202"/>
      <c r="J1954"/>
      <c r="K1954" s="205"/>
      <c r="L1954" s="205"/>
      <c r="M1954" s="205"/>
    </row>
    <row r="1955" spans="2:13" ht="15.75">
      <c r="B1955" s="79"/>
      <c r="D1955"/>
      <c r="E1955" s="188"/>
      <c r="H1955"/>
      <c r="I1955" s="202"/>
      <c r="J1955"/>
      <c r="K1955" s="205"/>
      <c r="L1955" s="205"/>
      <c r="M1955" s="205"/>
    </row>
    <row r="1956" spans="2:13" ht="15.75">
      <c r="B1956" s="79"/>
      <c r="D1956"/>
      <c r="E1956" s="188"/>
      <c r="H1956"/>
      <c r="I1956" s="202"/>
      <c r="J1956"/>
      <c r="K1956" s="205"/>
      <c r="L1956" s="205"/>
      <c r="M1956" s="205"/>
    </row>
    <row r="1957" spans="2:13" ht="15.75">
      <c r="B1957" s="79"/>
      <c r="D1957"/>
      <c r="E1957" s="188"/>
      <c r="H1957"/>
      <c r="I1957" s="202"/>
      <c r="J1957"/>
      <c r="K1957" s="205"/>
      <c r="L1957" s="205"/>
      <c r="M1957" s="205"/>
    </row>
    <row r="1958" spans="2:13" ht="15.75">
      <c r="B1958" s="79"/>
      <c r="D1958"/>
      <c r="E1958" s="188"/>
      <c r="H1958"/>
      <c r="I1958" s="202"/>
      <c r="J1958"/>
      <c r="K1958" s="205"/>
      <c r="L1958" s="205"/>
      <c r="M1958" s="205"/>
    </row>
    <row r="1959" spans="2:13" ht="15.75">
      <c r="B1959" s="79"/>
      <c r="D1959"/>
      <c r="E1959" s="188"/>
      <c r="H1959"/>
      <c r="I1959" s="202"/>
      <c r="J1959"/>
      <c r="K1959" s="205"/>
      <c r="L1959" s="205"/>
      <c r="M1959" s="205"/>
    </row>
    <row r="1960" spans="2:13" ht="15.75">
      <c r="B1960" s="79"/>
      <c r="D1960"/>
      <c r="E1960" s="188"/>
      <c r="H1960"/>
      <c r="I1960" s="202"/>
      <c r="J1960"/>
      <c r="K1960" s="205"/>
      <c r="L1960" s="205"/>
      <c r="M1960" s="205"/>
    </row>
    <row r="1961" spans="2:13" ht="15.75">
      <c r="B1961" s="79"/>
      <c r="D1961"/>
      <c r="E1961" s="188"/>
      <c r="H1961"/>
      <c r="I1961" s="202"/>
      <c r="J1961"/>
      <c r="K1961" s="205"/>
      <c r="L1961" s="205"/>
      <c r="M1961" s="205"/>
    </row>
    <row r="1962" spans="2:13" ht="15.75">
      <c r="B1962" s="79"/>
      <c r="D1962"/>
      <c r="E1962" s="188"/>
      <c r="H1962"/>
      <c r="I1962" s="202"/>
      <c r="J1962"/>
      <c r="K1962" s="205"/>
      <c r="L1962" s="205"/>
      <c r="M1962" s="205"/>
    </row>
    <row r="1963" spans="2:13" ht="15.75">
      <c r="B1963" s="79"/>
      <c r="D1963"/>
      <c r="E1963" s="188"/>
      <c r="H1963"/>
      <c r="I1963" s="202"/>
      <c r="J1963"/>
      <c r="K1963" s="205"/>
      <c r="L1963" s="205"/>
      <c r="M1963" s="205"/>
    </row>
    <row r="1964" spans="2:13" ht="15.75">
      <c r="B1964" s="79"/>
      <c r="D1964"/>
      <c r="E1964" s="188"/>
      <c r="H1964"/>
      <c r="I1964" s="202"/>
      <c r="J1964"/>
      <c r="K1964" s="205"/>
      <c r="L1964" s="205"/>
      <c r="M1964" s="205"/>
    </row>
    <row r="1965" spans="2:13" ht="15.75">
      <c r="B1965" s="79"/>
      <c r="D1965"/>
      <c r="E1965" s="188"/>
      <c r="H1965"/>
      <c r="I1965" s="202"/>
      <c r="J1965"/>
      <c r="K1965" s="205"/>
      <c r="L1965" s="205"/>
      <c r="M1965" s="205"/>
    </row>
    <row r="1966" spans="2:13" ht="15.75">
      <c r="B1966" s="79"/>
      <c r="D1966"/>
      <c r="E1966" s="188"/>
      <c r="H1966"/>
      <c r="I1966" s="202"/>
      <c r="J1966"/>
      <c r="K1966" s="205"/>
      <c r="L1966" s="205"/>
      <c r="M1966" s="205"/>
    </row>
    <row r="1967" spans="2:13" ht="15.75">
      <c r="B1967" s="79"/>
      <c r="D1967"/>
      <c r="E1967" s="188"/>
      <c r="H1967"/>
      <c r="I1967" s="202"/>
      <c r="J1967"/>
      <c r="K1967" s="205"/>
      <c r="L1967" s="205"/>
      <c r="M1967" s="205"/>
    </row>
    <row r="1968" spans="2:13" ht="15.75">
      <c r="B1968" s="79"/>
      <c r="D1968"/>
      <c r="E1968" s="188"/>
      <c r="H1968"/>
      <c r="I1968" s="202"/>
      <c r="J1968"/>
      <c r="K1968" s="205"/>
      <c r="L1968" s="205"/>
      <c r="M1968" s="205"/>
    </row>
    <row r="1969" spans="2:13" ht="15.75">
      <c r="B1969" s="79"/>
      <c r="D1969"/>
      <c r="E1969" s="188"/>
      <c r="H1969"/>
      <c r="I1969" s="202"/>
      <c r="J1969"/>
      <c r="K1969" s="205"/>
      <c r="L1969" s="205"/>
      <c r="M1969" s="205"/>
    </row>
    <row r="1970" spans="2:13" ht="15.75">
      <c r="B1970" s="79"/>
      <c r="D1970"/>
      <c r="E1970" s="188"/>
      <c r="H1970"/>
      <c r="I1970" s="202"/>
      <c r="J1970"/>
      <c r="K1970" s="205"/>
      <c r="L1970" s="205"/>
      <c r="M1970" s="205"/>
    </row>
    <row r="1971" spans="2:13" ht="15.75">
      <c r="B1971" s="79"/>
      <c r="D1971"/>
      <c r="E1971" s="188"/>
      <c r="H1971"/>
      <c r="I1971" s="202"/>
      <c r="J1971"/>
      <c r="K1971" s="205"/>
      <c r="L1971" s="205"/>
      <c r="M1971" s="205"/>
    </row>
    <row r="1972" spans="2:13" ht="15.75">
      <c r="B1972" s="79"/>
      <c r="D1972"/>
      <c r="E1972" s="188"/>
      <c r="H1972"/>
      <c r="I1972" s="202"/>
      <c r="J1972"/>
      <c r="K1972" s="205"/>
      <c r="L1972" s="205"/>
      <c r="M1972" s="205"/>
    </row>
    <row r="1973" spans="2:13" ht="15.75">
      <c r="B1973" s="79"/>
      <c r="D1973"/>
      <c r="E1973" s="188"/>
      <c r="H1973"/>
      <c r="I1973" s="202"/>
      <c r="J1973"/>
      <c r="K1973" s="205"/>
      <c r="L1973" s="205"/>
      <c r="M1973" s="205"/>
    </row>
    <row r="1974" spans="2:13" ht="15.75">
      <c r="B1974" s="79"/>
      <c r="D1974"/>
      <c r="E1974" s="188"/>
      <c r="H1974"/>
      <c r="I1974" s="202"/>
      <c r="J1974"/>
      <c r="K1974" s="205"/>
      <c r="L1974" s="205"/>
      <c r="M1974" s="205"/>
    </row>
    <row r="1975" spans="2:13" ht="15.75">
      <c r="B1975" s="79"/>
      <c r="D1975"/>
      <c r="E1975" s="188"/>
      <c r="H1975"/>
      <c r="I1975" s="202"/>
      <c r="J1975"/>
      <c r="K1975" s="205"/>
      <c r="L1975" s="205"/>
      <c r="M1975" s="205"/>
    </row>
    <row r="1976" spans="2:13" ht="15.75">
      <c r="B1976" s="79"/>
      <c r="D1976"/>
      <c r="E1976" s="188"/>
      <c r="H1976"/>
      <c r="I1976" s="202"/>
      <c r="J1976"/>
      <c r="K1976" s="205"/>
      <c r="L1976" s="205"/>
      <c r="M1976" s="205"/>
    </row>
    <row r="1977" spans="2:13" ht="15.75">
      <c r="B1977" s="79"/>
      <c r="D1977"/>
      <c r="E1977" s="188"/>
      <c r="H1977"/>
      <c r="I1977" s="202"/>
      <c r="J1977"/>
      <c r="K1977" s="205"/>
      <c r="L1977" s="205"/>
      <c r="M1977" s="205"/>
    </row>
    <row r="1978" spans="2:13" ht="15.75">
      <c r="B1978" s="79"/>
      <c r="D1978"/>
      <c r="E1978" s="188"/>
      <c r="H1978"/>
      <c r="I1978" s="202"/>
      <c r="J1978"/>
      <c r="K1978" s="205"/>
      <c r="L1978" s="205"/>
      <c r="M1978" s="205"/>
    </row>
    <row r="1979" spans="2:13" ht="15.75">
      <c r="B1979" s="79"/>
      <c r="D1979"/>
      <c r="E1979" s="188"/>
      <c r="H1979"/>
      <c r="I1979" s="202"/>
      <c r="J1979"/>
      <c r="K1979" s="205"/>
      <c r="L1979" s="205"/>
      <c r="M1979" s="205"/>
    </row>
    <row r="1980" spans="2:13" ht="15.75">
      <c r="B1980" s="79"/>
      <c r="D1980"/>
      <c r="E1980" s="188"/>
      <c r="H1980"/>
      <c r="I1980" s="202"/>
      <c r="J1980"/>
      <c r="K1980" s="205"/>
      <c r="L1980" s="205"/>
      <c r="M1980" s="205"/>
    </row>
    <row r="1981" spans="2:13" ht="15.75">
      <c r="B1981" s="79"/>
      <c r="D1981"/>
      <c r="E1981" s="188"/>
      <c r="H1981"/>
      <c r="I1981" s="202"/>
      <c r="J1981"/>
      <c r="K1981" s="205"/>
      <c r="L1981" s="205"/>
      <c r="M1981" s="205"/>
    </row>
    <row r="1982" spans="2:13" ht="15.75">
      <c r="B1982" s="79"/>
      <c r="D1982"/>
      <c r="E1982" s="188"/>
      <c r="H1982"/>
      <c r="I1982" s="202"/>
      <c r="J1982"/>
      <c r="K1982" s="205"/>
      <c r="L1982" s="205"/>
      <c r="M1982" s="205"/>
    </row>
    <row r="1983" spans="2:13" ht="15.75">
      <c r="B1983" s="79"/>
      <c r="D1983"/>
      <c r="E1983" s="188"/>
      <c r="H1983"/>
      <c r="I1983" s="202"/>
      <c r="J1983"/>
      <c r="K1983" s="205"/>
      <c r="L1983" s="205"/>
      <c r="M1983" s="205"/>
    </row>
    <row r="1984" spans="2:13" ht="15.75">
      <c r="B1984" s="79"/>
      <c r="D1984"/>
      <c r="E1984" s="188"/>
      <c r="H1984"/>
      <c r="I1984" s="202"/>
      <c r="J1984"/>
      <c r="K1984" s="205"/>
      <c r="L1984" s="205"/>
      <c r="M1984" s="205"/>
    </row>
    <row r="1985" spans="2:13" ht="15.75">
      <c r="B1985" s="79"/>
      <c r="D1985"/>
      <c r="E1985" s="188"/>
      <c r="H1985"/>
      <c r="I1985" s="202"/>
      <c r="J1985"/>
      <c r="K1985" s="205"/>
      <c r="L1985" s="205"/>
      <c r="M1985" s="205"/>
    </row>
    <row r="1986" spans="2:13" ht="15.75">
      <c r="B1986" s="79"/>
      <c r="D1986"/>
      <c r="E1986" s="188"/>
      <c r="H1986"/>
      <c r="I1986" s="202"/>
      <c r="J1986"/>
      <c r="K1986" s="205"/>
      <c r="L1986" s="205"/>
      <c r="M1986" s="205"/>
    </row>
    <row r="1987" spans="2:13" ht="15.75">
      <c r="B1987" s="79"/>
      <c r="D1987"/>
      <c r="E1987" s="188"/>
      <c r="H1987"/>
      <c r="I1987" s="202"/>
      <c r="J1987"/>
      <c r="K1987" s="205"/>
      <c r="L1987" s="205"/>
      <c r="M1987" s="205"/>
    </row>
    <row r="1988" spans="2:13" ht="15.75">
      <c r="B1988" s="79"/>
      <c r="D1988"/>
      <c r="E1988" s="188"/>
      <c r="H1988"/>
      <c r="I1988" s="202"/>
      <c r="J1988"/>
      <c r="K1988" s="205"/>
      <c r="L1988" s="205"/>
      <c r="M1988" s="205"/>
    </row>
    <row r="1989" spans="2:13" ht="15.75">
      <c r="B1989" s="79"/>
      <c r="D1989"/>
      <c r="E1989" s="188"/>
      <c r="H1989"/>
      <c r="I1989" s="202"/>
      <c r="J1989"/>
      <c r="K1989" s="205"/>
      <c r="L1989" s="205"/>
      <c r="M1989" s="205"/>
    </row>
    <row r="1990" spans="2:13" ht="15.75">
      <c r="B1990" s="79"/>
      <c r="D1990"/>
      <c r="E1990" s="188"/>
      <c r="H1990"/>
      <c r="I1990" s="202"/>
      <c r="J1990"/>
      <c r="K1990" s="205"/>
      <c r="L1990" s="205"/>
      <c r="M1990" s="205"/>
    </row>
    <row r="1991" spans="2:13" ht="15.75">
      <c r="B1991" s="79"/>
      <c r="D1991"/>
      <c r="E1991" s="188"/>
      <c r="H1991"/>
      <c r="I1991" s="202"/>
      <c r="J1991"/>
      <c r="K1991" s="205"/>
      <c r="L1991" s="205"/>
      <c r="M1991" s="205"/>
    </row>
    <row r="1992" spans="2:13" ht="15.75">
      <c r="B1992" s="79"/>
      <c r="D1992"/>
      <c r="E1992" s="188"/>
      <c r="H1992"/>
      <c r="I1992" s="202"/>
      <c r="J1992"/>
      <c r="K1992" s="205"/>
      <c r="L1992" s="205"/>
      <c r="M1992" s="205"/>
    </row>
    <row r="1993" spans="2:13" ht="15.75">
      <c r="B1993" s="79"/>
      <c r="D1993"/>
      <c r="E1993" s="188"/>
      <c r="H1993"/>
      <c r="I1993" s="202"/>
      <c r="J1993"/>
      <c r="K1993" s="205"/>
      <c r="L1993" s="205"/>
      <c r="M1993" s="205"/>
    </row>
    <row r="1994" spans="2:13" ht="15.75">
      <c r="B1994" s="79"/>
      <c r="D1994"/>
      <c r="E1994" s="188"/>
      <c r="H1994"/>
      <c r="I1994" s="202"/>
      <c r="J1994"/>
      <c r="K1994" s="205"/>
      <c r="L1994" s="205"/>
      <c r="M1994" s="205"/>
    </row>
    <row r="1995" spans="2:13" ht="15.75">
      <c r="B1995" s="79"/>
      <c r="D1995"/>
      <c r="E1995" s="188"/>
      <c r="H1995"/>
      <c r="I1995" s="202"/>
      <c r="J1995"/>
      <c r="K1995" s="205"/>
      <c r="L1995" s="205"/>
      <c r="M1995" s="205"/>
    </row>
    <row r="1996" spans="2:13" ht="15.75">
      <c r="B1996" s="79"/>
      <c r="D1996"/>
      <c r="E1996" s="188"/>
      <c r="H1996"/>
      <c r="I1996" s="202"/>
      <c r="J1996"/>
      <c r="K1996" s="205"/>
      <c r="L1996" s="205"/>
      <c r="M1996" s="205"/>
    </row>
    <row r="1997" spans="2:13" ht="15.75">
      <c r="B1997" s="79"/>
      <c r="D1997"/>
      <c r="E1997" s="188"/>
      <c r="H1997"/>
      <c r="I1997" s="202"/>
      <c r="J1997"/>
      <c r="K1997" s="205"/>
      <c r="L1997" s="205"/>
      <c r="M1997" s="205"/>
    </row>
    <row r="1998" spans="2:13" ht="15.75">
      <c r="B1998" s="79"/>
      <c r="D1998"/>
      <c r="E1998" s="188"/>
      <c r="H1998"/>
      <c r="I1998" s="202"/>
      <c r="J1998"/>
      <c r="K1998" s="205"/>
      <c r="L1998" s="205"/>
      <c r="M1998" s="205"/>
    </row>
    <row r="1999" spans="2:13" ht="15.75">
      <c r="B1999" s="79"/>
      <c r="D1999"/>
      <c r="E1999" s="188"/>
      <c r="H1999"/>
      <c r="I1999" s="202"/>
      <c r="J1999"/>
      <c r="K1999" s="205"/>
      <c r="L1999" s="205"/>
      <c r="M1999" s="205"/>
    </row>
    <row r="2000" spans="2:13" ht="15.75">
      <c r="B2000" s="79"/>
      <c r="D2000"/>
      <c r="E2000" s="188"/>
      <c r="H2000"/>
      <c r="I2000" s="202"/>
      <c r="J2000"/>
      <c r="K2000" s="205"/>
      <c r="L2000" s="205"/>
      <c r="M2000" s="205"/>
    </row>
    <row r="2001" spans="2:13" ht="15.75">
      <c r="B2001" s="79"/>
      <c r="D2001"/>
      <c r="E2001" s="188"/>
      <c r="H2001"/>
      <c r="I2001" s="202"/>
      <c r="J2001"/>
      <c r="K2001" s="205"/>
      <c r="L2001" s="205"/>
      <c r="M2001" s="205"/>
    </row>
    <row r="2002" spans="2:13" ht="15.75">
      <c r="B2002" s="79"/>
      <c r="D2002"/>
      <c r="E2002" s="188"/>
      <c r="H2002"/>
      <c r="I2002" s="202"/>
      <c r="J2002"/>
      <c r="K2002" s="205"/>
      <c r="L2002" s="205"/>
      <c r="M2002" s="205"/>
    </row>
    <row r="2003" spans="2:13" ht="15.75">
      <c r="B2003" s="79"/>
      <c r="D2003"/>
      <c r="E2003" s="188"/>
      <c r="H2003"/>
      <c r="I2003" s="202"/>
      <c r="J2003"/>
      <c r="K2003" s="205"/>
      <c r="L2003" s="205"/>
      <c r="M2003" s="205"/>
    </row>
    <row r="2004" spans="2:13" ht="15.75">
      <c r="B2004" s="79"/>
      <c r="D2004"/>
      <c r="E2004" s="188"/>
      <c r="H2004"/>
      <c r="I2004" s="202"/>
      <c r="J2004"/>
      <c r="K2004" s="205"/>
      <c r="L2004" s="205"/>
      <c r="M2004" s="205"/>
    </row>
    <row r="2005" spans="2:13" ht="15.75">
      <c r="B2005" s="79"/>
      <c r="D2005"/>
      <c r="E2005" s="188"/>
      <c r="H2005"/>
      <c r="I2005" s="202"/>
      <c r="J2005"/>
      <c r="K2005" s="205"/>
      <c r="L2005" s="205"/>
      <c r="M2005" s="205"/>
    </row>
    <row r="2006" spans="2:13" ht="15.75">
      <c r="B2006" s="79"/>
      <c r="D2006"/>
      <c r="E2006" s="188"/>
      <c r="H2006"/>
      <c r="I2006" s="202"/>
      <c r="J2006"/>
      <c r="K2006" s="205"/>
      <c r="L2006" s="205"/>
      <c r="M2006" s="205"/>
    </row>
    <row r="2007" spans="2:13" ht="15.75">
      <c r="B2007" s="79"/>
      <c r="D2007"/>
      <c r="E2007" s="188"/>
      <c r="H2007"/>
      <c r="I2007" s="202"/>
      <c r="J2007"/>
      <c r="K2007" s="205"/>
      <c r="L2007" s="205"/>
      <c r="M2007" s="205"/>
    </row>
    <row r="2008" spans="2:13" ht="15.75">
      <c r="B2008" s="79"/>
      <c r="D2008"/>
      <c r="E2008" s="188"/>
      <c r="H2008"/>
      <c r="I2008" s="202"/>
      <c r="J2008"/>
      <c r="K2008" s="205"/>
      <c r="L2008" s="205"/>
      <c r="M2008" s="205"/>
    </row>
    <row r="2009" spans="2:13" ht="15.75">
      <c r="B2009" s="79"/>
      <c r="D2009"/>
      <c r="E2009" s="188"/>
      <c r="H2009"/>
      <c r="I2009" s="202"/>
      <c r="J2009"/>
      <c r="K2009" s="205"/>
      <c r="L2009" s="205"/>
      <c r="M2009" s="205"/>
    </row>
    <row r="2010" spans="2:13" ht="15.75">
      <c r="B2010" s="79"/>
      <c r="D2010"/>
      <c r="E2010" s="188"/>
      <c r="H2010"/>
      <c r="I2010" s="202"/>
      <c r="J2010"/>
      <c r="K2010" s="205"/>
      <c r="L2010" s="205"/>
      <c r="M2010" s="205"/>
    </row>
    <row r="2011" spans="2:13" ht="15.75">
      <c r="B2011" s="79"/>
      <c r="D2011"/>
      <c r="E2011" s="188"/>
      <c r="H2011"/>
      <c r="I2011" s="202"/>
      <c r="J2011"/>
      <c r="K2011" s="205"/>
      <c r="L2011" s="205"/>
      <c r="M2011" s="205"/>
    </row>
    <row r="2012" spans="2:13" ht="15.75">
      <c r="B2012" s="79"/>
      <c r="D2012"/>
      <c r="E2012" s="188"/>
      <c r="H2012"/>
      <c r="I2012" s="202"/>
      <c r="J2012"/>
      <c r="K2012" s="205"/>
      <c r="L2012" s="205"/>
      <c r="M2012" s="205"/>
    </row>
    <row r="2013" spans="2:13" ht="15.75">
      <c r="B2013" s="79"/>
      <c r="D2013"/>
      <c r="E2013" s="188"/>
      <c r="H2013"/>
      <c r="I2013" s="202"/>
      <c r="J2013"/>
      <c r="K2013" s="205"/>
      <c r="L2013" s="205"/>
      <c r="M2013" s="205"/>
    </row>
    <row r="2014" spans="2:13" ht="15.75">
      <c r="B2014" s="79"/>
      <c r="D2014"/>
      <c r="E2014" s="188"/>
      <c r="H2014"/>
      <c r="I2014" s="202"/>
      <c r="J2014"/>
      <c r="K2014" s="205"/>
      <c r="L2014" s="205"/>
      <c r="M2014" s="205"/>
    </row>
    <row r="2015" spans="2:13" ht="15.75">
      <c r="B2015" s="79"/>
      <c r="D2015"/>
      <c r="E2015" s="188"/>
      <c r="H2015"/>
      <c r="I2015" s="202"/>
      <c r="J2015"/>
      <c r="K2015" s="205"/>
      <c r="L2015" s="205"/>
      <c r="M2015" s="205"/>
    </row>
    <row r="2016" spans="2:13" ht="15.75">
      <c r="B2016" s="79"/>
      <c r="D2016"/>
      <c r="E2016" s="188"/>
      <c r="H2016"/>
      <c r="I2016" s="202"/>
      <c r="J2016"/>
      <c r="K2016" s="205"/>
      <c r="L2016" s="205"/>
      <c r="M2016" s="205"/>
    </row>
    <row r="2017" spans="2:13" ht="15.75">
      <c r="B2017" s="79"/>
      <c r="D2017"/>
      <c r="E2017" s="188"/>
      <c r="H2017"/>
      <c r="I2017" s="202"/>
      <c r="J2017"/>
      <c r="K2017" s="205"/>
      <c r="L2017" s="205"/>
      <c r="M2017" s="205"/>
    </row>
    <row r="2018" spans="2:13" ht="15.75">
      <c r="B2018" s="79"/>
      <c r="D2018"/>
      <c r="E2018" s="188"/>
      <c r="H2018"/>
      <c r="I2018" s="202"/>
      <c r="J2018"/>
      <c r="K2018" s="205"/>
      <c r="L2018" s="205"/>
      <c r="M2018" s="205"/>
    </row>
    <row r="2019" spans="2:13" ht="15.75">
      <c r="B2019" s="79"/>
      <c r="D2019"/>
      <c r="E2019" s="188"/>
      <c r="H2019"/>
      <c r="I2019" s="202"/>
      <c r="J2019"/>
      <c r="K2019" s="205"/>
      <c r="L2019" s="205"/>
      <c r="M2019" s="205"/>
    </row>
    <row r="2020" spans="2:13" ht="15.75">
      <c r="B2020" s="79"/>
      <c r="D2020"/>
      <c r="E2020" s="188"/>
      <c r="H2020"/>
      <c r="I2020" s="202"/>
      <c r="J2020"/>
      <c r="K2020" s="205"/>
      <c r="L2020" s="205"/>
      <c r="M2020" s="205"/>
    </row>
    <row r="2021" spans="2:13" ht="15.75">
      <c r="B2021" s="79"/>
      <c r="D2021"/>
      <c r="E2021" s="188"/>
      <c r="H2021"/>
      <c r="I2021" s="202"/>
      <c r="J2021"/>
      <c r="K2021" s="205"/>
      <c r="L2021" s="205"/>
      <c r="M2021" s="205"/>
    </row>
    <row r="2022" spans="2:13" ht="15.75">
      <c r="B2022" s="79"/>
      <c r="D2022"/>
      <c r="E2022" s="188"/>
      <c r="H2022"/>
      <c r="I2022" s="202"/>
      <c r="J2022"/>
      <c r="K2022" s="205"/>
      <c r="L2022" s="205"/>
      <c r="M2022" s="205"/>
    </row>
    <row r="2023" spans="2:13" ht="15.75">
      <c r="B2023" s="79"/>
      <c r="D2023"/>
      <c r="E2023" s="188"/>
      <c r="H2023"/>
      <c r="I2023" s="202"/>
      <c r="J2023"/>
      <c r="K2023" s="205"/>
      <c r="L2023" s="205"/>
      <c r="M2023" s="205"/>
    </row>
    <row r="2024" spans="2:13" ht="15.75">
      <c r="B2024" s="79"/>
      <c r="D2024"/>
      <c r="E2024" s="188"/>
      <c r="H2024"/>
      <c r="I2024" s="202"/>
      <c r="J2024"/>
      <c r="K2024" s="205"/>
      <c r="L2024" s="205"/>
      <c r="M2024" s="205"/>
    </row>
    <row r="2025" spans="2:13" ht="15.75">
      <c r="B2025" s="79"/>
      <c r="D2025"/>
      <c r="E2025" s="188"/>
      <c r="H2025"/>
      <c r="I2025" s="202"/>
      <c r="J2025"/>
      <c r="K2025" s="205"/>
      <c r="L2025" s="205"/>
      <c r="M2025" s="205"/>
    </row>
    <row r="2026" spans="2:13" ht="15.75">
      <c r="B2026" s="79"/>
      <c r="D2026"/>
      <c r="E2026" s="188"/>
      <c r="H2026"/>
      <c r="I2026" s="202"/>
      <c r="J2026"/>
      <c r="K2026" s="205"/>
      <c r="L2026" s="205"/>
      <c r="M2026" s="205"/>
    </row>
    <row r="2027" spans="2:13" ht="15.75">
      <c r="B2027" s="79"/>
      <c r="D2027"/>
      <c r="E2027" s="188"/>
      <c r="H2027"/>
      <c r="I2027" s="202"/>
      <c r="J2027"/>
      <c r="K2027" s="205"/>
      <c r="L2027" s="205"/>
      <c r="M2027" s="205"/>
    </row>
    <row r="2028" spans="2:13" ht="15.75">
      <c r="B2028" s="79"/>
      <c r="D2028"/>
      <c r="E2028" s="188"/>
      <c r="H2028"/>
      <c r="I2028" s="202"/>
      <c r="J2028"/>
      <c r="K2028" s="205"/>
      <c r="L2028" s="205"/>
      <c r="M2028" s="205"/>
    </row>
    <row r="2029" spans="2:13" ht="15.75">
      <c r="B2029" s="79"/>
      <c r="D2029"/>
      <c r="E2029" s="188"/>
      <c r="H2029"/>
      <c r="I2029" s="202"/>
      <c r="J2029"/>
      <c r="K2029" s="205"/>
      <c r="L2029" s="205"/>
      <c r="M2029" s="205"/>
    </row>
    <row r="2030" spans="2:13" ht="15.75">
      <c r="B2030" s="79"/>
      <c r="D2030"/>
      <c r="E2030" s="188"/>
      <c r="H2030"/>
      <c r="I2030" s="202"/>
      <c r="J2030"/>
      <c r="K2030" s="205"/>
      <c r="L2030" s="205"/>
      <c r="M2030" s="205"/>
    </row>
    <row r="2031" spans="2:13" ht="15.75">
      <c r="B2031" s="79"/>
      <c r="D2031"/>
      <c r="E2031" s="188"/>
      <c r="H2031"/>
      <c r="I2031" s="202"/>
      <c r="J2031"/>
      <c r="K2031" s="205"/>
      <c r="L2031" s="205"/>
      <c r="M2031" s="205"/>
    </row>
    <row r="2032" spans="2:13" ht="15.75">
      <c r="B2032" s="79"/>
      <c r="D2032"/>
      <c r="E2032" s="188"/>
      <c r="H2032"/>
      <c r="I2032" s="202"/>
      <c r="J2032"/>
      <c r="K2032" s="205"/>
      <c r="L2032" s="205"/>
      <c r="M2032" s="205"/>
    </row>
    <row r="2033" spans="2:13" ht="15.75">
      <c r="B2033" s="79"/>
      <c r="D2033"/>
      <c r="E2033" s="188"/>
      <c r="H2033"/>
      <c r="I2033" s="202"/>
      <c r="J2033"/>
      <c r="K2033" s="205"/>
      <c r="L2033" s="205"/>
      <c r="M2033" s="205"/>
    </row>
    <row r="2034" spans="2:13" ht="15.75">
      <c r="B2034" s="79"/>
      <c r="D2034"/>
      <c r="E2034" s="188"/>
      <c r="H2034"/>
      <c r="I2034" s="202"/>
      <c r="J2034"/>
      <c r="K2034" s="205"/>
      <c r="L2034" s="205"/>
      <c r="M2034" s="205"/>
    </row>
    <row r="2035" spans="2:13" ht="15.75">
      <c r="B2035" s="79"/>
      <c r="D2035"/>
      <c r="E2035" s="188"/>
      <c r="H2035"/>
      <c r="I2035" s="202"/>
      <c r="J2035"/>
      <c r="K2035" s="205"/>
      <c r="L2035" s="205"/>
      <c r="M2035" s="205"/>
    </row>
    <row r="2036" spans="2:13" ht="15.75">
      <c r="B2036" s="79"/>
      <c r="D2036"/>
      <c r="E2036" s="188"/>
      <c r="H2036"/>
      <c r="I2036" s="202"/>
      <c r="J2036"/>
      <c r="K2036" s="205"/>
      <c r="L2036" s="205"/>
      <c r="M2036" s="205"/>
    </row>
    <row r="2037" spans="2:13" ht="15.75">
      <c r="B2037" s="79"/>
      <c r="D2037"/>
      <c r="E2037" s="188"/>
      <c r="H2037"/>
      <c r="I2037" s="202"/>
      <c r="J2037"/>
      <c r="K2037" s="205"/>
      <c r="L2037" s="205"/>
      <c r="M2037" s="205"/>
    </row>
    <row r="2038" spans="2:13" ht="15.75">
      <c r="B2038" s="79"/>
      <c r="D2038"/>
      <c r="E2038" s="188"/>
      <c r="H2038"/>
      <c r="I2038" s="202"/>
      <c r="J2038"/>
      <c r="K2038" s="205"/>
      <c r="L2038" s="205"/>
      <c r="M2038" s="205"/>
    </row>
    <row r="2039" spans="2:13" ht="15.75">
      <c r="B2039" s="79"/>
      <c r="D2039"/>
      <c r="E2039" s="188"/>
      <c r="H2039"/>
      <c r="I2039" s="202"/>
      <c r="J2039"/>
      <c r="K2039" s="205"/>
      <c r="L2039" s="205"/>
      <c r="M2039" s="205"/>
    </row>
    <row r="2040" spans="2:13" ht="15.75">
      <c r="B2040" s="79"/>
      <c r="D2040"/>
      <c r="E2040" s="188"/>
      <c r="H2040"/>
      <c r="I2040" s="202"/>
      <c r="J2040"/>
      <c r="K2040" s="205"/>
      <c r="L2040" s="205"/>
      <c r="M2040" s="205"/>
    </row>
    <row r="2041" spans="2:13" ht="15.75">
      <c r="B2041" s="79"/>
      <c r="D2041"/>
      <c r="E2041" s="188"/>
      <c r="H2041"/>
      <c r="I2041" s="202"/>
      <c r="J2041"/>
      <c r="K2041" s="205"/>
      <c r="L2041" s="205"/>
      <c r="M2041" s="205"/>
    </row>
    <row r="2042" spans="2:13" ht="15.75">
      <c r="B2042" s="79"/>
      <c r="D2042"/>
      <c r="E2042" s="188"/>
      <c r="H2042"/>
      <c r="I2042" s="202"/>
      <c r="J2042"/>
      <c r="K2042" s="205"/>
      <c r="L2042" s="205"/>
      <c r="M2042" s="205"/>
    </row>
    <row r="2043" spans="2:13" ht="15.75">
      <c r="B2043" s="79"/>
      <c r="D2043"/>
      <c r="E2043" s="188"/>
      <c r="H2043"/>
      <c r="I2043" s="202"/>
      <c r="J2043"/>
      <c r="K2043" s="205"/>
      <c r="L2043" s="205"/>
      <c r="M2043" s="205"/>
    </row>
    <row r="2044" spans="2:13" ht="15.75">
      <c r="B2044" s="79"/>
      <c r="D2044"/>
      <c r="E2044" s="188"/>
      <c r="H2044"/>
      <c r="I2044" s="202"/>
      <c r="J2044"/>
      <c r="K2044" s="205"/>
      <c r="L2044" s="205"/>
      <c r="M2044" s="205"/>
    </row>
    <row r="2045" spans="2:13" ht="15.75">
      <c r="B2045" s="79"/>
      <c r="D2045"/>
      <c r="E2045" s="188"/>
      <c r="H2045"/>
      <c r="I2045" s="202"/>
      <c r="J2045"/>
      <c r="K2045" s="205"/>
      <c r="L2045" s="205"/>
      <c r="M2045" s="205"/>
    </row>
    <row r="2046" spans="2:13" ht="15.75">
      <c r="B2046" s="79"/>
      <c r="D2046"/>
      <c r="E2046" s="188"/>
      <c r="H2046"/>
      <c r="I2046" s="202"/>
      <c r="J2046"/>
      <c r="K2046" s="205"/>
      <c r="L2046" s="205"/>
      <c r="M2046" s="205"/>
    </row>
    <row r="2047" spans="2:13" ht="15.75">
      <c r="B2047" s="79"/>
      <c r="D2047"/>
      <c r="E2047" s="188"/>
      <c r="H2047"/>
      <c r="I2047" s="202"/>
      <c r="J2047"/>
      <c r="K2047" s="205"/>
      <c r="L2047" s="205"/>
      <c r="M2047" s="205"/>
    </row>
    <row r="2048" spans="2:13" ht="15.75">
      <c r="B2048" s="79"/>
      <c r="D2048"/>
      <c r="E2048" s="188"/>
      <c r="H2048"/>
      <c r="I2048" s="202"/>
      <c r="J2048"/>
      <c r="K2048" s="205"/>
      <c r="L2048" s="205"/>
      <c r="M2048" s="205"/>
    </row>
    <row r="2049" spans="2:13" ht="15.75">
      <c r="B2049" s="79"/>
      <c r="D2049"/>
      <c r="E2049" s="188"/>
      <c r="H2049"/>
      <c r="I2049" s="202"/>
      <c r="J2049"/>
      <c r="K2049" s="205"/>
      <c r="L2049" s="205"/>
      <c r="M2049" s="205"/>
    </row>
    <row r="2050" spans="2:13" ht="15.75">
      <c r="B2050" s="79"/>
      <c r="D2050"/>
      <c r="E2050" s="188"/>
      <c r="H2050"/>
      <c r="I2050" s="202"/>
      <c r="J2050"/>
      <c r="K2050" s="205"/>
      <c r="L2050" s="205"/>
      <c r="M2050" s="205"/>
    </row>
    <row r="2051" spans="2:13" ht="15.75">
      <c r="B2051" s="79"/>
      <c r="D2051"/>
      <c r="E2051" s="188"/>
      <c r="H2051"/>
      <c r="I2051" s="202"/>
      <c r="J2051"/>
      <c r="K2051" s="205"/>
      <c r="L2051" s="205"/>
      <c r="M2051" s="205"/>
    </row>
    <row r="2052" spans="2:13" ht="15.75">
      <c r="B2052" s="79"/>
      <c r="D2052"/>
      <c r="E2052" s="188"/>
      <c r="H2052"/>
      <c r="I2052" s="202"/>
      <c r="J2052"/>
      <c r="K2052" s="205"/>
      <c r="L2052" s="205"/>
      <c r="M2052" s="205"/>
    </row>
    <row r="2053" spans="2:13" ht="15.75">
      <c r="B2053" s="79"/>
      <c r="D2053"/>
      <c r="E2053" s="188"/>
      <c r="H2053"/>
      <c r="I2053" s="202"/>
      <c r="J2053"/>
      <c r="K2053" s="205"/>
      <c r="L2053" s="205"/>
      <c r="M2053" s="205"/>
    </row>
    <row r="2054" spans="2:13" ht="15.75">
      <c r="B2054" s="79"/>
      <c r="D2054"/>
      <c r="E2054" s="188"/>
      <c r="H2054"/>
      <c r="I2054" s="202"/>
      <c r="J2054"/>
      <c r="K2054" s="205"/>
      <c r="L2054" s="205"/>
      <c r="M2054" s="205"/>
    </row>
    <row r="2055" spans="2:13" ht="15.75">
      <c r="B2055" s="79"/>
      <c r="D2055"/>
      <c r="E2055" s="188"/>
      <c r="H2055"/>
      <c r="I2055" s="202"/>
      <c r="J2055"/>
      <c r="K2055" s="205"/>
      <c r="L2055" s="205"/>
      <c r="M2055" s="205"/>
    </row>
    <row r="2056" spans="2:13" ht="15.75">
      <c r="B2056" s="79"/>
      <c r="D2056"/>
      <c r="E2056" s="188"/>
      <c r="H2056"/>
      <c r="I2056" s="202"/>
      <c r="J2056"/>
      <c r="K2056" s="205"/>
      <c r="L2056" s="205"/>
      <c r="M2056" s="205"/>
    </row>
    <row r="2057" spans="2:13" ht="15.75">
      <c r="B2057" s="79"/>
      <c r="D2057"/>
      <c r="E2057" s="188"/>
      <c r="H2057"/>
      <c r="I2057" s="202"/>
      <c r="J2057"/>
      <c r="K2057" s="205"/>
      <c r="L2057" s="205"/>
      <c r="M2057" s="205"/>
    </row>
    <row r="2058" spans="2:13" ht="15.75">
      <c r="B2058" s="79"/>
      <c r="D2058"/>
      <c r="E2058" s="188"/>
      <c r="H2058"/>
      <c r="I2058" s="202"/>
      <c r="J2058"/>
      <c r="K2058" s="205"/>
      <c r="L2058" s="205"/>
      <c r="M2058" s="205"/>
    </row>
    <row r="2059" spans="2:13" ht="15.75">
      <c r="B2059" s="79"/>
      <c r="D2059"/>
      <c r="E2059" s="188"/>
      <c r="H2059"/>
      <c r="I2059" s="202"/>
      <c r="J2059"/>
      <c r="K2059" s="205"/>
      <c r="L2059" s="205"/>
      <c r="M2059" s="205"/>
    </row>
    <row r="2060" spans="2:13" ht="15.75">
      <c r="B2060" s="79"/>
      <c r="D2060"/>
      <c r="E2060" s="188"/>
      <c r="H2060"/>
      <c r="I2060" s="202"/>
      <c r="J2060"/>
      <c r="K2060" s="205"/>
      <c r="L2060" s="205"/>
      <c r="M2060" s="205"/>
    </row>
    <row r="2061" spans="2:13" ht="15.75">
      <c r="B2061" s="79"/>
      <c r="D2061"/>
      <c r="E2061" s="188"/>
      <c r="H2061"/>
      <c r="I2061" s="202"/>
      <c r="J2061"/>
      <c r="K2061" s="205"/>
      <c r="L2061" s="205"/>
      <c r="M2061" s="205"/>
    </row>
    <row r="2062" spans="2:13" ht="15.75">
      <c r="B2062" s="79"/>
      <c r="D2062"/>
      <c r="E2062" s="188"/>
      <c r="H2062"/>
      <c r="I2062" s="202"/>
      <c r="J2062"/>
      <c r="K2062" s="205"/>
      <c r="L2062" s="205"/>
      <c r="M2062" s="205"/>
    </row>
    <row r="2063" spans="2:13" ht="15.75">
      <c r="B2063" s="79"/>
      <c r="D2063"/>
      <c r="E2063" s="188"/>
      <c r="H2063"/>
      <c r="I2063" s="202"/>
      <c r="J2063"/>
      <c r="K2063" s="205"/>
      <c r="L2063" s="205"/>
      <c r="M2063" s="205"/>
    </row>
    <row r="2064" spans="2:13" ht="15.75">
      <c r="B2064" s="79"/>
      <c r="D2064"/>
      <c r="E2064" s="188"/>
      <c r="H2064"/>
      <c r="I2064" s="202"/>
      <c r="J2064"/>
      <c r="K2064" s="205"/>
      <c r="L2064" s="205"/>
      <c r="M2064" s="205"/>
    </row>
    <row r="2065" spans="2:13" ht="15.75">
      <c r="B2065" s="79"/>
      <c r="D2065"/>
      <c r="E2065" s="188"/>
      <c r="H2065"/>
      <c r="I2065" s="202"/>
      <c r="J2065"/>
      <c r="K2065" s="205"/>
      <c r="L2065" s="205"/>
      <c r="M2065" s="205"/>
    </row>
    <row r="2066" spans="2:13" ht="15.75">
      <c r="B2066" s="79"/>
      <c r="D2066"/>
      <c r="E2066" s="188"/>
      <c r="H2066"/>
      <c r="I2066" s="202"/>
      <c r="J2066"/>
      <c r="K2066" s="205"/>
      <c r="L2066" s="205"/>
      <c r="M2066" s="205"/>
    </row>
    <row r="2067" spans="2:13" ht="15.75">
      <c r="B2067" s="79"/>
      <c r="D2067"/>
      <c r="E2067" s="188"/>
      <c r="H2067"/>
      <c r="I2067" s="202"/>
      <c r="J2067"/>
      <c r="K2067" s="205"/>
      <c r="L2067" s="205"/>
      <c r="M2067" s="205"/>
    </row>
    <row r="2068" spans="2:13" ht="15.75">
      <c r="B2068" s="79"/>
      <c r="D2068"/>
      <c r="E2068" s="188"/>
      <c r="H2068"/>
      <c r="I2068" s="202"/>
      <c r="J2068"/>
      <c r="K2068" s="205"/>
      <c r="L2068" s="205"/>
      <c r="M2068" s="205"/>
    </row>
    <row r="2069" spans="2:13" ht="15.75">
      <c r="B2069" s="79"/>
      <c r="D2069"/>
      <c r="E2069" s="188"/>
      <c r="H2069"/>
      <c r="I2069" s="202"/>
      <c r="J2069"/>
      <c r="K2069" s="205"/>
      <c r="L2069" s="205"/>
      <c r="M2069" s="205"/>
    </row>
    <row r="2070" spans="2:13" ht="15.75">
      <c r="B2070" s="79"/>
      <c r="D2070"/>
      <c r="E2070" s="188"/>
      <c r="H2070"/>
      <c r="I2070" s="202"/>
      <c r="J2070"/>
      <c r="K2070" s="205"/>
      <c r="L2070" s="205"/>
      <c r="M2070" s="205"/>
    </row>
    <row r="2071" spans="2:13" ht="15.75">
      <c r="B2071" s="79"/>
      <c r="D2071"/>
      <c r="E2071" s="188"/>
      <c r="H2071"/>
      <c r="I2071" s="202"/>
      <c r="J2071"/>
      <c r="K2071" s="205"/>
      <c r="L2071" s="205"/>
      <c r="M2071" s="205"/>
    </row>
    <row r="2072" spans="2:13" ht="15.75">
      <c r="B2072" s="79"/>
      <c r="D2072"/>
      <c r="E2072" s="188"/>
      <c r="H2072"/>
      <c r="I2072" s="202"/>
      <c r="J2072"/>
      <c r="K2072" s="205"/>
      <c r="L2072" s="205"/>
      <c r="M2072" s="205"/>
    </row>
    <row r="2073" spans="2:13" ht="15.75">
      <c r="B2073" s="79"/>
      <c r="D2073"/>
      <c r="E2073" s="188"/>
      <c r="H2073"/>
      <c r="I2073" s="202"/>
      <c r="J2073"/>
      <c r="K2073" s="205"/>
      <c r="L2073" s="205"/>
      <c r="M2073" s="205"/>
    </row>
    <row r="2074" spans="2:13" ht="15.75">
      <c r="B2074" s="79"/>
      <c r="D2074"/>
      <c r="E2074" s="188"/>
      <c r="H2074"/>
      <c r="I2074" s="202"/>
      <c r="J2074"/>
      <c r="K2074" s="205"/>
      <c r="L2074" s="205"/>
      <c r="M2074" s="205"/>
    </row>
    <row r="2075" spans="2:13" ht="15.75">
      <c r="B2075" s="79"/>
      <c r="D2075"/>
      <c r="E2075" s="188"/>
      <c r="H2075"/>
      <c r="I2075" s="202"/>
      <c r="J2075"/>
      <c r="K2075" s="205"/>
      <c r="L2075" s="205"/>
      <c r="M2075" s="205"/>
    </row>
    <row r="2076" spans="2:13" ht="15.75">
      <c r="B2076" s="79"/>
      <c r="D2076"/>
      <c r="E2076" s="188"/>
      <c r="H2076"/>
      <c r="I2076" s="202"/>
      <c r="J2076"/>
      <c r="K2076" s="205"/>
      <c r="L2076" s="205"/>
      <c r="M2076" s="205"/>
    </row>
    <row r="2077" spans="2:13" ht="15.75">
      <c r="B2077" s="79"/>
      <c r="D2077"/>
      <c r="E2077" s="188"/>
      <c r="H2077"/>
      <c r="I2077" s="202"/>
      <c r="J2077"/>
      <c r="K2077" s="205"/>
      <c r="L2077" s="205"/>
      <c r="M2077" s="205"/>
    </row>
    <row r="2078" spans="2:13" ht="15.75">
      <c r="B2078" s="79"/>
      <c r="D2078"/>
      <c r="E2078" s="188"/>
      <c r="H2078"/>
      <c r="I2078" s="202"/>
      <c r="J2078"/>
      <c r="K2078" s="205"/>
      <c r="L2078" s="205"/>
      <c r="M2078" s="205"/>
    </row>
    <row r="2079" spans="2:13" ht="15.75">
      <c r="B2079" s="79"/>
      <c r="D2079"/>
      <c r="E2079" s="188"/>
      <c r="H2079"/>
      <c r="I2079" s="202"/>
      <c r="J2079"/>
      <c r="K2079" s="205"/>
      <c r="L2079" s="205"/>
      <c r="M2079" s="205"/>
    </row>
    <row r="2080" spans="2:13" ht="15.75">
      <c r="B2080" s="79"/>
      <c r="D2080"/>
      <c r="E2080" s="188"/>
      <c r="H2080"/>
      <c r="I2080" s="202"/>
      <c r="J2080"/>
      <c r="K2080" s="205"/>
      <c r="L2080" s="205"/>
      <c r="M2080" s="205"/>
    </row>
    <row r="2081" spans="2:13" ht="15.75">
      <c r="B2081" s="79"/>
      <c r="D2081"/>
      <c r="E2081" s="188"/>
      <c r="H2081"/>
      <c r="I2081" s="202"/>
      <c r="J2081"/>
      <c r="K2081" s="205"/>
      <c r="L2081" s="205"/>
      <c r="M2081" s="205"/>
    </row>
    <row r="2082" spans="2:13" ht="15.75">
      <c r="B2082" s="79"/>
      <c r="D2082"/>
      <c r="E2082" s="188"/>
      <c r="H2082"/>
      <c r="I2082" s="202"/>
      <c r="J2082"/>
      <c r="K2082" s="205"/>
      <c r="L2082" s="205"/>
      <c r="M2082" s="205"/>
    </row>
    <row r="2083" spans="2:13" ht="15.75">
      <c r="B2083" s="79"/>
      <c r="D2083"/>
      <c r="E2083" s="188"/>
      <c r="H2083"/>
      <c r="I2083" s="202"/>
      <c r="J2083"/>
      <c r="K2083" s="205"/>
      <c r="L2083" s="205"/>
      <c r="M2083" s="205"/>
    </row>
    <row r="2084" spans="2:13" ht="15.75">
      <c r="B2084" s="79"/>
      <c r="D2084"/>
      <c r="E2084" s="188"/>
      <c r="H2084"/>
      <c r="I2084" s="202"/>
      <c r="J2084"/>
      <c r="K2084" s="205"/>
      <c r="L2084" s="205"/>
      <c r="M2084" s="205"/>
    </row>
    <row r="2085" spans="2:13" ht="15.75">
      <c r="B2085" s="79"/>
      <c r="D2085"/>
      <c r="E2085" s="188"/>
      <c r="H2085"/>
      <c r="I2085" s="202"/>
      <c r="J2085"/>
      <c r="K2085" s="205"/>
      <c r="L2085" s="205"/>
      <c r="M2085" s="205"/>
    </row>
    <row r="2086" spans="2:13" ht="15.75">
      <c r="B2086" s="79"/>
      <c r="D2086"/>
      <c r="E2086" s="188"/>
      <c r="H2086"/>
      <c r="I2086" s="202"/>
      <c r="J2086"/>
      <c r="K2086" s="205"/>
      <c r="L2086" s="205"/>
      <c r="M2086" s="205"/>
    </row>
    <row r="2087" spans="2:13" ht="15.75">
      <c r="B2087" s="79"/>
      <c r="D2087"/>
      <c r="E2087" s="188"/>
      <c r="H2087"/>
      <c r="I2087" s="202"/>
      <c r="J2087"/>
      <c r="K2087" s="205"/>
      <c r="L2087" s="205"/>
      <c r="M2087" s="205"/>
    </row>
    <row r="2088" spans="2:13" ht="15.75">
      <c r="B2088" s="79"/>
      <c r="D2088"/>
      <c r="E2088" s="188"/>
      <c r="H2088"/>
      <c r="I2088" s="202"/>
      <c r="J2088"/>
      <c r="K2088" s="205"/>
      <c r="L2088" s="205"/>
      <c r="M2088" s="205"/>
    </row>
    <row r="2089" spans="2:13" ht="15.75">
      <c r="B2089" s="79"/>
      <c r="D2089"/>
      <c r="E2089" s="188"/>
      <c r="H2089"/>
      <c r="I2089" s="202"/>
      <c r="J2089"/>
      <c r="K2089" s="205"/>
      <c r="L2089" s="205"/>
      <c r="M2089" s="205"/>
    </row>
    <row r="2090" spans="2:13" ht="15.75">
      <c r="B2090" s="79"/>
      <c r="D2090"/>
      <c r="E2090" s="188"/>
      <c r="H2090"/>
      <c r="I2090" s="202"/>
      <c r="J2090"/>
      <c r="K2090" s="205"/>
      <c r="L2090" s="205"/>
      <c r="M2090" s="205"/>
    </row>
    <row r="2091" spans="2:13" ht="15.75">
      <c r="B2091" s="79"/>
      <c r="D2091"/>
      <c r="E2091" s="188"/>
      <c r="H2091"/>
      <c r="I2091" s="202"/>
      <c r="J2091"/>
      <c r="K2091" s="205"/>
      <c r="L2091" s="205"/>
      <c r="M2091" s="205"/>
    </row>
    <row r="2092" spans="2:13" ht="15.75">
      <c r="B2092" s="79"/>
      <c r="D2092"/>
      <c r="E2092" s="188"/>
      <c r="H2092"/>
      <c r="I2092" s="202"/>
      <c r="J2092"/>
      <c r="K2092" s="205"/>
      <c r="L2092" s="205"/>
      <c r="M2092" s="205"/>
    </row>
    <row r="2093" spans="2:13" ht="15.75">
      <c r="B2093" s="79"/>
      <c r="D2093"/>
      <c r="E2093" s="188"/>
      <c r="H2093"/>
      <c r="I2093" s="202"/>
      <c r="J2093"/>
      <c r="K2093" s="205"/>
      <c r="L2093" s="205"/>
      <c r="M2093" s="205"/>
    </row>
    <row r="2094" spans="2:13" ht="15.75">
      <c r="B2094" s="79"/>
      <c r="D2094"/>
      <c r="E2094" s="188"/>
      <c r="H2094"/>
      <c r="I2094" s="202"/>
      <c r="J2094"/>
      <c r="K2094" s="205"/>
      <c r="L2094" s="205"/>
      <c r="M2094" s="205"/>
    </row>
    <row r="2095" spans="2:13" ht="15.75">
      <c r="B2095" s="79"/>
      <c r="D2095"/>
      <c r="E2095" s="188"/>
      <c r="H2095"/>
      <c r="I2095" s="202"/>
      <c r="J2095"/>
      <c r="K2095" s="205"/>
      <c r="L2095" s="205"/>
      <c r="M2095" s="205"/>
    </row>
    <row r="2096" spans="2:13" ht="15.75">
      <c r="B2096" s="79"/>
      <c r="D2096"/>
      <c r="E2096" s="188"/>
      <c r="H2096"/>
      <c r="I2096" s="202"/>
      <c r="J2096"/>
      <c r="K2096" s="205"/>
      <c r="L2096" s="205"/>
      <c r="M2096" s="205"/>
    </row>
    <row r="2097" spans="2:13" ht="15.75">
      <c r="B2097" s="79"/>
      <c r="D2097"/>
      <c r="E2097" s="188"/>
      <c r="H2097"/>
      <c r="I2097" s="202"/>
      <c r="J2097"/>
      <c r="K2097" s="205"/>
      <c r="L2097" s="205"/>
      <c r="M2097" s="205"/>
    </row>
    <row r="2098" spans="2:13" ht="15.75">
      <c r="B2098" s="79"/>
      <c r="D2098"/>
      <c r="E2098" s="188"/>
      <c r="H2098"/>
      <c r="I2098" s="202"/>
      <c r="J2098"/>
      <c r="K2098" s="205"/>
      <c r="L2098" s="205"/>
      <c r="M2098" s="205"/>
    </row>
    <row r="2099" spans="2:13" ht="15.75">
      <c r="B2099" s="79"/>
      <c r="D2099"/>
      <c r="E2099" s="188"/>
      <c r="H2099"/>
      <c r="I2099" s="202"/>
      <c r="J2099"/>
      <c r="K2099" s="205"/>
      <c r="L2099" s="205"/>
      <c r="M2099" s="205"/>
    </row>
    <row r="2100" spans="2:13" ht="15.75">
      <c r="B2100" s="79"/>
      <c r="D2100"/>
      <c r="E2100" s="188"/>
      <c r="H2100"/>
      <c r="I2100" s="202"/>
      <c r="J2100"/>
      <c r="K2100" s="205"/>
      <c r="L2100" s="205"/>
      <c r="M2100" s="205"/>
    </row>
    <row r="2101" spans="2:13" ht="15.75">
      <c r="B2101" s="79"/>
      <c r="D2101"/>
      <c r="E2101" s="188"/>
      <c r="H2101"/>
      <c r="I2101" s="202"/>
      <c r="J2101"/>
      <c r="K2101" s="205"/>
      <c r="L2101" s="205"/>
      <c r="M2101" s="205"/>
    </row>
    <row r="2102" spans="2:13" ht="15.75">
      <c r="B2102" s="79"/>
      <c r="D2102"/>
      <c r="E2102" s="188"/>
      <c r="H2102"/>
      <c r="I2102" s="202"/>
      <c r="J2102"/>
      <c r="K2102" s="205"/>
      <c r="L2102" s="205"/>
      <c r="M2102" s="205"/>
    </row>
    <row r="2103" spans="2:13" ht="15.75">
      <c r="B2103" s="79"/>
      <c r="D2103"/>
      <c r="E2103" s="188"/>
      <c r="H2103"/>
      <c r="I2103" s="202"/>
      <c r="J2103"/>
      <c r="K2103" s="205"/>
      <c r="L2103" s="205"/>
      <c r="M2103" s="205"/>
    </row>
    <row r="2104" spans="2:13" ht="15.75">
      <c r="B2104" s="79"/>
      <c r="D2104"/>
      <c r="E2104" s="188"/>
      <c r="H2104"/>
      <c r="I2104" s="202"/>
      <c r="J2104"/>
      <c r="K2104" s="205"/>
      <c r="L2104" s="205"/>
      <c r="M2104" s="205"/>
    </row>
    <row r="2105" spans="2:13" ht="15.75">
      <c r="B2105" s="79"/>
      <c r="D2105"/>
      <c r="E2105" s="188"/>
      <c r="H2105"/>
      <c r="I2105" s="202"/>
      <c r="J2105"/>
      <c r="K2105" s="205"/>
      <c r="L2105" s="205"/>
      <c r="M2105" s="205"/>
    </row>
    <row r="2106" spans="2:13" ht="15.75">
      <c r="B2106" s="79"/>
      <c r="D2106"/>
      <c r="E2106" s="188"/>
      <c r="H2106"/>
      <c r="I2106" s="202"/>
      <c r="J2106"/>
      <c r="K2106" s="205"/>
      <c r="L2106" s="205"/>
      <c r="M2106" s="205"/>
    </row>
    <row r="2107" spans="2:13" ht="15.75">
      <c r="B2107" s="79"/>
      <c r="D2107"/>
      <c r="E2107" s="188"/>
      <c r="H2107"/>
      <c r="I2107" s="202"/>
      <c r="J2107"/>
      <c r="K2107" s="205"/>
      <c r="L2107" s="205"/>
      <c r="M2107" s="205"/>
    </row>
    <row r="2108" spans="2:13" ht="15.75">
      <c r="B2108" s="79"/>
      <c r="D2108"/>
      <c r="E2108" s="188"/>
      <c r="H2108"/>
      <c r="I2108" s="202"/>
      <c r="J2108"/>
      <c r="K2108" s="205"/>
      <c r="L2108" s="205"/>
      <c r="M2108" s="205"/>
    </row>
    <row r="2109" spans="2:13" ht="15.75">
      <c r="B2109" s="79"/>
      <c r="D2109"/>
      <c r="E2109" s="188"/>
      <c r="H2109"/>
      <c r="I2109" s="202"/>
      <c r="J2109"/>
      <c r="K2109" s="205"/>
      <c r="L2109" s="205"/>
      <c r="M2109" s="205"/>
    </row>
    <row r="2110" spans="2:13" ht="15.75">
      <c r="B2110" s="79"/>
      <c r="D2110"/>
      <c r="E2110" s="188"/>
      <c r="H2110"/>
      <c r="I2110" s="202"/>
      <c r="J2110"/>
      <c r="K2110" s="205"/>
      <c r="L2110" s="205"/>
      <c r="M2110" s="205"/>
    </row>
    <row r="2111" spans="2:13" ht="15.75">
      <c r="B2111" s="79"/>
      <c r="D2111"/>
      <c r="E2111" s="188"/>
      <c r="H2111"/>
      <c r="I2111" s="202"/>
      <c r="J2111"/>
      <c r="K2111" s="205"/>
      <c r="L2111" s="205"/>
      <c r="M2111" s="205"/>
    </row>
    <row r="2112" spans="2:13" ht="15.75">
      <c r="B2112" s="79"/>
      <c r="D2112"/>
      <c r="E2112" s="188"/>
      <c r="H2112"/>
      <c r="I2112" s="202"/>
      <c r="J2112"/>
      <c r="K2112" s="205"/>
      <c r="L2112" s="205"/>
      <c r="M2112" s="205"/>
    </row>
    <row r="2113" spans="2:13" ht="15.75">
      <c r="B2113" s="79"/>
      <c r="D2113"/>
      <c r="E2113" s="188"/>
      <c r="H2113"/>
      <c r="I2113" s="202"/>
      <c r="J2113"/>
      <c r="K2113" s="205"/>
      <c r="L2113" s="205"/>
      <c r="M2113" s="205"/>
    </row>
    <row r="2114" spans="2:13" ht="15.75">
      <c r="B2114" s="79"/>
      <c r="D2114"/>
      <c r="E2114" s="188"/>
      <c r="H2114"/>
      <c r="I2114" s="202"/>
      <c r="J2114"/>
      <c r="K2114" s="205"/>
      <c r="L2114" s="205"/>
      <c r="M2114" s="205"/>
    </row>
    <row r="2115" spans="2:13" ht="15.75">
      <c r="B2115" s="79"/>
      <c r="D2115"/>
      <c r="E2115" s="188"/>
      <c r="H2115"/>
      <c r="I2115" s="202"/>
      <c r="J2115"/>
      <c r="K2115" s="205"/>
      <c r="L2115" s="205"/>
      <c r="M2115" s="205"/>
    </row>
    <row r="2116" spans="2:13" ht="15.75">
      <c r="B2116" s="79"/>
      <c r="D2116"/>
      <c r="E2116" s="188"/>
      <c r="H2116"/>
      <c r="I2116" s="202"/>
      <c r="J2116"/>
      <c r="K2116" s="205"/>
      <c r="L2116" s="205"/>
      <c r="M2116" s="205"/>
    </row>
    <row r="2117" spans="2:13" ht="15.75">
      <c r="B2117" s="79"/>
      <c r="D2117"/>
      <c r="E2117" s="188"/>
      <c r="H2117"/>
      <c r="I2117" s="202"/>
      <c r="J2117"/>
      <c r="K2117" s="205"/>
      <c r="L2117" s="205"/>
      <c r="M2117" s="205"/>
    </row>
    <row r="2118" spans="2:13" ht="15.75">
      <c r="B2118" s="79"/>
      <c r="D2118"/>
      <c r="E2118" s="188"/>
      <c r="H2118"/>
      <c r="I2118" s="202"/>
      <c r="J2118"/>
      <c r="K2118" s="205"/>
      <c r="L2118" s="205"/>
      <c r="M2118" s="205"/>
    </row>
    <row r="2119" spans="2:13" ht="15.75">
      <c r="B2119" s="79"/>
      <c r="D2119"/>
      <c r="E2119" s="188"/>
      <c r="H2119"/>
      <c r="I2119" s="202"/>
      <c r="J2119"/>
      <c r="K2119" s="205"/>
      <c r="L2119" s="205"/>
      <c r="M2119" s="205"/>
    </row>
    <row r="2120" spans="2:13" ht="15.75">
      <c r="B2120" s="79"/>
      <c r="D2120"/>
      <c r="E2120" s="188"/>
      <c r="H2120"/>
      <c r="I2120" s="202"/>
      <c r="J2120"/>
      <c r="K2120" s="205"/>
      <c r="L2120" s="205"/>
      <c r="M2120" s="205"/>
    </row>
    <row r="2121" spans="2:13" ht="15.75">
      <c r="B2121" s="79"/>
      <c r="D2121"/>
      <c r="E2121" s="188"/>
      <c r="H2121"/>
      <c r="I2121" s="202"/>
      <c r="J2121"/>
      <c r="K2121" s="205"/>
      <c r="L2121" s="205"/>
      <c r="M2121" s="205"/>
    </row>
    <row r="2122" spans="2:13" ht="15.75">
      <c r="B2122" s="79"/>
      <c r="D2122"/>
      <c r="E2122" s="188"/>
      <c r="H2122"/>
      <c r="I2122" s="202"/>
      <c r="J2122"/>
      <c r="K2122" s="205"/>
      <c r="L2122" s="205"/>
      <c r="M2122" s="205"/>
    </row>
    <row r="2123" spans="2:13" ht="15.75">
      <c r="B2123" s="79"/>
      <c r="D2123"/>
      <c r="E2123" s="188"/>
      <c r="H2123"/>
      <c r="I2123" s="202"/>
      <c r="J2123"/>
      <c r="K2123" s="205"/>
      <c r="L2123" s="205"/>
      <c r="M2123" s="205"/>
    </row>
    <row r="2124" spans="2:13" ht="15.75">
      <c r="B2124" s="79"/>
      <c r="D2124"/>
      <c r="E2124" s="188"/>
      <c r="H2124"/>
      <c r="I2124" s="202"/>
      <c r="J2124"/>
      <c r="K2124" s="205"/>
      <c r="L2124" s="205"/>
      <c r="M2124" s="205"/>
    </row>
    <row r="2125" spans="2:13" ht="15.75">
      <c r="B2125" s="79"/>
      <c r="D2125"/>
      <c r="E2125" s="188"/>
      <c r="H2125"/>
      <c r="I2125" s="202"/>
      <c r="J2125"/>
      <c r="K2125" s="205"/>
      <c r="L2125" s="205"/>
      <c r="M2125" s="205"/>
    </row>
    <row r="2126" spans="2:13" ht="15.75">
      <c r="B2126" s="79"/>
      <c r="D2126"/>
      <c r="E2126" s="188"/>
      <c r="H2126"/>
      <c r="I2126" s="202"/>
      <c r="J2126"/>
      <c r="K2126" s="205"/>
      <c r="L2126" s="205"/>
      <c r="M2126" s="205"/>
    </row>
    <row r="2127" spans="2:13" ht="15.75">
      <c r="B2127" s="79"/>
      <c r="D2127"/>
      <c r="E2127" s="188"/>
      <c r="H2127"/>
      <c r="I2127" s="202"/>
      <c r="J2127"/>
      <c r="K2127" s="205"/>
      <c r="L2127" s="205"/>
      <c r="M2127" s="205"/>
    </row>
    <row r="2128" spans="2:13" ht="15.75">
      <c r="B2128" s="79"/>
      <c r="D2128"/>
      <c r="E2128" s="188"/>
      <c r="H2128"/>
      <c r="I2128" s="202"/>
      <c r="J2128"/>
      <c r="K2128" s="205"/>
      <c r="L2128" s="205"/>
      <c r="M2128" s="205"/>
    </row>
    <row r="2129" spans="2:13" ht="15.75">
      <c r="B2129" s="79"/>
      <c r="D2129"/>
      <c r="E2129" s="188"/>
      <c r="H2129"/>
      <c r="I2129" s="202"/>
      <c r="J2129"/>
      <c r="K2129" s="205"/>
      <c r="L2129" s="205"/>
      <c r="M2129" s="205"/>
    </row>
    <row r="2130" spans="2:13" ht="15.75">
      <c r="B2130" s="79"/>
      <c r="D2130"/>
      <c r="E2130" s="188"/>
      <c r="H2130"/>
      <c r="I2130" s="202"/>
      <c r="J2130"/>
      <c r="K2130" s="205"/>
      <c r="L2130" s="205"/>
      <c r="M2130" s="205"/>
    </row>
    <row r="2131" spans="2:13" ht="15.75">
      <c r="B2131" s="79"/>
      <c r="D2131"/>
      <c r="E2131" s="188"/>
      <c r="H2131"/>
      <c r="I2131" s="202"/>
      <c r="J2131"/>
      <c r="K2131" s="205"/>
      <c r="L2131" s="205"/>
      <c r="M2131" s="205"/>
    </row>
    <row r="2132" spans="2:13" ht="15.75">
      <c r="B2132" s="79"/>
      <c r="D2132"/>
      <c r="E2132" s="188"/>
      <c r="H2132"/>
      <c r="I2132" s="202"/>
      <c r="J2132"/>
      <c r="K2132" s="205"/>
      <c r="L2132" s="205"/>
      <c r="M2132" s="205"/>
    </row>
    <row r="2133" spans="2:13" ht="15.75">
      <c r="B2133" s="79"/>
      <c r="D2133"/>
      <c r="E2133" s="188"/>
      <c r="H2133"/>
      <c r="I2133" s="202"/>
      <c r="J2133"/>
      <c r="K2133" s="205"/>
      <c r="L2133" s="205"/>
      <c r="M2133" s="205"/>
    </row>
    <row r="2134" spans="2:13" ht="15.75">
      <c r="B2134" s="79"/>
      <c r="D2134"/>
      <c r="E2134" s="188"/>
      <c r="H2134"/>
      <c r="I2134" s="202"/>
      <c r="J2134"/>
      <c r="K2134" s="205"/>
      <c r="L2134" s="205"/>
      <c r="M2134" s="205"/>
    </row>
    <row r="2135" spans="2:13" ht="15.75">
      <c r="B2135" s="79"/>
      <c r="D2135"/>
      <c r="E2135" s="188"/>
      <c r="H2135"/>
      <c r="I2135" s="202"/>
      <c r="J2135"/>
      <c r="K2135" s="205"/>
      <c r="L2135" s="205"/>
      <c r="M2135" s="205"/>
    </row>
    <row r="2136" spans="2:13" ht="15.75">
      <c r="B2136" s="79"/>
      <c r="D2136"/>
      <c r="E2136" s="188"/>
      <c r="H2136"/>
      <c r="I2136" s="202"/>
      <c r="J2136"/>
      <c r="K2136" s="205"/>
      <c r="L2136" s="205"/>
      <c r="M2136" s="205"/>
    </row>
    <row r="2137" spans="2:13" ht="15.75">
      <c r="B2137" s="79"/>
      <c r="D2137"/>
      <c r="E2137" s="188"/>
      <c r="H2137"/>
      <c r="I2137" s="202"/>
      <c r="J2137"/>
      <c r="K2137" s="205"/>
      <c r="L2137" s="205"/>
      <c r="M2137" s="205"/>
    </row>
    <row r="2138" spans="2:13" ht="15.75">
      <c r="B2138" s="79"/>
      <c r="D2138"/>
      <c r="E2138" s="188"/>
      <c r="H2138"/>
      <c r="I2138" s="202"/>
      <c r="J2138"/>
      <c r="K2138" s="205"/>
      <c r="L2138" s="205"/>
      <c r="M2138" s="205"/>
    </row>
    <row r="2139" spans="2:13" ht="15.75">
      <c r="B2139" s="79"/>
      <c r="D2139"/>
      <c r="E2139" s="188"/>
      <c r="H2139"/>
      <c r="I2139" s="202"/>
      <c r="J2139"/>
      <c r="K2139" s="205"/>
      <c r="L2139" s="205"/>
      <c r="M2139" s="205"/>
    </row>
    <row r="2140" spans="2:13" ht="15.75">
      <c r="B2140" s="79"/>
      <c r="D2140"/>
      <c r="E2140" s="188"/>
      <c r="H2140"/>
      <c r="I2140" s="202"/>
      <c r="J2140"/>
      <c r="K2140" s="205"/>
      <c r="L2140" s="205"/>
      <c r="M2140" s="205"/>
    </row>
    <row r="2141" spans="2:13" ht="15.75">
      <c r="B2141" s="79"/>
      <c r="D2141"/>
      <c r="E2141" s="188"/>
      <c r="H2141"/>
      <c r="I2141" s="202"/>
      <c r="J2141"/>
      <c r="K2141" s="205"/>
      <c r="L2141" s="205"/>
      <c r="M2141" s="205"/>
    </row>
    <row r="2142" spans="2:13" ht="15.75">
      <c r="B2142" s="79"/>
      <c r="D2142"/>
      <c r="E2142" s="188"/>
      <c r="H2142"/>
      <c r="I2142" s="202"/>
      <c r="J2142"/>
      <c r="K2142" s="205"/>
      <c r="L2142" s="205"/>
      <c r="M2142" s="205"/>
    </row>
    <row r="2143" spans="2:13" ht="15.75">
      <c r="B2143" s="79"/>
      <c r="D2143"/>
      <c r="E2143" s="188"/>
      <c r="H2143"/>
      <c r="I2143" s="202"/>
      <c r="J2143"/>
      <c r="K2143" s="205"/>
      <c r="L2143" s="205"/>
      <c r="M2143" s="205"/>
    </row>
    <row r="2144" spans="2:13" ht="15.75">
      <c r="B2144" s="79"/>
      <c r="D2144"/>
      <c r="E2144" s="188"/>
      <c r="H2144"/>
      <c r="I2144" s="202"/>
      <c r="J2144"/>
      <c r="K2144" s="205"/>
      <c r="L2144" s="205"/>
      <c r="M2144" s="205"/>
    </row>
    <row r="2145" spans="2:13" ht="15.75">
      <c r="B2145" s="79"/>
      <c r="D2145"/>
      <c r="E2145" s="188"/>
      <c r="H2145"/>
      <c r="I2145" s="202"/>
      <c r="J2145"/>
      <c r="K2145" s="205"/>
      <c r="L2145" s="205"/>
      <c r="M2145" s="205"/>
    </row>
    <row r="2146" spans="2:13" ht="15.75">
      <c r="B2146" s="79"/>
      <c r="D2146"/>
      <c r="E2146" s="188"/>
      <c r="H2146"/>
      <c r="I2146" s="202"/>
      <c r="J2146"/>
      <c r="K2146" s="205"/>
      <c r="L2146" s="205"/>
      <c r="M2146" s="205"/>
    </row>
    <row r="2147" spans="2:13" ht="15.75">
      <c r="B2147" s="79"/>
      <c r="D2147"/>
      <c r="E2147" s="188"/>
      <c r="H2147"/>
      <c r="I2147" s="202"/>
      <c r="J2147"/>
      <c r="K2147" s="205"/>
      <c r="L2147" s="205"/>
      <c r="M2147" s="205"/>
    </row>
    <row r="2148" spans="2:13" ht="15.75">
      <c r="B2148" s="79"/>
      <c r="D2148"/>
      <c r="E2148" s="188"/>
      <c r="H2148"/>
      <c r="I2148" s="202"/>
      <c r="J2148"/>
      <c r="K2148" s="205"/>
      <c r="L2148" s="205"/>
      <c r="M2148" s="205"/>
    </row>
    <row r="2149" spans="2:13" ht="15.75">
      <c r="B2149" s="79"/>
      <c r="D2149"/>
      <c r="E2149" s="188"/>
      <c r="H2149"/>
      <c r="I2149" s="202"/>
      <c r="J2149"/>
      <c r="K2149" s="205"/>
      <c r="L2149" s="205"/>
      <c r="M2149" s="205"/>
    </row>
    <row r="2150" spans="2:13" ht="15.75">
      <c r="B2150" s="79"/>
      <c r="D2150"/>
      <c r="E2150" s="188"/>
      <c r="H2150"/>
      <c r="I2150" s="202"/>
      <c r="J2150"/>
      <c r="K2150" s="205"/>
      <c r="L2150" s="205"/>
      <c r="M2150" s="205"/>
    </row>
    <row r="2151" spans="2:13" ht="15.75">
      <c r="B2151" s="79"/>
      <c r="D2151"/>
      <c r="E2151" s="188"/>
      <c r="H2151"/>
      <c r="I2151" s="202"/>
      <c r="J2151"/>
      <c r="K2151" s="205"/>
      <c r="L2151" s="205"/>
      <c r="M2151" s="205"/>
    </row>
    <row r="2152" spans="2:13" ht="15.75">
      <c r="B2152" s="79"/>
      <c r="D2152"/>
      <c r="E2152" s="188"/>
      <c r="H2152"/>
      <c r="I2152" s="202"/>
      <c r="J2152"/>
      <c r="K2152" s="205"/>
      <c r="L2152" s="205"/>
      <c r="M2152" s="205"/>
    </row>
    <row r="2153" spans="2:13" ht="15.75">
      <c r="B2153" s="79"/>
      <c r="D2153"/>
      <c r="E2153" s="188"/>
      <c r="H2153"/>
      <c r="I2153" s="202"/>
      <c r="J2153"/>
      <c r="K2153" s="205"/>
      <c r="L2153" s="205"/>
      <c r="M2153" s="205"/>
    </row>
    <row r="2154" spans="2:13" ht="15.75">
      <c r="B2154" s="79"/>
      <c r="D2154"/>
      <c r="E2154" s="188"/>
      <c r="H2154"/>
      <c r="I2154" s="202"/>
      <c r="J2154"/>
      <c r="K2154" s="205"/>
      <c r="L2154" s="205"/>
      <c r="M2154" s="205"/>
    </row>
    <row r="2155" spans="2:13" ht="15.75">
      <c r="B2155" s="79"/>
      <c r="D2155"/>
      <c r="E2155" s="188"/>
      <c r="H2155"/>
      <c r="I2155" s="202"/>
      <c r="J2155"/>
      <c r="K2155" s="205"/>
      <c r="L2155" s="205"/>
      <c r="M2155" s="205"/>
    </row>
    <row r="2156" spans="2:13" ht="15.75">
      <c r="B2156" s="79"/>
      <c r="D2156"/>
      <c r="E2156" s="188"/>
      <c r="H2156"/>
      <c r="I2156" s="202"/>
      <c r="J2156"/>
      <c r="K2156" s="205"/>
      <c r="L2156" s="205"/>
      <c r="M2156" s="205"/>
    </row>
    <row r="2157" spans="2:13" ht="15.75">
      <c r="B2157" s="79"/>
      <c r="D2157"/>
      <c r="E2157" s="188"/>
      <c r="H2157"/>
      <c r="I2157" s="202"/>
      <c r="J2157"/>
      <c r="K2157" s="205"/>
      <c r="L2157" s="205"/>
      <c r="M2157" s="205"/>
    </row>
    <row r="2158" spans="2:13" ht="15.75">
      <c r="B2158" s="79"/>
      <c r="D2158"/>
      <c r="E2158" s="188"/>
      <c r="H2158"/>
      <c r="I2158" s="202"/>
      <c r="J2158"/>
      <c r="K2158" s="205"/>
      <c r="L2158" s="205"/>
      <c r="M2158" s="205"/>
    </row>
    <row r="2159" spans="2:13" ht="15.75">
      <c r="B2159" s="79"/>
      <c r="D2159"/>
      <c r="E2159" s="188"/>
      <c r="H2159"/>
      <c r="I2159" s="202"/>
      <c r="J2159"/>
      <c r="K2159" s="205"/>
      <c r="L2159" s="205"/>
      <c r="M2159" s="205"/>
    </row>
    <row r="2160" spans="2:13" ht="15.75">
      <c r="B2160" s="79"/>
      <c r="D2160"/>
      <c r="E2160" s="188"/>
      <c r="H2160"/>
      <c r="I2160" s="202"/>
      <c r="J2160"/>
      <c r="K2160" s="205"/>
      <c r="L2160" s="205"/>
      <c r="M2160" s="205"/>
    </row>
    <row r="2161" spans="2:13" ht="15.75">
      <c r="B2161" s="79"/>
      <c r="D2161"/>
      <c r="E2161" s="188"/>
      <c r="H2161"/>
      <c r="I2161" s="202"/>
      <c r="J2161"/>
      <c r="K2161" s="205"/>
      <c r="L2161" s="205"/>
      <c r="M2161" s="205"/>
    </row>
    <row r="2162" spans="2:13" ht="15.75">
      <c r="B2162" s="79"/>
      <c r="D2162"/>
      <c r="E2162" s="188"/>
      <c r="H2162"/>
      <c r="I2162" s="202"/>
      <c r="J2162"/>
      <c r="K2162" s="205"/>
      <c r="L2162" s="205"/>
      <c r="M2162" s="205"/>
    </row>
    <row r="2163" spans="2:13" ht="15.75">
      <c r="B2163" s="79"/>
      <c r="D2163"/>
      <c r="E2163" s="188"/>
      <c r="H2163"/>
      <c r="I2163" s="202"/>
      <c r="J2163"/>
      <c r="K2163" s="205"/>
      <c r="L2163" s="205"/>
      <c r="M2163" s="205"/>
    </row>
    <row r="2164" spans="2:13" ht="15.75">
      <c r="B2164" s="79"/>
      <c r="D2164"/>
      <c r="E2164" s="188"/>
      <c r="H2164"/>
      <c r="I2164" s="202"/>
      <c r="J2164"/>
      <c r="K2164" s="205"/>
      <c r="L2164" s="205"/>
      <c r="M2164" s="205"/>
    </row>
    <row r="2165" spans="2:13" ht="15.75">
      <c r="B2165" s="79"/>
      <c r="D2165"/>
      <c r="E2165" s="188"/>
      <c r="H2165"/>
      <c r="I2165" s="202"/>
      <c r="J2165"/>
      <c r="K2165" s="205"/>
      <c r="L2165" s="205"/>
      <c r="M2165" s="205"/>
    </row>
    <row r="2166" spans="2:13" ht="15.75">
      <c r="B2166" s="79"/>
      <c r="D2166"/>
      <c r="E2166" s="188"/>
      <c r="H2166"/>
      <c r="I2166" s="202"/>
      <c r="J2166"/>
      <c r="K2166" s="205"/>
      <c r="L2166" s="205"/>
      <c r="M2166" s="205"/>
    </row>
    <row r="2167" spans="2:13" ht="15.75">
      <c r="B2167" s="79"/>
      <c r="D2167"/>
      <c r="E2167" s="188"/>
      <c r="H2167"/>
      <c r="I2167" s="202"/>
      <c r="J2167"/>
      <c r="K2167" s="205"/>
      <c r="L2167" s="205"/>
      <c r="M2167" s="205"/>
    </row>
    <row r="2168" spans="2:13" ht="15.75">
      <c r="B2168" s="79"/>
      <c r="D2168"/>
      <c r="E2168" s="188"/>
      <c r="H2168"/>
      <c r="I2168" s="202"/>
      <c r="J2168"/>
      <c r="K2168" s="205"/>
      <c r="L2168" s="205"/>
      <c r="M2168" s="205"/>
    </row>
    <row r="2169" spans="2:13" ht="15.75">
      <c r="B2169" s="79"/>
      <c r="D2169"/>
      <c r="E2169" s="188"/>
      <c r="H2169"/>
      <c r="I2169" s="202"/>
      <c r="J2169"/>
      <c r="K2169" s="205"/>
      <c r="L2169" s="205"/>
      <c r="M2169" s="205"/>
    </row>
    <row r="2170" spans="2:13" ht="15.75">
      <c r="B2170" s="79"/>
      <c r="D2170"/>
      <c r="E2170" s="188"/>
      <c r="H2170"/>
      <c r="I2170" s="202"/>
      <c r="J2170"/>
      <c r="K2170" s="205"/>
      <c r="L2170" s="205"/>
      <c r="M2170" s="205"/>
    </row>
    <row r="2171" spans="2:13" ht="15.75">
      <c r="B2171" s="79"/>
      <c r="D2171"/>
      <c r="E2171" s="188"/>
      <c r="H2171"/>
      <c r="I2171" s="202"/>
      <c r="J2171"/>
      <c r="K2171" s="205"/>
      <c r="L2171" s="205"/>
      <c r="M2171" s="205"/>
    </row>
    <row r="2172" spans="2:13" ht="15.75">
      <c r="B2172" s="79"/>
      <c r="D2172"/>
      <c r="E2172" s="188"/>
      <c r="H2172"/>
      <c r="I2172" s="202"/>
      <c r="J2172"/>
      <c r="K2172" s="205"/>
      <c r="L2172" s="205"/>
      <c r="M2172" s="205"/>
    </row>
    <row r="2173" spans="2:13" ht="15.75">
      <c r="B2173" s="79"/>
      <c r="D2173"/>
      <c r="E2173" s="188"/>
      <c r="H2173"/>
      <c r="I2173" s="202"/>
      <c r="J2173"/>
      <c r="K2173" s="205"/>
      <c r="L2173" s="205"/>
      <c r="M2173" s="205"/>
    </row>
    <row r="2174" spans="2:13" ht="15.75">
      <c r="B2174" s="79"/>
      <c r="D2174"/>
      <c r="E2174" s="188"/>
      <c r="H2174"/>
      <c r="I2174" s="202"/>
      <c r="J2174"/>
      <c r="K2174" s="205"/>
      <c r="L2174" s="205"/>
      <c r="M2174" s="205"/>
    </row>
    <row r="2175" spans="2:13" ht="15.75">
      <c r="B2175" s="79"/>
      <c r="D2175"/>
      <c r="E2175" s="188"/>
      <c r="H2175"/>
      <c r="I2175" s="202"/>
      <c r="J2175"/>
      <c r="K2175" s="205"/>
      <c r="L2175" s="205"/>
      <c r="M2175" s="205"/>
    </row>
    <row r="2176" spans="2:13" ht="15.75">
      <c r="B2176" s="79"/>
      <c r="D2176"/>
      <c r="E2176" s="188"/>
      <c r="H2176"/>
      <c r="I2176" s="202"/>
      <c r="J2176"/>
      <c r="K2176" s="205"/>
      <c r="L2176" s="205"/>
      <c r="M2176" s="205"/>
    </row>
    <row r="2177" spans="2:13" ht="15.75">
      <c r="B2177" s="79"/>
      <c r="D2177"/>
      <c r="E2177" s="188"/>
      <c r="H2177"/>
      <c r="I2177" s="202"/>
      <c r="J2177"/>
      <c r="K2177" s="205"/>
      <c r="L2177" s="205"/>
      <c r="M2177" s="205"/>
    </row>
    <row r="2178" spans="2:13" ht="15.75">
      <c r="B2178" s="79"/>
      <c r="D2178"/>
      <c r="E2178" s="188"/>
      <c r="H2178"/>
      <c r="I2178" s="202"/>
      <c r="J2178"/>
      <c r="K2178" s="205"/>
      <c r="L2178" s="205"/>
      <c r="M2178" s="205"/>
    </row>
    <row r="2179" spans="2:13" ht="15.75">
      <c r="B2179" s="79"/>
      <c r="D2179"/>
      <c r="E2179" s="188"/>
      <c r="H2179"/>
      <c r="I2179" s="202"/>
      <c r="J2179"/>
      <c r="K2179" s="205"/>
      <c r="L2179" s="205"/>
      <c r="M2179" s="205"/>
    </row>
    <row r="2180" spans="2:13" ht="15.75">
      <c r="B2180" s="79"/>
      <c r="D2180"/>
      <c r="E2180" s="188"/>
      <c r="H2180"/>
      <c r="I2180" s="202"/>
      <c r="J2180"/>
      <c r="K2180" s="205"/>
      <c r="L2180" s="205"/>
      <c r="M2180" s="205"/>
    </row>
    <row r="2181" spans="2:13" ht="15.75">
      <c r="B2181" s="79"/>
      <c r="D2181"/>
      <c r="E2181" s="188"/>
      <c r="H2181"/>
      <c r="I2181" s="202"/>
      <c r="J2181"/>
      <c r="K2181" s="205"/>
      <c r="L2181" s="205"/>
      <c r="M2181" s="205"/>
    </row>
    <row r="2182" spans="2:13" ht="15.75">
      <c r="B2182" s="79"/>
      <c r="D2182"/>
      <c r="E2182" s="188"/>
      <c r="H2182"/>
      <c r="I2182" s="202"/>
      <c r="J2182"/>
      <c r="K2182" s="205"/>
      <c r="L2182" s="205"/>
      <c r="M2182" s="205"/>
    </row>
    <row r="2183" spans="2:13" ht="15.75">
      <c r="B2183" s="79"/>
      <c r="D2183"/>
      <c r="E2183" s="188"/>
      <c r="H2183"/>
      <c r="I2183" s="202"/>
      <c r="J2183"/>
      <c r="K2183" s="205"/>
      <c r="L2183" s="205"/>
      <c r="M2183" s="205"/>
    </row>
    <row r="2184" spans="2:13" ht="15.75">
      <c r="B2184" s="79"/>
      <c r="D2184"/>
      <c r="E2184" s="188"/>
      <c r="H2184"/>
      <c r="I2184" s="202"/>
      <c r="J2184"/>
      <c r="K2184" s="205"/>
      <c r="L2184" s="205"/>
      <c r="M2184" s="205"/>
    </row>
    <row r="2185" spans="2:13" ht="15.75">
      <c r="B2185" s="79"/>
      <c r="D2185"/>
      <c r="E2185" s="188"/>
      <c r="H2185"/>
      <c r="I2185" s="202"/>
      <c r="J2185"/>
      <c r="K2185" s="205"/>
      <c r="L2185" s="205"/>
      <c r="M2185" s="205"/>
    </row>
    <row r="2186" spans="2:13" ht="15.75">
      <c r="B2186" s="79"/>
      <c r="D2186"/>
      <c r="E2186" s="188"/>
      <c r="H2186"/>
      <c r="I2186" s="202"/>
      <c r="J2186"/>
      <c r="K2186" s="205"/>
      <c r="L2186" s="205"/>
      <c r="M2186" s="205"/>
    </row>
    <row r="2187" spans="2:13" ht="15.75">
      <c r="B2187" s="79"/>
      <c r="D2187"/>
      <c r="E2187" s="188"/>
      <c r="H2187"/>
      <c r="I2187" s="202"/>
      <c r="J2187"/>
      <c r="K2187" s="205"/>
      <c r="L2187" s="205"/>
      <c r="M2187" s="205"/>
    </row>
    <row r="2188" spans="2:13" ht="15.75">
      <c r="B2188" s="79"/>
      <c r="D2188"/>
      <c r="E2188" s="188"/>
      <c r="H2188"/>
      <c r="I2188" s="202"/>
      <c r="J2188"/>
      <c r="K2188" s="205"/>
      <c r="L2188" s="205"/>
      <c r="M2188" s="205"/>
    </row>
    <row r="2189" spans="2:13" ht="15.75">
      <c r="B2189" s="79"/>
      <c r="D2189"/>
      <c r="E2189" s="188"/>
      <c r="H2189"/>
      <c r="I2189" s="202"/>
      <c r="J2189"/>
      <c r="K2189" s="205"/>
      <c r="L2189" s="205"/>
      <c r="M2189" s="205"/>
    </row>
    <row r="2190" spans="2:13" ht="15.75">
      <c r="B2190" s="79"/>
      <c r="D2190"/>
      <c r="E2190" s="188"/>
      <c r="H2190"/>
      <c r="I2190" s="202"/>
      <c r="J2190"/>
      <c r="K2190" s="205"/>
      <c r="L2190" s="205"/>
      <c r="M2190" s="205"/>
    </row>
    <row r="2191" spans="2:13" ht="15.75">
      <c r="B2191" s="79"/>
      <c r="D2191"/>
      <c r="E2191" s="188"/>
      <c r="H2191"/>
      <c r="I2191" s="202"/>
      <c r="J2191"/>
      <c r="K2191" s="205"/>
      <c r="L2191" s="205"/>
      <c r="M2191" s="205"/>
    </row>
    <row r="2192" spans="2:13" ht="15.75">
      <c r="B2192" s="79"/>
      <c r="D2192"/>
      <c r="E2192" s="188"/>
      <c r="H2192"/>
      <c r="I2192" s="202"/>
      <c r="J2192"/>
      <c r="K2192" s="205"/>
      <c r="L2192" s="205"/>
      <c r="M2192" s="205"/>
    </row>
    <row r="2193" spans="2:13" ht="15.75">
      <c r="B2193" s="79"/>
      <c r="D2193"/>
      <c r="E2193" s="188"/>
      <c r="H2193"/>
      <c r="I2193" s="202"/>
      <c r="J2193"/>
      <c r="K2193" s="205"/>
      <c r="L2193" s="205"/>
      <c r="M2193" s="205"/>
    </row>
    <row r="2194" spans="2:13" ht="15.75">
      <c r="B2194" s="79"/>
      <c r="D2194"/>
      <c r="E2194" s="188"/>
      <c r="H2194"/>
      <c r="I2194" s="202"/>
      <c r="J2194"/>
      <c r="K2194" s="205"/>
      <c r="L2194" s="205"/>
      <c r="M2194" s="205"/>
    </row>
    <row r="2195" spans="2:13" ht="15.75">
      <c r="B2195" s="79"/>
      <c r="D2195"/>
      <c r="E2195" s="188"/>
      <c r="H2195"/>
      <c r="I2195" s="202"/>
      <c r="J2195"/>
      <c r="K2195" s="205"/>
      <c r="L2195" s="205"/>
      <c r="M2195" s="205"/>
    </row>
    <row r="2196" spans="2:13" ht="15.75">
      <c r="B2196" s="79"/>
      <c r="D2196"/>
      <c r="E2196" s="188"/>
      <c r="H2196"/>
      <c r="I2196" s="202"/>
      <c r="J2196"/>
      <c r="K2196" s="205"/>
      <c r="L2196" s="205"/>
      <c r="M2196" s="205"/>
    </row>
    <row r="2197" spans="2:13" ht="15.75">
      <c r="B2197" s="79"/>
      <c r="D2197"/>
      <c r="E2197" s="188"/>
      <c r="H2197"/>
      <c r="I2197" s="202"/>
      <c r="J2197"/>
      <c r="K2197" s="205"/>
      <c r="L2197" s="205"/>
      <c r="M2197" s="205"/>
    </row>
    <row r="2198" spans="2:13" ht="15.75">
      <c r="B2198" s="79"/>
      <c r="D2198"/>
      <c r="E2198" s="188"/>
      <c r="H2198"/>
      <c r="I2198" s="202"/>
      <c r="J2198"/>
      <c r="K2198" s="205"/>
      <c r="L2198" s="205"/>
      <c r="M2198" s="205"/>
    </row>
    <row r="2199" spans="2:13" ht="15.75">
      <c r="B2199" s="79"/>
      <c r="D2199"/>
      <c r="E2199" s="188"/>
      <c r="H2199"/>
      <c r="I2199" s="202"/>
      <c r="J2199"/>
      <c r="K2199" s="205"/>
      <c r="L2199" s="205"/>
      <c r="M2199" s="205"/>
    </row>
    <row r="2200" spans="2:13" ht="15.75">
      <c r="B2200" s="79"/>
      <c r="D2200"/>
      <c r="E2200" s="188"/>
      <c r="H2200"/>
      <c r="I2200" s="202"/>
      <c r="J2200"/>
      <c r="K2200" s="205"/>
      <c r="L2200" s="205"/>
      <c r="M2200" s="205"/>
    </row>
    <row r="2201" spans="2:13" ht="15.75">
      <c r="B2201" s="79"/>
      <c r="D2201"/>
      <c r="E2201" s="188"/>
      <c r="H2201"/>
      <c r="I2201" s="202"/>
      <c r="J2201"/>
      <c r="K2201" s="205"/>
      <c r="L2201" s="205"/>
      <c r="M2201" s="205"/>
    </row>
    <row r="2202" spans="2:13" ht="15.75">
      <c r="B2202" s="79"/>
      <c r="D2202"/>
      <c r="E2202" s="188"/>
      <c r="H2202"/>
      <c r="I2202" s="202"/>
      <c r="J2202"/>
      <c r="K2202" s="205"/>
      <c r="L2202" s="205"/>
      <c r="M2202" s="205"/>
    </row>
    <row r="2203" spans="2:13" ht="15.75">
      <c r="B2203" s="79"/>
      <c r="D2203"/>
      <c r="E2203" s="188"/>
      <c r="H2203"/>
      <c r="I2203" s="202"/>
      <c r="J2203"/>
      <c r="K2203" s="205"/>
      <c r="L2203" s="205"/>
      <c r="M2203" s="205"/>
    </row>
    <row r="2204" spans="2:13" ht="15.75">
      <c r="B2204" s="79"/>
      <c r="D2204"/>
      <c r="E2204" s="188"/>
      <c r="H2204"/>
      <c r="I2204" s="202"/>
      <c r="J2204"/>
      <c r="K2204" s="205"/>
      <c r="L2204" s="205"/>
      <c r="M2204" s="205"/>
    </row>
    <row r="2205" spans="2:13" ht="15.75">
      <c r="B2205" s="79"/>
      <c r="D2205"/>
      <c r="E2205" s="188"/>
      <c r="H2205"/>
      <c r="I2205" s="202"/>
      <c r="J2205"/>
      <c r="K2205" s="205"/>
      <c r="L2205" s="205"/>
      <c r="M2205" s="205"/>
    </row>
    <row r="2206" spans="2:13" ht="15.75">
      <c r="B2206" s="79"/>
      <c r="D2206"/>
      <c r="E2206" s="188"/>
      <c r="H2206"/>
      <c r="I2206" s="202"/>
      <c r="J2206"/>
      <c r="K2206" s="205"/>
      <c r="L2206" s="205"/>
      <c r="M2206" s="205"/>
    </row>
    <row r="2207" spans="2:13" ht="15.75">
      <c r="B2207" s="79"/>
      <c r="D2207"/>
      <c r="E2207" s="188"/>
      <c r="H2207"/>
      <c r="I2207" s="202"/>
      <c r="J2207"/>
      <c r="K2207" s="205"/>
      <c r="L2207" s="205"/>
      <c r="M2207" s="205"/>
    </row>
    <row r="2208" spans="2:13" ht="15.75">
      <c r="B2208" s="79"/>
      <c r="D2208"/>
      <c r="E2208" s="188"/>
      <c r="H2208"/>
      <c r="I2208" s="202"/>
      <c r="J2208"/>
      <c r="K2208" s="205"/>
      <c r="L2208" s="205"/>
      <c r="M2208" s="205"/>
    </row>
    <row r="2209" spans="2:13" ht="15.75">
      <c r="B2209" s="79"/>
      <c r="D2209"/>
      <c r="E2209" s="188"/>
      <c r="H2209"/>
      <c r="I2209" s="202"/>
      <c r="J2209"/>
      <c r="K2209" s="205"/>
      <c r="L2209" s="205"/>
      <c r="M2209" s="205"/>
    </row>
    <row r="2210" spans="2:13" ht="15.75">
      <c r="B2210" s="79"/>
      <c r="D2210"/>
      <c r="E2210" s="188"/>
      <c r="H2210"/>
      <c r="I2210" s="202"/>
      <c r="J2210"/>
      <c r="K2210" s="205"/>
      <c r="L2210" s="205"/>
      <c r="M2210" s="205"/>
    </row>
    <row r="2211" spans="2:13" ht="15.75">
      <c r="B2211" s="79"/>
      <c r="D2211"/>
      <c r="E2211" s="188"/>
      <c r="H2211"/>
      <c r="I2211" s="202"/>
      <c r="J2211"/>
      <c r="K2211" s="205"/>
      <c r="L2211" s="205"/>
      <c r="M2211" s="205"/>
    </row>
    <row r="2212" spans="2:13" ht="15.75">
      <c r="B2212" s="79"/>
      <c r="D2212"/>
      <c r="E2212" s="188"/>
      <c r="H2212"/>
      <c r="I2212" s="202"/>
      <c r="J2212"/>
      <c r="K2212" s="205"/>
      <c r="L2212" s="205"/>
      <c r="M2212" s="205"/>
    </row>
    <row r="2213" spans="2:13" ht="15.75">
      <c r="B2213" s="79"/>
      <c r="D2213"/>
      <c r="E2213" s="188"/>
      <c r="H2213"/>
      <c r="I2213" s="202"/>
      <c r="J2213"/>
      <c r="K2213" s="205"/>
      <c r="L2213" s="205"/>
      <c r="M2213" s="205"/>
    </row>
    <row r="2214" spans="2:13" ht="15.75">
      <c r="B2214" s="79"/>
      <c r="D2214"/>
      <c r="E2214" s="188"/>
      <c r="H2214"/>
      <c r="I2214" s="202"/>
      <c r="J2214"/>
      <c r="K2214" s="205"/>
      <c r="L2214" s="205"/>
      <c r="M2214" s="205"/>
    </row>
    <row r="2215" spans="2:13" ht="15.75">
      <c r="B2215" s="79"/>
      <c r="D2215"/>
      <c r="E2215" s="188"/>
      <c r="H2215"/>
      <c r="I2215" s="202"/>
      <c r="J2215"/>
      <c r="K2215" s="205"/>
      <c r="L2215" s="205"/>
      <c r="M2215" s="205"/>
    </row>
    <row r="2216" spans="2:13" ht="15.75">
      <c r="B2216" s="79"/>
      <c r="D2216"/>
      <c r="E2216" s="188"/>
      <c r="H2216"/>
      <c r="I2216" s="202"/>
      <c r="J2216"/>
      <c r="K2216" s="205"/>
      <c r="L2216" s="205"/>
      <c r="M2216" s="205"/>
    </row>
    <row r="2217" spans="2:13" ht="15.75">
      <c r="B2217" s="79"/>
      <c r="D2217"/>
      <c r="E2217" s="188"/>
      <c r="H2217"/>
      <c r="I2217" s="202"/>
      <c r="J2217"/>
      <c r="K2217" s="205"/>
      <c r="L2217" s="205"/>
      <c r="M2217" s="205"/>
    </row>
    <row r="2218" spans="2:13" ht="15.75">
      <c r="B2218" s="79"/>
      <c r="D2218"/>
      <c r="E2218" s="188"/>
      <c r="H2218"/>
      <c r="I2218" s="202"/>
      <c r="J2218"/>
      <c r="K2218" s="205"/>
      <c r="L2218" s="205"/>
      <c r="M2218" s="205"/>
    </row>
    <row r="2219" spans="2:13" ht="15.75">
      <c r="B2219" s="79"/>
      <c r="D2219"/>
      <c r="E2219" s="188"/>
      <c r="H2219"/>
      <c r="I2219" s="202"/>
      <c r="J2219"/>
      <c r="K2219" s="205"/>
      <c r="L2219" s="205"/>
      <c r="M2219" s="205"/>
    </row>
    <row r="2220" spans="2:13" ht="15.75">
      <c r="B2220" s="79"/>
      <c r="D2220"/>
      <c r="E2220" s="188"/>
      <c r="H2220"/>
      <c r="I2220" s="202"/>
      <c r="J2220"/>
      <c r="K2220" s="205"/>
      <c r="L2220" s="205"/>
      <c r="M2220" s="205"/>
    </row>
    <row r="2221" spans="2:13" ht="15.75">
      <c r="B2221" s="79"/>
      <c r="D2221"/>
      <c r="E2221" s="188"/>
      <c r="H2221"/>
      <c r="I2221" s="202"/>
      <c r="J2221"/>
      <c r="K2221" s="205"/>
      <c r="L2221" s="205"/>
      <c r="M2221" s="205"/>
    </row>
    <row r="2222" spans="2:13" ht="15.75">
      <c r="B2222" s="79"/>
      <c r="D2222"/>
      <c r="E2222" s="188"/>
      <c r="H2222"/>
      <c r="I2222" s="202"/>
      <c r="J2222"/>
      <c r="K2222" s="205"/>
      <c r="L2222" s="205"/>
      <c r="M2222" s="205"/>
    </row>
    <row r="2223" spans="2:13" ht="15.75">
      <c r="B2223" s="79"/>
      <c r="D2223"/>
      <c r="E2223" s="188"/>
      <c r="H2223"/>
      <c r="I2223" s="202"/>
      <c r="J2223"/>
      <c r="K2223" s="205"/>
      <c r="L2223" s="205"/>
      <c r="M2223" s="205"/>
    </row>
    <row r="2224" spans="2:13" ht="15.75">
      <c r="B2224" s="79"/>
      <c r="D2224"/>
      <c r="E2224" s="188"/>
      <c r="H2224"/>
      <c r="I2224" s="202"/>
      <c r="J2224"/>
      <c r="K2224" s="205"/>
      <c r="L2224" s="205"/>
      <c r="M2224" s="205"/>
    </row>
    <row r="2225" spans="2:13" ht="15.75">
      <c r="B2225" s="79"/>
      <c r="D2225"/>
      <c r="E2225" s="188"/>
      <c r="H2225"/>
      <c r="I2225" s="202"/>
      <c r="J2225"/>
      <c r="K2225" s="205"/>
      <c r="L2225" s="205"/>
      <c r="M2225" s="205"/>
    </row>
    <row r="2226" spans="2:13" ht="15.75">
      <c r="B2226" s="79"/>
      <c r="D2226"/>
      <c r="E2226" s="188"/>
      <c r="H2226"/>
      <c r="I2226" s="202"/>
      <c r="J2226"/>
      <c r="K2226" s="205"/>
      <c r="L2226" s="205"/>
      <c r="M2226" s="205"/>
    </row>
    <row r="2227" spans="2:13" ht="15.75">
      <c r="B2227" s="79"/>
      <c r="D2227"/>
      <c r="E2227" s="188"/>
      <c r="H2227"/>
      <c r="I2227" s="202"/>
      <c r="J2227"/>
      <c r="K2227" s="205"/>
      <c r="L2227" s="205"/>
      <c r="M2227" s="205"/>
    </row>
    <row r="2228" spans="2:13" ht="15.75">
      <c r="B2228" s="79"/>
      <c r="D2228"/>
      <c r="E2228" s="188"/>
      <c r="H2228"/>
      <c r="I2228" s="202"/>
      <c r="J2228"/>
      <c r="K2228" s="205"/>
      <c r="L2228" s="205"/>
      <c r="M2228" s="205"/>
    </row>
    <row r="2229" spans="2:13" ht="15.75">
      <c r="B2229" s="79"/>
      <c r="D2229"/>
      <c r="E2229" s="188"/>
      <c r="H2229"/>
      <c r="I2229" s="202"/>
      <c r="J2229"/>
      <c r="K2229" s="205"/>
      <c r="L2229" s="205"/>
      <c r="M2229" s="205"/>
    </row>
    <row r="2230" spans="2:13" ht="15.75">
      <c r="B2230" s="79"/>
      <c r="D2230"/>
      <c r="E2230" s="188"/>
      <c r="H2230"/>
      <c r="I2230" s="202"/>
      <c r="J2230"/>
      <c r="K2230" s="205"/>
      <c r="L2230" s="205"/>
      <c r="M2230" s="205"/>
    </row>
    <row r="2231" spans="2:13" ht="15.75">
      <c r="B2231" s="79"/>
      <c r="D2231"/>
      <c r="E2231" s="188"/>
      <c r="H2231"/>
      <c r="I2231" s="202"/>
      <c r="J2231"/>
      <c r="K2231" s="205"/>
      <c r="L2231" s="205"/>
      <c r="M2231" s="205"/>
    </row>
    <row r="2232" spans="2:13" ht="15.75">
      <c r="B2232" s="79"/>
      <c r="D2232"/>
      <c r="E2232" s="188"/>
      <c r="H2232"/>
      <c r="I2232" s="202"/>
      <c r="J2232"/>
      <c r="K2232" s="205"/>
      <c r="L2232" s="205"/>
      <c r="M2232" s="205"/>
    </row>
    <row r="2233" spans="2:13" ht="15.75">
      <c r="B2233" s="79"/>
      <c r="D2233"/>
      <c r="E2233" s="188"/>
      <c r="H2233"/>
      <c r="I2233" s="202"/>
      <c r="J2233"/>
      <c r="K2233" s="205"/>
      <c r="L2233" s="205"/>
      <c r="M2233" s="205"/>
    </row>
    <row r="2234" spans="2:13" ht="15.75">
      <c r="B2234" s="79"/>
      <c r="D2234"/>
      <c r="E2234" s="188"/>
      <c r="H2234"/>
      <c r="I2234" s="202"/>
      <c r="J2234"/>
      <c r="K2234" s="205"/>
      <c r="L2234" s="205"/>
      <c r="M2234" s="205"/>
    </row>
    <row r="2235" spans="2:13" ht="15.75">
      <c r="B2235" s="79"/>
      <c r="D2235"/>
      <c r="E2235" s="188"/>
      <c r="H2235"/>
      <c r="I2235" s="202"/>
      <c r="J2235"/>
      <c r="K2235" s="205"/>
      <c r="L2235" s="205"/>
      <c r="M2235" s="205"/>
    </row>
    <row r="2236" spans="2:13" ht="15.75">
      <c r="B2236" s="79"/>
      <c r="D2236"/>
      <c r="E2236" s="188"/>
      <c r="H2236"/>
      <c r="I2236" s="202"/>
      <c r="J2236"/>
      <c r="K2236" s="205"/>
      <c r="L2236" s="205"/>
      <c r="M2236" s="205"/>
    </row>
    <row r="2237" spans="2:13" ht="15.75">
      <c r="B2237" s="79"/>
      <c r="D2237"/>
      <c r="E2237" s="188"/>
      <c r="H2237"/>
      <c r="I2237" s="202"/>
      <c r="J2237"/>
      <c r="K2237" s="205"/>
      <c r="L2237" s="205"/>
      <c r="M2237" s="205"/>
    </row>
    <row r="2238" spans="2:13" ht="15.75">
      <c r="B2238" s="79"/>
      <c r="D2238"/>
      <c r="E2238" s="188"/>
      <c r="H2238"/>
      <c r="I2238" s="202"/>
      <c r="J2238"/>
      <c r="K2238" s="205"/>
      <c r="L2238" s="205"/>
      <c r="M2238" s="205"/>
    </row>
    <row r="2239" spans="2:13" ht="15.75">
      <c r="B2239" s="79"/>
      <c r="D2239"/>
      <c r="E2239" s="188"/>
      <c r="H2239"/>
      <c r="I2239" s="202"/>
      <c r="J2239"/>
      <c r="K2239" s="205"/>
      <c r="L2239" s="205"/>
      <c r="M2239" s="205"/>
    </row>
    <row r="2240" spans="2:13" ht="15.75">
      <c r="B2240" s="79"/>
      <c r="D2240"/>
      <c r="E2240" s="188"/>
      <c r="H2240"/>
      <c r="I2240" s="202"/>
      <c r="J2240"/>
      <c r="K2240" s="205"/>
      <c r="L2240" s="205"/>
      <c r="M2240" s="205"/>
    </row>
    <row r="2241" spans="2:13" ht="15.75">
      <c r="B2241" s="79"/>
      <c r="D2241"/>
      <c r="E2241" s="188"/>
      <c r="H2241"/>
      <c r="I2241" s="202"/>
      <c r="J2241"/>
      <c r="K2241" s="205"/>
      <c r="L2241" s="205"/>
      <c r="M2241" s="205"/>
    </row>
    <row r="2242" spans="2:13" ht="15.75">
      <c r="B2242" s="79"/>
      <c r="D2242"/>
      <c r="E2242" s="188"/>
      <c r="H2242"/>
      <c r="I2242" s="202"/>
      <c r="J2242"/>
      <c r="K2242" s="205"/>
      <c r="L2242" s="205"/>
      <c r="M2242" s="205"/>
    </row>
    <row r="2243" spans="2:13" ht="15.75">
      <c r="B2243" s="79"/>
      <c r="D2243"/>
      <c r="E2243" s="188"/>
      <c r="H2243"/>
      <c r="I2243" s="202"/>
      <c r="J2243"/>
      <c r="K2243" s="205"/>
      <c r="L2243" s="205"/>
      <c r="M2243" s="205"/>
    </row>
    <row r="2244" spans="2:13" ht="15.75">
      <c r="B2244" s="79"/>
      <c r="D2244"/>
      <c r="E2244" s="188"/>
      <c r="H2244"/>
      <c r="I2244" s="202"/>
      <c r="J2244"/>
      <c r="K2244" s="205"/>
      <c r="L2244" s="205"/>
      <c r="M2244" s="205"/>
    </row>
    <row r="2245" spans="2:13" ht="15.75">
      <c r="B2245" s="79"/>
      <c r="D2245"/>
      <c r="E2245" s="188"/>
      <c r="H2245"/>
      <c r="I2245" s="202"/>
      <c r="J2245"/>
      <c r="K2245" s="205"/>
      <c r="L2245" s="205"/>
      <c r="M2245" s="205"/>
    </row>
    <row r="2246" spans="2:13" ht="15.75">
      <c r="B2246" s="79"/>
      <c r="D2246"/>
      <c r="E2246" s="188"/>
      <c r="H2246"/>
      <c r="I2246" s="202"/>
      <c r="J2246"/>
      <c r="K2246" s="205"/>
      <c r="L2246" s="205"/>
      <c r="M2246" s="205"/>
    </row>
    <row r="2247" spans="2:13" ht="15.75">
      <c r="B2247" s="79"/>
      <c r="D2247"/>
      <c r="E2247" s="188"/>
      <c r="H2247"/>
      <c r="I2247" s="202"/>
      <c r="J2247"/>
      <c r="K2247" s="205"/>
      <c r="L2247" s="205"/>
      <c r="M2247" s="205"/>
    </row>
    <row r="2248" spans="2:13" ht="15.75">
      <c r="B2248" s="79"/>
      <c r="D2248"/>
      <c r="E2248" s="188"/>
      <c r="H2248"/>
      <c r="I2248" s="202"/>
      <c r="J2248"/>
      <c r="K2248" s="205"/>
      <c r="L2248" s="205"/>
      <c r="M2248" s="205"/>
    </row>
    <row r="2249" spans="2:13" ht="15.75">
      <c r="B2249" s="79"/>
      <c r="D2249"/>
      <c r="E2249" s="188"/>
      <c r="H2249"/>
      <c r="I2249" s="202"/>
      <c r="J2249"/>
      <c r="K2249" s="205"/>
      <c r="L2249" s="205"/>
      <c r="M2249" s="205"/>
    </row>
    <row r="2250" spans="2:13" ht="15.75">
      <c r="B2250" s="79"/>
      <c r="D2250"/>
      <c r="E2250" s="188"/>
      <c r="H2250"/>
      <c r="I2250" s="202"/>
      <c r="J2250"/>
      <c r="K2250" s="205"/>
      <c r="L2250" s="205"/>
      <c r="M2250" s="205"/>
    </row>
    <row r="2251" spans="2:13" ht="15.75">
      <c r="B2251" s="79"/>
      <c r="D2251"/>
      <c r="E2251" s="188"/>
      <c r="H2251"/>
      <c r="I2251" s="202"/>
      <c r="J2251"/>
      <c r="K2251" s="205"/>
      <c r="L2251" s="205"/>
      <c r="M2251" s="205"/>
    </row>
    <row r="2252" spans="2:13" ht="15.75">
      <c r="B2252" s="79"/>
      <c r="D2252"/>
      <c r="E2252" s="188"/>
      <c r="H2252"/>
      <c r="I2252" s="202"/>
      <c r="J2252"/>
      <c r="K2252" s="205"/>
      <c r="L2252" s="205"/>
      <c r="M2252" s="205"/>
    </row>
    <row r="2253" spans="2:13" ht="15.75">
      <c r="B2253" s="79"/>
      <c r="D2253"/>
      <c r="E2253" s="188"/>
      <c r="H2253"/>
      <c r="I2253" s="202"/>
      <c r="J2253"/>
      <c r="K2253" s="205"/>
      <c r="L2253" s="205"/>
      <c r="M2253" s="205"/>
    </row>
    <row r="2254" spans="2:13" ht="15.75">
      <c r="B2254" s="79"/>
      <c r="D2254"/>
      <c r="E2254" s="188"/>
      <c r="H2254"/>
      <c r="I2254" s="202"/>
      <c r="J2254"/>
      <c r="K2254" s="205"/>
      <c r="L2254" s="205"/>
      <c r="M2254" s="205"/>
    </row>
    <row r="2255" spans="2:13" ht="15.75">
      <c r="B2255" s="79"/>
      <c r="D2255"/>
      <c r="E2255" s="188"/>
      <c r="H2255"/>
      <c r="I2255" s="202"/>
      <c r="J2255"/>
      <c r="K2255" s="205"/>
      <c r="L2255" s="205"/>
      <c r="M2255" s="205"/>
    </row>
    <row r="2256" spans="2:13" ht="15.75">
      <c r="B2256" s="79"/>
      <c r="D2256"/>
      <c r="E2256" s="188"/>
      <c r="H2256"/>
      <c r="I2256" s="202"/>
      <c r="J2256"/>
      <c r="K2256" s="205"/>
      <c r="L2256" s="205"/>
      <c r="M2256" s="205"/>
    </row>
    <row r="2257" spans="2:13" ht="15.75">
      <c r="B2257" s="79"/>
      <c r="D2257"/>
      <c r="E2257" s="188"/>
      <c r="H2257"/>
      <c r="I2257" s="202"/>
      <c r="J2257"/>
      <c r="K2257" s="205"/>
      <c r="L2257" s="205"/>
      <c r="M2257" s="205"/>
    </row>
    <row r="2258" spans="2:13" ht="15.75">
      <c r="B2258" s="79"/>
      <c r="D2258"/>
      <c r="E2258" s="188"/>
      <c r="H2258"/>
      <c r="I2258" s="202"/>
      <c r="J2258"/>
      <c r="K2258" s="205"/>
      <c r="L2258" s="205"/>
      <c r="M2258" s="205"/>
    </row>
    <row r="2259" spans="2:13" ht="15.75">
      <c r="B2259" s="79"/>
      <c r="D2259"/>
      <c r="E2259" s="188"/>
      <c r="H2259"/>
      <c r="I2259" s="202"/>
      <c r="J2259"/>
      <c r="K2259" s="205"/>
      <c r="L2259" s="205"/>
      <c r="M2259" s="205"/>
    </row>
    <row r="2260" spans="2:13" ht="15.75">
      <c r="B2260" s="79"/>
      <c r="D2260"/>
      <c r="E2260" s="188"/>
      <c r="H2260"/>
      <c r="I2260" s="202"/>
      <c r="J2260"/>
      <c r="K2260" s="205"/>
      <c r="L2260" s="205"/>
      <c r="M2260" s="205"/>
    </row>
    <row r="2261" spans="2:13" ht="15.75">
      <c r="B2261" s="79"/>
      <c r="D2261"/>
      <c r="E2261" s="188"/>
      <c r="H2261"/>
      <c r="I2261" s="202"/>
      <c r="J2261"/>
      <c r="K2261" s="205"/>
      <c r="L2261" s="205"/>
      <c r="M2261" s="205"/>
    </row>
    <row r="2262" spans="2:13" ht="15.75">
      <c r="B2262" s="79"/>
      <c r="D2262"/>
      <c r="E2262" s="188"/>
      <c r="H2262"/>
      <c r="I2262" s="202"/>
      <c r="J2262"/>
      <c r="K2262" s="205"/>
      <c r="L2262" s="205"/>
      <c r="M2262" s="205"/>
    </row>
    <row r="2263" spans="2:13" ht="15.75">
      <c r="B2263" s="79"/>
      <c r="D2263"/>
      <c r="E2263" s="188"/>
      <c r="H2263"/>
      <c r="I2263" s="202"/>
      <c r="J2263"/>
      <c r="K2263" s="205"/>
      <c r="L2263" s="205"/>
      <c r="M2263" s="205"/>
    </row>
    <row r="2264" spans="2:13" ht="15.75">
      <c r="B2264" s="79"/>
      <c r="D2264"/>
      <c r="E2264" s="188"/>
      <c r="H2264"/>
      <c r="I2264" s="202"/>
      <c r="J2264"/>
      <c r="K2264" s="205"/>
      <c r="L2264" s="205"/>
      <c r="M2264" s="205"/>
    </row>
    <row r="2265" spans="2:13" ht="15.75">
      <c r="B2265" s="79"/>
      <c r="D2265"/>
      <c r="E2265" s="188"/>
      <c r="H2265"/>
      <c r="I2265" s="202"/>
      <c r="J2265"/>
      <c r="K2265" s="205"/>
      <c r="L2265" s="205"/>
      <c r="M2265" s="205"/>
    </row>
    <row r="2266" spans="2:13" ht="15.75">
      <c r="B2266" s="79"/>
      <c r="D2266"/>
      <c r="E2266" s="188"/>
      <c r="H2266"/>
      <c r="I2266" s="202"/>
      <c r="J2266"/>
      <c r="K2266" s="205"/>
      <c r="L2266" s="205"/>
      <c r="M2266" s="205"/>
    </row>
    <row r="2267" spans="2:13" ht="15.75">
      <c r="B2267" s="79"/>
      <c r="D2267"/>
      <c r="E2267" s="188"/>
      <c r="H2267"/>
      <c r="I2267" s="202"/>
      <c r="J2267"/>
      <c r="K2267" s="205"/>
      <c r="L2267" s="205"/>
      <c r="M2267" s="205"/>
    </row>
    <row r="2268" spans="2:13" ht="15.75">
      <c r="B2268" s="79"/>
      <c r="D2268"/>
      <c r="E2268" s="188"/>
      <c r="H2268"/>
      <c r="I2268" s="202"/>
      <c r="J2268"/>
      <c r="K2268" s="205"/>
      <c r="L2268" s="205"/>
      <c r="M2268" s="205"/>
    </row>
    <row r="2269" spans="2:13" ht="15.75">
      <c r="B2269" s="79"/>
      <c r="D2269"/>
      <c r="E2269" s="188"/>
      <c r="H2269"/>
      <c r="I2269" s="202"/>
      <c r="J2269"/>
      <c r="K2269" s="205"/>
      <c r="L2269" s="205"/>
      <c r="M2269" s="205"/>
    </row>
    <row r="2270" spans="2:13" ht="15.75">
      <c r="B2270" s="79"/>
      <c r="D2270"/>
      <c r="E2270" s="188"/>
      <c r="H2270"/>
      <c r="I2270" s="202"/>
      <c r="J2270"/>
      <c r="K2270" s="205"/>
      <c r="L2270" s="205"/>
      <c r="M2270" s="205"/>
    </row>
    <row r="2271" spans="2:13" ht="15.75">
      <c r="B2271" s="79"/>
      <c r="D2271"/>
      <c r="E2271" s="188"/>
      <c r="H2271"/>
      <c r="I2271" s="202"/>
      <c r="J2271"/>
      <c r="K2271" s="205"/>
      <c r="L2271" s="205"/>
      <c r="M2271" s="205"/>
    </row>
    <row r="2272" spans="2:13" ht="15.75">
      <c r="B2272" s="79"/>
      <c r="D2272"/>
      <c r="E2272" s="188"/>
      <c r="H2272"/>
      <c r="I2272" s="202"/>
      <c r="J2272"/>
      <c r="K2272" s="205"/>
      <c r="L2272" s="205"/>
      <c r="M2272" s="205"/>
    </row>
    <row r="2273" spans="2:13" ht="15.75">
      <c r="B2273" s="79"/>
      <c r="D2273"/>
      <c r="E2273" s="188"/>
      <c r="H2273"/>
      <c r="I2273" s="202"/>
      <c r="J2273"/>
      <c r="K2273" s="205"/>
      <c r="L2273" s="205"/>
      <c r="M2273" s="205"/>
    </row>
    <row r="2274" spans="2:13" ht="15.75">
      <c r="B2274" s="79"/>
      <c r="D2274"/>
      <c r="E2274" s="188"/>
      <c r="H2274"/>
      <c r="I2274" s="202"/>
      <c r="J2274"/>
      <c r="K2274" s="205"/>
      <c r="L2274" s="205"/>
      <c r="M2274" s="205"/>
    </row>
    <row r="2275" spans="2:13" ht="15.75">
      <c r="B2275" s="79"/>
      <c r="D2275"/>
      <c r="E2275" s="188"/>
      <c r="H2275"/>
      <c r="I2275" s="202"/>
      <c r="J2275"/>
      <c r="K2275" s="205"/>
      <c r="L2275" s="205"/>
      <c r="M2275" s="205"/>
    </row>
    <row r="2276" spans="2:13" ht="15.75">
      <c r="B2276" s="79"/>
      <c r="D2276"/>
      <c r="E2276" s="188"/>
      <c r="H2276"/>
      <c r="I2276" s="202"/>
      <c r="J2276"/>
      <c r="K2276" s="205"/>
      <c r="L2276" s="205"/>
      <c r="M2276" s="205"/>
    </row>
    <row r="2277" spans="2:13" ht="15.75">
      <c r="B2277" s="79"/>
      <c r="D2277"/>
      <c r="E2277" s="188"/>
      <c r="H2277"/>
      <c r="I2277" s="202"/>
      <c r="J2277"/>
      <c r="K2277" s="205"/>
      <c r="L2277" s="205"/>
      <c r="M2277" s="205"/>
    </row>
    <row r="2278" spans="2:13" ht="15.75">
      <c r="B2278" s="79"/>
      <c r="D2278"/>
      <c r="E2278" s="188"/>
      <c r="H2278"/>
      <c r="I2278" s="202"/>
      <c r="J2278"/>
      <c r="K2278" s="205"/>
      <c r="L2278" s="205"/>
      <c r="M2278" s="205"/>
    </row>
    <row r="2279" spans="2:13" ht="15.75">
      <c r="B2279" s="79"/>
      <c r="D2279"/>
      <c r="E2279" s="188"/>
      <c r="H2279"/>
      <c r="I2279" s="202"/>
      <c r="J2279"/>
      <c r="K2279" s="205"/>
      <c r="L2279" s="205"/>
      <c r="M2279" s="205"/>
    </row>
    <row r="2280" spans="2:13" ht="15.75">
      <c r="B2280" s="79"/>
      <c r="D2280"/>
      <c r="E2280" s="188"/>
      <c r="H2280"/>
      <c r="I2280" s="202"/>
      <c r="J2280"/>
      <c r="K2280" s="205"/>
      <c r="L2280" s="205"/>
      <c r="M2280" s="205"/>
    </row>
    <row r="2281" spans="2:13" ht="15.75">
      <c r="B2281" s="79"/>
      <c r="D2281"/>
      <c r="E2281" s="188"/>
      <c r="H2281"/>
      <c r="I2281" s="202"/>
      <c r="J2281"/>
      <c r="K2281" s="205"/>
      <c r="L2281" s="205"/>
      <c r="M2281" s="205"/>
    </row>
    <row r="2282" spans="2:13" ht="15.75">
      <c r="B2282" s="79"/>
      <c r="D2282"/>
      <c r="E2282" s="188"/>
      <c r="H2282"/>
      <c r="I2282" s="202"/>
      <c r="J2282"/>
      <c r="K2282" s="205"/>
      <c r="L2282" s="205"/>
      <c r="M2282" s="205"/>
    </row>
    <row r="2283" spans="2:13" ht="15.75">
      <c r="B2283" s="79"/>
      <c r="D2283"/>
      <c r="E2283" s="188"/>
      <c r="H2283"/>
      <c r="I2283" s="202"/>
      <c r="J2283"/>
      <c r="K2283" s="205"/>
      <c r="L2283" s="205"/>
      <c r="M2283" s="205"/>
    </row>
    <row r="2284" spans="2:13" ht="15.75">
      <c r="B2284" s="79"/>
      <c r="D2284"/>
      <c r="E2284" s="188"/>
      <c r="H2284"/>
      <c r="I2284" s="202"/>
      <c r="J2284"/>
      <c r="K2284" s="205"/>
      <c r="L2284" s="205"/>
      <c r="M2284" s="205"/>
    </row>
    <row r="2285" spans="2:13" ht="15.75">
      <c r="B2285" s="79"/>
      <c r="D2285"/>
      <c r="E2285" s="188"/>
      <c r="H2285"/>
      <c r="I2285" s="202"/>
      <c r="J2285"/>
      <c r="K2285" s="205"/>
      <c r="L2285" s="205"/>
      <c r="M2285" s="205"/>
    </row>
    <row r="2286" spans="2:13" ht="15.75">
      <c r="B2286" s="79"/>
      <c r="D2286"/>
      <c r="E2286" s="188"/>
      <c r="H2286"/>
      <c r="I2286" s="202"/>
      <c r="J2286"/>
      <c r="K2286" s="205"/>
      <c r="L2286" s="205"/>
      <c r="M2286" s="205"/>
    </row>
    <row r="2287" spans="2:13" ht="15.75">
      <c r="B2287" s="79"/>
      <c r="D2287"/>
      <c r="E2287" s="188"/>
      <c r="H2287"/>
      <c r="I2287" s="202"/>
      <c r="J2287"/>
      <c r="K2287" s="205"/>
      <c r="L2287" s="205"/>
      <c r="M2287" s="205"/>
    </row>
    <row r="2288" spans="2:13" ht="15.75">
      <c r="B2288" s="79"/>
      <c r="D2288"/>
      <c r="E2288" s="188"/>
      <c r="H2288"/>
      <c r="I2288" s="202"/>
      <c r="J2288"/>
      <c r="K2288" s="205"/>
      <c r="L2288" s="205"/>
      <c r="M2288" s="205"/>
    </row>
    <row r="2289" spans="2:13" ht="15.75">
      <c r="B2289" s="79"/>
      <c r="D2289"/>
      <c r="E2289" s="188"/>
      <c r="H2289"/>
      <c r="I2289" s="202"/>
      <c r="J2289"/>
      <c r="K2289" s="205"/>
      <c r="L2289" s="205"/>
      <c r="M2289" s="205"/>
    </row>
    <row r="2290" spans="2:13" ht="15.75">
      <c r="B2290" s="79"/>
      <c r="D2290"/>
      <c r="E2290" s="188"/>
      <c r="H2290"/>
      <c r="I2290" s="202"/>
      <c r="J2290"/>
      <c r="K2290" s="205"/>
      <c r="L2290" s="205"/>
      <c r="M2290" s="205"/>
    </row>
    <row r="2291" spans="2:13" ht="15.75">
      <c r="B2291" s="79"/>
      <c r="D2291"/>
      <c r="E2291" s="188"/>
      <c r="H2291"/>
      <c r="I2291" s="202"/>
      <c r="J2291"/>
      <c r="K2291" s="205"/>
      <c r="L2291" s="205"/>
      <c r="M2291" s="205"/>
    </row>
    <row r="2292" spans="2:13" ht="15.75">
      <c r="B2292" s="79"/>
      <c r="D2292"/>
      <c r="E2292" s="188"/>
      <c r="H2292"/>
      <c r="I2292" s="202"/>
      <c r="J2292"/>
      <c r="K2292" s="205"/>
      <c r="L2292" s="205"/>
      <c r="M2292" s="205"/>
    </row>
    <row r="2293" spans="2:13" ht="15.75">
      <c r="B2293" s="79"/>
      <c r="D2293"/>
      <c r="E2293" s="188"/>
      <c r="H2293"/>
      <c r="I2293" s="202"/>
      <c r="J2293"/>
      <c r="K2293" s="205"/>
      <c r="L2293" s="205"/>
      <c r="M2293" s="205"/>
    </row>
    <row r="2294" spans="2:13" ht="15.75">
      <c r="B2294" s="79"/>
      <c r="D2294"/>
      <c r="E2294" s="188"/>
      <c r="H2294"/>
      <c r="I2294" s="202"/>
      <c r="J2294"/>
      <c r="K2294" s="205"/>
      <c r="L2294" s="205"/>
      <c r="M2294" s="205"/>
    </row>
    <row r="2295" spans="2:13" ht="15.75">
      <c r="B2295" s="79"/>
      <c r="D2295"/>
      <c r="E2295" s="188"/>
      <c r="H2295"/>
      <c r="I2295" s="202"/>
      <c r="J2295"/>
      <c r="K2295" s="205"/>
      <c r="L2295" s="205"/>
      <c r="M2295" s="205"/>
    </row>
    <row r="2296" spans="2:13" ht="15.75">
      <c r="B2296" s="79"/>
      <c r="D2296"/>
      <c r="E2296" s="188"/>
      <c r="H2296"/>
      <c r="I2296" s="202"/>
      <c r="J2296"/>
      <c r="K2296" s="205"/>
      <c r="L2296" s="205"/>
      <c r="M2296" s="205"/>
    </row>
    <row r="2297" spans="2:13" ht="15.75">
      <c r="B2297" s="79"/>
      <c r="D2297"/>
      <c r="E2297" s="188"/>
      <c r="H2297"/>
      <c r="I2297" s="202"/>
      <c r="J2297"/>
      <c r="K2297" s="205"/>
      <c r="L2297" s="205"/>
      <c r="M2297" s="205"/>
    </row>
    <row r="2298" spans="2:13" ht="15.75">
      <c r="B2298" s="79"/>
      <c r="D2298"/>
      <c r="E2298" s="188"/>
      <c r="H2298"/>
      <c r="I2298" s="202"/>
      <c r="J2298"/>
      <c r="K2298" s="205"/>
      <c r="L2298" s="205"/>
      <c r="M2298" s="205"/>
    </row>
    <row r="2299" spans="2:13" ht="15.75">
      <c r="B2299" s="79"/>
      <c r="D2299"/>
      <c r="E2299" s="188"/>
      <c r="H2299"/>
      <c r="I2299" s="202"/>
      <c r="J2299"/>
      <c r="K2299" s="205"/>
      <c r="L2299" s="205"/>
      <c r="M2299" s="205"/>
    </row>
    <row r="2300" spans="2:13" ht="15.75">
      <c r="B2300" s="79"/>
      <c r="D2300"/>
      <c r="E2300" s="188"/>
      <c r="H2300"/>
      <c r="I2300" s="202"/>
      <c r="J2300"/>
      <c r="K2300" s="205"/>
      <c r="L2300" s="205"/>
      <c r="M2300" s="205"/>
    </row>
    <row r="2301" spans="2:13" ht="15.75">
      <c r="B2301" s="79"/>
      <c r="D2301"/>
      <c r="E2301" s="188"/>
      <c r="H2301"/>
      <c r="I2301" s="202"/>
      <c r="J2301"/>
      <c r="K2301" s="205"/>
      <c r="L2301" s="205"/>
      <c r="M2301" s="205"/>
    </row>
    <row r="2302" spans="2:13" ht="15.75">
      <c r="B2302" s="79"/>
      <c r="D2302"/>
      <c r="E2302" s="188"/>
      <c r="H2302"/>
      <c r="I2302" s="202"/>
      <c r="J2302"/>
      <c r="K2302" s="205"/>
      <c r="L2302" s="205"/>
      <c r="M2302" s="205"/>
    </row>
    <row r="2303" spans="2:13" ht="15.75">
      <c r="B2303" s="79"/>
      <c r="D2303"/>
      <c r="E2303" s="188"/>
      <c r="H2303"/>
      <c r="I2303" s="202"/>
      <c r="J2303"/>
      <c r="K2303" s="205"/>
      <c r="L2303" s="205"/>
      <c r="M2303" s="205"/>
    </row>
    <row r="2304" spans="2:13" ht="15.75">
      <c r="B2304" s="79"/>
      <c r="D2304"/>
      <c r="E2304" s="188"/>
      <c r="H2304"/>
      <c r="I2304" s="202"/>
      <c r="J2304"/>
      <c r="K2304" s="205"/>
      <c r="L2304" s="205"/>
      <c r="M2304" s="205"/>
    </row>
    <row r="2305" spans="2:13" ht="15.75">
      <c r="B2305" s="79"/>
      <c r="D2305"/>
      <c r="E2305" s="188"/>
      <c r="H2305"/>
      <c r="I2305" s="202"/>
      <c r="J2305"/>
      <c r="K2305" s="205"/>
      <c r="L2305" s="205"/>
      <c r="M2305" s="205"/>
    </row>
    <row r="2306" spans="2:13" ht="15.75">
      <c r="B2306" s="79"/>
      <c r="D2306"/>
      <c r="E2306" s="188"/>
      <c r="H2306"/>
      <c r="I2306" s="202"/>
      <c r="J2306"/>
      <c r="K2306" s="205"/>
      <c r="L2306" s="205"/>
      <c r="M2306" s="205"/>
    </row>
    <row r="2307" spans="2:13" ht="15.75">
      <c r="B2307" s="79"/>
      <c r="D2307"/>
      <c r="E2307" s="188"/>
      <c r="H2307"/>
      <c r="I2307" s="202"/>
      <c r="J2307"/>
      <c r="K2307" s="205"/>
      <c r="L2307" s="205"/>
      <c r="M2307" s="205"/>
    </row>
    <row r="2308" spans="2:13" ht="15.75">
      <c r="B2308" s="79"/>
      <c r="D2308"/>
      <c r="E2308" s="188"/>
      <c r="H2308"/>
      <c r="I2308" s="202"/>
      <c r="J2308"/>
      <c r="K2308" s="205"/>
      <c r="L2308" s="205"/>
      <c r="M2308" s="205"/>
    </row>
    <row r="2309" spans="2:13" ht="15.75">
      <c r="B2309" s="79"/>
      <c r="D2309"/>
      <c r="E2309" s="188"/>
      <c r="H2309"/>
      <c r="I2309" s="202"/>
      <c r="J2309"/>
      <c r="K2309" s="205"/>
      <c r="L2309" s="205"/>
      <c r="M2309" s="205"/>
    </row>
    <row r="2310" spans="2:13" ht="15.75">
      <c r="B2310" s="79"/>
      <c r="D2310"/>
      <c r="E2310" s="188"/>
      <c r="H2310"/>
      <c r="I2310" s="202"/>
      <c r="J2310"/>
      <c r="K2310" s="205"/>
      <c r="L2310" s="205"/>
      <c r="M2310" s="205"/>
    </row>
    <row r="2311" spans="2:13" ht="15.75">
      <c r="B2311" s="79"/>
      <c r="D2311"/>
      <c r="E2311" s="188"/>
      <c r="H2311"/>
      <c r="I2311" s="202"/>
      <c r="J2311"/>
      <c r="K2311" s="205"/>
      <c r="L2311" s="205"/>
      <c r="M2311" s="205"/>
    </row>
    <row r="2312" spans="2:13" ht="15.75">
      <c r="B2312" s="79"/>
      <c r="D2312"/>
      <c r="E2312" s="188"/>
      <c r="H2312"/>
      <c r="I2312" s="202"/>
      <c r="J2312"/>
      <c r="K2312" s="205"/>
      <c r="L2312" s="205"/>
      <c r="M2312" s="205"/>
    </row>
    <row r="2313" spans="2:13" ht="15.75">
      <c r="B2313" s="79"/>
      <c r="D2313"/>
      <c r="E2313" s="188"/>
      <c r="H2313"/>
      <c r="I2313" s="202"/>
      <c r="J2313"/>
      <c r="K2313" s="205"/>
      <c r="L2313" s="205"/>
      <c r="M2313" s="205"/>
    </row>
    <row r="2314" spans="2:13" ht="15.75">
      <c r="B2314" s="79"/>
      <c r="D2314"/>
      <c r="E2314" s="188"/>
      <c r="H2314"/>
      <c r="I2314" s="202"/>
      <c r="J2314"/>
      <c r="K2314" s="205"/>
      <c r="L2314" s="205"/>
      <c r="M2314" s="205"/>
    </row>
    <row r="2315" spans="2:13" ht="15.75">
      <c r="B2315" s="79"/>
      <c r="D2315"/>
      <c r="E2315" s="188"/>
      <c r="H2315"/>
      <c r="I2315" s="202"/>
      <c r="J2315"/>
      <c r="K2315" s="205"/>
      <c r="L2315" s="205"/>
      <c r="M2315" s="205"/>
    </row>
    <row r="2316" spans="2:13" ht="15.75">
      <c r="B2316" s="79"/>
      <c r="D2316"/>
      <c r="E2316" s="188"/>
      <c r="H2316"/>
      <c r="I2316" s="202"/>
      <c r="J2316"/>
      <c r="K2316" s="205"/>
      <c r="L2316" s="205"/>
      <c r="M2316" s="205"/>
    </row>
    <row r="2317" spans="2:13" ht="15.75">
      <c r="B2317" s="79"/>
      <c r="D2317"/>
      <c r="E2317" s="188"/>
      <c r="H2317"/>
      <c r="I2317" s="202"/>
      <c r="J2317"/>
      <c r="K2317" s="205"/>
      <c r="L2317" s="205"/>
      <c r="M2317" s="205"/>
    </row>
    <row r="2318" spans="2:13" ht="15.75">
      <c r="B2318" s="79"/>
      <c r="D2318"/>
      <c r="E2318" s="188"/>
      <c r="H2318"/>
      <c r="I2318" s="202"/>
      <c r="J2318"/>
      <c r="K2318" s="205"/>
      <c r="L2318" s="205"/>
      <c r="M2318" s="205"/>
    </row>
    <row r="2319" spans="2:13" ht="15.75">
      <c r="B2319" s="79"/>
      <c r="D2319"/>
      <c r="E2319" s="188"/>
      <c r="H2319"/>
      <c r="I2319" s="202"/>
      <c r="J2319"/>
      <c r="K2319" s="205"/>
      <c r="L2319" s="205"/>
      <c r="M2319" s="205"/>
    </row>
    <row r="2320" spans="2:13" ht="15.75">
      <c r="B2320" s="79"/>
      <c r="D2320"/>
      <c r="E2320" s="188"/>
      <c r="H2320"/>
      <c r="I2320" s="202"/>
      <c r="J2320"/>
      <c r="K2320" s="205"/>
      <c r="L2320" s="205"/>
      <c r="M2320" s="205"/>
    </row>
    <row r="2321" spans="2:13" ht="15.75">
      <c r="B2321" s="79"/>
      <c r="D2321"/>
      <c r="E2321" s="188"/>
      <c r="H2321"/>
      <c r="I2321" s="202"/>
      <c r="J2321"/>
      <c r="K2321" s="205"/>
      <c r="L2321" s="205"/>
      <c r="M2321" s="205"/>
    </row>
    <row r="2322" spans="2:13" ht="15.75">
      <c r="B2322" s="79"/>
      <c r="D2322"/>
      <c r="E2322" s="188"/>
      <c r="H2322"/>
      <c r="I2322" s="202"/>
      <c r="J2322"/>
      <c r="K2322" s="205"/>
      <c r="L2322" s="205"/>
      <c r="M2322" s="205"/>
    </row>
    <row r="2323" spans="2:13" ht="15.75">
      <c r="B2323" s="79"/>
      <c r="D2323"/>
      <c r="E2323" s="188"/>
      <c r="H2323"/>
      <c r="I2323" s="202"/>
      <c r="J2323"/>
      <c r="K2323" s="205"/>
      <c r="L2323" s="205"/>
      <c r="M2323" s="205"/>
    </row>
    <row r="2324" spans="2:13" ht="15.75">
      <c r="B2324" s="79"/>
      <c r="D2324"/>
      <c r="E2324" s="188"/>
      <c r="H2324"/>
      <c r="I2324" s="202"/>
      <c r="J2324"/>
      <c r="K2324" s="205"/>
      <c r="L2324" s="205"/>
      <c r="M2324" s="205"/>
    </row>
    <row r="2325" spans="2:13" ht="15.75">
      <c r="B2325" s="79"/>
      <c r="D2325"/>
      <c r="E2325" s="188"/>
      <c r="H2325"/>
      <c r="I2325" s="202"/>
      <c r="J2325"/>
      <c r="K2325" s="205"/>
      <c r="L2325" s="205"/>
      <c r="M2325" s="205"/>
    </row>
    <row r="2326" spans="2:13" ht="15.75">
      <c r="B2326" s="79"/>
      <c r="D2326"/>
      <c r="E2326" s="188"/>
      <c r="H2326"/>
      <c r="I2326" s="202"/>
      <c r="J2326"/>
      <c r="K2326" s="205"/>
      <c r="L2326" s="205"/>
      <c r="M2326" s="205"/>
    </row>
    <row r="2327" spans="2:13" ht="15.75">
      <c r="B2327" s="79"/>
      <c r="D2327"/>
      <c r="E2327" s="188"/>
      <c r="H2327"/>
      <c r="I2327" s="202"/>
      <c r="J2327"/>
      <c r="K2327" s="205"/>
      <c r="L2327" s="205"/>
      <c r="M2327" s="205"/>
    </row>
    <row r="2328" spans="2:13" ht="15.75">
      <c r="B2328" s="79"/>
      <c r="D2328"/>
      <c r="E2328" s="188"/>
      <c r="H2328"/>
      <c r="I2328" s="202"/>
      <c r="J2328"/>
      <c r="K2328" s="205"/>
      <c r="L2328" s="205"/>
      <c r="M2328" s="205"/>
    </row>
    <row r="2329" spans="2:13" ht="15.75">
      <c r="B2329" s="79"/>
      <c r="D2329"/>
      <c r="E2329" s="188"/>
      <c r="H2329"/>
      <c r="I2329" s="202"/>
      <c r="J2329"/>
      <c r="K2329" s="205"/>
      <c r="L2329" s="205"/>
      <c r="M2329" s="205"/>
    </row>
    <row r="2330" spans="2:13" ht="15.75">
      <c r="B2330" s="79"/>
      <c r="D2330"/>
      <c r="E2330" s="188"/>
      <c r="H2330"/>
      <c r="I2330" s="202"/>
      <c r="J2330"/>
      <c r="K2330" s="205"/>
      <c r="L2330" s="205"/>
      <c r="M2330" s="205"/>
    </row>
    <row r="2331" spans="2:13" ht="15.75">
      <c r="B2331" s="79"/>
      <c r="D2331"/>
      <c r="E2331" s="188"/>
      <c r="H2331"/>
      <c r="I2331" s="202"/>
      <c r="J2331"/>
      <c r="K2331" s="205"/>
      <c r="L2331" s="205"/>
      <c r="M2331" s="205"/>
    </row>
    <row r="2332" spans="2:13" ht="15.75">
      <c r="B2332" s="79"/>
      <c r="D2332"/>
      <c r="E2332" s="188"/>
      <c r="H2332"/>
      <c r="I2332" s="202"/>
      <c r="J2332"/>
      <c r="K2332" s="205"/>
      <c r="L2332" s="205"/>
      <c r="M2332" s="205"/>
    </row>
    <row r="2333" spans="2:13" ht="15.75">
      <c r="B2333" s="79"/>
      <c r="D2333"/>
      <c r="E2333" s="188"/>
      <c r="H2333"/>
      <c r="I2333" s="202"/>
      <c r="J2333"/>
      <c r="K2333" s="205"/>
      <c r="L2333" s="205"/>
      <c r="M2333" s="205"/>
    </row>
    <row r="2334" spans="2:13" ht="15.75">
      <c r="B2334" s="79"/>
      <c r="D2334"/>
      <c r="E2334" s="188"/>
      <c r="H2334"/>
      <c r="I2334" s="202"/>
      <c r="J2334"/>
      <c r="K2334" s="205"/>
      <c r="L2334" s="205"/>
      <c r="M2334" s="205"/>
    </row>
    <row r="2335" spans="2:13" ht="15.75">
      <c r="B2335" s="79"/>
      <c r="D2335"/>
      <c r="E2335" s="188"/>
      <c r="H2335"/>
      <c r="I2335" s="202"/>
      <c r="J2335"/>
      <c r="K2335" s="205"/>
      <c r="L2335" s="205"/>
      <c r="M2335" s="205"/>
    </row>
    <row r="2336" spans="2:13" ht="15.75">
      <c r="B2336" s="79"/>
      <c r="D2336"/>
      <c r="E2336" s="188"/>
      <c r="H2336"/>
      <c r="I2336" s="202"/>
      <c r="J2336"/>
      <c r="K2336" s="205"/>
      <c r="L2336" s="205"/>
      <c r="M2336" s="205"/>
    </row>
    <row r="2337" spans="2:13" ht="15.75">
      <c r="B2337" s="79"/>
      <c r="D2337"/>
      <c r="E2337" s="188"/>
      <c r="H2337"/>
      <c r="I2337" s="202"/>
      <c r="J2337"/>
      <c r="K2337" s="205"/>
      <c r="L2337" s="205"/>
      <c r="M2337" s="205"/>
    </row>
    <row r="2338" spans="2:13" ht="15.75">
      <c r="B2338" s="79"/>
      <c r="D2338"/>
      <c r="E2338" s="188"/>
      <c r="H2338"/>
      <c r="I2338" s="202"/>
      <c r="J2338"/>
      <c r="K2338" s="205"/>
      <c r="L2338" s="205"/>
      <c r="M2338" s="205"/>
    </row>
    <row r="2339" spans="2:13" ht="15.75">
      <c r="B2339" s="79"/>
      <c r="D2339"/>
      <c r="E2339" s="188"/>
      <c r="H2339"/>
      <c r="I2339" s="202"/>
      <c r="J2339"/>
      <c r="K2339" s="205"/>
      <c r="L2339" s="205"/>
      <c r="M2339" s="205"/>
    </row>
    <row r="2340" spans="2:13" ht="15.75">
      <c r="B2340" s="79"/>
      <c r="D2340"/>
      <c r="E2340" s="188"/>
      <c r="H2340"/>
      <c r="I2340" s="202"/>
      <c r="J2340"/>
      <c r="K2340" s="205"/>
      <c r="L2340" s="205"/>
      <c r="M2340" s="205"/>
    </row>
    <row r="2341" spans="2:13" ht="15.75">
      <c r="B2341" s="79"/>
      <c r="D2341"/>
      <c r="E2341" s="188"/>
      <c r="H2341"/>
      <c r="I2341" s="202"/>
      <c r="J2341"/>
      <c r="K2341" s="205"/>
      <c r="L2341" s="205"/>
      <c r="M2341" s="205"/>
    </row>
    <row r="2342" spans="2:13" ht="15.75">
      <c r="B2342" s="79"/>
      <c r="D2342"/>
      <c r="E2342" s="188"/>
      <c r="H2342"/>
      <c r="I2342" s="202"/>
      <c r="J2342"/>
      <c r="K2342" s="205"/>
      <c r="L2342" s="205"/>
      <c r="M2342" s="205"/>
    </row>
    <row r="2343" spans="2:13" ht="15.75">
      <c r="B2343" s="79"/>
      <c r="D2343"/>
      <c r="E2343" s="188"/>
      <c r="H2343"/>
      <c r="I2343" s="202"/>
      <c r="J2343"/>
      <c r="K2343" s="205"/>
      <c r="L2343" s="205"/>
      <c r="M2343" s="205"/>
    </row>
    <row r="2344" spans="2:13" ht="15.75">
      <c r="B2344" s="79"/>
      <c r="D2344"/>
      <c r="E2344" s="188"/>
      <c r="H2344"/>
      <c r="I2344" s="202"/>
      <c r="J2344"/>
      <c r="K2344" s="205"/>
      <c r="L2344" s="205"/>
      <c r="M2344" s="205"/>
    </row>
    <row r="2345" spans="2:13" ht="15.75">
      <c r="B2345" s="79"/>
      <c r="D2345"/>
      <c r="E2345" s="188"/>
      <c r="H2345"/>
      <c r="I2345" s="202"/>
      <c r="J2345"/>
      <c r="K2345" s="205"/>
      <c r="L2345" s="205"/>
      <c r="M2345" s="205"/>
    </row>
    <row r="2346" spans="2:13" ht="15.75">
      <c r="B2346" s="79"/>
      <c r="D2346"/>
      <c r="E2346" s="188"/>
      <c r="H2346"/>
      <c r="I2346" s="202"/>
      <c r="J2346"/>
      <c r="K2346" s="205"/>
      <c r="L2346" s="205"/>
      <c r="M2346" s="205"/>
    </row>
    <row r="2347" spans="2:13" ht="15.75">
      <c r="B2347" s="79"/>
      <c r="D2347"/>
      <c r="E2347" s="188"/>
      <c r="H2347"/>
      <c r="I2347" s="202"/>
      <c r="J2347"/>
      <c r="K2347" s="205"/>
      <c r="L2347" s="205"/>
      <c r="M2347" s="205"/>
    </row>
    <row r="2348" spans="2:13" ht="15.75">
      <c r="B2348" s="79"/>
      <c r="D2348"/>
      <c r="E2348" s="188"/>
      <c r="H2348"/>
      <c r="I2348" s="202"/>
      <c r="J2348"/>
      <c r="K2348" s="205"/>
      <c r="L2348" s="205"/>
      <c r="M2348" s="205"/>
    </row>
    <row r="2349" spans="2:13" ht="15.75">
      <c r="B2349" s="79"/>
      <c r="D2349"/>
      <c r="E2349" s="188"/>
      <c r="H2349"/>
      <c r="I2349" s="202"/>
      <c r="J2349"/>
      <c r="K2349" s="205"/>
      <c r="L2349" s="205"/>
      <c r="M2349" s="205"/>
    </row>
    <row r="2350" spans="2:13" ht="15.75">
      <c r="B2350" s="79"/>
      <c r="D2350"/>
      <c r="E2350" s="188"/>
      <c r="H2350"/>
      <c r="I2350" s="202"/>
      <c r="J2350"/>
      <c r="K2350" s="205"/>
      <c r="L2350" s="205"/>
      <c r="M2350" s="205"/>
    </row>
    <row r="2351" spans="2:13" ht="15.75">
      <c r="B2351" s="79"/>
      <c r="D2351"/>
      <c r="E2351" s="188"/>
      <c r="H2351"/>
      <c r="I2351" s="202"/>
      <c r="J2351"/>
      <c r="K2351" s="205"/>
      <c r="L2351" s="205"/>
      <c r="M2351" s="205"/>
    </row>
    <row r="2352" spans="2:13" ht="15.75">
      <c r="B2352" s="79"/>
      <c r="D2352"/>
      <c r="E2352" s="188"/>
      <c r="H2352"/>
      <c r="I2352" s="202"/>
      <c r="J2352"/>
      <c r="K2352" s="205"/>
      <c r="L2352" s="205"/>
      <c r="M2352" s="205"/>
    </row>
    <row r="2353" spans="2:13" ht="15.75">
      <c r="B2353" s="79"/>
      <c r="D2353"/>
      <c r="E2353" s="188"/>
      <c r="H2353"/>
      <c r="I2353" s="202"/>
      <c r="J2353"/>
      <c r="K2353" s="205"/>
      <c r="L2353" s="205"/>
      <c r="M2353" s="205"/>
    </row>
    <row r="2354" spans="2:13" ht="15.75">
      <c r="B2354" s="79"/>
      <c r="D2354"/>
      <c r="E2354" s="188"/>
      <c r="H2354"/>
      <c r="I2354" s="202"/>
      <c r="J2354"/>
      <c r="K2354" s="205"/>
      <c r="L2354" s="205"/>
      <c r="M2354" s="205"/>
    </row>
    <row r="2355" spans="2:13" ht="15.75">
      <c r="B2355" s="79"/>
      <c r="D2355"/>
      <c r="E2355" s="188"/>
      <c r="H2355"/>
      <c r="I2355" s="202"/>
      <c r="J2355"/>
      <c r="K2355" s="205"/>
      <c r="L2355" s="205"/>
      <c r="M2355" s="205"/>
    </row>
    <row r="2356" spans="2:13" ht="15.75">
      <c r="B2356" s="79"/>
      <c r="D2356"/>
      <c r="E2356" s="188"/>
      <c r="H2356"/>
      <c r="I2356" s="202"/>
      <c r="J2356"/>
      <c r="K2356" s="205"/>
      <c r="L2356" s="205"/>
      <c r="M2356" s="205"/>
    </row>
    <row r="2357" spans="2:13" ht="15.75">
      <c r="B2357" s="79"/>
      <c r="D2357"/>
      <c r="E2357" s="188"/>
      <c r="H2357"/>
      <c r="I2357" s="202"/>
      <c r="J2357"/>
      <c r="K2357" s="205"/>
      <c r="L2357" s="205"/>
      <c r="M2357" s="205"/>
    </row>
    <row r="2358" spans="2:13" ht="15.75">
      <c r="B2358" s="79"/>
      <c r="D2358"/>
      <c r="E2358" s="188"/>
      <c r="H2358"/>
      <c r="I2358" s="202"/>
      <c r="J2358"/>
      <c r="K2358" s="205"/>
      <c r="L2358" s="205"/>
      <c r="M2358" s="205"/>
    </row>
    <row r="2359" spans="2:13" ht="15.75">
      <c r="B2359" s="79"/>
      <c r="D2359"/>
      <c r="E2359" s="188"/>
      <c r="H2359"/>
      <c r="I2359" s="202"/>
      <c r="J2359"/>
      <c r="K2359" s="205"/>
      <c r="L2359" s="205"/>
      <c r="M2359" s="205"/>
    </row>
    <row r="2360" spans="2:13" ht="15.75">
      <c r="B2360" s="79"/>
      <c r="D2360"/>
      <c r="E2360" s="188"/>
      <c r="H2360"/>
      <c r="I2360" s="202"/>
      <c r="J2360"/>
      <c r="K2360" s="205"/>
      <c r="L2360" s="205"/>
      <c r="M2360" s="205"/>
    </row>
    <row r="2361" spans="2:13" ht="15.75">
      <c r="B2361" s="79"/>
      <c r="D2361"/>
      <c r="E2361" s="188"/>
      <c r="H2361"/>
      <c r="I2361" s="202"/>
      <c r="J2361"/>
      <c r="K2361" s="205"/>
      <c r="L2361" s="205"/>
      <c r="M2361" s="205"/>
    </row>
    <row r="2362" spans="2:13" ht="15.75">
      <c r="B2362" s="79"/>
      <c r="D2362"/>
      <c r="E2362" s="188"/>
      <c r="H2362"/>
      <c r="I2362" s="202"/>
      <c r="J2362"/>
      <c r="K2362" s="205"/>
      <c r="L2362" s="205"/>
      <c r="M2362" s="205"/>
    </row>
    <row r="2363" spans="2:13" ht="15.75">
      <c r="B2363" s="79"/>
      <c r="D2363"/>
      <c r="E2363" s="188"/>
      <c r="H2363"/>
      <c r="I2363" s="202"/>
      <c r="J2363"/>
      <c r="K2363" s="205"/>
      <c r="L2363" s="205"/>
      <c r="M2363" s="205"/>
    </row>
    <row r="2364" spans="2:13" ht="15.75">
      <c r="B2364" s="79"/>
      <c r="D2364"/>
      <c r="E2364" s="188"/>
      <c r="H2364"/>
      <c r="I2364" s="202"/>
      <c r="J2364"/>
      <c r="K2364" s="205"/>
      <c r="L2364" s="205"/>
      <c r="M2364" s="205"/>
    </row>
    <row r="2365" spans="2:13" ht="15.75">
      <c r="B2365" s="79"/>
      <c r="D2365"/>
      <c r="E2365" s="188"/>
      <c r="H2365"/>
      <c r="I2365" s="202"/>
      <c r="J2365"/>
      <c r="K2365" s="205"/>
      <c r="L2365" s="205"/>
      <c r="M2365" s="205"/>
    </row>
    <row r="2366" spans="2:13" ht="15.75">
      <c r="B2366" s="79"/>
      <c r="D2366"/>
      <c r="E2366" s="188"/>
      <c r="H2366"/>
      <c r="I2366" s="202"/>
      <c r="J2366"/>
      <c r="K2366" s="205"/>
      <c r="L2366" s="205"/>
      <c r="M2366" s="205"/>
    </row>
    <row r="2367" spans="2:13" ht="15.75">
      <c r="B2367" s="79"/>
      <c r="D2367"/>
      <c r="E2367" s="188"/>
      <c r="H2367"/>
      <c r="I2367" s="202"/>
      <c r="J2367"/>
      <c r="K2367" s="205"/>
      <c r="L2367" s="205"/>
      <c r="M2367" s="205"/>
    </row>
    <row r="2368" spans="2:13" ht="15.75">
      <c r="B2368" s="79"/>
      <c r="D2368"/>
      <c r="E2368" s="188"/>
      <c r="H2368"/>
      <c r="I2368" s="202"/>
      <c r="J2368"/>
      <c r="K2368" s="205"/>
      <c r="L2368" s="205"/>
      <c r="M2368" s="205"/>
    </row>
    <row r="2369" spans="2:13" ht="15.75">
      <c r="B2369" s="79"/>
      <c r="D2369"/>
      <c r="E2369" s="188"/>
      <c r="H2369"/>
      <c r="I2369" s="202"/>
      <c r="J2369"/>
      <c r="K2369" s="205"/>
      <c r="L2369" s="205"/>
      <c r="M2369" s="205"/>
    </row>
    <row r="2370" spans="2:13" ht="15.75">
      <c r="B2370" s="79"/>
      <c r="D2370"/>
      <c r="E2370" s="188"/>
      <c r="H2370"/>
      <c r="I2370" s="202"/>
      <c r="J2370"/>
      <c r="K2370" s="205"/>
      <c r="L2370" s="205"/>
      <c r="M2370" s="205"/>
    </row>
    <row r="2371" spans="2:13" ht="15.75">
      <c r="B2371" s="79"/>
      <c r="D2371"/>
      <c r="E2371" s="188"/>
      <c r="H2371"/>
      <c r="I2371" s="202"/>
      <c r="J2371"/>
      <c r="K2371" s="205"/>
      <c r="L2371" s="205"/>
      <c r="M2371" s="205"/>
    </row>
    <row r="2372" spans="2:13" ht="15.75">
      <c r="B2372" s="79"/>
      <c r="D2372"/>
      <c r="E2372" s="188"/>
      <c r="H2372"/>
      <c r="I2372" s="202"/>
      <c r="J2372"/>
      <c r="K2372" s="205"/>
      <c r="L2372" s="205"/>
      <c r="M2372" s="205"/>
    </row>
    <row r="2373" spans="2:13" ht="15.75">
      <c r="B2373" s="79"/>
      <c r="D2373"/>
      <c r="E2373" s="188"/>
      <c r="H2373"/>
      <c r="I2373" s="202"/>
      <c r="J2373"/>
      <c r="K2373" s="205"/>
      <c r="L2373" s="205"/>
      <c r="M2373" s="205"/>
    </row>
    <row r="2374" spans="2:13" ht="15.75">
      <c r="B2374" s="79"/>
      <c r="D2374"/>
      <c r="E2374" s="188"/>
      <c r="H2374"/>
      <c r="I2374" s="202"/>
      <c r="J2374"/>
      <c r="K2374" s="205"/>
      <c r="L2374" s="205"/>
      <c r="M2374" s="205"/>
    </row>
    <row r="2375" spans="2:13" ht="15.75">
      <c r="B2375" s="79"/>
      <c r="D2375"/>
      <c r="E2375" s="188"/>
      <c r="H2375"/>
      <c r="I2375" s="202"/>
      <c r="J2375"/>
      <c r="K2375" s="205"/>
      <c r="L2375" s="205"/>
      <c r="M2375" s="205"/>
    </row>
    <row r="2376" spans="2:13" ht="15.75">
      <c r="B2376" s="79"/>
      <c r="D2376"/>
      <c r="E2376" s="188"/>
      <c r="H2376"/>
      <c r="I2376" s="202"/>
      <c r="J2376"/>
      <c r="K2376" s="205"/>
      <c r="L2376" s="205"/>
      <c r="M2376" s="205"/>
    </row>
    <row r="2377" spans="2:13" ht="15.75">
      <c r="B2377" s="79"/>
      <c r="D2377"/>
      <c r="E2377" s="188"/>
      <c r="H2377"/>
      <c r="I2377" s="202"/>
      <c r="J2377"/>
      <c r="K2377" s="205"/>
      <c r="L2377" s="205"/>
      <c r="M2377" s="205"/>
    </row>
    <row r="2378" spans="2:13" ht="15.75">
      <c r="B2378" s="79"/>
      <c r="D2378"/>
      <c r="E2378" s="188"/>
      <c r="H2378"/>
      <c r="I2378" s="202"/>
      <c r="J2378"/>
      <c r="K2378" s="205"/>
      <c r="L2378" s="205"/>
      <c r="M2378" s="205"/>
    </row>
    <row r="2379" spans="2:13" ht="15.75">
      <c r="B2379" s="79"/>
      <c r="D2379"/>
      <c r="E2379" s="188"/>
      <c r="H2379"/>
      <c r="I2379" s="202"/>
      <c r="J2379"/>
      <c r="K2379" s="205"/>
      <c r="L2379" s="205"/>
      <c r="M2379" s="205"/>
    </row>
    <row r="2380" spans="2:13" ht="15.75">
      <c r="B2380" s="79"/>
      <c r="D2380"/>
      <c r="E2380" s="188"/>
      <c r="H2380"/>
      <c r="I2380" s="202"/>
      <c r="J2380"/>
      <c r="K2380" s="205"/>
      <c r="L2380" s="205"/>
      <c r="M2380" s="205"/>
    </row>
    <row r="2381" spans="2:13" ht="15.75">
      <c r="B2381" s="79"/>
      <c r="D2381"/>
      <c r="E2381" s="188"/>
      <c r="H2381"/>
      <c r="I2381" s="202"/>
      <c r="J2381"/>
      <c r="K2381" s="205"/>
      <c r="L2381" s="205"/>
      <c r="M2381" s="205"/>
    </row>
    <row r="2382" spans="2:13" ht="15.75">
      <c r="B2382" s="79"/>
      <c r="D2382"/>
      <c r="E2382" s="188"/>
      <c r="H2382"/>
      <c r="I2382" s="202"/>
      <c r="J2382"/>
      <c r="K2382" s="205"/>
      <c r="L2382" s="205"/>
      <c r="M2382" s="205"/>
    </row>
    <row r="2383" spans="2:13" ht="15.75">
      <c r="B2383" s="79"/>
      <c r="D2383"/>
      <c r="E2383" s="188"/>
      <c r="H2383"/>
      <c r="I2383" s="202"/>
      <c r="J2383"/>
      <c r="K2383" s="205"/>
      <c r="L2383" s="205"/>
      <c r="M2383" s="205"/>
    </row>
    <row r="2384" spans="2:13" ht="15.75">
      <c r="B2384" s="79"/>
      <c r="D2384"/>
      <c r="E2384" s="188"/>
      <c r="H2384"/>
      <c r="I2384" s="202"/>
      <c r="J2384"/>
      <c r="K2384" s="205"/>
      <c r="L2384" s="205"/>
      <c r="M2384" s="205"/>
    </row>
    <row r="2385" spans="2:13" ht="15.75">
      <c r="B2385" s="79"/>
      <c r="D2385"/>
      <c r="E2385" s="188"/>
      <c r="H2385"/>
      <c r="I2385" s="202"/>
      <c r="J2385"/>
      <c r="K2385" s="205"/>
      <c r="L2385" s="205"/>
      <c r="M2385" s="205"/>
    </row>
    <row r="2386" spans="2:13" ht="15.75">
      <c r="B2386" s="79"/>
      <c r="D2386"/>
      <c r="E2386" s="188"/>
      <c r="H2386"/>
      <c r="I2386" s="202"/>
      <c r="J2386"/>
      <c r="K2386" s="205"/>
      <c r="L2386" s="205"/>
      <c r="M2386" s="205"/>
    </row>
    <row r="2387" spans="2:13" ht="15.75">
      <c r="B2387" s="79"/>
      <c r="D2387"/>
      <c r="E2387" s="188"/>
      <c r="H2387"/>
      <c r="I2387" s="202"/>
      <c r="J2387"/>
      <c r="K2387" s="205"/>
      <c r="L2387" s="205"/>
      <c r="M2387" s="205"/>
    </row>
    <row r="2388" spans="2:13" ht="15.75">
      <c r="B2388" s="79"/>
      <c r="D2388"/>
      <c r="E2388" s="188"/>
      <c r="H2388"/>
      <c r="I2388" s="202"/>
      <c r="J2388"/>
      <c r="K2388" s="205"/>
      <c r="L2388" s="205"/>
      <c r="M2388" s="205"/>
    </row>
    <row r="2389" spans="2:13" ht="15.75">
      <c r="B2389" s="79"/>
      <c r="D2389"/>
      <c r="E2389" s="188"/>
      <c r="H2389"/>
      <c r="I2389" s="202"/>
      <c r="J2389"/>
      <c r="K2389" s="205"/>
      <c r="L2389" s="205"/>
      <c r="M2389" s="205"/>
    </row>
    <row r="2390" spans="2:13" ht="15.75">
      <c r="B2390" s="79"/>
      <c r="D2390"/>
      <c r="E2390" s="188"/>
      <c r="H2390"/>
      <c r="I2390" s="202"/>
      <c r="J2390"/>
      <c r="K2390" s="205"/>
      <c r="L2390" s="205"/>
      <c r="M2390" s="205"/>
    </row>
    <row r="2391" spans="2:13" ht="15.75">
      <c r="B2391" s="79"/>
      <c r="D2391"/>
      <c r="E2391" s="188"/>
      <c r="H2391"/>
      <c r="I2391" s="202"/>
      <c r="J2391"/>
      <c r="K2391" s="205"/>
      <c r="L2391" s="205"/>
      <c r="M2391" s="205"/>
    </row>
    <row r="2392" spans="2:13" ht="15.75">
      <c r="B2392" s="79"/>
      <c r="D2392"/>
      <c r="E2392" s="188"/>
      <c r="H2392"/>
      <c r="I2392" s="202"/>
      <c r="J2392"/>
      <c r="K2392" s="205"/>
      <c r="L2392" s="205"/>
      <c r="M2392" s="205"/>
    </row>
    <row r="2393" spans="2:13" ht="15.75">
      <c r="B2393" s="79"/>
      <c r="D2393"/>
      <c r="E2393" s="188"/>
      <c r="H2393"/>
      <c r="I2393" s="202"/>
      <c r="J2393"/>
      <c r="K2393" s="205"/>
      <c r="L2393" s="205"/>
      <c r="M2393" s="205"/>
    </row>
    <row r="2394" spans="2:13" ht="15.75">
      <c r="B2394" s="79"/>
      <c r="D2394"/>
      <c r="E2394" s="188"/>
      <c r="H2394"/>
      <c r="I2394" s="202"/>
      <c r="J2394"/>
      <c r="K2394" s="205"/>
      <c r="L2394" s="205"/>
      <c r="M2394" s="205"/>
    </row>
    <row r="2395" spans="2:13" ht="15.75">
      <c r="B2395" s="79"/>
      <c r="D2395"/>
      <c r="E2395" s="188"/>
      <c r="H2395"/>
      <c r="I2395" s="202"/>
      <c r="J2395"/>
      <c r="K2395" s="205"/>
      <c r="L2395" s="205"/>
      <c r="M2395" s="205"/>
    </row>
    <row r="2396" spans="2:13" ht="15.75">
      <c r="B2396" s="79"/>
      <c r="D2396"/>
      <c r="E2396" s="188"/>
      <c r="H2396"/>
      <c r="I2396" s="202"/>
      <c r="J2396"/>
      <c r="K2396" s="205"/>
      <c r="L2396" s="205"/>
      <c r="M2396" s="205"/>
    </row>
    <row r="2397" spans="2:13" ht="15.75">
      <c r="B2397" s="79"/>
      <c r="D2397"/>
      <c r="E2397" s="188"/>
      <c r="H2397"/>
      <c r="I2397" s="202"/>
      <c r="J2397"/>
      <c r="K2397" s="205"/>
      <c r="L2397" s="205"/>
      <c r="M2397" s="205"/>
    </row>
    <row r="2398" spans="2:13" ht="15.75">
      <c r="B2398" s="79"/>
      <c r="D2398"/>
      <c r="E2398" s="188"/>
      <c r="H2398"/>
      <c r="I2398" s="202"/>
      <c r="J2398"/>
      <c r="K2398" s="205"/>
      <c r="L2398" s="205"/>
      <c r="M2398" s="205"/>
    </row>
    <row r="2399" spans="2:13" ht="15.75">
      <c r="B2399" s="79"/>
      <c r="D2399"/>
      <c r="E2399" s="188"/>
      <c r="H2399"/>
      <c r="I2399" s="202"/>
      <c r="J2399"/>
      <c r="K2399" s="205"/>
      <c r="L2399" s="205"/>
      <c r="M2399" s="205"/>
    </row>
    <row r="2400" spans="2:13" ht="15.75">
      <c r="B2400" s="79"/>
      <c r="D2400"/>
      <c r="E2400" s="188"/>
      <c r="H2400"/>
      <c r="I2400" s="202"/>
      <c r="J2400"/>
      <c r="K2400" s="205"/>
      <c r="L2400" s="205"/>
      <c r="M2400" s="205"/>
    </row>
    <row r="2401" spans="2:13" ht="15.75">
      <c r="B2401" s="79"/>
      <c r="D2401"/>
      <c r="E2401" s="188"/>
      <c r="H2401"/>
      <c r="I2401" s="202"/>
      <c r="J2401"/>
      <c r="K2401" s="205"/>
      <c r="L2401" s="205"/>
      <c r="M2401" s="205"/>
    </row>
    <row r="2402" spans="2:13" ht="15.75">
      <c r="B2402" s="79"/>
      <c r="D2402"/>
      <c r="E2402" s="188"/>
      <c r="H2402"/>
      <c r="I2402" s="202"/>
      <c r="J2402"/>
      <c r="K2402" s="205"/>
      <c r="L2402" s="205"/>
      <c r="M2402" s="205"/>
    </row>
    <row r="2403" spans="2:13" ht="15.75">
      <c r="B2403" s="79"/>
      <c r="D2403"/>
      <c r="E2403" s="188"/>
      <c r="H2403"/>
      <c r="I2403" s="202"/>
      <c r="J2403"/>
      <c r="K2403" s="205"/>
      <c r="L2403" s="205"/>
      <c r="M2403" s="205"/>
    </row>
    <row r="2404" spans="2:13" ht="15.75">
      <c r="B2404" s="79"/>
      <c r="D2404"/>
      <c r="E2404" s="188"/>
      <c r="H2404"/>
      <c r="I2404" s="202"/>
      <c r="J2404"/>
      <c r="K2404" s="205"/>
      <c r="L2404" s="205"/>
      <c r="M2404" s="205"/>
    </row>
    <row r="2405" spans="2:13" ht="15.75">
      <c r="B2405" s="79"/>
      <c r="D2405"/>
      <c r="E2405" s="188"/>
      <c r="H2405"/>
      <c r="I2405" s="202"/>
      <c r="J2405"/>
      <c r="K2405" s="205"/>
      <c r="L2405" s="205"/>
      <c r="M2405" s="205"/>
    </row>
    <row r="2406" spans="2:13" ht="15.75">
      <c r="B2406" s="79"/>
      <c r="D2406"/>
      <c r="E2406" s="188"/>
      <c r="H2406"/>
      <c r="I2406" s="202"/>
      <c r="J2406"/>
      <c r="K2406" s="205"/>
      <c r="L2406" s="205"/>
      <c r="M2406" s="205"/>
    </row>
    <row r="2407" spans="2:13" ht="15.75">
      <c r="B2407" s="79"/>
      <c r="D2407"/>
      <c r="E2407" s="188"/>
      <c r="H2407"/>
      <c r="I2407" s="202"/>
      <c r="J2407"/>
      <c r="K2407" s="205"/>
      <c r="L2407" s="205"/>
      <c r="M2407" s="205"/>
    </row>
    <row r="2408" spans="2:13" ht="15.75">
      <c r="B2408" s="79"/>
      <c r="D2408"/>
      <c r="E2408" s="188"/>
      <c r="H2408"/>
      <c r="I2408" s="202"/>
      <c r="J2408"/>
      <c r="K2408" s="205"/>
      <c r="L2408" s="205"/>
      <c r="M2408" s="205"/>
    </row>
    <row r="2409" spans="2:13" ht="15.75">
      <c r="B2409" s="79"/>
      <c r="D2409"/>
      <c r="E2409" s="188"/>
      <c r="H2409"/>
      <c r="I2409" s="202"/>
      <c r="J2409"/>
      <c r="K2409" s="205"/>
      <c r="L2409" s="205"/>
      <c r="M2409" s="205"/>
    </row>
    <row r="2410" spans="2:13" ht="15.75">
      <c r="B2410" s="79"/>
      <c r="D2410"/>
      <c r="E2410" s="188"/>
      <c r="H2410"/>
      <c r="I2410" s="202"/>
      <c r="J2410"/>
      <c r="K2410" s="205"/>
      <c r="L2410" s="205"/>
      <c r="M2410" s="205"/>
    </row>
    <row r="2411" spans="2:13" ht="15.75">
      <c r="B2411" s="79"/>
      <c r="D2411"/>
      <c r="E2411" s="188"/>
      <c r="H2411"/>
      <c r="I2411" s="202"/>
      <c r="J2411"/>
      <c r="K2411" s="205"/>
      <c r="L2411" s="205"/>
      <c r="M2411" s="205"/>
    </row>
    <row r="2412" spans="2:13" ht="15.75">
      <c r="B2412" s="79"/>
      <c r="D2412"/>
      <c r="E2412" s="188"/>
      <c r="H2412"/>
      <c r="I2412" s="202"/>
      <c r="J2412"/>
      <c r="K2412" s="205"/>
      <c r="L2412" s="205"/>
      <c r="M2412" s="205"/>
    </row>
    <row r="2413" spans="2:13" ht="15.75">
      <c r="B2413" s="79"/>
      <c r="D2413"/>
      <c r="E2413" s="188"/>
      <c r="H2413"/>
      <c r="I2413" s="202"/>
      <c r="J2413"/>
      <c r="K2413" s="205"/>
      <c r="L2413" s="205"/>
      <c r="M2413" s="205"/>
    </row>
    <row r="2414" spans="2:13" ht="15.75">
      <c r="B2414" s="79"/>
      <c r="D2414"/>
      <c r="E2414" s="188"/>
      <c r="H2414"/>
      <c r="I2414" s="202"/>
      <c r="J2414"/>
      <c r="K2414" s="205"/>
      <c r="L2414" s="205"/>
      <c r="M2414" s="205"/>
    </row>
    <row r="2415" spans="2:13" ht="15.75">
      <c r="B2415" s="79"/>
      <c r="D2415"/>
      <c r="E2415" s="188"/>
      <c r="H2415"/>
      <c r="I2415" s="202"/>
      <c r="J2415"/>
      <c r="K2415" s="205"/>
      <c r="L2415" s="205"/>
      <c r="M2415" s="205"/>
    </row>
    <row r="2416" spans="2:13" ht="15.75">
      <c r="B2416" s="79"/>
      <c r="D2416"/>
      <c r="E2416" s="188"/>
      <c r="H2416"/>
      <c r="I2416" s="202"/>
      <c r="J2416"/>
      <c r="K2416" s="205"/>
      <c r="L2416" s="205"/>
      <c r="M2416" s="205"/>
    </row>
    <row r="2417" spans="2:13" ht="15.75">
      <c r="B2417" s="79"/>
      <c r="D2417"/>
      <c r="E2417" s="188"/>
      <c r="H2417"/>
      <c r="I2417" s="202"/>
      <c r="J2417"/>
      <c r="K2417" s="205"/>
      <c r="L2417" s="205"/>
      <c r="M2417" s="205"/>
    </row>
    <row r="2418" spans="2:13" ht="15.75">
      <c r="B2418" s="79"/>
      <c r="D2418"/>
      <c r="E2418" s="188"/>
      <c r="H2418"/>
      <c r="I2418" s="202"/>
      <c r="J2418"/>
      <c r="K2418" s="205"/>
      <c r="L2418" s="205"/>
      <c r="M2418" s="205"/>
    </row>
    <row r="2419" spans="2:13" ht="15.75">
      <c r="B2419" s="79"/>
      <c r="D2419"/>
      <c r="E2419" s="188"/>
      <c r="H2419"/>
      <c r="I2419" s="202"/>
      <c r="J2419"/>
      <c r="K2419" s="205"/>
      <c r="L2419" s="205"/>
      <c r="M2419" s="205"/>
    </row>
    <row r="2420" spans="2:13" ht="15.75">
      <c r="B2420" s="79"/>
      <c r="D2420"/>
      <c r="E2420" s="188"/>
      <c r="H2420"/>
      <c r="I2420" s="202"/>
      <c r="J2420"/>
      <c r="K2420" s="205"/>
      <c r="L2420" s="205"/>
      <c r="M2420" s="205"/>
    </row>
    <row r="2421" spans="2:13" ht="15.75">
      <c r="B2421" s="79"/>
      <c r="D2421"/>
      <c r="E2421" s="188"/>
      <c r="H2421"/>
      <c r="I2421" s="202"/>
      <c r="J2421"/>
      <c r="K2421" s="205"/>
      <c r="L2421" s="205"/>
      <c r="M2421" s="205"/>
    </row>
    <row r="2422" spans="2:13" ht="15.75">
      <c r="B2422" s="79"/>
      <c r="D2422"/>
      <c r="E2422" s="188"/>
      <c r="H2422"/>
      <c r="I2422" s="202"/>
      <c r="J2422"/>
      <c r="K2422" s="205"/>
      <c r="L2422" s="205"/>
      <c r="M2422" s="205"/>
    </row>
    <row r="2423" spans="2:13" ht="15.75">
      <c r="B2423" s="79"/>
      <c r="D2423"/>
      <c r="E2423" s="188"/>
      <c r="H2423"/>
      <c r="I2423" s="202"/>
      <c r="J2423"/>
      <c r="K2423" s="205"/>
      <c r="L2423" s="205"/>
      <c r="M2423" s="205"/>
    </row>
    <row r="2424" spans="2:13" ht="15.75">
      <c r="B2424" s="79"/>
      <c r="D2424"/>
      <c r="E2424" s="188"/>
      <c r="H2424"/>
      <c r="I2424" s="202"/>
      <c r="J2424"/>
      <c r="K2424" s="205"/>
      <c r="L2424" s="205"/>
      <c r="M2424" s="205"/>
    </row>
    <row r="2425" spans="2:13" ht="15.75">
      <c r="B2425" s="79"/>
      <c r="D2425"/>
      <c r="E2425" s="188"/>
      <c r="H2425"/>
      <c r="I2425" s="202"/>
      <c r="J2425"/>
      <c r="K2425" s="205"/>
      <c r="L2425" s="205"/>
      <c r="M2425" s="205"/>
    </row>
    <row r="2426" spans="2:13" ht="15.75">
      <c r="B2426" s="79"/>
      <c r="D2426"/>
      <c r="E2426" s="188"/>
      <c r="H2426"/>
      <c r="I2426" s="202"/>
      <c r="J2426"/>
      <c r="K2426" s="205"/>
      <c r="L2426" s="205"/>
      <c r="M2426" s="205"/>
    </row>
    <row r="2427" spans="2:13" ht="15.75">
      <c r="B2427" s="79"/>
      <c r="D2427"/>
      <c r="E2427" s="188"/>
      <c r="H2427"/>
      <c r="I2427" s="202"/>
      <c r="J2427"/>
      <c r="K2427" s="205"/>
      <c r="L2427" s="205"/>
      <c r="M2427" s="205"/>
    </row>
    <row r="2428" spans="2:13" ht="15.75">
      <c r="B2428" s="79"/>
      <c r="D2428"/>
      <c r="E2428" s="188"/>
      <c r="H2428"/>
      <c r="I2428" s="202"/>
      <c r="J2428"/>
      <c r="K2428" s="205"/>
      <c r="L2428" s="205"/>
      <c r="M2428" s="205"/>
    </row>
    <row r="2429" spans="2:13" ht="15.75">
      <c r="B2429" s="79"/>
      <c r="D2429"/>
      <c r="E2429" s="188"/>
      <c r="H2429"/>
      <c r="I2429" s="202"/>
      <c r="J2429"/>
      <c r="K2429" s="205"/>
      <c r="L2429" s="205"/>
      <c r="M2429" s="205"/>
    </row>
    <row r="2430" spans="2:13" ht="15.75">
      <c r="B2430" s="79"/>
      <c r="D2430"/>
      <c r="E2430" s="188"/>
      <c r="H2430"/>
      <c r="I2430" s="202"/>
      <c r="J2430"/>
      <c r="K2430" s="205"/>
      <c r="L2430" s="205"/>
      <c r="M2430" s="205"/>
    </row>
    <row r="2431" spans="2:13" ht="15.75">
      <c r="B2431" s="79"/>
      <c r="D2431"/>
      <c r="E2431" s="188"/>
      <c r="H2431"/>
      <c r="I2431" s="202"/>
      <c r="J2431"/>
      <c r="K2431" s="205"/>
      <c r="L2431" s="205"/>
      <c r="M2431" s="205"/>
    </row>
    <row r="2432" spans="2:13" ht="15.75">
      <c r="B2432" s="79"/>
      <c r="D2432"/>
      <c r="E2432" s="188"/>
      <c r="H2432"/>
      <c r="I2432" s="202"/>
      <c r="J2432"/>
      <c r="K2432" s="205"/>
      <c r="L2432" s="205"/>
      <c r="M2432" s="205"/>
    </row>
    <row r="2433" spans="2:13" ht="15.75">
      <c r="B2433" s="79"/>
      <c r="D2433"/>
      <c r="E2433" s="188"/>
      <c r="H2433"/>
      <c r="I2433" s="202"/>
      <c r="J2433"/>
      <c r="K2433" s="205"/>
      <c r="L2433" s="205"/>
      <c r="M2433" s="205"/>
    </row>
    <row r="2434" spans="2:13" ht="15.75">
      <c r="B2434" s="79"/>
      <c r="D2434"/>
      <c r="E2434" s="188"/>
      <c r="H2434"/>
      <c r="I2434" s="202"/>
      <c r="J2434"/>
      <c r="K2434" s="205"/>
      <c r="L2434" s="205"/>
      <c r="M2434" s="205"/>
    </row>
    <row r="2435" spans="2:13" ht="15.75">
      <c r="B2435" s="79"/>
      <c r="D2435"/>
      <c r="E2435" s="188"/>
      <c r="H2435"/>
      <c r="I2435" s="202"/>
      <c r="J2435"/>
      <c r="K2435" s="205"/>
      <c r="L2435" s="205"/>
      <c r="M2435" s="205"/>
    </row>
    <row r="2436" spans="2:13" ht="15.75">
      <c r="B2436" s="79"/>
      <c r="D2436"/>
      <c r="E2436" s="188"/>
      <c r="H2436"/>
      <c r="I2436" s="202"/>
      <c r="J2436"/>
      <c r="K2436" s="205"/>
      <c r="L2436" s="205"/>
      <c r="M2436" s="205"/>
    </row>
    <row r="2437" spans="2:13" ht="15.75">
      <c r="B2437" s="79"/>
      <c r="D2437"/>
      <c r="E2437" s="188"/>
      <c r="H2437"/>
      <c r="I2437" s="202"/>
      <c r="J2437"/>
      <c r="K2437" s="205"/>
      <c r="L2437" s="205"/>
      <c r="M2437" s="205"/>
    </row>
    <row r="2438" spans="2:13" ht="15.75">
      <c r="B2438" s="79"/>
      <c r="D2438"/>
      <c r="E2438" s="188"/>
      <c r="H2438"/>
      <c r="I2438" s="202"/>
      <c r="J2438"/>
      <c r="K2438" s="205"/>
      <c r="L2438" s="205"/>
      <c r="M2438" s="205"/>
    </row>
    <row r="2439" spans="2:13" ht="15.75">
      <c r="B2439" s="79"/>
      <c r="D2439"/>
      <c r="E2439" s="188"/>
      <c r="H2439"/>
      <c r="I2439" s="202"/>
      <c r="J2439"/>
      <c r="K2439" s="205"/>
      <c r="L2439" s="205"/>
      <c r="M2439" s="205"/>
    </row>
    <row r="2440" spans="2:13" ht="15.75">
      <c r="B2440" s="79"/>
      <c r="D2440"/>
      <c r="E2440" s="188"/>
      <c r="H2440"/>
      <c r="I2440" s="202"/>
      <c r="J2440"/>
      <c r="K2440" s="205"/>
      <c r="L2440" s="205"/>
      <c r="M2440" s="205"/>
    </row>
    <row r="2441" spans="2:13" ht="15.75">
      <c r="B2441" s="79"/>
      <c r="D2441"/>
      <c r="E2441" s="188"/>
      <c r="H2441"/>
      <c r="I2441" s="202"/>
      <c r="J2441"/>
      <c r="K2441" s="205"/>
      <c r="L2441" s="205"/>
      <c r="M2441" s="205"/>
    </row>
    <row r="2442" spans="2:13" ht="15.75">
      <c r="B2442" s="79"/>
      <c r="D2442"/>
      <c r="E2442" s="188"/>
      <c r="H2442"/>
      <c r="I2442" s="202"/>
      <c r="J2442"/>
      <c r="K2442" s="205"/>
      <c r="L2442" s="205"/>
      <c r="M2442" s="205"/>
    </row>
    <row r="2443" spans="2:13" ht="15.75">
      <c r="B2443" s="79"/>
      <c r="D2443"/>
      <c r="E2443" s="188"/>
      <c r="H2443"/>
      <c r="I2443" s="202"/>
      <c r="J2443"/>
      <c r="K2443" s="205"/>
      <c r="L2443" s="205"/>
      <c r="M2443" s="205"/>
    </row>
    <row r="2444" spans="2:13" ht="15.75">
      <c r="B2444" s="79"/>
      <c r="D2444"/>
      <c r="E2444" s="188"/>
      <c r="H2444"/>
      <c r="I2444" s="202"/>
      <c r="J2444"/>
      <c r="K2444" s="205"/>
      <c r="L2444" s="205"/>
      <c r="M2444" s="205"/>
    </row>
    <row r="2445" spans="2:13" ht="15.75">
      <c r="B2445" s="79"/>
      <c r="D2445"/>
      <c r="E2445" s="188"/>
      <c r="H2445"/>
      <c r="I2445" s="202"/>
      <c r="J2445"/>
      <c r="K2445" s="205"/>
      <c r="L2445" s="205"/>
      <c r="M2445" s="205"/>
    </row>
    <row r="2446" spans="2:13" ht="15.75">
      <c r="B2446" s="79"/>
      <c r="D2446"/>
      <c r="E2446" s="188"/>
      <c r="H2446"/>
      <c r="I2446" s="202"/>
      <c r="J2446"/>
      <c r="K2446" s="205"/>
      <c r="L2446" s="205"/>
      <c r="M2446" s="205"/>
    </row>
    <row r="2447" spans="2:13" ht="15.75">
      <c r="B2447" s="79"/>
      <c r="D2447"/>
      <c r="E2447" s="188"/>
      <c r="H2447"/>
      <c r="I2447" s="202"/>
      <c r="J2447"/>
      <c r="K2447" s="205"/>
      <c r="L2447" s="205"/>
      <c r="M2447" s="205"/>
    </row>
    <row r="2448" spans="2:13" ht="15.75">
      <c r="B2448" s="79"/>
      <c r="D2448"/>
      <c r="E2448" s="188"/>
      <c r="H2448"/>
      <c r="I2448" s="202"/>
      <c r="J2448"/>
      <c r="K2448" s="205"/>
      <c r="L2448" s="205"/>
      <c r="M2448" s="205"/>
    </row>
    <row r="2449" spans="2:13" ht="15.75">
      <c r="B2449" s="79"/>
      <c r="D2449"/>
      <c r="E2449" s="188"/>
      <c r="H2449"/>
      <c r="I2449" s="202"/>
      <c r="J2449"/>
      <c r="K2449" s="205"/>
      <c r="L2449" s="205"/>
      <c r="M2449" s="205"/>
    </row>
    <row r="2450" spans="2:13" ht="15.75">
      <c r="B2450" s="79"/>
      <c r="D2450"/>
      <c r="E2450" s="188"/>
      <c r="H2450"/>
      <c r="I2450" s="202"/>
      <c r="J2450"/>
      <c r="K2450" s="205"/>
      <c r="L2450" s="205"/>
      <c r="M2450" s="205"/>
    </row>
    <row r="2451" spans="2:13" ht="15.75">
      <c r="B2451" s="79"/>
      <c r="D2451"/>
      <c r="E2451" s="188"/>
      <c r="H2451"/>
      <c r="I2451" s="202"/>
      <c r="J2451"/>
      <c r="K2451" s="205"/>
      <c r="L2451" s="205"/>
      <c r="M2451" s="205"/>
    </row>
    <row r="2452" spans="2:13" ht="15.75">
      <c r="B2452" s="79"/>
      <c r="D2452"/>
      <c r="E2452" s="188"/>
      <c r="H2452"/>
      <c r="I2452" s="202"/>
      <c r="J2452"/>
      <c r="K2452" s="205"/>
      <c r="L2452" s="205"/>
      <c r="M2452" s="205"/>
    </row>
    <row r="2453" spans="2:13" ht="15.75">
      <c r="B2453" s="79"/>
      <c r="D2453"/>
      <c r="E2453" s="188"/>
      <c r="H2453"/>
      <c r="I2453" s="202"/>
      <c r="J2453"/>
      <c r="K2453" s="205"/>
      <c r="L2453" s="205"/>
      <c r="M2453" s="205"/>
    </row>
    <row r="2454" spans="2:13" ht="15.75">
      <c r="B2454" s="79"/>
      <c r="D2454"/>
      <c r="E2454" s="188"/>
      <c r="H2454"/>
      <c r="I2454" s="202"/>
      <c r="J2454"/>
      <c r="K2454" s="205"/>
      <c r="L2454" s="205"/>
      <c r="M2454" s="205"/>
    </row>
    <row r="2455" spans="2:13" ht="15.75">
      <c r="B2455" s="79"/>
      <c r="D2455"/>
      <c r="E2455" s="188"/>
      <c r="H2455"/>
      <c r="I2455" s="202"/>
      <c r="J2455"/>
      <c r="K2455" s="205"/>
      <c r="L2455" s="205"/>
      <c r="M2455" s="205"/>
    </row>
    <row r="2456" spans="2:13" ht="15.75">
      <c r="B2456" s="79"/>
      <c r="D2456"/>
      <c r="E2456" s="188"/>
      <c r="H2456"/>
      <c r="I2456" s="202"/>
      <c r="J2456"/>
      <c r="K2456" s="205"/>
      <c r="L2456" s="205"/>
      <c r="M2456" s="205"/>
    </row>
    <row r="2457" spans="2:13" ht="15.75">
      <c r="B2457" s="79"/>
      <c r="D2457"/>
      <c r="E2457" s="188"/>
      <c r="H2457"/>
      <c r="I2457" s="202"/>
      <c r="J2457"/>
      <c r="K2457" s="205"/>
      <c r="L2457" s="205"/>
      <c r="M2457" s="205"/>
    </row>
    <row r="2458" spans="2:13" ht="15.75">
      <c r="B2458" s="79"/>
      <c r="D2458"/>
      <c r="E2458" s="188"/>
      <c r="H2458"/>
      <c r="I2458" s="202"/>
      <c r="J2458"/>
      <c r="K2458" s="205"/>
      <c r="L2458" s="205"/>
      <c r="M2458" s="205"/>
    </row>
    <row r="2459" spans="2:13" ht="15.75">
      <c r="B2459" s="79"/>
      <c r="D2459"/>
      <c r="E2459" s="188"/>
      <c r="H2459"/>
      <c r="I2459" s="202"/>
      <c r="J2459"/>
      <c r="K2459" s="205"/>
      <c r="L2459" s="205"/>
      <c r="M2459" s="205"/>
    </row>
    <row r="2460" spans="2:13" ht="15.75">
      <c r="B2460" s="79"/>
      <c r="D2460"/>
      <c r="E2460" s="188"/>
      <c r="H2460"/>
      <c r="I2460" s="202"/>
      <c r="J2460"/>
      <c r="K2460" s="205"/>
      <c r="L2460" s="205"/>
      <c r="M2460" s="205"/>
    </row>
    <row r="2461" spans="2:13" ht="15.75">
      <c r="B2461" s="79"/>
      <c r="D2461"/>
      <c r="E2461" s="188"/>
      <c r="H2461"/>
      <c r="I2461" s="202"/>
      <c r="J2461"/>
      <c r="K2461" s="205"/>
      <c r="L2461" s="205"/>
      <c r="M2461" s="205"/>
    </row>
    <row r="2462" spans="2:13" ht="15.75">
      <c r="B2462" s="79"/>
      <c r="D2462"/>
      <c r="E2462" s="188"/>
      <c r="H2462"/>
      <c r="I2462" s="202"/>
      <c r="J2462"/>
      <c r="K2462" s="205"/>
      <c r="L2462" s="205"/>
      <c r="M2462" s="205"/>
    </row>
    <row r="2463" spans="2:13" ht="15.75">
      <c r="B2463" s="79"/>
      <c r="D2463"/>
      <c r="E2463" s="188"/>
      <c r="H2463"/>
      <c r="I2463" s="202"/>
      <c r="J2463"/>
      <c r="K2463" s="205"/>
      <c r="L2463" s="205"/>
      <c r="M2463" s="205"/>
    </row>
    <row r="2464" spans="2:13" ht="15.75">
      <c r="B2464" s="79"/>
      <c r="D2464"/>
      <c r="E2464" s="188"/>
      <c r="H2464"/>
      <c r="I2464" s="202"/>
      <c r="J2464"/>
      <c r="K2464" s="205"/>
      <c r="L2464" s="205"/>
      <c r="M2464" s="205"/>
    </row>
    <row r="2465" spans="2:13" ht="15.75">
      <c r="B2465" s="79"/>
      <c r="D2465"/>
      <c r="E2465" s="188"/>
      <c r="H2465"/>
      <c r="I2465" s="202"/>
      <c r="J2465"/>
      <c r="K2465" s="205"/>
      <c r="L2465" s="205"/>
      <c r="M2465" s="205"/>
    </row>
    <row r="2466" spans="2:13" ht="15.75">
      <c r="B2466" s="79"/>
      <c r="D2466"/>
      <c r="E2466" s="188"/>
      <c r="H2466"/>
      <c r="I2466" s="202"/>
      <c r="J2466"/>
      <c r="K2466" s="205"/>
      <c r="L2466" s="205"/>
      <c r="M2466" s="205"/>
    </row>
    <row r="2467" spans="2:13" ht="15.75">
      <c r="B2467" s="79"/>
      <c r="D2467"/>
      <c r="E2467" s="188"/>
      <c r="H2467"/>
      <c r="I2467" s="202"/>
      <c r="J2467"/>
      <c r="K2467" s="205"/>
      <c r="L2467" s="205"/>
      <c r="M2467" s="205"/>
    </row>
    <row r="2468" spans="2:13" ht="15.75">
      <c r="B2468" s="79"/>
      <c r="D2468"/>
      <c r="E2468" s="188"/>
      <c r="H2468"/>
      <c r="I2468" s="202"/>
      <c r="J2468"/>
      <c r="K2468" s="205"/>
      <c r="L2468" s="205"/>
      <c r="M2468" s="205"/>
    </row>
    <row r="2469" spans="2:13" ht="15.75">
      <c r="B2469" s="79"/>
      <c r="D2469"/>
      <c r="E2469" s="188"/>
      <c r="H2469"/>
      <c r="I2469" s="202"/>
      <c r="J2469"/>
      <c r="K2469" s="205"/>
      <c r="L2469" s="205"/>
      <c r="M2469" s="205"/>
    </row>
    <row r="2470" spans="2:13" ht="15.75">
      <c r="B2470" s="79"/>
      <c r="D2470"/>
      <c r="E2470" s="188"/>
      <c r="H2470"/>
      <c r="I2470" s="202"/>
      <c r="J2470"/>
      <c r="K2470" s="205"/>
      <c r="L2470" s="205"/>
      <c r="M2470" s="205"/>
    </row>
    <row r="2471" spans="2:13" ht="15.75">
      <c r="B2471" s="79"/>
      <c r="D2471"/>
      <c r="E2471" s="188"/>
      <c r="H2471"/>
      <c r="I2471" s="202"/>
      <c r="J2471"/>
      <c r="K2471" s="205"/>
      <c r="L2471" s="205"/>
      <c r="M2471" s="205"/>
    </row>
    <row r="2472" spans="2:13" ht="15.75">
      <c r="B2472" s="79"/>
      <c r="D2472"/>
      <c r="E2472" s="188"/>
      <c r="H2472"/>
      <c r="I2472" s="202"/>
      <c r="J2472"/>
      <c r="K2472" s="205"/>
      <c r="L2472" s="205"/>
      <c r="M2472" s="205"/>
    </row>
    <row r="2473" spans="2:13" ht="15.75">
      <c r="B2473" s="79"/>
      <c r="D2473"/>
      <c r="E2473" s="188"/>
      <c r="H2473"/>
      <c r="I2473" s="202"/>
      <c r="J2473"/>
      <c r="K2473" s="205"/>
      <c r="L2473" s="205"/>
      <c r="M2473" s="205"/>
    </row>
    <row r="2474" spans="2:13" ht="15.75">
      <c r="B2474" s="79"/>
      <c r="D2474"/>
      <c r="E2474" s="188"/>
      <c r="H2474"/>
      <c r="I2474" s="202"/>
      <c r="J2474"/>
      <c r="K2474" s="205"/>
      <c r="L2474" s="205"/>
      <c r="M2474" s="205"/>
    </row>
    <row r="2475" spans="2:13" ht="15.75">
      <c r="B2475" s="79"/>
      <c r="D2475"/>
      <c r="E2475" s="188"/>
      <c r="H2475"/>
      <c r="I2475" s="202"/>
      <c r="J2475"/>
      <c r="K2475" s="205"/>
      <c r="L2475" s="205"/>
      <c r="M2475" s="205"/>
    </row>
    <row r="2476" spans="2:13" ht="15.75">
      <c r="B2476" s="79"/>
      <c r="D2476"/>
      <c r="E2476" s="188"/>
      <c r="H2476"/>
      <c r="I2476" s="202"/>
      <c r="J2476"/>
      <c r="K2476" s="205"/>
      <c r="L2476" s="205"/>
      <c r="M2476" s="205"/>
    </row>
    <row r="2477" spans="2:13" ht="15.75">
      <c r="B2477" s="79"/>
      <c r="D2477"/>
      <c r="E2477" s="188"/>
      <c r="H2477"/>
      <c r="I2477" s="202"/>
      <c r="J2477"/>
      <c r="K2477" s="205"/>
      <c r="L2477" s="205"/>
      <c r="M2477" s="205"/>
    </row>
    <row r="2478" spans="2:13" ht="15.75">
      <c r="B2478" s="79"/>
      <c r="D2478"/>
      <c r="E2478" s="188"/>
      <c r="H2478"/>
      <c r="I2478" s="202"/>
      <c r="J2478"/>
      <c r="K2478" s="205"/>
      <c r="L2478" s="205"/>
      <c r="M2478" s="205"/>
    </row>
    <row r="2479" spans="2:13" ht="15.75">
      <c r="B2479" s="79"/>
      <c r="D2479"/>
      <c r="E2479" s="188"/>
      <c r="H2479"/>
      <c r="I2479" s="202"/>
      <c r="J2479"/>
      <c r="K2479" s="205"/>
      <c r="L2479" s="205"/>
      <c r="M2479" s="205"/>
    </row>
    <row r="2480" spans="2:13" ht="15.75">
      <c r="B2480" s="79"/>
      <c r="D2480"/>
      <c r="E2480" s="188"/>
      <c r="H2480"/>
      <c r="I2480" s="202"/>
      <c r="J2480"/>
      <c r="K2480" s="205"/>
      <c r="L2480" s="205"/>
      <c r="M2480" s="205"/>
    </row>
    <row r="2481" spans="2:13" ht="15.75">
      <c r="B2481" s="79"/>
      <c r="D2481"/>
      <c r="E2481" s="188"/>
      <c r="H2481"/>
      <c r="I2481" s="202"/>
      <c r="J2481"/>
      <c r="K2481" s="205"/>
      <c r="L2481" s="205"/>
      <c r="M2481" s="205"/>
    </row>
    <row r="2482" spans="2:13" ht="15.75">
      <c r="B2482" s="79"/>
      <c r="D2482"/>
      <c r="E2482" s="188"/>
      <c r="H2482"/>
      <c r="I2482" s="202"/>
      <c r="J2482"/>
      <c r="K2482" s="205"/>
      <c r="L2482" s="205"/>
      <c r="M2482" s="205"/>
    </row>
    <row r="2483" spans="2:13" ht="15.75">
      <c r="B2483" s="79"/>
      <c r="D2483"/>
      <c r="E2483" s="188"/>
      <c r="H2483"/>
      <c r="I2483" s="202"/>
      <c r="J2483"/>
      <c r="K2483" s="205"/>
      <c r="L2483" s="205"/>
      <c r="M2483" s="205"/>
    </row>
    <row r="2484" spans="2:13" ht="15.75">
      <c r="B2484" s="79"/>
      <c r="D2484"/>
      <c r="E2484" s="188"/>
      <c r="H2484"/>
      <c r="I2484" s="202"/>
      <c r="J2484"/>
      <c r="K2484" s="205"/>
      <c r="L2484" s="205"/>
      <c r="M2484" s="205"/>
    </row>
    <row r="2485" spans="2:13" ht="15.75">
      <c r="B2485" s="79"/>
      <c r="D2485"/>
      <c r="E2485" s="188"/>
      <c r="H2485"/>
      <c r="I2485" s="202"/>
      <c r="J2485"/>
      <c r="K2485" s="205"/>
      <c r="L2485" s="205"/>
      <c r="M2485" s="205"/>
    </row>
    <row r="2486" spans="2:13" ht="15.75">
      <c r="B2486" s="79"/>
      <c r="D2486"/>
      <c r="E2486" s="188"/>
      <c r="H2486"/>
      <c r="I2486" s="202"/>
      <c r="J2486"/>
      <c r="K2486" s="205"/>
      <c r="L2486" s="205"/>
      <c r="M2486" s="205"/>
    </row>
    <row r="2487" spans="2:13" ht="15.75">
      <c r="B2487" s="79"/>
      <c r="D2487"/>
      <c r="E2487" s="188"/>
      <c r="H2487"/>
      <c r="I2487" s="202"/>
      <c r="J2487"/>
      <c r="K2487" s="205"/>
      <c r="L2487" s="205"/>
      <c r="M2487" s="205"/>
    </row>
    <row r="2488" spans="2:13" ht="15.75">
      <c r="B2488" s="79"/>
      <c r="D2488"/>
      <c r="E2488" s="188"/>
      <c r="H2488"/>
      <c r="I2488" s="202"/>
      <c r="J2488"/>
      <c r="K2488" s="205"/>
      <c r="L2488" s="205"/>
      <c r="M2488" s="205"/>
    </row>
    <row r="2489" spans="2:13" ht="15.75">
      <c r="B2489" s="79"/>
      <c r="D2489"/>
      <c r="E2489" s="188"/>
      <c r="H2489"/>
      <c r="I2489" s="202"/>
      <c r="J2489"/>
      <c r="K2489" s="205"/>
      <c r="L2489" s="205"/>
      <c r="M2489" s="205"/>
    </row>
    <row r="2490" spans="2:13" ht="15.75">
      <c r="B2490" s="79"/>
      <c r="D2490"/>
      <c r="E2490" s="188"/>
      <c r="H2490"/>
      <c r="I2490" s="202"/>
      <c r="J2490"/>
      <c r="K2490" s="205"/>
      <c r="L2490" s="205"/>
      <c r="M2490" s="205"/>
    </row>
    <row r="2491" spans="2:13" ht="15.75">
      <c r="B2491" s="79"/>
      <c r="D2491"/>
      <c r="E2491" s="188"/>
      <c r="H2491"/>
      <c r="I2491" s="202"/>
      <c r="J2491"/>
      <c r="K2491" s="205"/>
      <c r="L2491" s="205"/>
      <c r="M2491" s="205"/>
    </row>
    <row r="2492" spans="2:13" ht="15.75">
      <c r="B2492" s="79"/>
      <c r="D2492"/>
      <c r="E2492" s="188"/>
      <c r="H2492"/>
      <c r="I2492" s="202"/>
      <c r="J2492"/>
      <c r="K2492" s="205"/>
      <c r="L2492" s="205"/>
      <c r="M2492" s="205"/>
    </row>
    <row r="2493" spans="2:13" ht="15.75">
      <c r="B2493" s="79"/>
      <c r="D2493"/>
      <c r="E2493" s="188"/>
      <c r="H2493"/>
      <c r="I2493" s="202"/>
      <c r="J2493"/>
      <c r="K2493" s="205"/>
      <c r="L2493" s="205"/>
      <c r="M2493" s="205"/>
    </row>
    <row r="2494" spans="2:13" ht="15.75">
      <c r="B2494" s="79"/>
      <c r="D2494"/>
      <c r="E2494" s="188"/>
      <c r="H2494"/>
      <c r="I2494" s="202"/>
      <c r="J2494"/>
      <c r="K2494" s="205"/>
      <c r="L2494" s="205"/>
      <c r="M2494" s="205"/>
    </row>
    <row r="2495" spans="2:13" ht="15.75">
      <c r="B2495" s="79"/>
      <c r="D2495"/>
      <c r="E2495" s="188"/>
      <c r="H2495"/>
      <c r="I2495" s="202"/>
      <c r="J2495"/>
      <c r="K2495" s="205"/>
      <c r="L2495" s="205"/>
      <c r="M2495" s="205"/>
    </row>
    <row r="2496" spans="2:13" ht="15.75">
      <c r="B2496" s="79"/>
      <c r="D2496"/>
      <c r="E2496" s="188"/>
      <c r="H2496"/>
      <c r="I2496" s="202"/>
      <c r="J2496"/>
      <c r="K2496" s="205"/>
      <c r="L2496" s="205"/>
      <c r="M2496" s="205"/>
    </row>
    <row r="2497" spans="2:13" ht="15.75">
      <c r="B2497" s="79"/>
      <c r="D2497"/>
      <c r="E2497" s="188"/>
      <c r="H2497"/>
      <c r="I2497" s="202"/>
      <c r="J2497"/>
      <c r="K2497" s="205"/>
      <c r="L2497" s="205"/>
      <c r="M2497" s="205"/>
    </row>
    <row r="2498" spans="2:13" ht="15.75">
      <c r="B2498" s="79"/>
      <c r="D2498"/>
      <c r="E2498" s="188"/>
      <c r="H2498"/>
      <c r="I2498" s="202"/>
      <c r="J2498"/>
      <c r="K2498" s="205"/>
      <c r="L2498" s="205"/>
      <c r="M2498" s="205"/>
    </row>
    <row r="2499" spans="2:13" ht="15.75">
      <c r="B2499" s="79"/>
      <c r="D2499"/>
      <c r="E2499" s="188"/>
      <c r="H2499"/>
      <c r="I2499" s="202"/>
      <c r="J2499"/>
      <c r="K2499" s="205"/>
      <c r="L2499" s="205"/>
      <c r="M2499" s="205"/>
    </row>
    <row r="2500" spans="2:13" ht="15.75">
      <c r="B2500" s="79"/>
      <c r="D2500"/>
      <c r="E2500" s="188"/>
      <c r="H2500"/>
      <c r="I2500" s="202"/>
      <c r="J2500"/>
      <c r="K2500" s="205"/>
      <c r="L2500" s="205"/>
      <c r="M2500" s="205"/>
    </row>
    <row r="2501" spans="2:13" ht="15.75">
      <c r="B2501" s="79"/>
      <c r="D2501"/>
      <c r="E2501" s="188"/>
      <c r="H2501"/>
      <c r="I2501" s="202"/>
      <c r="J2501"/>
      <c r="K2501" s="205"/>
      <c r="L2501" s="205"/>
      <c r="M2501" s="205"/>
    </row>
    <row r="2502" spans="2:13" ht="15.75">
      <c r="B2502" s="79"/>
      <c r="D2502"/>
      <c r="E2502" s="188"/>
      <c r="H2502"/>
      <c r="I2502" s="202"/>
      <c r="J2502"/>
      <c r="K2502" s="205"/>
      <c r="L2502" s="205"/>
      <c r="M2502" s="205"/>
    </row>
    <row r="2503" spans="2:13" ht="15.75">
      <c r="B2503" s="79"/>
      <c r="D2503"/>
      <c r="E2503" s="188"/>
      <c r="H2503"/>
      <c r="I2503" s="202"/>
      <c r="J2503"/>
      <c r="K2503" s="205"/>
      <c r="L2503" s="205"/>
      <c r="M2503" s="205"/>
    </row>
    <row r="2504" spans="2:13" ht="15.75">
      <c r="B2504" s="79"/>
      <c r="D2504"/>
      <c r="E2504" s="188"/>
      <c r="H2504"/>
      <c r="I2504" s="202"/>
      <c r="J2504"/>
      <c r="K2504" s="205"/>
      <c r="L2504" s="205"/>
      <c r="M2504" s="205"/>
    </row>
    <row r="2505" spans="2:13" ht="15.75">
      <c r="B2505" s="79"/>
      <c r="D2505"/>
      <c r="E2505" s="188"/>
      <c r="H2505"/>
      <c r="I2505" s="202"/>
      <c r="J2505"/>
      <c r="K2505" s="205"/>
      <c r="L2505" s="205"/>
      <c r="M2505" s="205"/>
    </row>
    <row r="2506" spans="2:13" ht="15.75">
      <c r="B2506" s="79"/>
      <c r="D2506"/>
      <c r="E2506" s="188"/>
      <c r="H2506"/>
      <c r="I2506" s="202"/>
      <c r="J2506"/>
      <c r="K2506" s="205"/>
      <c r="L2506" s="205"/>
      <c r="M2506" s="205"/>
    </row>
    <row r="2507" spans="2:13" ht="15.75">
      <c r="B2507" s="79"/>
      <c r="D2507"/>
      <c r="E2507" s="188"/>
      <c r="H2507"/>
      <c r="I2507" s="202"/>
      <c r="J2507"/>
      <c r="K2507" s="205"/>
      <c r="L2507" s="205"/>
      <c r="M2507" s="205"/>
    </row>
    <row r="2508" spans="2:13" ht="15.75">
      <c r="B2508" s="79"/>
      <c r="D2508"/>
      <c r="E2508" s="188"/>
      <c r="H2508"/>
      <c r="I2508" s="202"/>
      <c r="J2508"/>
      <c r="K2508" s="205"/>
      <c r="L2508" s="205"/>
      <c r="M2508" s="205"/>
    </row>
    <row r="2509" spans="2:13" ht="15.75">
      <c r="B2509" s="79"/>
      <c r="D2509"/>
      <c r="E2509" s="188"/>
      <c r="H2509"/>
      <c r="I2509" s="202"/>
      <c r="J2509"/>
      <c r="K2509" s="205"/>
      <c r="L2509" s="205"/>
      <c r="M2509" s="205"/>
    </row>
    <row r="2510" spans="2:13" ht="15.75">
      <c r="B2510" s="79"/>
      <c r="D2510"/>
      <c r="E2510" s="188"/>
      <c r="H2510"/>
      <c r="I2510" s="202"/>
      <c r="J2510"/>
      <c r="K2510" s="205"/>
      <c r="L2510" s="205"/>
      <c r="M2510" s="205"/>
    </row>
    <row r="2511" spans="2:13" ht="15.75">
      <c r="B2511" s="79"/>
      <c r="D2511"/>
      <c r="E2511" s="188"/>
      <c r="H2511"/>
      <c r="I2511" s="202"/>
      <c r="J2511"/>
      <c r="K2511" s="205"/>
      <c r="L2511" s="205"/>
      <c r="M2511" s="205"/>
    </row>
    <row r="2512" spans="2:13" ht="15.75">
      <c r="B2512" s="79"/>
      <c r="D2512"/>
      <c r="E2512" s="188"/>
      <c r="H2512"/>
      <c r="I2512" s="202"/>
      <c r="J2512"/>
      <c r="K2512" s="205"/>
      <c r="L2512" s="205"/>
      <c r="M2512" s="205"/>
    </row>
    <row r="2513" spans="2:13" ht="15.75">
      <c r="B2513" s="79"/>
      <c r="D2513"/>
      <c r="E2513" s="188"/>
      <c r="H2513"/>
      <c r="I2513" s="202"/>
      <c r="J2513"/>
      <c r="K2513" s="205"/>
      <c r="L2513" s="205"/>
      <c r="M2513" s="205"/>
    </row>
    <row r="2514" spans="2:13" ht="15.75">
      <c r="B2514" s="79"/>
      <c r="D2514"/>
      <c r="E2514" s="188"/>
      <c r="H2514"/>
      <c r="I2514" s="202"/>
      <c r="J2514"/>
      <c r="K2514" s="205"/>
      <c r="L2514" s="205"/>
      <c r="M2514" s="205"/>
    </row>
    <row r="2515" spans="2:13" ht="15.75">
      <c r="B2515" s="79"/>
      <c r="D2515"/>
      <c r="E2515" s="188"/>
      <c r="H2515"/>
      <c r="I2515" s="202"/>
      <c r="J2515"/>
      <c r="K2515" s="205"/>
      <c r="L2515" s="205"/>
      <c r="M2515" s="205"/>
    </row>
    <row r="2516" spans="2:13" ht="15.75">
      <c r="B2516" s="79"/>
      <c r="D2516"/>
      <c r="E2516" s="188"/>
      <c r="H2516"/>
      <c r="I2516" s="202"/>
      <c r="J2516"/>
      <c r="K2516" s="205"/>
      <c r="L2516" s="205"/>
      <c r="M2516" s="205"/>
    </row>
    <row r="2517" spans="2:13" ht="15.75">
      <c r="B2517" s="79"/>
      <c r="D2517"/>
      <c r="E2517" s="188"/>
      <c r="H2517"/>
      <c r="I2517" s="202"/>
      <c r="J2517"/>
      <c r="K2517" s="205"/>
      <c r="L2517" s="205"/>
      <c r="M2517" s="205"/>
    </row>
    <row r="2518" spans="2:13" ht="15.75">
      <c r="B2518" s="79"/>
      <c r="D2518"/>
      <c r="E2518" s="188"/>
      <c r="H2518"/>
      <c r="I2518" s="202"/>
      <c r="J2518"/>
      <c r="K2518" s="205"/>
      <c r="L2518" s="205"/>
      <c r="M2518" s="205"/>
    </row>
    <row r="2519" spans="2:13" ht="15.75">
      <c r="B2519" s="79"/>
      <c r="D2519"/>
      <c r="E2519" s="188"/>
      <c r="H2519"/>
      <c r="I2519" s="202"/>
      <c r="J2519"/>
      <c r="K2519" s="205"/>
      <c r="L2519" s="205"/>
      <c r="M2519" s="205"/>
    </row>
    <row r="2520" spans="2:13" ht="15.75">
      <c r="B2520" s="79"/>
      <c r="D2520"/>
      <c r="E2520" s="188"/>
      <c r="H2520"/>
      <c r="I2520" s="202"/>
      <c r="J2520"/>
      <c r="K2520" s="205"/>
      <c r="L2520" s="205"/>
      <c r="M2520" s="205"/>
    </row>
    <row r="2521" spans="2:13" ht="15.75">
      <c r="B2521" s="79"/>
      <c r="D2521"/>
      <c r="E2521" s="188"/>
      <c r="H2521"/>
      <c r="I2521" s="202"/>
      <c r="J2521"/>
      <c r="K2521" s="205"/>
      <c r="L2521" s="205"/>
      <c r="M2521" s="205"/>
    </row>
    <row r="2522" spans="2:13" ht="15.75">
      <c r="B2522" s="79"/>
      <c r="D2522"/>
      <c r="E2522" s="188"/>
      <c r="H2522"/>
      <c r="I2522" s="202"/>
      <c r="J2522"/>
      <c r="K2522" s="205"/>
      <c r="L2522" s="205"/>
      <c r="M2522" s="205"/>
    </row>
    <row r="2523" spans="2:13" ht="15.75">
      <c r="B2523" s="79"/>
      <c r="D2523"/>
      <c r="E2523" s="188"/>
      <c r="H2523"/>
      <c r="I2523" s="202"/>
      <c r="J2523"/>
      <c r="K2523" s="205"/>
      <c r="L2523" s="205"/>
      <c r="M2523" s="205"/>
    </row>
    <row r="2524" spans="2:13" ht="15.75">
      <c r="B2524" s="79"/>
      <c r="D2524"/>
      <c r="E2524" s="188"/>
      <c r="H2524"/>
      <c r="I2524" s="202"/>
      <c r="J2524"/>
      <c r="K2524" s="205"/>
      <c r="L2524" s="205"/>
      <c r="M2524" s="205"/>
    </row>
    <row r="2525" spans="2:13" ht="15.75">
      <c r="B2525" s="79"/>
      <c r="D2525"/>
      <c r="E2525" s="188"/>
      <c r="H2525"/>
      <c r="I2525" s="202"/>
      <c r="J2525"/>
      <c r="K2525" s="205"/>
      <c r="L2525" s="205"/>
      <c r="M2525" s="205"/>
    </row>
    <row r="2526" spans="2:13" ht="15.75">
      <c r="B2526" s="79"/>
      <c r="D2526"/>
      <c r="E2526" s="188"/>
      <c r="H2526"/>
      <c r="I2526" s="202"/>
      <c r="J2526"/>
      <c r="K2526" s="205"/>
      <c r="L2526" s="205"/>
      <c r="M2526" s="205"/>
    </row>
    <row r="2527" spans="2:13" ht="15.75">
      <c r="B2527" s="79"/>
      <c r="D2527"/>
      <c r="E2527" s="188"/>
      <c r="H2527"/>
      <c r="I2527" s="202"/>
      <c r="J2527"/>
      <c r="K2527" s="205"/>
      <c r="L2527" s="205"/>
      <c r="M2527" s="205"/>
    </row>
    <row r="2528" spans="2:13" ht="15.75">
      <c r="B2528" s="79"/>
      <c r="D2528"/>
      <c r="E2528" s="188"/>
      <c r="H2528"/>
      <c r="I2528" s="202"/>
      <c r="J2528"/>
      <c r="K2528" s="205"/>
      <c r="L2528" s="205"/>
      <c r="M2528" s="205"/>
    </row>
    <row r="2529" spans="2:13" ht="15.75">
      <c r="B2529" s="79"/>
      <c r="D2529"/>
      <c r="E2529" s="188"/>
      <c r="H2529"/>
      <c r="I2529" s="202"/>
      <c r="J2529"/>
      <c r="K2529" s="205"/>
      <c r="L2529" s="205"/>
      <c r="M2529" s="205"/>
    </row>
    <row r="2530" spans="2:13" ht="15.75">
      <c r="B2530" s="79"/>
      <c r="D2530"/>
      <c r="E2530" s="188"/>
      <c r="H2530"/>
      <c r="I2530" s="202"/>
      <c r="J2530"/>
      <c r="K2530" s="205"/>
      <c r="L2530" s="205"/>
      <c r="M2530" s="205"/>
    </row>
    <row r="2531" spans="2:13" ht="15.75">
      <c r="B2531" s="79"/>
      <c r="D2531"/>
      <c r="E2531" s="188"/>
      <c r="H2531"/>
      <c r="I2531" s="202"/>
      <c r="J2531"/>
      <c r="K2531" s="205"/>
      <c r="L2531" s="205"/>
      <c r="M2531" s="205"/>
    </row>
    <row r="2532" spans="2:13" ht="15.75">
      <c r="B2532" s="79"/>
      <c r="D2532"/>
      <c r="E2532" s="188"/>
      <c r="H2532"/>
      <c r="I2532" s="202"/>
      <c r="J2532"/>
      <c r="K2532" s="205"/>
      <c r="L2532" s="205"/>
      <c r="M2532" s="205"/>
    </row>
    <row r="2533" spans="2:13" ht="15.75">
      <c r="B2533" s="79"/>
      <c r="D2533"/>
      <c r="E2533" s="188"/>
      <c r="H2533"/>
      <c r="I2533" s="202"/>
      <c r="J2533"/>
      <c r="K2533" s="205"/>
      <c r="L2533" s="205"/>
      <c r="M2533" s="205"/>
    </row>
    <row r="2534" spans="2:13" ht="15.75">
      <c r="B2534" s="79"/>
      <c r="D2534"/>
      <c r="E2534" s="188"/>
      <c r="H2534"/>
      <c r="I2534" s="202"/>
      <c r="J2534"/>
      <c r="K2534" s="205"/>
      <c r="L2534" s="205"/>
      <c r="M2534" s="205"/>
    </row>
    <row r="2535" spans="2:13" ht="15.75">
      <c r="B2535" s="79"/>
      <c r="D2535"/>
      <c r="E2535" s="188"/>
      <c r="H2535"/>
      <c r="I2535" s="202"/>
      <c r="J2535"/>
      <c r="K2535" s="205"/>
      <c r="L2535" s="205"/>
      <c r="M2535" s="205"/>
    </row>
    <row r="2536" spans="2:13" ht="15.75">
      <c r="B2536" s="79"/>
      <c r="D2536"/>
      <c r="E2536" s="188"/>
      <c r="H2536"/>
      <c r="I2536" s="202"/>
      <c r="J2536"/>
      <c r="K2536" s="205"/>
      <c r="L2536" s="205"/>
      <c r="M2536" s="205"/>
    </row>
    <row r="2537" spans="2:13" ht="15.75">
      <c r="B2537" s="79"/>
      <c r="D2537"/>
      <c r="E2537" s="188"/>
      <c r="H2537"/>
      <c r="I2537" s="202"/>
      <c r="J2537"/>
      <c r="K2537" s="205"/>
      <c r="L2537" s="205"/>
      <c r="M2537" s="205"/>
    </row>
    <row r="2538" spans="2:13" ht="15.75">
      <c r="B2538" s="79"/>
      <c r="D2538"/>
      <c r="E2538" s="188"/>
      <c r="H2538"/>
      <c r="I2538" s="202"/>
      <c r="J2538"/>
      <c r="K2538" s="205"/>
      <c r="L2538" s="205"/>
      <c r="M2538" s="205"/>
    </row>
    <row r="2539" spans="2:13" ht="15.75">
      <c r="B2539" s="79"/>
      <c r="D2539"/>
      <c r="E2539" s="188"/>
      <c r="H2539"/>
      <c r="I2539" s="202"/>
      <c r="J2539"/>
      <c r="K2539" s="205"/>
      <c r="L2539" s="205"/>
      <c r="M2539" s="205"/>
    </row>
    <row r="2540" spans="2:13" ht="15.75">
      <c r="B2540" s="79"/>
      <c r="D2540"/>
      <c r="E2540" s="188"/>
      <c r="H2540"/>
      <c r="I2540" s="202"/>
      <c r="J2540"/>
      <c r="K2540" s="205"/>
      <c r="L2540" s="205"/>
      <c r="M2540" s="205"/>
    </row>
    <row r="2541" spans="2:13" ht="15.75">
      <c r="B2541" s="79"/>
      <c r="D2541"/>
      <c r="E2541" s="188"/>
      <c r="H2541"/>
      <c r="I2541" s="202"/>
      <c r="J2541"/>
      <c r="K2541" s="205"/>
      <c r="L2541" s="205"/>
      <c r="M2541" s="205"/>
    </row>
    <row r="2542" spans="2:13" ht="15.75">
      <c r="B2542" s="79"/>
      <c r="D2542"/>
      <c r="E2542" s="188"/>
      <c r="H2542"/>
      <c r="I2542" s="202"/>
      <c r="J2542"/>
      <c r="K2542" s="205"/>
      <c r="L2542" s="205"/>
      <c r="M2542" s="205"/>
    </row>
    <row r="2543" spans="2:13" ht="15.75">
      <c r="B2543" s="79"/>
      <c r="D2543"/>
      <c r="E2543" s="188"/>
      <c r="H2543"/>
      <c r="I2543" s="202"/>
      <c r="J2543"/>
      <c r="K2543" s="205"/>
      <c r="L2543" s="205"/>
      <c r="M2543" s="205"/>
    </row>
    <row r="2544" spans="2:13" ht="15.75">
      <c r="B2544" s="79"/>
      <c r="D2544"/>
      <c r="E2544" s="188"/>
      <c r="H2544"/>
      <c r="I2544" s="202"/>
      <c r="J2544"/>
      <c r="K2544" s="205"/>
      <c r="L2544" s="205"/>
      <c r="M2544" s="205"/>
    </row>
    <row r="2545" spans="2:13" ht="15.75">
      <c r="B2545" s="79"/>
      <c r="D2545"/>
      <c r="E2545" s="188"/>
      <c r="H2545"/>
      <c r="I2545" s="202"/>
      <c r="J2545"/>
      <c r="K2545" s="205"/>
      <c r="L2545" s="205"/>
      <c r="M2545" s="205"/>
    </row>
    <row r="2546" spans="2:13" ht="15.75">
      <c r="B2546" s="79"/>
      <c r="D2546"/>
      <c r="E2546" s="188"/>
      <c r="H2546"/>
      <c r="I2546" s="202"/>
      <c r="J2546"/>
      <c r="K2546" s="205"/>
      <c r="L2546" s="205"/>
      <c r="M2546" s="205"/>
    </row>
    <row r="2547" spans="2:13" ht="15.75">
      <c r="B2547" s="79"/>
      <c r="D2547"/>
      <c r="E2547" s="188"/>
      <c r="H2547"/>
      <c r="I2547" s="202"/>
      <c r="J2547"/>
      <c r="K2547" s="205"/>
      <c r="L2547" s="205"/>
      <c r="M2547" s="205"/>
    </row>
    <row r="2548" spans="2:13" ht="15.75">
      <c r="B2548" s="79"/>
      <c r="D2548"/>
      <c r="E2548" s="188"/>
      <c r="H2548"/>
      <c r="I2548" s="202"/>
      <c r="J2548"/>
      <c r="K2548" s="205"/>
      <c r="L2548" s="205"/>
      <c r="M2548" s="205"/>
    </row>
    <row r="2549" spans="2:13" ht="15.75">
      <c r="B2549" s="79"/>
      <c r="D2549"/>
      <c r="E2549" s="188"/>
      <c r="H2549"/>
      <c r="I2549" s="202"/>
      <c r="J2549"/>
      <c r="K2549" s="205"/>
      <c r="L2549" s="205"/>
      <c r="M2549" s="205"/>
    </row>
    <row r="2550" spans="2:13" ht="15.75">
      <c r="B2550" s="79"/>
      <c r="D2550"/>
      <c r="E2550" s="188"/>
      <c r="H2550"/>
      <c r="I2550" s="202"/>
      <c r="J2550"/>
      <c r="K2550" s="205"/>
      <c r="L2550" s="205"/>
      <c r="M2550" s="205"/>
    </row>
    <row r="2551" spans="2:13" ht="15.75">
      <c r="B2551" s="79"/>
      <c r="D2551"/>
      <c r="E2551" s="188"/>
      <c r="H2551"/>
      <c r="I2551" s="202"/>
      <c r="J2551"/>
      <c r="K2551" s="205"/>
      <c r="L2551" s="205"/>
      <c r="M2551" s="205"/>
    </row>
    <row r="2552" spans="2:13" ht="15.75">
      <c r="B2552" s="79"/>
      <c r="D2552"/>
      <c r="E2552" s="188"/>
      <c r="H2552"/>
      <c r="I2552" s="202"/>
      <c r="J2552"/>
      <c r="K2552" s="205"/>
      <c r="L2552" s="205"/>
      <c r="M2552" s="205"/>
    </row>
    <row r="2553" spans="2:13" ht="15.75">
      <c r="B2553" s="79"/>
      <c r="D2553"/>
      <c r="E2553" s="188"/>
      <c r="H2553"/>
      <c r="I2553" s="202"/>
      <c r="J2553"/>
      <c r="K2553" s="205"/>
      <c r="L2553" s="205"/>
      <c r="M2553" s="205"/>
    </row>
    <row r="2554" spans="2:13" ht="15.75">
      <c r="B2554" s="79"/>
      <c r="D2554"/>
      <c r="E2554" s="188"/>
      <c r="H2554"/>
      <c r="I2554" s="202"/>
      <c r="J2554"/>
      <c r="K2554" s="205"/>
      <c r="L2554" s="205"/>
      <c r="M2554" s="205"/>
    </row>
    <row r="2555" spans="2:13" ht="15.75">
      <c r="B2555" s="79"/>
      <c r="D2555"/>
      <c r="E2555" s="188"/>
      <c r="H2555"/>
      <c r="I2555" s="202"/>
      <c r="J2555"/>
      <c r="K2555" s="205"/>
      <c r="L2555" s="205"/>
      <c r="M2555" s="205"/>
    </row>
    <row r="2556" spans="2:13" ht="15.75">
      <c r="B2556" s="79"/>
      <c r="D2556"/>
      <c r="E2556" s="188"/>
      <c r="H2556"/>
      <c r="I2556" s="202"/>
      <c r="J2556"/>
      <c r="K2556" s="205"/>
      <c r="L2556" s="205"/>
      <c r="M2556" s="205"/>
    </row>
    <row r="2557" spans="2:13" ht="15.75">
      <c r="B2557" s="79"/>
      <c r="D2557"/>
      <c r="E2557" s="188"/>
      <c r="H2557"/>
      <c r="I2557" s="202"/>
      <c r="J2557"/>
      <c r="K2557" s="205"/>
      <c r="L2557" s="205"/>
      <c r="M2557" s="205"/>
    </row>
    <row r="2558" spans="2:13" ht="15.75">
      <c r="B2558" s="79"/>
      <c r="D2558"/>
      <c r="E2558" s="188"/>
      <c r="H2558"/>
      <c r="I2558" s="202"/>
      <c r="J2558"/>
      <c r="K2558" s="205"/>
      <c r="L2558" s="205"/>
      <c r="M2558" s="205"/>
    </row>
    <row r="2559" spans="2:13" ht="15.75">
      <c r="B2559" s="79"/>
      <c r="D2559"/>
      <c r="E2559" s="188"/>
      <c r="H2559"/>
      <c r="I2559" s="202"/>
      <c r="J2559"/>
      <c r="K2559" s="205"/>
      <c r="L2559" s="205"/>
      <c r="M2559" s="205"/>
    </row>
    <row r="2560" spans="2:13" ht="15.75">
      <c r="B2560" s="79"/>
      <c r="D2560"/>
      <c r="E2560" s="188"/>
      <c r="H2560"/>
      <c r="I2560" s="202"/>
      <c r="J2560"/>
      <c r="K2560" s="205"/>
      <c r="L2560" s="205"/>
      <c r="M2560" s="205"/>
    </row>
    <row r="2561" spans="2:13" ht="15.75">
      <c r="B2561" s="79"/>
      <c r="D2561"/>
      <c r="E2561" s="188"/>
      <c r="H2561"/>
      <c r="I2561" s="202"/>
      <c r="J2561"/>
      <c r="K2561" s="205"/>
      <c r="L2561" s="205"/>
      <c r="M2561" s="205"/>
    </row>
    <row r="2562" spans="2:13" ht="15.75">
      <c r="B2562" s="79"/>
      <c r="D2562"/>
      <c r="E2562" s="188"/>
      <c r="H2562"/>
      <c r="I2562" s="202"/>
      <c r="J2562"/>
      <c r="K2562" s="205"/>
      <c r="L2562" s="205"/>
      <c r="M2562" s="205"/>
    </row>
    <row r="2563" spans="2:13" ht="15.75">
      <c r="B2563" s="79"/>
      <c r="D2563"/>
      <c r="E2563" s="188"/>
      <c r="H2563"/>
      <c r="I2563" s="202"/>
      <c r="J2563"/>
      <c r="K2563" s="205"/>
      <c r="L2563" s="205"/>
      <c r="M2563" s="205"/>
    </row>
    <row r="2564" spans="2:13" ht="15.75">
      <c r="B2564" s="79"/>
      <c r="D2564"/>
      <c r="E2564" s="188"/>
      <c r="H2564"/>
      <c r="I2564" s="202"/>
      <c r="J2564"/>
      <c r="K2564" s="205"/>
      <c r="L2564" s="205"/>
      <c r="M2564" s="205"/>
    </row>
    <row r="2565" spans="2:13" ht="15.75">
      <c r="B2565" s="79"/>
      <c r="D2565"/>
      <c r="E2565" s="188"/>
      <c r="H2565"/>
      <c r="I2565" s="202"/>
      <c r="J2565"/>
      <c r="K2565" s="205"/>
      <c r="L2565" s="205"/>
      <c r="M2565" s="205"/>
    </row>
    <row r="2566" spans="2:13" ht="15.75">
      <c r="B2566" s="79"/>
      <c r="D2566"/>
      <c r="E2566" s="188"/>
      <c r="H2566"/>
      <c r="I2566" s="202"/>
      <c r="J2566"/>
      <c r="K2566" s="205"/>
      <c r="L2566" s="205"/>
      <c r="M2566" s="205"/>
    </row>
    <row r="2567" spans="2:13" ht="15.75">
      <c r="B2567" s="79"/>
      <c r="D2567"/>
      <c r="E2567" s="188"/>
      <c r="H2567"/>
      <c r="I2567" s="202"/>
      <c r="J2567"/>
      <c r="K2567" s="205"/>
      <c r="L2567" s="205"/>
      <c r="M2567" s="205"/>
    </row>
    <row r="2568" spans="2:13" ht="15.75">
      <c r="B2568" s="79"/>
      <c r="D2568"/>
      <c r="E2568" s="188"/>
      <c r="H2568"/>
      <c r="I2568" s="202"/>
      <c r="J2568"/>
      <c r="K2568" s="205"/>
      <c r="L2568" s="205"/>
      <c r="M2568" s="205"/>
    </row>
    <row r="2569" spans="2:13" ht="15.75">
      <c r="B2569" s="79"/>
      <c r="D2569"/>
      <c r="E2569" s="188"/>
      <c r="H2569"/>
      <c r="I2569" s="202"/>
      <c r="J2569"/>
      <c r="K2569" s="205"/>
      <c r="L2569" s="205"/>
      <c r="M2569" s="205"/>
    </row>
    <row r="2570" spans="2:13" ht="15.75">
      <c r="B2570" s="79"/>
      <c r="D2570"/>
      <c r="E2570" s="188"/>
      <c r="H2570"/>
      <c r="I2570" s="202"/>
      <c r="J2570"/>
      <c r="K2570" s="205"/>
      <c r="L2570" s="205"/>
      <c r="M2570" s="205"/>
    </row>
    <row r="2571" spans="2:13" ht="15.75">
      <c r="B2571" s="79"/>
      <c r="D2571"/>
      <c r="E2571" s="188"/>
      <c r="H2571"/>
      <c r="I2571" s="202"/>
      <c r="J2571"/>
      <c r="K2571" s="205"/>
      <c r="L2571" s="205"/>
      <c r="M2571" s="205"/>
    </row>
    <row r="2572" spans="2:13" ht="15.75">
      <c r="B2572" s="79"/>
      <c r="D2572"/>
      <c r="E2572" s="188"/>
      <c r="H2572"/>
      <c r="I2572" s="202"/>
      <c r="J2572"/>
      <c r="K2572" s="205"/>
      <c r="L2572" s="205"/>
      <c r="M2572" s="205"/>
    </row>
    <row r="2573" spans="2:13" ht="15.75">
      <c r="B2573" s="79"/>
      <c r="D2573"/>
      <c r="E2573" s="188"/>
      <c r="H2573"/>
      <c r="I2573" s="202"/>
      <c r="J2573"/>
      <c r="K2573" s="205"/>
      <c r="L2573" s="205"/>
      <c r="M2573" s="205"/>
    </row>
    <row r="2574" spans="2:13" ht="15.75">
      <c r="B2574" s="79"/>
      <c r="D2574"/>
      <c r="E2574" s="188"/>
      <c r="H2574"/>
      <c r="I2574" s="202"/>
      <c r="J2574"/>
      <c r="K2574" s="205"/>
      <c r="L2574" s="205"/>
      <c r="M2574" s="205"/>
    </row>
    <row r="2575" spans="2:13" ht="15.75">
      <c r="B2575" s="79"/>
      <c r="D2575"/>
      <c r="E2575" s="188"/>
      <c r="H2575"/>
      <c r="I2575" s="202"/>
      <c r="J2575"/>
      <c r="K2575" s="205"/>
      <c r="L2575" s="205"/>
      <c r="M2575" s="205"/>
    </row>
    <row r="2576" spans="2:13" ht="15.75">
      <c r="B2576" s="79"/>
      <c r="D2576"/>
      <c r="E2576" s="188"/>
      <c r="H2576"/>
      <c r="I2576" s="202"/>
      <c r="J2576"/>
      <c r="K2576" s="205"/>
      <c r="L2576" s="205"/>
      <c r="M2576" s="205"/>
    </row>
    <row r="2577" spans="2:13" ht="15.75">
      <c r="B2577" s="79"/>
      <c r="D2577"/>
      <c r="E2577" s="188"/>
      <c r="H2577"/>
      <c r="I2577" s="202"/>
      <c r="J2577"/>
      <c r="K2577" s="205"/>
      <c r="L2577" s="205"/>
      <c r="M2577" s="205"/>
    </row>
    <row r="2578" spans="2:13" ht="15.75">
      <c r="B2578" s="79"/>
      <c r="D2578"/>
      <c r="E2578" s="188"/>
      <c r="H2578"/>
      <c r="I2578" s="202"/>
      <c r="J2578"/>
      <c r="K2578" s="205"/>
      <c r="L2578" s="205"/>
      <c r="M2578" s="205"/>
    </row>
    <row r="2579" spans="2:13" ht="15.75">
      <c r="B2579" s="79"/>
      <c r="D2579"/>
      <c r="E2579" s="188"/>
      <c r="H2579"/>
      <c r="I2579" s="202"/>
      <c r="J2579"/>
      <c r="K2579" s="205"/>
      <c r="L2579" s="205"/>
      <c r="M2579" s="205"/>
    </row>
    <row r="2580" spans="2:13" ht="15.75">
      <c r="B2580" s="79"/>
      <c r="D2580"/>
      <c r="E2580" s="188"/>
      <c r="H2580"/>
      <c r="I2580" s="202"/>
      <c r="J2580"/>
      <c r="K2580" s="205"/>
      <c r="L2580" s="205"/>
      <c r="M2580" s="205"/>
    </row>
    <row r="2581" spans="2:13" ht="15.75">
      <c r="B2581" s="79"/>
      <c r="D2581"/>
      <c r="E2581" s="188"/>
      <c r="H2581"/>
      <c r="I2581" s="202"/>
      <c r="J2581"/>
      <c r="K2581" s="205"/>
      <c r="L2581" s="205"/>
      <c r="M2581" s="205"/>
    </row>
    <row r="2582" spans="2:13" ht="15.75">
      <c r="B2582" s="79"/>
      <c r="D2582"/>
      <c r="E2582" s="188"/>
      <c r="H2582"/>
      <c r="I2582" s="202"/>
      <c r="J2582"/>
      <c r="K2582" s="205"/>
      <c r="L2582" s="205"/>
      <c r="M2582" s="205"/>
    </row>
    <row r="2583" spans="2:13" ht="15.75">
      <c r="B2583" s="79"/>
      <c r="D2583"/>
      <c r="E2583" s="188"/>
      <c r="H2583"/>
      <c r="I2583" s="202"/>
      <c r="J2583"/>
      <c r="K2583" s="205"/>
      <c r="L2583" s="205"/>
      <c r="M2583" s="205"/>
    </row>
    <row r="2584" spans="2:13" ht="15.75">
      <c r="B2584" s="79"/>
      <c r="D2584"/>
      <c r="E2584" s="188"/>
      <c r="H2584"/>
      <c r="I2584" s="202"/>
      <c r="J2584"/>
      <c r="K2584" s="205"/>
      <c r="L2584" s="205"/>
      <c r="M2584" s="205"/>
    </row>
    <row r="2585" spans="2:13" ht="15.75">
      <c r="B2585" s="79"/>
      <c r="D2585"/>
      <c r="E2585" s="188"/>
      <c r="H2585"/>
      <c r="I2585" s="202"/>
      <c r="J2585"/>
      <c r="K2585" s="205"/>
      <c r="L2585" s="205"/>
      <c r="M2585" s="205"/>
    </row>
    <row r="2586" spans="2:13" ht="15.75">
      <c r="B2586" s="79"/>
      <c r="D2586"/>
      <c r="E2586" s="188"/>
      <c r="H2586"/>
      <c r="I2586" s="202"/>
      <c r="J2586"/>
      <c r="K2586" s="205"/>
      <c r="L2586" s="205"/>
      <c r="M2586" s="205"/>
    </row>
    <row r="2587" spans="2:13" ht="15.75">
      <c r="B2587" s="79"/>
      <c r="D2587"/>
      <c r="E2587" s="188"/>
      <c r="H2587"/>
      <c r="I2587" s="202"/>
      <c r="J2587"/>
      <c r="K2587" s="205"/>
      <c r="L2587" s="205"/>
      <c r="M2587" s="205"/>
    </row>
    <row r="2588" spans="2:13" ht="15.75">
      <c r="B2588" s="79"/>
      <c r="D2588"/>
      <c r="E2588" s="188"/>
      <c r="H2588"/>
      <c r="I2588" s="202"/>
      <c r="J2588"/>
      <c r="K2588" s="205"/>
      <c r="L2588" s="205"/>
      <c r="M2588" s="205"/>
    </row>
    <row r="2589" spans="2:13" ht="15.75">
      <c r="B2589" s="79"/>
      <c r="D2589"/>
      <c r="E2589" s="188"/>
      <c r="H2589"/>
      <c r="I2589" s="202"/>
      <c r="J2589"/>
      <c r="K2589" s="205"/>
      <c r="L2589" s="205"/>
      <c r="M2589" s="205"/>
    </row>
    <row r="2590" spans="2:13" ht="15.75">
      <c r="B2590" s="79"/>
      <c r="D2590"/>
      <c r="E2590" s="188"/>
      <c r="H2590"/>
      <c r="I2590" s="202"/>
      <c r="J2590"/>
      <c r="K2590" s="205"/>
      <c r="L2590" s="205"/>
      <c r="M2590" s="205"/>
    </row>
    <row r="2591" spans="2:13" ht="15.75">
      <c r="B2591" s="79"/>
      <c r="D2591"/>
      <c r="E2591" s="188"/>
      <c r="H2591"/>
      <c r="I2591" s="202"/>
      <c r="J2591"/>
      <c r="K2591" s="205"/>
      <c r="L2591" s="205"/>
      <c r="M2591" s="205"/>
    </row>
    <row r="2592" spans="2:13" ht="15.75">
      <c r="B2592" s="79"/>
      <c r="D2592"/>
      <c r="E2592" s="188"/>
      <c r="H2592"/>
      <c r="I2592" s="202"/>
      <c r="J2592"/>
      <c r="K2592" s="205"/>
      <c r="L2592" s="205"/>
      <c r="M2592" s="205"/>
    </row>
    <row r="2593" spans="2:13" ht="15.75">
      <c r="B2593" s="79"/>
      <c r="D2593"/>
      <c r="E2593" s="188"/>
      <c r="H2593"/>
      <c r="I2593" s="202"/>
      <c r="J2593"/>
      <c r="K2593" s="205"/>
      <c r="L2593" s="205"/>
      <c r="M2593" s="205"/>
    </row>
    <row r="2594" spans="2:13" ht="15.75">
      <c r="B2594" s="79"/>
      <c r="D2594"/>
      <c r="E2594" s="188"/>
      <c r="H2594"/>
      <c r="I2594" s="202"/>
      <c r="J2594"/>
      <c r="K2594" s="205"/>
      <c r="L2594" s="205"/>
      <c r="M2594" s="205"/>
    </row>
    <row r="2595" spans="2:13" ht="15.75">
      <c r="B2595" s="79"/>
      <c r="D2595"/>
      <c r="E2595" s="188"/>
      <c r="H2595"/>
      <c r="I2595" s="202"/>
      <c r="J2595"/>
      <c r="K2595" s="205"/>
      <c r="L2595" s="205"/>
      <c r="M2595" s="205"/>
    </row>
    <row r="2596" spans="2:13" ht="15.75">
      <c r="B2596" s="79"/>
      <c r="D2596"/>
      <c r="E2596" s="188"/>
      <c r="H2596"/>
      <c r="I2596" s="202"/>
      <c r="J2596"/>
      <c r="K2596" s="205"/>
      <c r="L2596" s="205"/>
      <c r="M2596" s="205"/>
    </row>
    <row r="2597" spans="2:13" ht="15.75">
      <c r="B2597" s="79"/>
      <c r="D2597"/>
      <c r="E2597" s="188"/>
      <c r="H2597"/>
      <c r="I2597" s="202"/>
      <c r="J2597"/>
      <c r="K2597" s="205"/>
      <c r="L2597" s="205"/>
      <c r="M2597" s="205"/>
    </row>
    <row r="2598" spans="2:13" ht="15.75">
      <c r="B2598" s="79"/>
      <c r="D2598"/>
      <c r="E2598" s="188"/>
      <c r="H2598"/>
      <c r="I2598" s="202"/>
      <c r="J2598"/>
      <c r="K2598" s="205"/>
      <c r="L2598" s="205"/>
      <c r="M2598" s="205"/>
    </row>
    <row r="2599" spans="2:13" ht="15.75">
      <c r="B2599" s="79"/>
      <c r="D2599"/>
      <c r="E2599" s="188"/>
      <c r="H2599"/>
      <c r="I2599" s="202"/>
      <c r="J2599"/>
      <c r="K2599" s="205"/>
      <c r="L2599" s="205"/>
      <c r="M2599" s="205"/>
    </row>
    <row r="2600" spans="2:13" ht="15.75">
      <c r="B2600" s="79"/>
      <c r="D2600"/>
      <c r="E2600" s="188"/>
      <c r="H2600"/>
      <c r="I2600" s="202"/>
      <c r="J2600"/>
      <c r="K2600" s="205"/>
      <c r="L2600" s="205"/>
      <c r="M2600" s="205"/>
    </row>
    <row r="2601" spans="2:13" ht="15.75">
      <c r="B2601" s="79"/>
      <c r="D2601"/>
      <c r="E2601" s="188"/>
      <c r="H2601"/>
      <c r="I2601" s="202"/>
      <c r="J2601"/>
      <c r="K2601" s="205"/>
      <c r="L2601" s="205"/>
      <c r="M2601" s="205"/>
    </row>
    <row r="2602" spans="2:13" ht="15.75">
      <c r="B2602" s="79"/>
      <c r="D2602"/>
      <c r="E2602" s="188"/>
      <c r="H2602"/>
      <c r="I2602" s="202"/>
      <c r="J2602"/>
      <c r="K2602" s="205"/>
      <c r="L2602" s="205"/>
      <c r="M2602" s="205"/>
    </row>
    <row r="2603" spans="2:13" ht="15.75">
      <c r="B2603" s="79"/>
      <c r="D2603"/>
      <c r="E2603" s="188"/>
      <c r="H2603"/>
      <c r="I2603" s="202"/>
      <c r="J2603"/>
      <c r="K2603" s="205"/>
      <c r="L2603" s="205"/>
      <c r="M2603" s="205"/>
    </row>
    <row r="2604" spans="2:13" ht="15.75">
      <c r="B2604" s="79"/>
      <c r="D2604"/>
      <c r="E2604" s="188"/>
      <c r="H2604"/>
      <c r="I2604" s="202"/>
      <c r="J2604"/>
      <c r="K2604" s="205"/>
      <c r="L2604" s="205"/>
      <c r="M2604" s="205"/>
    </row>
    <row r="2605" spans="2:13" ht="15.75">
      <c r="B2605" s="79"/>
      <c r="D2605"/>
      <c r="E2605" s="188"/>
      <c r="H2605"/>
      <c r="I2605" s="202"/>
      <c r="J2605"/>
      <c r="K2605" s="205"/>
      <c r="L2605" s="205"/>
      <c r="M2605" s="205"/>
    </row>
    <row r="2606" spans="2:13" ht="15.75">
      <c r="B2606" s="79"/>
      <c r="D2606"/>
      <c r="E2606" s="188"/>
      <c r="H2606"/>
      <c r="I2606" s="202"/>
      <c r="J2606"/>
      <c r="K2606" s="205"/>
      <c r="L2606" s="205"/>
      <c r="M2606" s="205"/>
    </row>
    <row r="2607" spans="2:13" ht="15.75">
      <c r="B2607" s="79"/>
      <c r="D2607"/>
      <c r="E2607" s="188"/>
      <c r="H2607"/>
      <c r="I2607" s="202"/>
      <c r="J2607"/>
      <c r="K2607" s="205"/>
      <c r="L2607" s="205"/>
      <c r="M2607" s="205"/>
    </row>
    <row r="2608" spans="2:13" ht="15.75">
      <c r="B2608" s="79"/>
      <c r="D2608"/>
      <c r="E2608" s="188"/>
      <c r="H2608"/>
      <c r="I2608" s="202"/>
      <c r="J2608"/>
      <c r="K2608" s="205"/>
      <c r="L2608" s="205"/>
      <c r="M2608" s="205"/>
    </row>
    <row r="2609" spans="2:13" ht="15.75">
      <c r="B2609" s="79"/>
      <c r="D2609"/>
      <c r="E2609" s="188"/>
      <c r="H2609"/>
      <c r="I2609" s="202"/>
      <c r="J2609"/>
      <c r="K2609" s="205"/>
      <c r="L2609" s="205"/>
      <c r="M2609" s="205"/>
    </row>
    <row r="2610" spans="2:13" ht="15.75">
      <c r="B2610" s="79"/>
      <c r="D2610"/>
      <c r="E2610" s="188"/>
      <c r="H2610"/>
      <c r="I2610" s="202"/>
      <c r="J2610"/>
      <c r="K2610" s="205"/>
      <c r="L2610" s="205"/>
      <c r="M2610" s="205"/>
    </row>
    <row r="2611" spans="2:13" ht="15.75">
      <c r="B2611" s="79"/>
      <c r="D2611"/>
      <c r="E2611" s="188"/>
      <c r="H2611"/>
      <c r="I2611" s="202"/>
      <c r="J2611"/>
      <c r="K2611" s="205"/>
      <c r="L2611" s="205"/>
      <c r="M2611" s="205"/>
    </row>
    <row r="2612" spans="2:13" ht="15.75">
      <c r="B2612" s="79"/>
      <c r="D2612"/>
      <c r="E2612" s="188"/>
      <c r="H2612"/>
      <c r="I2612" s="202"/>
      <c r="J2612"/>
      <c r="K2612" s="205"/>
      <c r="L2612" s="205"/>
      <c r="M2612" s="205"/>
    </row>
    <row r="2613" spans="2:13" ht="15.75">
      <c r="B2613" s="79"/>
      <c r="D2613"/>
      <c r="E2613" s="188"/>
      <c r="H2613"/>
      <c r="I2613" s="202"/>
      <c r="J2613"/>
      <c r="K2613" s="205"/>
      <c r="L2613" s="205"/>
      <c r="M2613" s="205"/>
    </row>
    <row r="2614" spans="2:13" ht="15.75">
      <c r="B2614" s="79"/>
      <c r="D2614"/>
      <c r="E2614" s="188"/>
      <c r="H2614"/>
      <c r="I2614" s="202"/>
      <c r="J2614"/>
      <c r="K2614" s="205"/>
      <c r="L2614" s="205"/>
      <c r="M2614" s="205"/>
    </row>
    <row r="2615" spans="2:13" ht="15.75">
      <c r="B2615" s="79"/>
      <c r="D2615"/>
      <c r="E2615" s="188"/>
      <c r="H2615"/>
      <c r="I2615" s="202"/>
      <c r="J2615"/>
      <c r="K2615" s="205"/>
      <c r="L2615" s="205"/>
      <c r="M2615" s="205"/>
    </row>
    <row r="2616" spans="2:13" ht="15.75">
      <c r="B2616" s="79"/>
      <c r="D2616"/>
      <c r="E2616" s="188"/>
      <c r="H2616"/>
      <c r="I2616" s="202"/>
      <c r="J2616"/>
      <c r="K2616" s="205"/>
      <c r="L2616" s="205"/>
      <c r="M2616" s="205"/>
    </row>
    <row r="2617" spans="2:13" ht="15.75">
      <c r="B2617" s="79"/>
      <c r="D2617"/>
      <c r="E2617" s="188"/>
      <c r="H2617"/>
      <c r="I2617" s="202"/>
      <c r="J2617"/>
      <c r="K2617" s="205"/>
      <c r="L2617" s="205"/>
      <c r="M2617" s="205"/>
    </row>
    <row r="2618" spans="2:13" ht="15.75">
      <c r="B2618" s="79"/>
      <c r="D2618"/>
      <c r="E2618" s="188"/>
      <c r="H2618"/>
      <c r="I2618" s="202"/>
      <c r="J2618"/>
      <c r="K2618" s="205"/>
      <c r="L2618" s="205"/>
      <c r="M2618" s="205"/>
    </row>
    <row r="2619" spans="2:13" ht="15.75">
      <c r="B2619" s="79"/>
      <c r="D2619"/>
      <c r="E2619" s="188"/>
      <c r="H2619"/>
      <c r="I2619" s="202"/>
      <c r="J2619"/>
      <c r="K2619" s="205"/>
      <c r="L2619" s="205"/>
      <c r="M2619" s="205"/>
    </row>
    <row r="2620" spans="2:13" ht="15.75">
      <c r="B2620" s="79"/>
      <c r="D2620"/>
      <c r="E2620" s="188"/>
      <c r="H2620"/>
      <c r="I2620" s="202"/>
      <c r="J2620"/>
      <c r="K2620" s="205"/>
      <c r="L2620" s="205"/>
      <c r="M2620" s="205"/>
    </row>
    <row r="2621" spans="2:13" ht="15.75">
      <c r="B2621" s="79"/>
      <c r="D2621"/>
      <c r="E2621" s="188"/>
      <c r="H2621"/>
      <c r="I2621" s="202"/>
      <c r="J2621"/>
      <c r="K2621" s="205"/>
      <c r="L2621" s="205"/>
      <c r="M2621" s="205"/>
    </row>
    <row r="2622" spans="2:13" ht="15.75">
      <c r="B2622" s="79"/>
      <c r="D2622"/>
      <c r="E2622" s="188"/>
      <c r="H2622"/>
      <c r="I2622" s="202"/>
      <c r="J2622"/>
      <c r="K2622" s="205"/>
      <c r="L2622" s="205"/>
      <c r="M2622" s="205"/>
    </row>
    <row r="2623" spans="2:13" ht="15.75">
      <c r="B2623" s="79"/>
      <c r="D2623"/>
      <c r="E2623" s="188"/>
      <c r="H2623"/>
      <c r="I2623" s="202"/>
      <c r="J2623"/>
      <c r="K2623" s="205"/>
      <c r="L2623" s="205"/>
      <c r="M2623" s="205"/>
    </row>
    <row r="2624" spans="2:13" ht="15.75">
      <c r="B2624" s="79"/>
      <c r="D2624"/>
      <c r="E2624" s="188"/>
      <c r="H2624"/>
      <c r="I2624" s="202"/>
      <c r="J2624"/>
      <c r="K2624" s="205"/>
      <c r="L2624" s="205"/>
      <c r="M2624" s="205"/>
    </row>
    <row r="2625" spans="2:13" ht="15.75">
      <c r="B2625" s="79"/>
      <c r="D2625"/>
      <c r="E2625" s="188"/>
      <c r="H2625"/>
      <c r="I2625" s="202"/>
      <c r="J2625"/>
      <c r="K2625" s="205"/>
      <c r="L2625" s="205"/>
      <c r="M2625" s="205"/>
    </row>
    <row r="2626" spans="2:13" ht="15.75">
      <c r="B2626" s="79"/>
      <c r="D2626"/>
      <c r="E2626" s="188"/>
      <c r="H2626"/>
      <c r="I2626" s="202"/>
      <c r="J2626"/>
      <c r="K2626" s="205"/>
      <c r="L2626" s="205"/>
      <c r="M2626" s="205"/>
    </row>
    <row r="2627" spans="2:13" ht="15.75">
      <c r="B2627" s="79"/>
      <c r="D2627"/>
      <c r="E2627" s="188"/>
      <c r="H2627"/>
      <c r="I2627" s="202"/>
      <c r="J2627"/>
      <c r="K2627" s="205"/>
      <c r="L2627" s="205"/>
      <c r="M2627" s="205"/>
    </row>
    <row r="2628" spans="2:13" ht="15.75">
      <c r="B2628" s="79"/>
      <c r="D2628"/>
      <c r="E2628" s="188"/>
      <c r="H2628"/>
      <c r="I2628" s="202"/>
      <c r="J2628"/>
      <c r="K2628" s="205"/>
      <c r="L2628" s="205"/>
      <c r="M2628" s="205"/>
    </row>
    <row r="2629" spans="2:13" ht="15.75">
      <c r="B2629" s="79"/>
      <c r="D2629"/>
      <c r="E2629" s="188"/>
      <c r="H2629"/>
      <c r="I2629" s="202"/>
      <c r="J2629"/>
      <c r="K2629" s="205"/>
      <c r="L2629" s="205"/>
      <c r="M2629" s="205"/>
    </row>
    <row r="2630" spans="2:13" ht="15.75">
      <c r="B2630" s="79"/>
      <c r="D2630"/>
      <c r="E2630" s="188"/>
      <c r="H2630"/>
      <c r="I2630" s="202"/>
      <c r="J2630"/>
      <c r="K2630" s="205"/>
      <c r="L2630" s="205"/>
      <c r="M2630" s="205"/>
    </row>
    <row r="2631" spans="2:13" ht="15.75">
      <c r="B2631" s="79"/>
      <c r="D2631"/>
      <c r="E2631" s="188"/>
      <c r="H2631"/>
      <c r="I2631" s="202"/>
      <c r="J2631"/>
      <c r="K2631" s="205"/>
      <c r="L2631" s="205"/>
      <c r="M2631" s="205"/>
    </row>
    <row r="2632" spans="2:13" ht="15.75">
      <c r="B2632" s="79"/>
      <c r="D2632"/>
      <c r="E2632" s="188"/>
      <c r="H2632"/>
      <c r="I2632" s="202"/>
      <c r="J2632"/>
      <c r="K2632" s="205"/>
      <c r="L2632" s="205"/>
      <c r="M2632" s="205"/>
    </row>
    <row r="2633" spans="2:13" ht="15.75">
      <c r="B2633" s="79"/>
      <c r="D2633"/>
      <c r="E2633" s="188"/>
      <c r="H2633"/>
      <c r="I2633" s="202"/>
      <c r="J2633"/>
      <c r="K2633" s="205"/>
      <c r="L2633" s="205"/>
      <c r="M2633" s="205"/>
    </row>
    <row r="2634" spans="2:13" ht="15.75">
      <c r="B2634" s="79"/>
      <c r="D2634"/>
      <c r="E2634" s="188"/>
      <c r="H2634"/>
      <c r="I2634" s="202"/>
      <c r="J2634"/>
      <c r="K2634" s="205"/>
      <c r="L2634" s="205"/>
      <c r="M2634" s="205"/>
    </row>
    <row r="2635" spans="2:13" ht="15.75">
      <c r="B2635" s="79"/>
      <c r="D2635"/>
      <c r="E2635" s="188"/>
      <c r="H2635"/>
      <c r="I2635" s="202"/>
      <c r="J2635"/>
      <c r="K2635" s="205"/>
      <c r="L2635" s="205"/>
      <c r="M2635" s="205"/>
    </row>
    <row r="2636" spans="2:13" ht="15.75">
      <c r="B2636" s="79"/>
      <c r="D2636"/>
      <c r="E2636" s="188"/>
      <c r="H2636"/>
      <c r="I2636" s="202"/>
      <c r="J2636"/>
      <c r="K2636" s="205"/>
      <c r="L2636" s="205"/>
      <c r="M2636" s="205"/>
    </row>
    <row r="2637" spans="2:13" ht="15.75">
      <c r="B2637" s="79"/>
      <c r="D2637"/>
      <c r="E2637" s="188"/>
      <c r="H2637"/>
      <c r="I2637" s="202"/>
      <c r="J2637"/>
      <c r="K2637" s="205"/>
      <c r="L2637" s="205"/>
      <c r="M2637" s="205"/>
    </row>
    <row r="2638" spans="2:13" ht="15.75">
      <c r="B2638" s="79"/>
      <c r="D2638"/>
      <c r="E2638" s="188"/>
      <c r="H2638"/>
      <c r="I2638" s="202"/>
      <c r="J2638"/>
      <c r="K2638" s="205"/>
      <c r="L2638" s="205"/>
      <c r="M2638" s="205"/>
    </row>
    <row r="2639" spans="2:13" ht="15.75">
      <c r="B2639" s="79"/>
      <c r="D2639"/>
      <c r="E2639" s="188"/>
      <c r="H2639"/>
      <c r="I2639" s="202"/>
      <c r="J2639"/>
      <c r="K2639" s="205"/>
      <c r="L2639" s="205"/>
      <c r="M2639" s="205"/>
    </row>
    <row r="2640" spans="2:13" ht="15.75">
      <c r="B2640" s="79"/>
      <c r="D2640"/>
      <c r="E2640" s="188"/>
      <c r="H2640"/>
      <c r="I2640" s="202"/>
      <c r="J2640"/>
      <c r="K2640" s="205"/>
      <c r="L2640" s="205"/>
      <c r="M2640" s="205"/>
    </row>
    <row r="2641" spans="2:13" ht="15.75">
      <c r="B2641" s="79"/>
      <c r="D2641"/>
      <c r="E2641" s="188"/>
      <c r="H2641"/>
      <c r="I2641" s="202"/>
      <c r="J2641"/>
      <c r="K2641" s="205"/>
      <c r="L2641" s="205"/>
      <c r="M2641" s="205"/>
    </row>
    <row r="2642" spans="2:13" ht="15.75">
      <c r="B2642" s="79"/>
      <c r="D2642"/>
      <c r="E2642" s="188"/>
      <c r="H2642"/>
      <c r="I2642" s="202"/>
      <c r="J2642"/>
      <c r="K2642" s="205"/>
      <c r="L2642" s="205"/>
      <c r="M2642" s="205"/>
    </row>
    <row r="2643" spans="2:13" ht="15.75">
      <c r="B2643" s="79"/>
      <c r="D2643"/>
      <c r="E2643" s="188"/>
      <c r="H2643"/>
      <c r="I2643" s="202"/>
      <c r="J2643"/>
      <c r="K2643" s="205"/>
      <c r="L2643" s="205"/>
      <c r="M2643" s="205"/>
    </row>
    <row r="2644" spans="2:13" ht="15.75">
      <c r="B2644" s="79"/>
      <c r="D2644"/>
      <c r="E2644" s="188"/>
      <c r="H2644"/>
      <c r="I2644" s="202"/>
      <c r="J2644"/>
      <c r="K2644" s="205"/>
      <c r="L2644" s="205"/>
      <c r="M2644" s="205"/>
    </row>
    <row r="2645" spans="2:13" ht="15.75">
      <c r="B2645" s="79"/>
      <c r="D2645"/>
      <c r="E2645" s="188"/>
      <c r="H2645"/>
      <c r="I2645" s="202"/>
      <c r="J2645"/>
      <c r="K2645" s="205"/>
      <c r="L2645" s="205"/>
      <c r="M2645" s="205"/>
    </row>
    <row r="2646" spans="2:13" ht="15.75">
      <c r="B2646" s="79"/>
      <c r="D2646"/>
      <c r="E2646" s="188"/>
      <c r="H2646"/>
      <c r="I2646" s="202"/>
      <c r="J2646"/>
      <c r="K2646" s="205"/>
      <c r="L2646" s="205"/>
      <c r="M2646" s="205"/>
    </row>
    <row r="2647" spans="2:13" ht="15.75">
      <c r="B2647" s="79"/>
      <c r="D2647"/>
      <c r="E2647" s="188"/>
      <c r="H2647"/>
      <c r="I2647" s="202"/>
      <c r="J2647"/>
      <c r="K2647" s="205"/>
      <c r="L2647" s="205"/>
      <c r="M2647" s="205"/>
    </row>
    <row r="2648" spans="2:13" ht="15.75">
      <c r="B2648" s="79"/>
      <c r="D2648"/>
      <c r="E2648" s="188"/>
      <c r="H2648"/>
      <c r="I2648" s="202"/>
      <c r="J2648"/>
      <c r="K2648" s="205"/>
      <c r="L2648" s="205"/>
      <c r="M2648" s="205"/>
    </row>
    <row r="2649" spans="2:13" ht="15.75">
      <c r="B2649" s="79"/>
      <c r="D2649"/>
      <c r="E2649" s="188"/>
      <c r="H2649"/>
      <c r="I2649" s="202"/>
      <c r="J2649"/>
      <c r="K2649" s="205"/>
      <c r="L2649" s="205"/>
      <c r="M2649" s="205"/>
    </row>
    <row r="2650" spans="2:13" ht="15.75">
      <c r="B2650" s="79"/>
      <c r="D2650"/>
      <c r="E2650" s="188"/>
      <c r="H2650"/>
      <c r="I2650" s="202"/>
      <c r="J2650"/>
      <c r="K2650" s="205"/>
      <c r="L2650" s="205"/>
      <c r="M2650" s="205"/>
    </row>
    <row r="2651" spans="2:13" ht="15.75">
      <c r="B2651" s="79"/>
      <c r="D2651"/>
      <c r="E2651" s="188"/>
      <c r="H2651"/>
      <c r="I2651" s="202"/>
      <c r="J2651"/>
      <c r="K2651" s="205"/>
      <c r="L2651" s="205"/>
      <c r="M2651" s="205"/>
    </row>
    <row r="2652" spans="2:13" ht="15.75">
      <c r="B2652" s="79"/>
      <c r="D2652"/>
      <c r="E2652" s="188"/>
      <c r="H2652"/>
      <c r="I2652" s="202"/>
      <c r="J2652"/>
      <c r="K2652" s="205"/>
      <c r="L2652" s="205"/>
      <c r="M2652" s="205"/>
    </row>
    <row r="2653" spans="2:13" ht="15.75">
      <c r="B2653" s="79"/>
      <c r="D2653"/>
      <c r="E2653" s="188"/>
      <c r="H2653"/>
      <c r="I2653" s="202"/>
      <c r="J2653"/>
      <c r="K2653" s="205"/>
      <c r="L2653" s="205"/>
      <c r="M2653" s="205"/>
    </row>
    <row r="2654" spans="2:13" ht="15.75">
      <c r="B2654" s="79"/>
      <c r="D2654"/>
      <c r="E2654" s="188"/>
      <c r="H2654"/>
      <c r="I2654" s="202"/>
      <c r="J2654"/>
      <c r="K2654" s="205"/>
      <c r="L2654" s="205"/>
      <c r="M2654" s="205"/>
    </row>
    <row r="2655" spans="2:13" ht="15.75">
      <c r="B2655" s="79"/>
      <c r="D2655"/>
      <c r="E2655" s="188"/>
      <c r="H2655"/>
      <c r="I2655" s="202"/>
      <c r="J2655"/>
      <c r="K2655" s="205"/>
      <c r="L2655" s="205"/>
      <c r="M2655" s="205"/>
    </row>
    <row r="2656" spans="2:13" ht="15.75">
      <c r="B2656" s="79"/>
      <c r="D2656"/>
      <c r="E2656" s="188"/>
      <c r="H2656"/>
      <c r="I2656" s="202"/>
      <c r="J2656"/>
      <c r="K2656" s="205"/>
      <c r="L2656" s="205"/>
      <c r="M2656" s="205"/>
    </row>
    <row r="2657" spans="2:13" ht="15.75">
      <c r="B2657" s="79"/>
      <c r="D2657"/>
      <c r="E2657" s="188"/>
      <c r="H2657"/>
      <c r="I2657" s="202"/>
      <c r="J2657"/>
      <c r="K2657" s="205"/>
      <c r="L2657" s="205"/>
      <c r="M2657" s="205"/>
    </row>
    <row r="2658" spans="2:13" ht="15.75">
      <c r="B2658" s="79"/>
      <c r="D2658"/>
      <c r="E2658" s="188"/>
      <c r="H2658"/>
      <c r="I2658" s="202"/>
      <c r="J2658"/>
      <c r="K2658" s="205"/>
      <c r="L2658" s="205"/>
      <c r="M2658" s="205"/>
    </row>
    <row r="2659" spans="2:13" ht="15.75">
      <c r="B2659" s="79"/>
      <c r="D2659"/>
      <c r="E2659" s="188"/>
      <c r="H2659"/>
      <c r="I2659" s="202"/>
      <c r="J2659"/>
      <c r="K2659" s="205"/>
      <c r="L2659" s="205"/>
      <c r="M2659" s="205"/>
    </row>
    <row r="2660" spans="2:13" ht="15.75">
      <c r="B2660" s="79"/>
      <c r="D2660"/>
      <c r="E2660" s="188"/>
      <c r="H2660"/>
      <c r="I2660" s="202"/>
      <c r="J2660"/>
      <c r="K2660" s="205"/>
      <c r="L2660" s="205"/>
      <c r="M2660" s="205"/>
    </row>
    <row r="2661" spans="2:13" ht="15.75">
      <c r="B2661" s="79"/>
      <c r="D2661"/>
      <c r="E2661" s="188"/>
      <c r="H2661"/>
      <c r="I2661" s="202"/>
      <c r="J2661"/>
      <c r="K2661" s="205"/>
      <c r="L2661" s="205"/>
      <c r="M2661" s="205"/>
    </row>
    <row r="2662" spans="2:13" ht="15.75">
      <c r="B2662" s="79"/>
      <c r="D2662"/>
      <c r="E2662" s="188"/>
      <c r="H2662"/>
      <c r="I2662" s="202"/>
      <c r="J2662"/>
      <c r="K2662" s="205"/>
      <c r="L2662" s="205"/>
      <c r="M2662" s="205"/>
    </row>
    <row r="2663" spans="2:13" ht="15.75">
      <c r="B2663" s="79"/>
      <c r="D2663"/>
      <c r="E2663" s="188"/>
      <c r="H2663"/>
      <c r="I2663" s="202"/>
      <c r="J2663"/>
      <c r="K2663" s="205"/>
      <c r="L2663" s="205"/>
      <c r="M2663" s="205"/>
    </row>
    <row r="2664" spans="2:13" ht="15.75">
      <c r="B2664" s="79"/>
      <c r="D2664"/>
      <c r="E2664" s="188"/>
      <c r="H2664"/>
      <c r="I2664" s="202"/>
      <c r="J2664"/>
      <c r="K2664" s="205"/>
      <c r="L2664" s="205"/>
      <c r="M2664" s="205"/>
    </row>
    <row r="2665" spans="2:13" ht="15.75">
      <c r="B2665" s="79"/>
      <c r="D2665"/>
      <c r="E2665" s="188"/>
      <c r="H2665"/>
      <c r="I2665" s="202"/>
      <c r="J2665"/>
      <c r="K2665" s="205"/>
      <c r="L2665" s="205"/>
      <c r="M2665" s="205"/>
    </row>
    <row r="2666" spans="2:13" ht="15.75">
      <c r="B2666" s="79"/>
      <c r="D2666"/>
      <c r="E2666" s="188"/>
      <c r="H2666"/>
      <c r="I2666" s="202"/>
      <c r="J2666"/>
      <c r="K2666" s="205"/>
      <c r="L2666" s="205"/>
      <c r="M2666" s="205"/>
    </row>
    <row r="2667" spans="2:13" ht="15.75">
      <c r="B2667" s="79"/>
      <c r="D2667"/>
      <c r="E2667" s="188"/>
      <c r="H2667"/>
      <c r="I2667" s="202"/>
      <c r="J2667"/>
      <c r="K2667" s="205"/>
      <c r="L2667" s="205"/>
      <c r="M2667" s="205"/>
    </row>
    <row r="2668" spans="2:13" ht="15.75">
      <c r="B2668" s="79"/>
      <c r="D2668"/>
      <c r="E2668" s="188"/>
      <c r="H2668"/>
      <c r="I2668" s="202"/>
      <c r="J2668"/>
      <c r="K2668" s="205"/>
      <c r="L2668" s="205"/>
      <c r="M2668" s="205"/>
    </row>
    <row r="2669" spans="2:13" ht="15.75">
      <c r="B2669" s="79"/>
      <c r="D2669"/>
      <c r="E2669" s="188"/>
      <c r="H2669"/>
      <c r="I2669" s="202"/>
      <c r="J2669"/>
      <c r="K2669" s="205"/>
      <c r="L2669" s="205"/>
      <c r="M2669" s="205"/>
    </row>
    <row r="2670" spans="2:13" ht="15.75">
      <c r="B2670" s="79"/>
      <c r="D2670"/>
      <c r="E2670" s="188"/>
      <c r="H2670"/>
      <c r="I2670" s="202"/>
      <c r="J2670"/>
      <c r="K2670" s="205"/>
      <c r="L2670" s="205"/>
      <c r="M2670" s="205"/>
    </row>
    <row r="2671" spans="2:13" ht="15.75">
      <c r="B2671" s="79"/>
      <c r="D2671"/>
      <c r="E2671" s="188"/>
      <c r="H2671"/>
      <c r="I2671" s="202"/>
      <c r="J2671"/>
      <c r="K2671" s="205"/>
      <c r="L2671" s="205"/>
      <c r="M2671" s="205"/>
    </row>
    <row r="2672" spans="2:13" ht="15.75">
      <c r="B2672" s="79"/>
      <c r="D2672"/>
      <c r="E2672" s="188"/>
      <c r="H2672"/>
      <c r="I2672" s="202"/>
      <c r="J2672"/>
      <c r="K2672" s="205"/>
      <c r="L2672" s="205"/>
      <c r="M2672" s="205"/>
    </row>
    <row r="2673" spans="2:13" ht="15.75">
      <c r="B2673" s="79"/>
      <c r="D2673"/>
      <c r="E2673" s="188"/>
      <c r="H2673"/>
      <c r="I2673" s="202"/>
      <c r="J2673"/>
      <c r="K2673" s="205"/>
      <c r="L2673" s="205"/>
      <c r="M2673" s="205"/>
    </row>
    <row r="2674" spans="2:13" ht="15.75">
      <c r="B2674" s="79"/>
      <c r="D2674"/>
      <c r="E2674" s="188"/>
      <c r="H2674"/>
      <c r="I2674" s="202"/>
      <c r="J2674"/>
      <c r="K2674" s="205"/>
      <c r="L2674" s="205"/>
      <c r="M2674" s="205"/>
    </row>
    <row r="2675" spans="2:13" ht="15.75">
      <c r="B2675" s="79"/>
      <c r="D2675"/>
      <c r="E2675" s="188"/>
      <c r="H2675"/>
      <c r="I2675" s="202"/>
      <c r="J2675"/>
      <c r="K2675" s="205"/>
      <c r="L2675" s="205"/>
      <c r="M2675" s="205"/>
    </row>
    <row r="2676" spans="2:13" ht="15.75">
      <c r="B2676" s="79"/>
      <c r="D2676"/>
      <c r="E2676" s="188"/>
      <c r="H2676"/>
      <c r="I2676" s="202"/>
      <c r="J2676"/>
      <c r="K2676" s="205"/>
      <c r="L2676" s="205"/>
      <c r="M2676" s="205"/>
    </row>
    <row r="2677" spans="2:13" ht="15.75">
      <c r="B2677" s="79"/>
      <c r="D2677"/>
      <c r="E2677" s="188"/>
      <c r="H2677"/>
      <c r="I2677" s="202"/>
      <c r="J2677"/>
      <c r="K2677" s="205"/>
      <c r="L2677" s="205"/>
      <c r="M2677" s="205"/>
    </row>
    <row r="2678" spans="2:13" ht="15.75">
      <c r="B2678" s="79"/>
      <c r="D2678"/>
      <c r="E2678" s="188"/>
      <c r="H2678"/>
      <c r="I2678" s="202"/>
      <c r="J2678"/>
      <c r="K2678" s="205"/>
      <c r="L2678" s="205"/>
      <c r="M2678" s="205"/>
    </row>
    <row r="2679" spans="2:13" ht="15.75">
      <c r="B2679" s="79"/>
      <c r="D2679"/>
      <c r="E2679" s="188"/>
      <c r="H2679"/>
      <c r="I2679" s="202"/>
      <c r="J2679"/>
      <c r="K2679" s="205"/>
      <c r="L2679" s="205"/>
      <c r="M2679" s="205"/>
    </row>
    <row r="2680" spans="2:13" ht="15.75">
      <c r="B2680" s="79"/>
      <c r="D2680"/>
      <c r="E2680" s="188"/>
      <c r="H2680"/>
      <c r="I2680" s="202"/>
      <c r="J2680"/>
      <c r="K2680" s="205"/>
      <c r="L2680" s="205"/>
      <c r="M2680" s="205"/>
    </row>
    <row r="2681" spans="2:13" ht="15.75">
      <c r="B2681" s="79"/>
      <c r="D2681"/>
      <c r="E2681" s="188"/>
      <c r="H2681"/>
      <c r="I2681" s="202"/>
      <c r="J2681"/>
      <c r="K2681" s="205"/>
      <c r="L2681" s="205"/>
      <c r="M2681" s="205"/>
    </row>
    <row r="2682" spans="2:13" ht="15.75">
      <c r="B2682" s="79"/>
      <c r="D2682"/>
      <c r="E2682" s="188"/>
      <c r="H2682"/>
      <c r="I2682" s="202"/>
      <c r="J2682"/>
      <c r="K2682" s="205"/>
      <c r="L2682" s="205"/>
      <c r="M2682" s="205"/>
    </row>
    <row r="2683" spans="2:13" ht="15.75">
      <c r="B2683" s="79"/>
      <c r="D2683"/>
      <c r="E2683" s="188"/>
      <c r="H2683"/>
      <c r="I2683" s="202"/>
      <c r="J2683"/>
      <c r="K2683" s="205"/>
      <c r="L2683" s="205"/>
      <c r="M2683" s="205"/>
    </row>
    <row r="2684" spans="2:13" ht="15.75">
      <c r="B2684" s="79"/>
      <c r="D2684"/>
      <c r="E2684" s="188"/>
      <c r="H2684"/>
      <c r="I2684" s="202"/>
      <c r="J2684"/>
      <c r="K2684" s="205"/>
      <c r="L2684" s="205"/>
      <c r="M2684" s="205"/>
    </row>
    <row r="2685" spans="2:13" ht="15.75">
      <c r="B2685" s="79"/>
      <c r="D2685"/>
      <c r="E2685" s="188"/>
      <c r="H2685"/>
      <c r="I2685" s="202"/>
      <c r="J2685"/>
      <c r="K2685" s="205"/>
      <c r="L2685" s="205"/>
      <c r="M2685" s="205"/>
    </row>
    <row r="2686" spans="2:13" ht="15.75">
      <c r="B2686" s="79"/>
      <c r="D2686"/>
      <c r="E2686" s="188"/>
      <c r="H2686"/>
      <c r="I2686" s="202"/>
      <c r="J2686"/>
      <c r="K2686" s="205"/>
      <c r="L2686" s="205"/>
      <c r="M2686" s="205"/>
    </row>
    <row r="2687" spans="2:13" ht="15.75">
      <c r="B2687" s="79"/>
      <c r="D2687"/>
      <c r="E2687" s="188"/>
      <c r="H2687"/>
      <c r="I2687" s="202"/>
      <c r="J2687"/>
      <c r="K2687" s="205"/>
      <c r="L2687" s="205"/>
      <c r="M2687" s="205"/>
    </row>
    <row r="2688" spans="2:13" ht="15.75">
      <c r="B2688" s="79"/>
      <c r="D2688"/>
      <c r="E2688" s="188"/>
      <c r="H2688"/>
      <c r="I2688" s="202"/>
      <c r="J2688"/>
      <c r="K2688" s="205"/>
      <c r="L2688" s="205"/>
      <c r="M2688" s="205"/>
    </row>
    <row r="2689" spans="2:13" ht="15.75">
      <c r="B2689" s="79"/>
      <c r="D2689"/>
      <c r="E2689" s="188"/>
      <c r="H2689"/>
      <c r="I2689" s="202"/>
      <c r="J2689"/>
      <c r="K2689" s="205"/>
      <c r="L2689" s="205"/>
      <c r="M2689" s="205"/>
    </row>
    <row r="2690" spans="2:13" ht="15.75">
      <c r="B2690" s="79"/>
      <c r="D2690"/>
      <c r="E2690" s="188"/>
      <c r="H2690"/>
      <c r="I2690" s="202"/>
      <c r="J2690"/>
      <c r="K2690" s="205"/>
      <c r="L2690" s="205"/>
      <c r="M2690" s="205"/>
    </row>
    <row r="2691" spans="2:13" ht="15.75">
      <c r="B2691" s="79"/>
      <c r="D2691"/>
      <c r="E2691" s="188"/>
      <c r="H2691"/>
      <c r="I2691" s="202"/>
      <c r="J2691"/>
      <c r="K2691" s="205"/>
      <c r="L2691" s="205"/>
      <c r="M2691" s="205"/>
    </row>
    <row r="2692" spans="2:13" ht="15.75">
      <c r="B2692" s="79"/>
      <c r="D2692"/>
      <c r="E2692" s="188"/>
      <c r="H2692"/>
      <c r="I2692" s="202"/>
      <c r="J2692"/>
      <c r="K2692" s="205"/>
      <c r="L2692" s="205"/>
      <c r="M2692" s="205"/>
    </row>
    <row r="2693" spans="2:13" ht="15.75">
      <c r="B2693" s="79"/>
      <c r="D2693"/>
      <c r="E2693" s="188"/>
      <c r="H2693"/>
      <c r="I2693" s="202"/>
      <c r="J2693"/>
      <c r="K2693" s="205"/>
      <c r="L2693" s="205"/>
      <c r="M2693" s="205"/>
    </row>
    <row r="2694" spans="2:13" ht="15.75">
      <c r="B2694" s="79"/>
      <c r="D2694"/>
      <c r="E2694" s="188"/>
      <c r="H2694"/>
      <c r="I2694" s="202"/>
      <c r="J2694"/>
      <c r="K2694" s="205"/>
      <c r="L2694" s="205"/>
      <c r="M2694" s="205"/>
    </row>
    <row r="2695" spans="2:13" ht="15.75">
      <c r="B2695" s="79"/>
      <c r="D2695"/>
      <c r="E2695" s="188"/>
      <c r="H2695"/>
      <c r="I2695" s="202"/>
      <c r="J2695"/>
      <c r="K2695" s="205"/>
      <c r="L2695" s="205"/>
      <c r="M2695" s="205"/>
    </row>
    <row r="2696" spans="2:13" ht="15.75">
      <c r="B2696" s="79"/>
      <c r="D2696"/>
      <c r="E2696" s="188"/>
      <c r="H2696"/>
      <c r="I2696" s="202"/>
      <c r="J2696"/>
      <c r="K2696" s="205"/>
      <c r="L2696" s="205"/>
      <c r="M2696" s="205"/>
    </row>
    <row r="2697" spans="2:13" ht="15.75">
      <c r="B2697" s="79"/>
      <c r="D2697"/>
      <c r="E2697" s="188"/>
      <c r="H2697"/>
      <c r="I2697" s="202"/>
      <c r="J2697"/>
      <c r="K2697" s="205"/>
      <c r="L2697" s="205"/>
      <c r="M2697" s="205"/>
    </row>
    <row r="2698" spans="2:13" ht="15.75">
      <c r="B2698" s="79"/>
      <c r="D2698"/>
      <c r="E2698" s="188"/>
      <c r="H2698"/>
      <c r="I2698" s="202"/>
      <c r="J2698"/>
      <c r="K2698" s="205"/>
      <c r="L2698" s="205"/>
      <c r="M2698" s="205"/>
    </row>
    <row r="2699" spans="2:13" ht="15.75">
      <c r="B2699" s="79"/>
      <c r="D2699"/>
      <c r="E2699" s="188"/>
      <c r="H2699"/>
      <c r="I2699" s="202"/>
      <c r="J2699"/>
      <c r="K2699" s="205"/>
      <c r="L2699" s="205"/>
      <c r="M2699" s="205"/>
    </row>
    <row r="2700" spans="2:13" ht="15.75">
      <c r="B2700" s="79"/>
      <c r="D2700"/>
      <c r="E2700" s="188"/>
      <c r="H2700"/>
      <c r="I2700" s="202"/>
      <c r="J2700"/>
      <c r="K2700" s="205"/>
      <c r="L2700" s="205"/>
      <c r="M2700" s="205"/>
    </row>
    <row r="2701" spans="2:13" ht="15.75">
      <c r="B2701" s="79"/>
      <c r="D2701"/>
      <c r="E2701" s="188"/>
      <c r="H2701"/>
      <c r="I2701" s="202"/>
      <c r="J2701"/>
      <c r="K2701" s="205"/>
      <c r="L2701" s="205"/>
      <c r="M2701" s="205"/>
    </row>
    <row r="2702" spans="2:13" ht="15.75">
      <c r="B2702" s="79"/>
      <c r="D2702"/>
      <c r="E2702" s="188"/>
      <c r="H2702"/>
      <c r="I2702" s="202"/>
      <c r="J2702"/>
      <c r="K2702" s="205"/>
      <c r="L2702" s="205"/>
      <c r="M2702" s="205"/>
    </row>
    <row r="2703" spans="2:13" ht="15.75">
      <c r="B2703" s="79"/>
      <c r="D2703"/>
      <c r="E2703" s="188"/>
      <c r="H2703"/>
      <c r="I2703" s="202"/>
      <c r="J2703"/>
      <c r="K2703" s="205"/>
      <c r="L2703" s="205"/>
      <c r="M2703" s="205"/>
    </row>
    <row r="2704" spans="2:13" ht="15.75">
      <c r="B2704" s="79"/>
      <c r="D2704"/>
      <c r="E2704" s="188"/>
      <c r="H2704"/>
      <c r="I2704" s="202"/>
      <c r="J2704"/>
      <c r="K2704" s="205"/>
      <c r="L2704" s="205"/>
      <c r="M2704" s="205"/>
    </row>
    <row r="2705" spans="2:13" ht="15.75">
      <c r="B2705" s="79"/>
      <c r="D2705"/>
      <c r="E2705" s="188"/>
      <c r="H2705"/>
      <c r="I2705" s="202"/>
      <c r="J2705"/>
      <c r="K2705" s="205"/>
      <c r="L2705" s="205"/>
      <c r="M2705" s="205"/>
    </row>
    <row r="2706" spans="2:13" ht="15.75">
      <c r="B2706" s="79"/>
      <c r="D2706"/>
      <c r="E2706" s="188"/>
      <c r="H2706"/>
      <c r="I2706" s="202"/>
      <c r="J2706"/>
      <c r="K2706" s="205"/>
      <c r="L2706" s="205"/>
      <c r="M2706" s="205"/>
    </row>
    <row r="2707" spans="2:13" ht="15.75">
      <c r="B2707" s="79"/>
      <c r="D2707"/>
      <c r="E2707" s="188"/>
      <c r="H2707"/>
      <c r="I2707" s="202"/>
      <c r="J2707"/>
      <c r="K2707" s="205"/>
      <c r="L2707" s="205"/>
      <c r="M2707" s="205"/>
    </row>
    <row r="2708" spans="2:13" ht="15.75">
      <c r="B2708" s="79"/>
      <c r="D2708"/>
      <c r="E2708" s="188"/>
      <c r="H2708"/>
      <c r="I2708" s="202"/>
      <c r="J2708"/>
      <c r="K2708" s="205"/>
      <c r="L2708" s="205"/>
      <c r="M2708" s="205"/>
    </row>
    <row r="2709" spans="2:13" ht="15.75">
      <c r="B2709" s="79"/>
      <c r="D2709"/>
      <c r="E2709" s="188"/>
      <c r="H2709"/>
      <c r="I2709" s="202"/>
      <c r="J2709"/>
      <c r="K2709" s="205"/>
      <c r="L2709" s="205"/>
      <c r="M2709" s="205"/>
    </row>
    <row r="2710" spans="2:13" ht="15.75">
      <c r="B2710" s="79"/>
      <c r="D2710"/>
      <c r="E2710" s="188"/>
      <c r="H2710"/>
      <c r="I2710" s="202"/>
      <c r="J2710"/>
      <c r="K2710" s="205"/>
      <c r="L2710" s="205"/>
      <c r="M2710" s="205"/>
    </row>
    <row r="2711" spans="2:13" ht="15.75">
      <c r="B2711" s="79"/>
      <c r="D2711"/>
      <c r="E2711" s="188"/>
      <c r="H2711"/>
      <c r="I2711" s="202"/>
      <c r="J2711"/>
      <c r="K2711" s="205"/>
      <c r="L2711" s="205"/>
      <c r="M2711" s="205"/>
    </row>
    <row r="2712" spans="2:13" ht="15.75">
      <c r="B2712" s="79"/>
      <c r="D2712"/>
      <c r="E2712" s="188"/>
      <c r="H2712"/>
      <c r="I2712" s="202"/>
      <c r="J2712"/>
      <c r="K2712" s="205"/>
      <c r="L2712" s="205"/>
      <c r="M2712" s="205"/>
    </row>
    <row r="2713" spans="2:13" ht="15.75">
      <c r="B2713" s="79"/>
      <c r="D2713"/>
      <c r="E2713" s="188"/>
      <c r="H2713"/>
      <c r="I2713" s="202"/>
      <c r="J2713"/>
      <c r="K2713" s="205"/>
      <c r="L2713" s="205"/>
      <c r="M2713" s="205"/>
    </row>
    <row r="2714" spans="2:13" ht="15.75">
      <c r="B2714" s="79"/>
      <c r="D2714"/>
      <c r="E2714" s="188"/>
      <c r="H2714"/>
      <c r="I2714" s="202"/>
      <c r="J2714"/>
      <c r="K2714" s="205"/>
      <c r="L2714" s="205"/>
      <c r="M2714" s="205"/>
    </row>
    <row r="2715" spans="2:13" ht="15.75">
      <c r="B2715" s="79"/>
      <c r="D2715"/>
      <c r="E2715" s="188"/>
      <c r="H2715"/>
      <c r="I2715" s="202"/>
      <c r="J2715"/>
      <c r="K2715" s="205"/>
      <c r="L2715" s="205"/>
      <c r="M2715" s="205"/>
    </row>
    <row r="2716" spans="2:13" ht="15.75">
      <c r="B2716" s="79"/>
      <c r="D2716"/>
      <c r="E2716" s="188"/>
      <c r="H2716"/>
      <c r="I2716" s="202"/>
      <c r="J2716"/>
      <c r="K2716" s="205"/>
      <c r="L2716" s="205"/>
      <c r="M2716" s="205"/>
    </row>
    <row r="2717" spans="2:13" ht="15.75">
      <c r="B2717" s="79"/>
      <c r="D2717"/>
      <c r="E2717" s="188"/>
      <c r="H2717"/>
      <c r="I2717" s="202"/>
      <c r="J2717"/>
      <c r="K2717" s="205"/>
      <c r="L2717" s="205"/>
      <c r="M2717" s="205"/>
    </row>
    <row r="2718" spans="2:13" ht="15.75">
      <c r="B2718" s="79"/>
      <c r="D2718"/>
      <c r="E2718" s="188"/>
      <c r="H2718"/>
      <c r="I2718" s="202"/>
      <c r="J2718"/>
      <c r="K2718" s="205"/>
      <c r="L2718" s="205"/>
      <c r="M2718" s="205"/>
    </row>
    <row r="2719" spans="2:13" ht="15.75">
      <c r="B2719" s="79"/>
      <c r="D2719"/>
      <c r="E2719" s="188"/>
      <c r="H2719"/>
      <c r="I2719" s="202"/>
      <c r="J2719"/>
      <c r="K2719" s="205"/>
      <c r="L2719" s="205"/>
      <c r="M2719" s="205"/>
    </row>
    <row r="2720" spans="2:13" ht="15.75">
      <c r="B2720" s="79"/>
      <c r="D2720"/>
      <c r="E2720" s="188"/>
      <c r="H2720"/>
      <c r="I2720" s="202"/>
      <c r="J2720"/>
      <c r="K2720" s="205"/>
      <c r="L2720" s="205"/>
      <c r="M2720" s="205"/>
    </row>
    <row r="2721" spans="2:13" ht="15.75">
      <c r="B2721" s="79"/>
      <c r="D2721"/>
      <c r="E2721" s="188"/>
      <c r="H2721"/>
      <c r="I2721" s="202"/>
      <c r="J2721"/>
      <c r="K2721" s="205"/>
      <c r="L2721" s="205"/>
      <c r="M2721" s="205"/>
    </row>
    <row r="2722" spans="2:13" ht="15.75">
      <c r="B2722" s="79"/>
      <c r="D2722"/>
      <c r="E2722" s="188"/>
      <c r="H2722"/>
      <c r="I2722" s="202"/>
      <c r="J2722"/>
      <c r="K2722" s="205"/>
      <c r="L2722" s="205"/>
      <c r="M2722" s="205"/>
    </row>
    <row r="2723" spans="2:13" ht="15.75">
      <c r="B2723" s="79"/>
      <c r="D2723"/>
      <c r="E2723" s="188"/>
      <c r="H2723"/>
      <c r="I2723" s="202"/>
      <c r="J2723"/>
      <c r="K2723" s="205"/>
      <c r="L2723" s="205"/>
      <c r="M2723" s="205"/>
    </row>
    <row r="2724" spans="2:13" ht="15.75">
      <c r="B2724" s="79"/>
      <c r="D2724"/>
      <c r="E2724" s="188"/>
      <c r="H2724"/>
      <c r="I2724" s="202"/>
      <c r="J2724"/>
      <c r="K2724" s="205"/>
      <c r="L2724" s="205"/>
      <c r="M2724" s="205"/>
    </row>
    <row r="2725" spans="2:13" ht="15.75">
      <c r="B2725" s="79"/>
      <c r="D2725"/>
      <c r="E2725" s="188"/>
      <c r="H2725"/>
      <c r="I2725" s="202"/>
      <c r="J2725"/>
      <c r="K2725" s="205"/>
      <c r="L2725" s="205"/>
      <c r="M2725" s="205"/>
    </row>
    <row r="2726" spans="2:13" ht="15.75">
      <c r="B2726" s="79"/>
      <c r="D2726"/>
      <c r="E2726" s="188"/>
      <c r="H2726"/>
      <c r="I2726" s="202"/>
      <c r="J2726"/>
      <c r="K2726" s="205"/>
      <c r="L2726" s="205"/>
      <c r="M2726" s="205"/>
    </row>
    <row r="2727" spans="2:13" ht="15.75">
      <c r="B2727" s="79"/>
      <c r="D2727"/>
      <c r="E2727" s="188"/>
      <c r="H2727"/>
      <c r="I2727" s="202"/>
      <c r="J2727"/>
      <c r="K2727" s="205"/>
      <c r="L2727" s="205"/>
      <c r="M2727" s="205"/>
    </row>
    <row r="2728" spans="2:13" ht="15.75">
      <c r="B2728" s="79"/>
      <c r="D2728"/>
      <c r="E2728" s="188"/>
      <c r="H2728"/>
      <c r="I2728" s="202"/>
      <c r="J2728"/>
      <c r="K2728" s="205"/>
      <c r="L2728" s="205"/>
      <c r="M2728" s="205"/>
    </row>
    <row r="2729" spans="2:13" ht="15.75">
      <c r="B2729" s="79"/>
      <c r="D2729"/>
      <c r="E2729" s="188"/>
      <c r="H2729"/>
      <c r="I2729" s="202"/>
      <c r="J2729"/>
      <c r="K2729" s="205"/>
      <c r="L2729" s="205"/>
      <c r="M2729" s="205"/>
    </row>
    <row r="2730" spans="2:13" ht="15.75">
      <c r="B2730" s="79"/>
      <c r="D2730"/>
      <c r="E2730" s="188"/>
      <c r="H2730"/>
      <c r="I2730" s="202"/>
      <c r="J2730"/>
      <c r="K2730" s="205"/>
      <c r="L2730" s="205"/>
      <c r="M2730" s="205"/>
    </row>
    <row r="2731" spans="2:13" ht="15.75">
      <c r="B2731" s="79"/>
      <c r="D2731"/>
      <c r="E2731" s="188"/>
      <c r="H2731"/>
      <c r="I2731" s="202"/>
      <c r="J2731"/>
      <c r="K2731" s="205"/>
      <c r="L2731" s="205"/>
      <c r="M2731" s="205"/>
    </row>
    <row r="2732" spans="2:13" ht="15.75">
      <c r="B2732" s="79"/>
      <c r="D2732"/>
      <c r="E2732" s="188"/>
      <c r="H2732"/>
      <c r="I2732" s="202"/>
      <c r="J2732"/>
      <c r="K2732" s="205"/>
      <c r="L2732" s="205"/>
      <c r="M2732" s="205"/>
    </row>
    <row r="2733" spans="2:13" ht="15.75">
      <c r="B2733" s="79"/>
      <c r="D2733"/>
      <c r="E2733" s="188"/>
      <c r="H2733"/>
      <c r="I2733" s="202"/>
      <c r="J2733"/>
      <c r="K2733" s="205"/>
      <c r="L2733" s="205"/>
      <c r="M2733" s="205"/>
    </row>
    <row r="2734" spans="2:13" ht="15.75">
      <c r="B2734" s="79"/>
      <c r="D2734"/>
      <c r="E2734" s="188"/>
      <c r="H2734"/>
      <c r="I2734" s="202"/>
      <c r="J2734"/>
      <c r="K2734" s="205"/>
      <c r="L2734" s="205"/>
      <c r="M2734" s="205"/>
    </row>
    <row r="2735" spans="2:13" ht="15.75">
      <c r="B2735" s="79"/>
      <c r="D2735"/>
      <c r="E2735" s="188"/>
      <c r="H2735"/>
      <c r="I2735" s="202"/>
      <c r="J2735"/>
      <c r="K2735" s="205"/>
      <c r="L2735" s="205"/>
      <c r="M2735" s="205"/>
    </row>
    <row r="2736" spans="2:13" ht="15.75">
      <c r="B2736" s="79"/>
      <c r="D2736"/>
      <c r="E2736" s="188"/>
      <c r="H2736"/>
      <c r="I2736" s="202"/>
      <c r="J2736"/>
      <c r="K2736" s="205"/>
      <c r="L2736" s="205"/>
      <c r="M2736" s="205"/>
    </row>
    <row r="2737" spans="2:13" ht="15.75">
      <c r="B2737" s="79"/>
      <c r="D2737"/>
      <c r="E2737" s="188"/>
      <c r="H2737"/>
      <c r="I2737" s="202"/>
      <c r="J2737"/>
      <c r="K2737" s="205"/>
      <c r="L2737" s="205"/>
      <c r="M2737" s="205"/>
    </row>
    <row r="2738" spans="2:13" ht="15.75">
      <c r="B2738" s="79"/>
      <c r="D2738"/>
      <c r="E2738" s="188"/>
      <c r="H2738"/>
      <c r="I2738" s="202"/>
      <c r="J2738"/>
      <c r="K2738" s="205"/>
      <c r="L2738" s="205"/>
      <c r="M2738" s="205"/>
    </row>
    <row r="2739" spans="2:13" ht="15.75">
      <c r="B2739" s="79"/>
      <c r="D2739"/>
      <c r="E2739" s="188"/>
      <c r="H2739"/>
      <c r="I2739" s="202"/>
      <c r="J2739"/>
      <c r="K2739" s="205"/>
      <c r="L2739" s="205"/>
      <c r="M2739" s="205"/>
    </row>
    <row r="2740" spans="2:13" ht="15.75">
      <c r="B2740" s="79"/>
      <c r="D2740"/>
      <c r="E2740" s="188"/>
      <c r="H2740"/>
      <c r="I2740" s="202"/>
      <c r="J2740"/>
      <c r="K2740" s="205"/>
      <c r="L2740" s="205"/>
      <c r="M2740" s="205"/>
    </row>
    <row r="2741" spans="2:13" ht="15.75">
      <c r="B2741" s="79"/>
      <c r="D2741"/>
      <c r="E2741" s="188"/>
      <c r="H2741"/>
      <c r="I2741" s="202"/>
      <c r="J2741"/>
      <c r="K2741" s="205"/>
      <c r="L2741" s="205"/>
      <c r="M2741" s="205"/>
    </row>
    <row r="2742" spans="2:13" ht="15.75">
      <c r="B2742" s="79"/>
      <c r="D2742"/>
      <c r="E2742" s="188"/>
      <c r="H2742"/>
      <c r="I2742" s="202"/>
      <c r="J2742"/>
      <c r="K2742" s="205"/>
      <c r="L2742" s="205"/>
      <c r="M2742" s="205"/>
    </row>
    <row r="2743" spans="2:13" ht="15.75">
      <c r="B2743" s="79"/>
      <c r="D2743"/>
      <c r="E2743" s="188"/>
      <c r="H2743"/>
      <c r="I2743" s="202"/>
      <c r="J2743"/>
      <c r="K2743" s="205"/>
      <c r="L2743" s="205"/>
      <c r="M2743" s="205"/>
    </row>
    <row r="2744" spans="2:13" ht="15.75">
      <c r="B2744" s="79"/>
      <c r="D2744"/>
      <c r="E2744" s="188"/>
      <c r="H2744"/>
      <c r="I2744" s="202"/>
      <c r="J2744"/>
      <c r="K2744" s="205"/>
      <c r="L2744" s="205"/>
      <c r="M2744" s="205"/>
    </row>
    <row r="2745" spans="2:13" ht="15.75">
      <c r="B2745" s="79"/>
      <c r="D2745"/>
      <c r="E2745" s="188"/>
      <c r="H2745"/>
      <c r="I2745" s="202"/>
      <c r="J2745"/>
      <c r="K2745" s="205"/>
      <c r="L2745" s="205"/>
      <c r="M2745" s="205"/>
    </row>
    <row r="2746" spans="2:13" ht="15.75">
      <c r="B2746" s="79"/>
      <c r="D2746"/>
      <c r="E2746" s="188"/>
      <c r="H2746"/>
      <c r="I2746" s="202"/>
      <c r="J2746"/>
      <c r="K2746" s="205"/>
      <c r="L2746" s="205"/>
      <c r="M2746" s="205"/>
    </row>
    <row r="2747" spans="2:13" ht="15.75">
      <c r="B2747" s="79"/>
      <c r="D2747"/>
      <c r="E2747" s="188"/>
      <c r="H2747"/>
      <c r="I2747" s="202"/>
      <c r="J2747"/>
      <c r="K2747" s="205"/>
      <c r="L2747" s="205"/>
      <c r="M2747" s="205"/>
    </row>
    <row r="2748" spans="2:13" ht="15.75">
      <c r="B2748" s="79"/>
      <c r="D2748"/>
      <c r="E2748" s="188"/>
      <c r="H2748"/>
      <c r="I2748" s="202"/>
      <c r="J2748"/>
      <c r="K2748" s="205"/>
      <c r="L2748" s="205"/>
      <c r="M2748" s="205"/>
    </row>
    <row r="2749" spans="2:13" ht="15.75">
      <c r="B2749" s="79"/>
      <c r="D2749"/>
      <c r="E2749" s="188"/>
      <c r="H2749"/>
      <c r="I2749" s="202"/>
      <c r="J2749"/>
      <c r="K2749" s="205"/>
      <c r="L2749" s="205"/>
      <c r="M2749" s="205"/>
    </row>
    <row r="2750" spans="2:13" ht="15.75">
      <c r="B2750" s="79"/>
      <c r="D2750"/>
      <c r="E2750" s="188"/>
      <c r="H2750"/>
      <c r="I2750" s="202"/>
      <c r="J2750"/>
      <c r="K2750" s="205"/>
      <c r="L2750" s="205"/>
      <c r="M2750" s="205"/>
    </row>
    <row r="2751" spans="2:13" ht="15.75">
      <c r="B2751" s="79"/>
      <c r="D2751"/>
      <c r="E2751" s="188"/>
      <c r="H2751"/>
      <c r="I2751" s="202"/>
      <c r="J2751"/>
      <c r="K2751" s="205"/>
      <c r="L2751" s="205"/>
      <c r="M2751" s="205"/>
    </row>
    <row r="2752" spans="2:13" ht="15.75">
      <c r="B2752" s="79"/>
      <c r="D2752"/>
      <c r="E2752" s="188"/>
      <c r="H2752"/>
      <c r="I2752" s="202"/>
      <c r="J2752"/>
      <c r="K2752" s="205"/>
      <c r="L2752" s="205"/>
      <c r="M2752" s="205"/>
    </row>
    <row r="2753" spans="2:13" ht="15.75">
      <c r="B2753" s="79"/>
      <c r="D2753"/>
      <c r="E2753" s="188"/>
      <c r="H2753"/>
      <c r="I2753" s="202"/>
      <c r="J2753"/>
      <c r="K2753" s="205"/>
      <c r="L2753" s="205"/>
      <c r="M2753" s="205"/>
    </row>
    <row r="2754" spans="2:13" ht="15.75">
      <c r="B2754" s="79"/>
      <c r="D2754"/>
      <c r="E2754" s="188"/>
      <c r="H2754"/>
      <c r="I2754" s="202"/>
      <c r="J2754"/>
      <c r="K2754" s="205"/>
      <c r="L2754" s="205"/>
      <c r="M2754" s="205"/>
    </row>
    <row r="2755" spans="2:13" ht="15.75">
      <c r="B2755" s="79"/>
      <c r="D2755"/>
      <c r="E2755" s="188"/>
      <c r="H2755"/>
      <c r="I2755" s="202"/>
      <c r="J2755"/>
      <c r="K2755" s="205"/>
      <c r="L2755" s="205"/>
      <c r="M2755" s="205"/>
    </row>
    <row r="2756" spans="2:13" ht="15.75">
      <c r="B2756" s="79"/>
      <c r="D2756"/>
      <c r="E2756" s="188"/>
      <c r="H2756"/>
      <c r="I2756" s="202"/>
      <c r="J2756"/>
      <c r="K2756" s="205"/>
      <c r="L2756" s="205"/>
      <c r="M2756" s="205"/>
    </row>
    <row r="2757" spans="2:13" ht="15.75">
      <c r="B2757" s="79"/>
      <c r="D2757"/>
      <c r="E2757" s="188"/>
      <c r="H2757"/>
      <c r="I2757" s="202"/>
      <c r="J2757"/>
      <c r="K2757" s="205"/>
      <c r="L2757" s="205"/>
      <c r="M2757" s="205"/>
    </row>
    <row r="2758" spans="2:13" ht="15.75">
      <c r="B2758" s="79"/>
      <c r="D2758"/>
      <c r="E2758" s="188"/>
      <c r="H2758"/>
      <c r="I2758" s="202"/>
      <c r="J2758"/>
      <c r="K2758" s="205"/>
      <c r="L2758" s="205"/>
      <c r="M2758" s="205"/>
    </row>
    <row r="2759" spans="2:13" ht="15.75">
      <c r="B2759" s="79"/>
      <c r="D2759"/>
      <c r="E2759" s="188"/>
      <c r="H2759"/>
      <c r="I2759" s="202"/>
      <c r="J2759"/>
      <c r="K2759" s="205"/>
      <c r="L2759" s="205"/>
      <c r="M2759" s="205"/>
    </row>
    <row r="2760" spans="2:13" ht="15.75">
      <c r="B2760" s="79"/>
      <c r="D2760"/>
      <c r="E2760" s="188"/>
      <c r="H2760"/>
      <c r="I2760" s="202"/>
      <c r="J2760"/>
      <c r="K2760" s="205"/>
      <c r="L2760" s="205"/>
      <c r="M2760" s="205"/>
    </row>
    <row r="2761" spans="2:13" ht="15.75">
      <c r="B2761" s="79"/>
      <c r="D2761"/>
      <c r="E2761" s="188"/>
      <c r="H2761"/>
      <c r="I2761" s="202"/>
      <c r="J2761"/>
      <c r="K2761" s="205"/>
      <c r="L2761" s="205"/>
      <c r="M2761" s="205"/>
    </row>
    <row r="2762" spans="2:13" ht="15.75">
      <c r="B2762" s="79"/>
      <c r="D2762"/>
      <c r="E2762" s="188"/>
      <c r="H2762"/>
      <c r="I2762" s="202"/>
      <c r="J2762"/>
      <c r="K2762" s="205"/>
      <c r="L2762" s="205"/>
      <c r="M2762" s="205"/>
    </row>
    <row r="2763" spans="2:13" ht="15.75">
      <c r="B2763" s="79"/>
      <c r="D2763"/>
      <c r="E2763" s="188"/>
      <c r="H2763"/>
      <c r="I2763" s="202"/>
      <c r="J2763"/>
      <c r="K2763" s="205"/>
      <c r="L2763" s="205"/>
      <c r="M2763" s="205"/>
    </row>
    <row r="2764" spans="2:13" ht="15.75">
      <c r="B2764" s="79"/>
      <c r="D2764"/>
      <c r="E2764" s="188"/>
      <c r="H2764"/>
      <c r="I2764" s="202"/>
      <c r="J2764"/>
      <c r="K2764" s="205"/>
      <c r="L2764" s="205"/>
      <c r="M2764" s="205"/>
    </row>
    <row r="2765" spans="2:13" ht="15.75">
      <c r="B2765" s="79"/>
      <c r="D2765"/>
      <c r="E2765" s="188"/>
      <c r="H2765"/>
      <c r="I2765" s="202"/>
      <c r="J2765"/>
      <c r="K2765" s="205"/>
      <c r="L2765" s="205"/>
      <c r="M2765" s="205"/>
    </row>
    <row r="2766" spans="2:13" ht="15.75">
      <c r="B2766" s="79"/>
      <c r="D2766"/>
      <c r="E2766" s="188"/>
      <c r="H2766"/>
      <c r="I2766" s="202"/>
      <c r="J2766"/>
      <c r="K2766" s="205"/>
      <c r="L2766" s="205"/>
      <c r="M2766" s="205"/>
    </row>
    <row r="2767" spans="2:13" ht="15.75">
      <c r="B2767" s="79"/>
      <c r="D2767"/>
      <c r="E2767" s="188"/>
      <c r="H2767"/>
      <c r="I2767" s="202"/>
      <c r="J2767"/>
      <c r="K2767" s="205"/>
      <c r="L2767" s="205"/>
      <c r="M2767" s="205"/>
    </row>
    <row r="2768" spans="2:13" ht="15.75">
      <c r="B2768" s="79"/>
      <c r="D2768"/>
      <c r="E2768" s="188"/>
      <c r="H2768"/>
      <c r="I2768" s="202"/>
      <c r="J2768"/>
      <c r="K2768" s="205"/>
      <c r="L2768" s="205"/>
      <c r="M2768" s="205"/>
    </row>
    <row r="2769" spans="2:13" ht="15.75">
      <c r="B2769" s="79"/>
      <c r="D2769"/>
      <c r="E2769" s="188"/>
      <c r="H2769"/>
      <c r="I2769" s="202"/>
      <c r="J2769"/>
      <c r="K2769" s="205"/>
      <c r="L2769" s="205"/>
      <c r="M2769" s="205"/>
    </row>
    <row r="2770" spans="2:13" ht="15.75">
      <c r="B2770" s="79"/>
      <c r="D2770"/>
      <c r="E2770" s="188"/>
      <c r="H2770"/>
      <c r="I2770" s="202"/>
      <c r="J2770"/>
      <c r="K2770" s="205"/>
      <c r="L2770" s="205"/>
      <c r="M2770" s="205"/>
    </row>
    <row r="2771" spans="2:13" ht="15.75">
      <c r="B2771" s="79"/>
      <c r="D2771"/>
      <c r="E2771" s="188"/>
      <c r="H2771"/>
      <c r="I2771" s="202"/>
      <c r="J2771"/>
      <c r="K2771" s="205"/>
      <c r="L2771" s="205"/>
      <c r="M2771" s="205"/>
    </row>
    <row r="2772" spans="2:13" ht="15.75">
      <c r="B2772" s="79"/>
      <c r="D2772"/>
      <c r="E2772" s="188"/>
      <c r="H2772"/>
      <c r="I2772" s="202"/>
      <c r="J2772"/>
      <c r="K2772" s="205"/>
      <c r="L2772" s="205"/>
      <c r="M2772" s="205"/>
    </row>
    <row r="2773" spans="2:13" ht="15.75">
      <c r="B2773" s="79"/>
      <c r="D2773"/>
      <c r="E2773" s="188"/>
      <c r="H2773"/>
      <c r="I2773" s="202"/>
      <c r="J2773"/>
      <c r="K2773" s="205"/>
      <c r="L2773" s="205"/>
      <c r="M2773" s="205"/>
    </row>
    <row r="2774" spans="2:13" ht="15.75">
      <c r="B2774" s="79"/>
      <c r="D2774"/>
      <c r="E2774" s="188"/>
      <c r="H2774"/>
      <c r="I2774" s="202"/>
      <c r="J2774"/>
      <c r="K2774" s="205"/>
      <c r="L2774" s="205"/>
      <c r="M2774" s="205"/>
    </row>
    <row r="2775" spans="2:13" ht="15.75">
      <c r="B2775" s="79"/>
      <c r="D2775"/>
      <c r="E2775" s="188"/>
      <c r="H2775"/>
      <c r="I2775" s="202"/>
      <c r="J2775"/>
      <c r="K2775" s="205"/>
      <c r="L2775" s="205"/>
      <c r="M2775" s="205"/>
    </row>
    <row r="2776" spans="2:13" ht="15.75">
      <c r="B2776" s="79"/>
      <c r="D2776"/>
      <c r="E2776" s="188"/>
      <c r="H2776"/>
      <c r="I2776" s="202"/>
      <c r="J2776"/>
      <c r="K2776" s="205"/>
      <c r="L2776" s="205"/>
      <c r="M2776" s="205"/>
    </row>
    <row r="2777" spans="2:13" ht="15.75">
      <c r="B2777" s="79"/>
      <c r="D2777"/>
      <c r="E2777" s="188"/>
      <c r="H2777"/>
      <c r="I2777" s="202"/>
      <c r="J2777"/>
      <c r="K2777" s="205"/>
      <c r="L2777" s="205"/>
      <c r="M2777" s="205"/>
    </row>
    <row r="2778" spans="2:13" ht="15.75">
      <c r="B2778" s="79"/>
      <c r="D2778"/>
      <c r="E2778" s="188"/>
      <c r="H2778"/>
      <c r="I2778" s="202"/>
      <c r="J2778"/>
      <c r="K2778" s="205"/>
      <c r="L2778" s="205"/>
      <c r="M2778" s="205"/>
    </row>
    <row r="2779" spans="2:13" ht="15.75">
      <c r="B2779" s="79"/>
      <c r="D2779"/>
      <c r="E2779" s="188"/>
      <c r="H2779"/>
      <c r="I2779" s="202"/>
      <c r="J2779"/>
      <c r="K2779" s="205"/>
      <c r="L2779" s="205"/>
      <c r="M2779" s="205"/>
    </row>
    <row r="2780" spans="2:13" ht="15.75">
      <c r="B2780" s="79"/>
      <c r="D2780"/>
      <c r="E2780" s="188"/>
      <c r="H2780"/>
      <c r="I2780" s="202"/>
      <c r="J2780"/>
      <c r="K2780" s="205"/>
      <c r="L2780" s="205"/>
      <c r="M2780" s="205"/>
    </row>
    <row r="2781" spans="2:13" ht="15.75">
      <c r="B2781" s="79"/>
      <c r="D2781"/>
      <c r="E2781" s="188"/>
      <c r="H2781"/>
      <c r="I2781" s="202"/>
      <c r="J2781"/>
      <c r="K2781" s="205"/>
      <c r="L2781" s="205"/>
      <c r="M2781" s="205"/>
    </row>
    <row r="2782" spans="2:13" ht="15.75">
      <c r="B2782" s="79"/>
      <c r="D2782"/>
      <c r="E2782" s="188"/>
      <c r="H2782"/>
      <c r="I2782" s="202"/>
      <c r="J2782"/>
      <c r="K2782" s="205"/>
      <c r="L2782" s="205"/>
      <c r="M2782" s="205"/>
    </row>
    <row r="2783" spans="2:13" ht="15.75">
      <c r="B2783" s="79"/>
      <c r="D2783"/>
      <c r="E2783" s="188"/>
      <c r="H2783"/>
      <c r="I2783" s="202"/>
      <c r="J2783"/>
      <c r="K2783" s="205"/>
      <c r="L2783" s="205"/>
      <c r="M2783" s="205"/>
    </row>
    <row r="2784" spans="2:13" ht="15.75">
      <c r="B2784" s="79"/>
      <c r="D2784"/>
      <c r="E2784" s="188"/>
      <c r="H2784"/>
      <c r="I2784" s="202"/>
      <c r="J2784"/>
      <c r="K2784" s="205"/>
      <c r="L2784" s="205"/>
      <c r="M2784" s="205"/>
    </row>
    <row r="2785" spans="2:13" ht="15.75">
      <c r="B2785" s="79"/>
      <c r="D2785"/>
      <c r="E2785" s="188"/>
      <c r="H2785"/>
      <c r="I2785" s="202"/>
      <c r="J2785"/>
      <c r="K2785" s="205"/>
      <c r="L2785" s="205"/>
      <c r="M2785" s="205"/>
    </row>
    <row r="2786" spans="2:13" ht="15.75">
      <c r="B2786" s="79"/>
      <c r="D2786"/>
      <c r="E2786" s="188"/>
      <c r="H2786"/>
      <c r="I2786" s="202"/>
      <c r="J2786"/>
      <c r="K2786" s="205"/>
      <c r="L2786" s="205"/>
      <c r="M2786" s="205"/>
    </row>
    <row r="2787" spans="2:13" ht="15.75">
      <c r="B2787" s="79"/>
      <c r="D2787"/>
      <c r="E2787" s="188"/>
      <c r="H2787"/>
      <c r="I2787" s="202"/>
      <c r="J2787"/>
      <c r="K2787" s="205"/>
      <c r="L2787" s="205"/>
      <c r="M2787" s="205"/>
    </row>
    <row r="2788" spans="2:13" ht="15.75">
      <c r="B2788" s="79"/>
      <c r="D2788"/>
      <c r="E2788" s="188"/>
      <c r="H2788"/>
      <c r="I2788" s="202"/>
      <c r="J2788"/>
      <c r="K2788" s="205"/>
      <c r="L2788" s="205"/>
      <c r="M2788" s="205"/>
    </row>
    <row r="2789" spans="2:13" ht="15.75">
      <c r="B2789" s="79"/>
      <c r="D2789"/>
      <c r="E2789" s="188"/>
      <c r="H2789"/>
      <c r="I2789" s="202"/>
      <c r="J2789"/>
      <c r="K2789" s="205"/>
      <c r="L2789" s="205"/>
      <c r="M2789" s="205"/>
    </row>
    <row r="2790" spans="2:13" ht="15.75">
      <c r="B2790" s="79"/>
      <c r="D2790"/>
      <c r="E2790" s="188"/>
      <c r="H2790"/>
      <c r="I2790" s="202"/>
      <c r="J2790"/>
      <c r="K2790" s="205"/>
      <c r="L2790" s="205"/>
      <c r="M2790" s="205"/>
    </row>
    <row r="2791" spans="2:13" ht="15.75">
      <c r="B2791" s="79"/>
      <c r="D2791"/>
      <c r="E2791" s="188"/>
      <c r="H2791"/>
      <c r="I2791" s="202"/>
      <c r="J2791"/>
      <c r="K2791" s="205"/>
      <c r="L2791" s="205"/>
      <c r="M2791" s="205"/>
    </row>
    <row r="2792" spans="2:13" ht="15.75">
      <c r="B2792" s="79"/>
      <c r="D2792"/>
      <c r="E2792" s="188"/>
      <c r="H2792"/>
      <c r="I2792" s="202"/>
      <c r="J2792"/>
      <c r="K2792" s="205"/>
      <c r="L2792" s="205"/>
      <c r="M2792" s="205"/>
    </row>
    <row r="2793" spans="2:13" ht="15.75">
      <c r="B2793" s="79"/>
      <c r="D2793"/>
      <c r="E2793" s="188"/>
      <c r="H2793"/>
      <c r="I2793" s="202"/>
      <c r="J2793"/>
      <c r="K2793" s="205"/>
      <c r="L2793" s="205"/>
      <c r="M2793" s="205"/>
    </row>
    <row r="2794" spans="2:13" ht="15.75">
      <c r="B2794" s="79"/>
      <c r="D2794"/>
      <c r="E2794" s="188"/>
      <c r="H2794"/>
      <c r="I2794" s="202"/>
      <c r="J2794"/>
      <c r="K2794" s="205"/>
      <c r="L2794" s="205"/>
      <c r="M2794" s="205"/>
    </row>
    <row r="2795" spans="2:13" ht="15.75">
      <c r="B2795" s="79"/>
      <c r="D2795"/>
      <c r="E2795" s="188"/>
      <c r="H2795"/>
      <c r="I2795" s="202"/>
      <c r="J2795"/>
      <c r="K2795" s="205"/>
      <c r="L2795" s="205"/>
      <c r="M2795" s="205"/>
    </row>
    <row r="2796" spans="2:13" ht="15.75">
      <c r="B2796" s="79"/>
      <c r="D2796"/>
      <c r="E2796" s="188"/>
      <c r="H2796"/>
      <c r="I2796" s="202"/>
      <c r="J2796"/>
      <c r="K2796" s="205"/>
      <c r="L2796" s="205"/>
      <c r="M2796" s="205"/>
    </row>
    <row r="2797" spans="2:13" ht="15.75">
      <c r="B2797" s="79"/>
      <c r="D2797"/>
      <c r="E2797" s="188"/>
      <c r="H2797"/>
      <c r="I2797" s="202"/>
      <c r="J2797"/>
      <c r="K2797" s="205"/>
      <c r="L2797" s="205"/>
      <c r="M2797" s="205"/>
    </row>
    <row r="2798" spans="2:13" ht="15.75">
      <c r="B2798" s="79"/>
      <c r="D2798"/>
      <c r="E2798" s="188"/>
      <c r="H2798"/>
      <c r="I2798" s="202"/>
      <c r="J2798"/>
      <c r="K2798" s="205"/>
      <c r="L2798" s="205"/>
      <c r="M2798" s="205"/>
    </row>
    <row r="2799" spans="2:13" ht="15.75">
      <c r="B2799" s="79"/>
      <c r="D2799"/>
      <c r="E2799" s="188"/>
      <c r="H2799"/>
      <c r="I2799" s="202"/>
      <c r="J2799"/>
      <c r="K2799" s="205"/>
      <c r="L2799" s="205"/>
      <c r="M2799" s="205"/>
    </row>
    <row r="2800" spans="2:13" ht="15.75">
      <c r="B2800" s="79"/>
      <c r="D2800"/>
      <c r="E2800" s="188"/>
      <c r="H2800"/>
      <c r="I2800" s="202"/>
      <c r="J2800"/>
      <c r="K2800" s="205"/>
      <c r="L2800" s="205"/>
      <c r="M2800" s="205"/>
    </row>
    <row r="2801" spans="2:13" ht="15.75">
      <c r="B2801" s="79"/>
      <c r="D2801"/>
      <c r="E2801" s="188"/>
      <c r="H2801"/>
      <c r="I2801" s="202"/>
      <c r="J2801"/>
      <c r="K2801" s="205"/>
      <c r="L2801" s="205"/>
      <c r="M2801" s="205"/>
    </row>
    <row r="2802" spans="2:13" ht="15.75">
      <c r="B2802" s="79"/>
      <c r="D2802"/>
      <c r="E2802" s="188"/>
      <c r="H2802"/>
      <c r="I2802" s="202"/>
      <c r="J2802"/>
      <c r="K2802" s="205"/>
      <c r="L2802" s="205"/>
      <c r="M2802" s="205"/>
    </row>
    <row r="2803" spans="2:13" ht="15.75">
      <c r="B2803" s="79"/>
      <c r="D2803"/>
      <c r="E2803" s="188"/>
      <c r="H2803"/>
      <c r="I2803" s="202"/>
      <c r="J2803"/>
      <c r="K2803" s="205"/>
      <c r="L2803" s="205"/>
      <c r="M2803" s="205"/>
    </row>
    <row r="2804" spans="2:13" ht="15.75">
      <c r="B2804" s="79"/>
      <c r="D2804"/>
      <c r="E2804" s="188"/>
      <c r="H2804"/>
      <c r="I2804" s="202"/>
      <c r="J2804"/>
      <c r="K2804" s="205"/>
      <c r="L2804" s="205"/>
      <c r="M2804" s="205"/>
    </row>
    <row r="2805" spans="2:13" ht="15.75">
      <c r="B2805" s="79"/>
      <c r="D2805"/>
      <c r="E2805" s="188"/>
      <c r="H2805"/>
      <c r="I2805" s="202"/>
      <c r="J2805"/>
      <c r="K2805" s="205"/>
      <c r="L2805" s="205"/>
      <c r="M2805" s="205"/>
    </row>
    <row r="2806" spans="2:13" ht="15.75">
      <c r="B2806" s="79"/>
      <c r="D2806"/>
      <c r="E2806" s="188"/>
      <c r="H2806"/>
      <c r="I2806" s="202"/>
      <c r="J2806"/>
      <c r="K2806" s="205"/>
      <c r="L2806" s="205"/>
      <c r="M2806" s="205"/>
    </row>
    <row r="2807" spans="2:13" ht="15.75">
      <c r="B2807" s="79"/>
      <c r="D2807"/>
      <c r="E2807" s="188"/>
      <c r="H2807"/>
      <c r="I2807" s="202"/>
      <c r="J2807"/>
      <c r="K2807" s="205"/>
      <c r="L2807" s="205"/>
      <c r="M2807" s="205"/>
    </row>
    <row r="2808" spans="2:13" ht="15.75">
      <c r="B2808" s="79"/>
      <c r="D2808"/>
      <c r="E2808" s="188"/>
      <c r="H2808"/>
      <c r="I2808" s="202"/>
      <c r="J2808"/>
      <c r="K2808" s="205"/>
      <c r="L2808" s="205"/>
      <c r="M2808" s="205"/>
    </row>
    <row r="2809" spans="2:13" ht="15.75">
      <c r="B2809" s="79"/>
      <c r="D2809"/>
      <c r="E2809" s="188"/>
      <c r="H2809"/>
      <c r="I2809" s="202"/>
      <c r="J2809"/>
      <c r="K2809" s="205"/>
      <c r="L2809" s="205"/>
      <c r="M2809" s="205"/>
    </row>
    <row r="2810" spans="2:13" ht="15.75">
      <c r="B2810" s="79"/>
      <c r="D2810"/>
      <c r="E2810" s="188"/>
      <c r="H2810"/>
      <c r="I2810" s="202"/>
      <c r="J2810"/>
      <c r="K2810" s="205"/>
      <c r="L2810" s="205"/>
      <c r="M2810" s="205"/>
    </row>
    <row r="2811" spans="2:13" ht="15.75">
      <c r="B2811" s="79"/>
      <c r="D2811"/>
      <c r="E2811" s="188"/>
      <c r="H2811"/>
      <c r="I2811" s="202"/>
      <c r="J2811"/>
      <c r="K2811" s="205"/>
      <c r="L2811" s="205"/>
      <c r="M2811" s="205"/>
    </row>
    <row r="2812" spans="2:13" ht="15.75">
      <c r="B2812" s="79"/>
      <c r="D2812"/>
      <c r="E2812" s="188"/>
      <c r="H2812"/>
      <c r="I2812" s="202"/>
      <c r="J2812"/>
      <c r="K2812" s="205"/>
      <c r="L2812" s="205"/>
      <c r="M2812" s="205"/>
    </row>
    <row r="2813" spans="2:13" ht="15.75">
      <c r="B2813" s="79"/>
      <c r="D2813"/>
      <c r="E2813" s="188"/>
      <c r="H2813"/>
      <c r="I2813" s="202"/>
      <c r="J2813"/>
      <c r="K2813" s="205"/>
      <c r="L2813" s="205"/>
      <c r="M2813" s="205"/>
    </row>
    <row r="2814" spans="2:13" ht="15.75">
      <c r="B2814" s="79"/>
      <c r="D2814"/>
      <c r="E2814" s="188"/>
      <c r="H2814"/>
      <c r="I2814" s="202"/>
      <c r="J2814"/>
      <c r="K2814" s="205"/>
      <c r="L2814" s="205"/>
      <c r="M2814" s="205"/>
    </row>
    <row r="2815" spans="2:13" ht="15.75">
      <c r="B2815" s="79"/>
      <c r="D2815"/>
      <c r="E2815" s="188"/>
      <c r="H2815"/>
      <c r="I2815" s="202"/>
      <c r="J2815"/>
      <c r="K2815" s="205"/>
      <c r="L2815" s="205"/>
      <c r="M2815" s="205"/>
    </row>
    <row r="2816" spans="2:13" ht="15.75">
      <c r="B2816" s="79"/>
      <c r="D2816"/>
      <c r="E2816" s="188"/>
      <c r="H2816"/>
      <c r="I2816" s="202"/>
      <c r="J2816"/>
      <c r="K2816" s="205"/>
      <c r="L2816" s="205"/>
      <c r="M2816" s="205"/>
    </row>
    <row r="2817" spans="2:13" ht="15.75">
      <c r="B2817" s="79"/>
      <c r="D2817"/>
      <c r="E2817" s="188"/>
      <c r="H2817"/>
      <c r="I2817" s="202"/>
      <c r="J2817"/>
      <c r="K2817" s="205"/>
      <c r="L2817" s="205"/>
      <c r="M2817" s="205"/>
    </row>
    <row r="2818" spans="2:13" ht="15.75">
      <c r="B2818" s="79"/>
      <c r="D2818"/>
      <c r="E2818" s="188"/>
      <c r="H2818"/>
      <c r="I2818" s="202"/>
      <c r="J2818"/>
      <c r="K2818" s="205"/>
      <c r="L2818" s="205"/>
      <c r="M2818" s="205"/>
    </row>
    <row r="2819" spans="2:13" ht="15.75">
      <c r="B2819" s="79"/>
      <c r="D2819"/>
      <c r="E2819" s="188"/>
      <c r="H2819"/>
      <c r="I2819" s="202"/>
      <c r="J2819"/>
      <c r="K2819" s="205"/>
      <c r="L2819" s="205"/>
      <c r="M2819" s="205"/>
    </row>
    <row r="2820" spans="2:13" ht="15.75">
      <c r="B2820" s="79"/>
      <c r="D2820"/>
      <c r="E2820" s="188"/>
      <c r="H2820"/>
      <c r="I2820" s="202"/>
      <c r="J2820"/>
      <c r="K2820" s="205"/>
      <c r="L2820" s="205"/>
      <c r="M2820" s="205"/>
    </row>
    <row r="2821" spans="2:13" ht="15.75">
      <c r="B2821" s="79"/>
      <c r="D2821"/>
      <c r="E2821" s="188"/>
      <c r="H2821"/>
      <c r="I2821" s="202"/>
      <c r="J2821"/>
      <c r="K2821" s="205"/>
      <c r="L2821" s="205"/>
      <c r="M2821" s="205"/>
    </row>
    <row r="2822" spans="2:13" ht="15.75">
      <c r="B2822" s="79"/>
      <c r="D2822"/>
      <c r="E2822" s="188"/>
      <c r="H2822"/>
      <c r="I2822" s="202"/>
      <c r="J2822"/>
      <c r="K2822" s="205"/>
      <c r="L2822" s="205"/>
      <c r="M2822" s="205"/>
    </row>
    <row r="2823" spans="2:13" ht="15.75">
      <c r="B2823" s="79"/>
      <c r="D2823"/>
      <c r="E2823" s="188"/>
      <c r="H2823"/>
      <c r="I2823" s="202"/>
      <c r="J2823"/>
      <c r="K2823" s="205"/>
      <c r="L2823" s="205"/>
      <c r="M2823" s="205"/>
    </row>
    <row r="2824" spans="2:13" ht="15.75">
      <c r="B2824" s="79"/>
      <c r="D2824"/>
      <c r="E2824" s="188"/>
      <c r="H2824"/>
      <c r="I2824" s="202"/>
      <c r="J2824"/>
      <c r="K2824" s="205"/>
      <c r="L2824" s="205"/>
      <c r="M2824" s="205"/>
    </row>
    <row r="2825" spans="2:13" ht="15.75">
      <c r="B2825" s="79"/>
      <c r="D2825"/>
      <c r="E2825" s="188"/>
      <c r="H2825"/>
      <c r="I2825" s="202"/>
      <c r="J2825"/>
      <c r="K2825" s="205"/>
      <c r="L2825" s="205"/>
      <c r="M2825" s="205"/>
    </row>
    <row r="2826" spans="2:13" ht="15.75">
      <c r="B2826" s="79"/>
      <c r="D2826"/>
      <c r="E2826" s="188"/>
      <c r="H2826"/>
      <c r="I2826" s="202"/>
      <c r="J2826"/>
      <c r="K2826" s="205"/>
      <c r="L2826" s="205"/>
      <c r="M2826" s="205"/>
    </row>
    <row r="2827" spans="2:13" ht="15.75">
      <c r="B2827" s="79"/>
      <c r="D2827"/>
      <c r="E2827" s="188"/>
      <c r="H2827"/>
      <c r="I2827" s="202"/>
      <c r="J2827"/>
      <c r="K2827" s="205"/>
      <c r="L2827" s="205"/>
      <c r="M2827" s="205"/>
    </row>
    <row r="2828" spans="2:13" ht="15.75">
      <c r="B2828" s="79"/>
      <c r="D2828"/>
      <c r="E2828" s="188"/>
      <c r="H2828"/>
      <c r="I2828" s="202"/>
      <c r="J2828"/>
      <c r="K2828" s="205"/>
      <c r="L2828" s="205"/>
      <c r="M2828" s="205"/>
    </row>
    <row r="2829" spans="2:13" ht="15.75">
      <c r="B2829" s="79"/>
      <c r="D2829"/>
      <c r="E2829" s="188"/>
      <c r="H2829"/>
      <c r="I2829" s="202"/>
      <c r="J2829"/>
      <c r="K2829" s="205"/>
      <c r="L2829" s="205"/>
      <c r="M2829" s="205"/>
    </row>
    <row r="2830" spans="2:13" ht="15.75">
      <c r="B2830" s="79"/>
      <c r="D2830"/>
      <c r="E2830" s="188"/>
      <c r="H2830"/>
      <c r="I2830" s="202"/>
      <c r="J2830"/>
      <c r="K2830" s="205"/>
      <c r="L2830" s="205"/>
      <c r="M2830" s="205"/>
    </row>
    <row r="2831" spans="2:13" ht="15.75">
      <c r="B2831" s="79"/>
      <c r="D2831"/>
      <c r="E2831" s="188"/>
      <c r="H2831"/>
      <c r="I2831" s="202"/>
      <c r="J2831"/>
      <c r="K2831" s="205"/>
      <c r="L2831" s="205"/>
      <c r="M2831" s="205"/>
    </row>
    <row r="2832" spans="2:13" ht="15.75">
      <c r="B2832" s="79"/>
      <c r="D2832"/>
      <c r="E2832" s="188"/>
      <c r="H2832"/>
      <c r="I2832" s="202"/>
      <c r="J2832"/>
      <c r="K2832" s="205"/>
      <c r="L2832" s="205"/>
      <c r="M2832" s="205"/>
    </row>
    <row r="2833" spans="2:13" ht="15.75">
      <c r="B2833" s="79"/>
      <c r="D2833"/>
      <c r="E2833" s="188"/>
      <c r="H2833"/>
      <c r="I2833" s="202"/>
      <c r="J2833"/>
      <c r="K2833" s="205"/>
      <c r="L2833" s="205"/>
      <c r="M2833" s="205"/>
    </row>
    <row r="2834" spans="2:13" ht="15.75">
      <c r="B2834" s="79"/>
      <c r="D2834"/>
      <c r="E2834" s="188"/>
      <c r="H2834"/>
      <c r="I2834" s="202"/>
      <c r="J2834"/>
      <c r="K2834" s="205"/>
      <c r="L2834" s="205"/>
      <c r="M2834" s="205"/>
    </row>
    <row r="2835" spans="2:13" ht="15.75">
      <c r="B2835" s="79"/>
      <c r="D2835"/>
      <c r="E2835" s="188"/>
      <c r="H2835"/>
      <c r="I2835" s="202"/>
      <c r="J2835"/>
      <c r="K2835" s="205"/>
      <c r="L2835" s="205"/>
      <c r="M2835" s="205"/>
    </row>
    <row r="2836" spans="2:13" ht="15.75">
      <c r="B2836" s="79"/>
      <c r="D2836"/>
      <c r="E2836" s="188"/>
      <c r="H2836"/>
      <c r="I2836" s="202"/>
      <c r="J2836"/>
      <c r="K2836" s="205"/>
      <c r="L2836" s="205"/>
      <c r="M2836" s="205"/>
    </row>
    <row r="2837" spans="2:13" ht="15.75">
      <c r="B2837" s="79"/>
      <c r="D2837"/>
      <c r="E2837" s="188"/>
      <c r="H2837"/>
      <c r="I2837" s="202"/>
      <c r="J2837"/>
      <c r="K2837" s="205"/>
      <c r="L2837" s="205"/>
      <c r="M2837" s="205"/>
    </row>
    <row r="2838" spans="2:13" ht="15.75">
      <c r="B2838" s="79"/>
      <c r="D2838"/>
      <c r="E2838" s="188"/>
      <c r="H2838"/>
      <c r="I2838" s="202"/>
      <c r="J2838"/>
      <c r="K2838" s="205"/>
      <c r="L2838" s="205"/>
      <c r="M2838" s="205"/>
    </row>
    <row r="2839" spans="2:13" ht="15.75">
      <c r="B2839" s="79"/>
      <c r="D2839"/>
      <c r="E2839" s="188"/>
      <c r="H2839"/>
      <c r="I2839" s="202"/>
      <c r="J2839"/>
      <c r="K2839" s="205"/>
      <c r="L2839" s="205"/>
      <c r="M2839" s="205"/>
    </row>
    <row r="2840" spans="2:13" ht="15.75">
      <c r="B2840" s="79"/>
      <c r="D2840"/>
      <c r="E2840" s="188"/>
      <c r="H2840"/>
      <c r="I2840" s="202"/>
      <c r="J2840"/>
      <c r="K2840" s="205"/>
      <c r="L2840" s="205"/>
      <c r="M2840" s="205"/>
    </row>
    <row r="2841" spans="2:13" ht="15.75">
      <c r="B2841" s="79"/>
      <c r="D2841"/>
      <c r="E2841" s="188"/>
      <c r="H2841"/>
      <c r="I2841" s="202"/>
      <c r="J2841"/>
      <c r="K2841" s="205"/>
      <c r="L2841" s="205"/>
      <c r="M2841" s="205"/>
    </row>
    <row r="2842" spans="2:13" ht="15.75">
      <c r="B2842" s="79"/>
      <c r="D2842"/>
      <c r="E2842" s="188"/>
      <c r="H2842"/>
      <c r="I2842" s="202"/>
      <c r="J2842"/>
      <c r="K2842" s="205"/>
      <c r="L2842" s="205"/>
      <c r="M2842" s="205"/>
    </row>
    <row r="2843" spans="2:13" ht="15.75">
      <c r="B2843" s="79"/>
      <c r="D2843"/>
      <c r="E2843" s="188"/>
      <c r="H2843"/>
      <c r="I2843" s="202"/>
      <c r="J2843"/>
      <c r="K2843" s="205"/>
      <c r="L2843" s="205"/>
      <c r="M2843" s="205"/>
    </row>
    <row r="2844" spans="2:13" ht="15.75">
      <c r="B2844" s="79"/>
      <c r="D2844"/>
      <c r="E2844" s="188"/>
      <c r="H2844"/>
      <c r="I2844" s="202"/>
      <c r="J2844"/>
      <c r="K2844" s="205"/>
      <c r="L2844" s="205"/>
      <c r="M2844" s="205"/>
    </row>
    <row r="2845" spans="2:13" ht="15.75">
      <c r="B2845" s="79"/>
      <c r="D2845"/>
      <c r="E2845" s="188"/>
      <c r="H2845"/>
      <c r="I2845" s="202"/>
      <c r="J2845"/>
      <c r="K2845" s="205"/>
      <c r="L2845" s="205"/>
      <c r="M2845" s="205"/>
    </row>
    <row r="2846" spans="2:13" ht="15.75">
      <c r="B2846" s="79"/>
      <c r="D2846"/>
      <c r="E2846" s="188"/>
      <c r="H2846"/>
      <c r="I2846" s="202"/>
      <c r="J2846"/>
      <c r="K2846" s="205"/>
      <c r="L2846" s="205"/>
      <c r="M2846" s="205"/>
    </row>
    <row r="2847" spans="2:13" ht="15.75">
      <c r="B2847" s="79"/>
      <c r="D2847"/>
      <c r="E2847" s="188"/>
      <c r="H2847"/>
      <c r="I2847" s="202"/>
      <c r="J2847"/>
      <c r="K2847" s="205"/>
      <c r="L2847" s="205"/>
      <c r="M2847" s="205"/>
    </row>
    <row r="2848" spans="2:13" ht="15.75">
      <c r="B2848" s="79"/>
      <c r="D2848"/>
      <c r="E2848" s="188"/>
      <c r="H2848"/>
      <c r="I2848" s="202"/>
      <c r="J2848"/>
      <c r="K2848" s="205"/>
      <c r="L2848" s="205"/>
      <c r="M2848" s="205"/>
    </row>
    <row r="2849" spans="2:13" ht="15.75">
      <c r="B2849" s="79"/>
      <c r="D2849"/>
      <c r="E2849" s="188"/>
      <c r="H2849"/>
      <c r="I2849" s="202"/>
      <c r="J2849"/>
      <c r="K2849" s="205"/>
      <c r="L2849" s="205"/>
      <c r="M2849" s="205"/>
    </row>
    <row r="2850" spans="2:13" ht="15.75">
      <c r="B2850" s="79"/>
      <c r="D2850"/>
      <c r="E2850" s="188"/>
      <c r="H2850"/>
      <c r="I2850" s="202"/>
      <c r="J2850"/>
      <c r="K2850" s="205"/>
      <c r="L2850" s="205"/>
      <c r="M2850" s="205"/>
    </row>
    <row r="2851" spans="2:13" ht="15.75">
      <c r="B2851" s="79"/>
      <c r="D2851"/>
      <c r="E2851" s="188"/>
      <c r="H2851"/>
      <c r="I2851" s="202"/>
      <c r="J2851"/>
      <c r="K2851" s="205"/>
      <c r="L2851" s="205"/>
      <c r="M2851" s="205"/>
    </row>
    <row r="2852" spans="2:13" ht="15.75">
      <c r="B2852" s="79"/>
      <c r="D2852"/>
      <c r="E2852" s="188"/>
      <c r="H2852"/>
      <c r="I2852" s="202"/>
      <c r="J2852"/>
      <c r="K2852" s="205"/>
      <c r="L2852" s="205"/>
      <c r="M2852" s="205"/>
    </row>
    <row r="2853" spans="2:13" ht="15.75">
      <c r="B2853" s="79"/>
      <c r="D2853"/>
      <c r="E2853" s="188"/>
      <c r="H2853"/>
      <c r="I2853" s="202"/>
      <c r="J2853"/>
      <c r="K2853" s="205"/>
      <c r="L2853" s="205"/>
      <c r="M2853" s="205"/>
    </row>
    <row r="2854" spans="2:13" ht="15.75">
      <c r="B2854" s="79"/>
      <c r="D2854"/>
      <c r="E2854" s="188"/>
      <c r="H2854"/>
      <c r="I2854" s="202"/>
      <c r="J2854"/>
      <c r="K2854" s="205"/>
      <c r="L2854" s="205"/>
      <c r="M2854" s="205"/>
    </row>
    <row r="2855" spans="2:13" ht="15.75">
      <c r="B2855" s="79"/>
      <c r="D2855"/>
      <c r="E2855" s="188"/>
      <c r="H2855"/>
      <c r="I2855" s="202"/>
      <c r="J2855"/>
      <c r="K2855" s="205"/>
      <c r="L2855" s="205"/>
      <c r="M2855" s="205"/>
    </row>
    <row r="2856" spans="2:13" ht="15.75">
      <c r="B2856" s="79"/>
      <c r="D2856"/>
      <c r="E2856" s="188"/>
      <c r="H2856"/>
      <c r="I2856" s="202"/>
      <c r="J2856"/>
      <c r="K2856" s="205"/>
      <c r="L2856" s="205"/>
      <c r="M2856" s="205"/>
    </row>
    <row r="2857" spans="2:13" ht="15.75">
      <c r="B2857" s="79"/>
      <c r="D2857"/>
      <c r="E2857" s="188"/>
      <c r="H2857"/>
      <c r="I2857" s="202"/>
      <c r="J2857"/>
      <c r="K2857" s="205"/>
      <c r="L2857" s="205"/>
      <c r="M2857" s="205"/>
    </row>
    <row r="2858" spans="2:13" ht="15.75">
      <c r="B2858" s="79"/>
      <c r="D2858"/>
      <c r="E2858" s="188"/>
      <c r="H2858"/>
      <c r="I2858" s="202"/>
      <c r="J2858"/>
      <c r="K2858" s="205"/>
      <c r="L2858" s="205"/>
      <c r="M2858" s="205"/>
    </row>
    <row r="2859" spans="2:13" ht="15.75">
      <c r="B2859" s="79"/>
      <c r="D2859"/>
      <c r="E2859" s="188"/>
      <c r="H2859"/>
      <c r="I2859" s="202"/>
      <c r="J2859"/>
      <c r="K2859" s="205"/>
      <c r="L2859" s="205"/>
      <c r="M2859" s="205"/>
    </row>
    <row r="2860" spans="2:13" ht="15.75">
      <c r="B2860" s="79"/>
      <c r="D2860"/>
      <c r="E2860" s="188"/>
      <c r="H2860"/>
      <c r="I2860" s="202"/>
      <c r="J2860"/>
      <c r="K2860" s="205"/>
      <c r="L2860" s="205"/>
      <c r="M2860" s="205"/>
    </row>
    <row r="2861" spans="2:13" ht="15.75">
      <c r="B2861" s="79"/>
      <c r="D2861"/>
      <c r="E2861" s="188"/>
      <c r="H2861"/>
      <c r="I2861" s="202"/>
      <c r="J2861"/>
      <c r="K2861" s="205"/>
      <c r="L2861" s="205"/>
      <c r="M2861" s="205"/>
    </row>
    <row r="2862" spans="2:13" ht="15.75">
      <c r="B2862" s="79"/>
      <c r="D2862"/>
      <c r="E2862" s="188"/>
      <c r="H2862"/>
      <c r="I2862" s="202"/>
      <c r="J2862"/>
      <c r="K2862" s="205"/>
      <c r="L2862" s="205"/>
      <c r="M2862" s="205"/>
    </row>
    <row r="2863" spans="2:13" ht="15.75">
      <c r="B2863" s="79"/>
      <c r="D2863"/>
      <c r="E2863" s="188"/>
      <c r="H2863"/>
      <c r="I2863" s="202"/>
      <c r="J2863"/>
      <c r="K2863" s="205"/>
      <c r="L2863" s="205"/>
      <c r="M2863" s="205"/>
    </row>
    <row r="2864" spans="2:13" ht="15.75">
      <c r="B2864" s="79"/>
      <c r="D2864"/>
      <c r="E2864" s="188"/>
      <c r="H2864"/>
      <c r="I2864" s="202"/>
      <c r="J2864"/>
      <c r="K2864" s="205"/>
      <c r="L2864" s="205"/>
      <c r="M2864" s="205"/>
    </row>
    <row r="2865" spans="2:13" ht="15.75">
      <c r="B2865" s="79"/>
      <c r="D2865"/>
      <c r="E2865" s="188"/>
      <c r="H2865"/>
      <c r="I2865" s="202"/>
      <c r="J2865"/>
      <c r="K2865" s="205"/>
      <c r="L2865" s="205"/>
      <c r="M2865" s="205"/>
    </row>
    <row r="2866" spans="2:13" ht="15.75">
      <c r="B2866" s="79"/>
      <c r="D2866"/>
      <c r="E2866" s="188"/>
      <c r="H2866"/>
      <c r="I2866" s="202"/>
      <c r="J2866"/>
      <c r="K2866" s="205"/>
      <c r="L2866" s="205"/>
      <c r="M2866" s="205"/>
    </row>
    <row r="2867" spans="2:13" ht="15.75">
      <c r="B2867" s="79"/>
      <c r="D2867"/>
      <c r="E2867" s="188"/>
      <c r="H2867"/>
      <c r="I2867" s="202"/>
      <c r="J2867"/>
      <c r="K2867" s="205"/>
      <c r="L2867" s="205"/>
      <c r="M2867" s="205"/>
    </row>
    <row r="2868" spans="2:13" ht="15.75">
      <c r="B2868" s="79"/>
      <c r="D2868"/>
      <c r="E2868" s="188"/>
      <c r="H2868"/>
      <c r="I2868" s="202"/>
      <c r="J2868"/>
      <c r="K2868" s="205"/>
      <c r="L2868" s="205"/>
      <c r="M2868" s="205"/>
    </row>
    <row r="2869" spans="2:13" ht="15.75">
      <c r="B2869" s="79"/>
      <c r="D2869"/>
      <c r="E2869" s="188"/>
      <c r="H2869"/>
      <c r="I2869" s="202"/>
      <c r="J2869"/>
      <c r="K2869" s="205"/>
      <c r="L2869" s="205"/>
      <c r="M2869" s="205"/>
    </row>
    <row r="2870" spans="2:13" ht="15.75">
      <c r="B2870" s="79"/>
      <c r="D2870"/>
      <c r="E2870" s="188"/>
      <c r="H2870"/>
      <c r="I2870" s="202"/>
      <c r="J2870"/>
      <c r="K2870" s="205"/>
      <c r="L2870" s="205"/>
      <c r="M2870" s="205"/>
    </row>
    <row r="2871" spans="2:13" ht="15.75">
      <c r="B2871" s="79"/>
      <c r="D2871"/>
      <c r="E2871" s="188"/>
      <c r="H2871"/>
      <c r="I2871" s="202"/>
      <c r="J2871"/>
      <c r="K2871" s="205"/>
      <c r="L2871" s="205"/>
      <c r="M2871" s="205"/>
    </row>
    <row r="2872" spans="2:13" ht="15.75">
      <c r="B2872" s="79"/>
      <c r="D2872"/>
      <c r="E2872" s="188"/>
      <c r="H2872"/>
      <c r="I2872" s="202"/>
      <c r="J2872"/>
      <c r="K2872" s="205"/>
      <c r="L2872" s="205"/>
      <c r="M2872" s="205"/>
    </row>
    <row r="2873" spans="2:13" ht="15.75">
      <c r="B2873" s="79"/>
      <c r="D2873"/>
      <c r="E2873" s="188"/>
      <c r="H2873"/>
      <c r="I2873" s="202"/>
      <c r="J2873"/>
      <c r="K2873" s="205"/>
      <c r="L2873" s="205"/>
      <c r="M2873" s="205"/>
    </row>
    <row r="2874" spans="2:13" ht="15.75">
      <c r="B2874" s="79"/>
      <c r="D2874"/>
      <c r="E2874" s="188"/>
      <c r="H2874"/>
      <c r="I2874" s="202"/>
      <c r="J2874"/>
      <c r="K2874" s="205"/>
      <c r="L2874" s="205"/>
      <c r="M2874" s="205"/>
    </row>
    <row r="2875" spans="2:13" ht="15.75">
      <c r="B2875" s="79"/>
      <c r="D2875"/>
      <c r="E2875" s="188"/>
      <c r="H2875"/>
      <c r="I2875" s="202"/>
      <c r="J2875"/>
      <c r="K2875" s="205"/>
      <c r="L2875" s="205"/>
      <c r="M2875" s="205"/>
    </row>
    <row r="2876" spans="2:13" ht="15.75">
      <c r="B2876" s="79"/>
      <c r="D2876"/>
      <c r="E2876" s="188"/>
      <c r="H2876"/>
      <c r="I2876" s="202"/>
      <c r="J2876"/>
      <c r="K2876" s="205"/>
      <c r="L2876" s="205"/>
      <c r="M2876" s="205"/>
    </row>
    <row r="2877" spans="2:13" ht="15.75">
      <c r="B2877" s="79"/>
      <c r="D2877"/>
      <c r="E2877" s="188"/>
      <c r="H2877"/>
      <c r="I2877" s="202"/>
      <c r="J2877"/>
      <c r="K2877" s="205"/>
      <c r="L2877" s="205"/>
      <c r="M2877" s="205"/>
    </row>
    <row r="2878" spans="2:13" ht="15.75">
      <c r="B2878" s="79"/>
      <c r="D2878"/>
      <c r="E2878" s="188"/>
      <c r="H2878"/>
      <c r="I2878" s="202"/>
      <c r="J2878"/>
      <c r="K2878" s="205"/>
      <c r="L2878" s="205"/>
      <c r="M2878" s="205"/>
    </row>
    <row r="2879" spans="2:13" ht="15.75">
      <c r="B2879" s="79"/>
      <c r="D2879"/>
      <c r="E2879" s="188"/>
      <c r="H2879"/>
      <c r="I2879" s="202"/>
      <c r="J2879"/>
      <c r="K2879" s="205"/>
      <c r="L2879" s="205"/>
      <c r="M2879" s="205"/>
    </row>
    <row r="2880" spans="2:13" ht="15.75">
      <c r="B2880" s="79"/>
      <c r="D2880"/>
      <c r="E2880" s="188"/>
      <c r="H2880"/>
      <c r="I2880" s="202"/>
      <c r="J2880"/>
      <c r="K2880" s="205"/>
      <c r="L2880" s="205"/>
      <c r="M2880" s="205"/>
    </row>
    <row r="2881" spans="2:13" ht="15.75">
      <c r="B2881" s="79"/>
      <c r="D2881"/>
      <c r="E2881" s="188"/>
      <c r="H2881"/>
      <c r="I2881" s="202"/>
      <c r="J2881"/>
      <c r="K2881" s="205"/>
      <c r="L2881" s="205"/>
      <c r="M2881" s="205"/>
    </row>
    <row r="2882" spans="2:13" ht="15.75">
      <c r="B2882" s="79"/>
      <c r="D2882"/>
      <c r="E2882" s="188"/>
      <c r="H2882"/>
      <c r="I2882" s="202"/>
      <c r="J2882"/>
      <c r="K2882" s="205"/>
      <c r="L2882" s="205"/>
      <c r="M2882" s="205"/>
    </row>
    <row r="2883" spans="2:13" ht="15.75">
      <c r="B2883" s="79"/>
      <c r="D2883"/>
      <c r="E2883" s="188"/>
      <c r="H2883"/>
      <c r="I2883" s="202"/>
      <c r="J2883"/>
      <c r="K2883" s="205"/>
      <c r="L2883" s="205"/>
      <c r="M2883" s="205"/>
    </row>
    <row r="2884" spans="2:13" ht="15.75">
      <c r="B2884" s="79"/>
      <c r="D2884"/>
      <c r="E2884" s="188"/>
      <c r="H2884"/>
      <c r="I2884" s="202"/>
      <c r="J2884"/>
      <c r="K2884" s="205"/>
      <c r="L2884" s="205"/>
      <c r="M2884" s="205"/>
    </row>
    <row r="2885" spans="2:13" ht="15.75">
      <c r="B2885" s="79"/>
      <c r="D2885"/>
      <c r="E2885" s="188"/>
      <c r="H2885"/>
      <c r="I2885" s="202"/>
      <c r="J2885"/>
      <c r="K2885" s="205"/>
      <c r="L2885" s="205"/>
      <c r="M2885" s="205"/>
    </row>
    <row r="2886" spans="2:13" ht="15.75">
      <c r="B2886" s="79"/>
      <c r="D2886"/>
      <c r="E2886" s="188"/>
      <c r="H2886"/>
      <c r="I2886" s="202"/>
      <c r="J2886"/>
      <c r="K2886" s="205"/>
      <c r="L2886" s="205"/>
      <c r="M2886" s="205"/>
    </row>
    <row r="2887" spans="2:13" ht="15.75">
      <c r="B2887" s="79"/>
      <c r="D2887"/>
      <c r="E2887" s="188"/>
      <c r="H2887"/>
      <c r="I2887" s="202"/>
      <c r="J2887"/>
      <c r="K2887" s="205"/>
      <c r="L2887" s="205"/>
      <c r="M2887" s="205"/>
    </row>
    <row r="2888" spans="2:13" ht="15.75">
      <c r="B2888" s="79"/>
      <c r="D2888"/>
      <c r="E2888" s="188"/>
      <c r="H2888"/>
      <c r="I2888" s="202"/>
      <c r="J2888"/>
      <c r="K2888" s="205"/>
      <c r="L2888" s="205"/>
      <c r="M2888" s="205"/>
    </row>
    <row r="2889" spans="2:13" ht="15.75">
      <c r="B2889" s="79"/>
      <c r="D2889"/>
      <c r="E2889" s="188"/>
      <c r="H2889"/>
      <c r="I2889" s="202"/>
      <c r="J2889"/>
      <c r="K2889" s="205"/>
      <c r="L2889" s="205"/>
      <c r="M2889" s="205"/>
    </row>
    <row r="2890" spans="2:13" ht="15.75">
      <c r="B2890" s="79"/>
      <c r="D2890"/>
      <c r="E2890" s="188"/>
      <c r="H2890"/>
      <c r="I2890" s="202"/>
      <c r="J2890"/>
      <c r="K2890" s="205"/>
      <c r="L2890" s="205"/>
      <c r="M2890" s="205"/>
    </row>
    <row r="2891" spans="2:13" ht="15.75">
      <c r="B2891" s="79"/>
      <c r="D2891"/>
      <c r="E2891" s="188"/>
      <c r="H2891"/>
      <c r="I2891" s="202"/>
      <c r="J2891"/>
      <c r="K2891" s="205"/>
      <c r="L2891" s="205"/>
      <c r="M2891" s="205"/>
    </row>
    <row r="2892" spans="2:13" ht="15.75">
      <c r="B2892" s="79"/>
      <c r="D2892"/>
      <c r="E2892" s="188"/>
      <c r="H2892"/>
      <c r="I2892" s="202"/>
      <c r="J2892"/>
      <c r="K2892" s="205"/>
      <c r="L2892" s="205"/>
      <c r="M2892" s="205"/>
    </row>
    <row r="2893" spans="2:13" ht="15.75">
      <c r="B2893" s="79"/>
      <c r="D2893"/>
      <c r="E2893" s="188"/>
      <c r="H2893"/>
      <c r="I2893" s="202"/>
      <c r="J2893"/>
      <c r="K2893" s="205"/>
      <c r="L2893" s="205"/>
      <c r="M2893" s="205"/>
    </row>
    <row r="2894" spans="2:13" ht="15.75">
      <c r="B2894" s="79"/>
      <c r="D2894"/>
      <c r="E2894" s="188"/>
      <c r="H2894"/>
      <c r="I2894" s="202"/>
      <c r="J2894"/>
      <c r="K2894" s="205"/>
      <c r="L2894" s="205"/>
      <c r="M2894" s="205"/>
    </row>
    <row r="2895" spans="2:13" ht="15.75">
      <c r="B2895" s="79"/>
      <c r="D2895"/>
      <c r="E2895" s="188"/>
      <c r="H2895"/>
      <c r="I2895" s="202"/>
      <c r="J2895"/>
      <c r="K2895" s="205"/>
      <c r="L2895" s="205"/>
      <c r="M2895" s="205"/>
    </row>
    <row r="2896" spans="2:13" ht="15.75">
      <c r="B2896" s="79"/>
      <c r="D2896"/>
      <c r="E2896" s="188"/>
      <c r="H2896"/>
      <c r="I2896" s="202"/>
      <c r="J2896"/>
      <c r="K2896" s="205"/>
      <c r="L2896" s="205"/>
      <c r="M2896" s="205"/>
    </row>
    <row r="2897" spans="2:13" ht="15.75">
      <c r="B2897" s="79"/>
      <c r="D2897"/>
      <c r="E2897" s="188"/>
      <c r="H2897"/>
      <c r="I2897" s="202"/>
      <c r="J2897"/>
      <c r="K2897" s="205"/>
      <c r="L2897" s="205"/>
      <c r="M2897" s="205"/>
    </row>
    <row r="2898" spans="2:13" ht="15.75">
      <c r="B2898" s="79"/>
      <c r="D2898"/>
      <c r="E2898" s="188"/>
      <c r="H2898"/>
      <c r="I2898" s="202"/>
      <c r="J2898"/>
      <c r="K2898" s="205"/>
      <c r="L2898" s="205"/>
      <c r="M2898" s="205"/>
    </row>
    <row r="2899" spans="2:13" ht="15.75">
      <c r="B2899" s="79"/>
      <c r="D2899"/>
      <c r="E2899" s="188"/>
      <c r="H2899"/>
      <c r="I2899" s="202"/>
      <c r="J2899"/>
      <c r="K2899" s="205"/>
      <c r="L2899" s="205"/>
      <c r="M2899" s="205"/>
    </row>
    <row r="2900" spans="2:13" ht="15.75">
      <c r="B2900" s="79"/>
      <c r="D2900"/>
      <c r="E2900" s="188"/>
      <c r="H2900"/>
      <c r="I2900" s="202"/>
      <c r="J2900"/>
      <c r="K2900" s="205"/>
      <c r="L2900" s="205"/>
      <c r="M2900" s="205"/>
    </row>
    <row r="2901" spans="2:13" ht="15.75">
      <c r="B2901" s="79"/>
      <c r="D2901"/>
      <c r="E2901" s="188"/>
      <c r="H2901"/>
      <c r="I2901" s="202"/>
      <c r="J2901"/>
      <c r="K2901" s="205"/>
      <c r="L2901" s="205"/>
      <c r="M2901" s="205"/>
    </row>
    <row r="2902" spans="2:13" ht="15.75">
      <c r="B2902" s="79"/>
      <c r="D2902"/>
      <c r="E2902" s="188"/>
      <c r="H2902"/>
      <c r="I2902" s="202"/>
      <c r="J2902"/>
      <c r="K2902" s="205"/>
      <c r="L2902" s="205"/>
      <c r="M2902" s="205"/>
    </row>
    <row r="2903" spans="2:13" ht="15.75">
      <c r="B2903" s="79"/>
      <c r="D2903"/>
      <c r="E2903" s="188"/>
      <c r="H2903"/>
      <c r="I2903" s="202"/>
      <c r="J2903"/>
      <c r="K2903" s="205"/>
      <c r="L2903" s="205"/>
      <c r="M2903" s="205"/>
    </row>
    <row r="2904" spans="2:13" ht="15.75">
      <c r="B2904" s="79"/>
      <c r="D2904"/>
      <c r="E2904" s="188"/>
      <c r="H2904"/>
      <c r="I2904" s="202"/>
      <c r="J2904"/>
      <c r="K2904" s="205"/>
      <c r="L2904" s="205"/>
      <c r="M2904" s="205"/>
    </row>
    <row r="2905" spans="2:13" ht="15.75">
      <c r="B2905" s="79"/>
      <c r="D2905"/>
      <c r="E2905" s="188"/>
      <c r="H2905"/>
      <c r="I2905" s="202"/>
      <c r="J2905"/>
      <c r="K2905" s="205"/>
      <c r="L2905" s="205"/>
      <c r="M2905" s="205"/>
    </row>
    <row r="2906" spans="2:13" ht="15.75">
      <c r="B2906" s="79"/>
      <c r="D2906"/>
      <c r="E2906" s="188"/>
      <c r="H2906"/>
      <c r="I2906" s="202"/>
      <c r="J2906"/>
      <c r="K2906" s="205"/>
      <c r="L2906" s="205"/>
      <c r="M2906" s="205"/>
    </row>
    <row r="2907" spans="2:13" ht="15.75">
      <c r="B2907" s="79"/>
      <c r="D2907"/>
      <c r="E2907" s="188"/>
      <c r="H2907"/>
      <c r="I2907" s="202"/>
      <c r="J2907"/>
      <c r="K2907" s="205"/>
      <c r="L2907" s="205"/>
      <c r="M2907" s="205"/>
    </row>
    <row r="2908" spans="2:13" ht="15.75">
      <c r="B2908" s="79"/>
      <c r="D2908"/>
      <c r="E2908" s="188"/>
      <c r="H2908"/>
      <c r="I2908" s="202"/>
      <c r="J2908"/>
      <c r="K2908" s="205"/>
      <c r="L2908" s="205"/>
      <c r="M2908" s="205"/>
    </row>
    <row r="2909" spans="2:13" ht="15.75">
      <c r="B2909" s="79"/>
      <c r="D2909"/>
      <c r="E2909" s="188"/>
      <c r="H2909"/>
      <c r="I2909" s="202"/>
      <c r="J2909"/>
      <c r="K2909" s="205"/>
      <c r="L2909" s="205"/>
      <c r="M2909" s="205"/>
    </row>
    <row r="2910" spans="2:13" ht="15.75">
      <c r="B2910" s="79"/>
      <c r="D2910"/>
      <c r="E2910" s="188"/>
      <c r="H2910"/>
      <c r="I2910" s="202"/>
      <c r="J2910"/>
      <c r="K2910" s="205"/>
      <c r="L2910" s="205"/>
      <c r="M2910" s="205"/>
    </row>
    <row r="2911" spans="2:13" ht="15.75">
      <c r="B2911" s="79"/>
      <c r="D2911"/>
      <c r="E2911" s="188"/>
      <c r="H2911"/>
      <c r="I2911" s="202"/>
      <c r="J2911"/>
      <c r="K2911" s="205"/>
      <c r="L2911" s="205"/>
      <c r="M2911" s="205"/>
    </row>
    <row r="2912" spans="2:13" ht="15.75">
      <c r="B2912" s="79"/>
      <c r="D2912"/>
      <c r="E2912" s="188"/>
      <c r="H2912"/>
      <c r="I2912" s="202"/>
      <c r="J2912"/>
      <c r="K2912" s="205"/>
      <c r="L2912" s="205"/>
      <c r="M2912" s="205"/>
    </row>
    <row r="2913" spans="2:13" ht="15.75">
      <c r="B2913" s="79"/>
      <c r="D2913"/>
      <c r="E2913" s="188"/>
      <c r="H2913"/>
      <c r="I2913" s="202"/>
      <c r="J2913"/>
      <c r="K2913" s="205"/>
      <c r="L2913" s="205"/>
      <c r="M2913" s="205"/>
    </row>
    <row r="2914" spans="2:13" ht="15.75">
      <c r="B2914" s="79"/>
      <c r="D2914"/>
      <c r="E2914" s="188"/>
      <c r="H2914"/>
      <c r="I2914" s="202"/>
      <c r="J2914"/>
      <c r="K2914" s="205"/>
      <c r="L2914" s="205"/>
      <c r="M2914" s="205"/>
    </row>
    <row r="2915" spans="2:13" ht="15.75">
      <c r="B2915" s="79"/>
      <c r="D2915"/>
      <c r="E2915" s="188"/>
      <c r="H2915"/>
      <c r="I2915" s="202"/>
      <c r="J2915"/>
      <c r="K2915" s="205"/>
      <c r="L2915" s="205"/>
      <c r="M2915" s="205"/>
    </row>
    <row r="2916" spans="2:13" ht="15.75">
      <c r="B2916" s="79"/>
      <c r="D2916"/>
      <c r="E2916" s="188"/>
      <c r="H2916"/>
      <c r="I2916" s="202"/>
      <c r="J2916"/>
      <c r="K2916" s="205"/>
      <c r="L2916" s="205"/>
      <c r="M2916" s="205"/>
    </row>
    <row r="2917" spans="2:13" ht="15.75">
      <c r="B2917" s="79"/>
      <c r="D2917"/>
      <c r="E2917" s="188"/>
      <c r="H2917"/>
      <c r="I2917" s="202"/>
      <c r="J2917"/>
      <c r="K2917" s="205"/>
      <c r="L2917" s="205"/>
      <c r="M2917" s="205"/>
    </row>
    <row r="2918" spans="2:13" ht="15.75">
      <c r="B2918" s="79"/>
      <c r="D2918"/>
      <c r="E2918" s="188"/>
      <c r="H2918"/>
      <c r="I2918" s="202"/>
      <c r="J2918"/>
      <c r="K2918" s="205"/>
      <c r="L2918" s="205"/>
      <c r="M2918" s="205"/>
    </row>
    <row r="2919" spans="2:13" ht="15.75">
      <c r="B2919" s="79"/>
      <c r="D2919"/>
      <c r="E2919" s="188"/>
      <c r="H2919"/>
      <c r="I2919" s="202"/>
      <c r="J2919"/>
      <c r="K2919" s="205"/>
      <c r="L2919" s="205"/>
      <c r="M2919" s="205"/>
    </row>
    <row r="2920" spans="2:13" ht="15.75">
      <c r="B2920" s="79"/>
      <c r="D2920"/>
      <c r="E2920" s="188"/>
      <c r="H2920"/>
      <c r="I2920" s="202"/>
      <c r="J2920"/>
      <c r="K2920" s="205"/>
      <c r="L2920" s="205"/>
      <c r="M2920" s="205"/>
    </row>
    <row r="2921" spans="2:13" ht="15.75">
      <c r="B2921" s="79"/>
      <c r="D2921"/>
      <c r="E2921" s="188"/>
      <c r="H2921"/>
      <c r="I2921" s="202"/>
      <c r="J2921"/>
      <c r="K2921" s="205"/>
      <c r="L2921" s="205"/>
      <c r="M2921" s="205"/>
    </row>
    <row r="2922" spans="2:13" ht="15.75">
      <c r="B2922" s="79"/>
      <c r="D2922"/>
      <c r="E2922" s="188"/>
      <c r="H2922"/>
      <c r="I2922" s="202"/>
      <c r="J2922"/>
      <c r="K2922" s="205"/>
      <c r="L2922" s="205"/>
      <c r="M2922" s="205"/>
    </row>
    <row r="2923" spans="2:13" ht="15.75">
      <c r="B2923" s="79"/>
      <c r="D2923"/>
      <c r="E2923" s="188"/>
      <c r="H2923"/>
      <c r="I2923" s="202"/>
      <c r="J2923"/>
      <c r="K2923" s="205"/>
      <c r="L2923" s="205"/>
      <c r="M2923" s="205"/>
    </row>
    <row r="2924" spans="2:13" ht="15.75">
      <c r="B2924" s="79"/>
      <c r="D2924"/>
      <c r="E2924" s="188"/>
      <c r="H2924"/>
      <c r="I2924" s="202"/>
      <c r="J2924"/>
      <c r="K2924" s="205"/>
      <c r="L2924" s="205"/>
      <c r="M2924" s="205"/>
    </row>
    <row r="2925" spans="2:13" ht="15.75">
      <c r="B2925" s="79"/>
      <c r="D2925"/>
      <c r="E2925" s="188"/>
      <c r="H2925"/>
      <c r="I2925" s="202"/>
      <c r="J2925"/>
      <c r="K2925" s="205"/>
      <c r="L2925" s="205"/>
      <c r="M2925" s="205"/>
    </row>
    <row r="2926" spans="2:13" ht="15.75">
      <c r="B2926" s="79"/>
      <c r="D2926"/>
      <c r="E2926" s="188"/>
      <c r="H2926"/>
      <c r="I2926" s="202"/>
      <c r="J2926"/>
      <c r="K2926" s="205"/>
      <c r="L2926" s="205"/>
      <c r="M2926" s="205"/>
    </row>
    <row r="2927" spans="2:13" ht="15.75">
      <c r="B2927" s="79"/>
      <c r="D2927"/>
      <c r="E2927" s="188"/>
      <c r="H2927"/>
      <c r="I2927" s="202"/>
      <c r="J2927"/>
      <c r="K2927" s="205"/>
      <c r="L2927" s="205"/>
      <c r="M2927" s="205"/>
    </row>
    <row r="2928" spans="2:13" ht="15.75">
      <c r="B2928" s="79"/>
      <c r="D2928"/>
      <c r="E2928" s="188"/>
      <c r="H2928"/>
      <c r="I2928" s="202"/>
      <c r="J2928"/>
      <c r="K2928" s="205"/>
      <c r="L2928" s="205"/>
      <c r="M2928" s="205"/>
    </row>
    <row r="2929" spans="2:13" ht="15.75">
      <c r="B2929" s="79"/>
      <c r="D2929"/>
      <c r="E2929" s="188"/>
      <c r="H2929"/>
      <c r="I2929" s="202"/>
      <c r="J2929"/>
      <c r="K2929" s="205"/>
      <c r="L2929" s="205"/>
      <c r="M2929" s="205"/>
    </row>
    <row r="2930" spans="2:13" ht="15.75">
      <c r="B2930" s="79"/>
      <c r="D2930"/>
      <c r="E2930" s="188"/>
      <c r="H2930"/>
      <c r="I2930" s="202"/>
      <c r="J2930"/>
      <c r="K2930" s="205"/>
      <c r="L2930" s="205"/>
      <c r="M2930" s="205"/>
    </row>
    <row r="2931" spans="2:13" ht="15.75">
      <c r="B2931" s="79"/>
      <c r="D2931"/>
      <c r="E2931" s="188"/>
      <c r="H2931"/>
      <c r="I2931" s="202"/>
      <c r="J2931"/>
      <c r="K2931" s="205"/>
      <c r="L2931" s="205"/>
      <c r="M2931" s="205"/>
    </row>
    <row r="2932" spans="2:13" ht="15.75">
      <c r="B2932" s="79"/>
      <c r="D2932"/>
      <c r="E2932" s="188"/>
      <c r="H2932"/>
      <c r="I2932" s="202"/>
      <c r="J2932"/>
      <c r="K2932" s="205"/>
      <c r="L2932" s="205"/>
      <c r="M2932" s="205"/>
    </row>
    <row r="2933" spans="2:13" ht="15.75">
      <c r="B2933" s="79"/>
      <c r="D2933"/>
      <c r="E2933" s="188"/>
      <c r="H2933"/>
      <c r="I2933" s="202"/>
      <c r="J2933"/>
      <c r="K2933" s="205"/>
      <c r="L2933" s="205"/>
      <c r="M2933" s="205"/>
    </row>
    <row r="2934" spans="2:13" ht="15.75">
      <c r="B2934" s="79"/>
      <c r="D2934"/>
      <c r="E2934" s="188"/>
      <c r="H2934"/>
      <c r="I2934" s="202"/>
      <c r="J2934"/>
      <c r="K2934" s="205"/>
      <c r="L2934" s="205"/>
      <c r="M2934" s="205"/>
    </row>
    <row r="2935" spans="2:13" ht="15.75">
      <c r="B2935" s="79"/>
      <c r="D2935"/>
      <c r="E2935" s="188"/>
      <c r="H2935"/>
      <c r="I2935" s="202"/>
      <c r="J2935"/>
      <c r="K2935" s="205"/>
      <c r="L2935" s="205"/>
      <c r="M2935" s="205"/>
    </row>
    <row r="2936" spans="2:13" ht="15.75">
      <c r="B2936" s="79"/>
      <c r="D2936"/>
      <c r="E2936" s="188"/>
      <c r="H2936"/>
      <c r="I2936" s="202"/>
      <c r="J2936"/>
      <c r="K2936" s="205"/>
      <c r="L2936" s="205"/>
      <c r="M2936" s="205"/>
    </row>
    <row r="2937" spans="2:13" ht="15.75">
      <c r="B2937" s="79"/>
      <c r="D2937"/>
      <c r="E2937" s="188"/>
      <c r="H2937"/>
      <c r="I2937" s="202"/>
      <c r="J2937"/>
      <c r="K2937" s="205"/>
      <c r="L2937" s="205"/>
      <c r="M2937" s="205"/>
    </row>
    <row r="2938" spans="2:13" ht="15.75">
      <c r="B2938" s="79"/>
      <c r="D2938"/>
      <c r="E2938" s="188"/>
      <c r="H2938"/>
      <c r="I2938" s="202"/>
      <c r="J2938"/>
      <c r="K2938" s="205"/>
      <c r="L2938" s="205"/>
      <c r="M2938" s="205"/>
    </row>
    <row r="2939" spans="2:13" ht="15.75">
      <c r="B2939" s="79"/>
      <c r="D2939"/>
      <c r="E2939" s="188"/>
      <c r="H2939"/>
      <c r="I2939" s="202"/>
      <c r="J2939"/>
      <c r="K2939" s="205"/>
      <c r="L2939" s="205"/>
      <c r="M2939" s="205"/>
    </row>
    <row r="2940" spans="2:13" ht="15.75">
      <c r="B2940" s="79"/>
      <c r="D2940"/>
      <c r="E2940" s="188"/>
      <c r="H2940"/>
      <c r="I2940" s="202"/>
      <c r="J2940"/>
      <c r="K2940" s="205"/>
      <c r="L2940" s="205"/>
      <c r="M2940" s="205"/>
    </row>
    <row r="2941" spans="2:13" ht="15.75">
      <c r="B2941" s="79"/>
      <c r="D2941"/>
      <c r="E2941" s="188"/>
      <c r="H2941"/>
      <c r="I2941" s="202"/>
      <c r="J2941"/>
      <c r="K2941" s="205"/>
      <c r="L2941" s="205"/>
      <c r="M2941" s="205"/>
    </row>
    <row r="2942" spans="2:13" ht="15.75">
      <c r="B2942" s="79"/>
      <c r="D2942"/>
      <c r="E2942" s="188"/>
      <c r="H2942"/>
      <c r="I2942" s="202"/>
      <c r="J2942"/>
      <c r="K2942" s="205"/>
      <c r="L2942" s="205"/>
      <c r="M2942" s="205"/>
    </row>
    <row r="2943" spans="2:13" ht="15.75">
      <c r="B2943" s="79"/>
      <c r="D2943"/>
      <c r="E2943" s="188"/>
      <c r="H2943"/>
      <c r="I2943" s="202"/>
      <c r="J2943"/>
      <c r="K2943" s="205"/>
      <c r="L2943" s="205"/>
      <c r="M2943" s="205"/>
    </row>
    <row r="2944" spans="2:13" ht="15.75">
      <c r="B2944" s="79"/>
      <c r="D2944"/>
      <c r="E2944" s="188"/>
      <c r="H2944"/>
      <c r="I2944" s="202"/>
      <c r="J2944"/>
      <c r="K2944" s="205"/>
      <c r="L2944" s="205"/>
      <c r="M2944" s="205"/>
    </row>
    <row r="2945" spans="2:13" ht="15.75">
      <c r="B2945" s="79"/>
      <c r="D2945"/>
      <c r="E2945" s="188"/>
      <c r="H2945"/>
      <c r="I2945" s="202"/>
      <c r="J2945"/>
      <c r="K2945" s="205"/>
      <c r="L2945" s="205"/>
      <c r="M2945" s="205"/>
    </row>
    <row r="2946" spans="2:13" ht="15.75">
      <c r="B2946" s="79"/>
      <c r="D2946"/>
      <c r="E2946" s="188"/>
      <c r="H2946"/>
      <c r="I2946" s="202"/>
      <c r="J2946"/>
      <c r="K2946" s="205"/>
      <c r="L2946" s="205"/>
      <c r="M2946" s="205"/>
    </row>
    <row r="2947" spans="2:13" ht="15.75">
      <c r="B2947" s="79"/>
      <c r="D2947"/>
      <c r="E2947" s="188"/>
      <c r="H2947"/>
      <c r="I2947" s="202"/>
      <c r="J2947"/>
      <c r="K2947" s="205"/>
      <c r="L2947" s="205"/>
      <c r="M2947" s="205"/>
    </row>
    <row r="2948" spans="2:13" ht="15.75">
      <c r="B2948" s="79"/>
      <c r="D2948"/>
      <c r="E2948" s="188"/>
      <c r="H2948"/>
      <c r="I2948" s="202"/>
      <c r="J2948"/>
      <c r="K2948" s="205"/>
      <c r="L2948" s="205"/>
      <c r="M2948" s="205"/>
    </row>
    <row r="2949" spans="2:13" ht="15.75">
      <c r="B2949" s="79"/>
      <c r="D2949"/>
      <c r="E2949" s="188"/>
      <c r="H2949"/>
      <c r="I2949" s="202"/>
      <c r="J2949"/>
      <c r="K2949" s="205"/>
      <c r="L2949" s="205"/>
      <c r="M2949" s="205"/>
    </row>
    <row r="2950" spans="2:13" ht="15.75">
      <c r="B2950" s="79"/>
      <c r="D2950"/>
      <c r="E2950" s="188"/>
      <c r="H2950"/>
      <c r="I2950" s="202"/>
      <c r="J2950"/>
      <c r="K2950" s="205"/>
      <c r="L2950" s="205"/>
      <c r="M2950" s="205"/>
    </row>
    <row r="2951" spans="2:13" ht="15.75">
      <c r="B2951" s="79"/>
      <c r="D2951"/>
      <c r="E2951" s="188"/>
      <c r="H2951"/>
      <c r="I2951" s="202"/>
      <c r="J2951"/>
      <c r="K2951" s="205"/>
      <c r="L2951" s="205"/>
      <c r="M2951" s="205"/>
    </row>
    <row r="2952" spans="2:13" ht="15.75">
      <c r="B2952" s="79"/>
      <c r="D2952"/>
      <c r="E2952" s="188"/>
      <c r="H2952"/>
      <c r="I2952" s="202"/>
      <c r="J2952"/>
      <c r="K2952" s="205"/>
      <c r="L2952" s="205"/>
      <c r="M2952" s="205"/>
    </row>
    <row r="2953" spans="2:13" ht="15.75">
      <c r="B2953" s="79"/>
      <c r="D2953"/>
      <c r="E2953" s="188"/>
      <c r="H2953"/>
      <c r="I2953" s="202"/>
      <c r="J2953"/>
      <c r="K2953" s="205"/>
      <c r="L2953" s="205"/>
      <c r="M2953" s="205"/>
    </row>
    <row r="2954" spans="2:13" ht="15.75">
      <c r="B2954" s="79"/>
      <c r="D2954"/>
      <c r="E2954" s="188"/>
      <c r="H2954"/>
      <c r="I2954" s="202"/>
      <c r="J2954"/>
      <c r="K2954" s="205"/>
      <c r="L2954" s="205"/>
      <c r="M2954" s="205"/>
    </row>
    <row r="2955" spans="2:13" ht="15.75">
      <c r="B2955" s="79"/>
      <c r="D2955"/>
      <c r="E2955" s="188"/>
      <c r="H2955"/>
      <c r="I2955" s="202"/>
      <c r="J2955"/>
      <c r="K2955" s="205"/>
      <c r="L2955" s="205"/>
      <c r="M2955" s="205"/>
    </row>
    <row r="2956" spans="2:13" ht="15.75">
      <c r="B2956" s="79"/>
      <c r="D2956"/>
      <c r="E2956" s="188"/>
      <c r="H2956"/>
      <c r="I2956" s="202"/>
      <c r="J2956"/>
      <c r="K2956" s="205"/>
      <c r="L2956" s="205"/>
      <c r="M2956" s="205"/>
    </row>
    <row r="2957" spans="2:13" ht="15.75">
      <c r="B2957" s="79"/>
      <c r="D2957"/>
      <c r="E2957" s="188"/>
      <c r="H2957"/>
      <c r="I2957" s="202"/>
      <c r="J2957"/>
      <c r="K2957" s="205"/>
      <c r="L2957" s="205"/>
      <c r="M2957" s="205"/>
    </row>
    <row r="2958" spans="2:13" ht="15.75">
      <c r="B2958" s="79"/>
      <c r="D2958"/>
      <c r="E2958" s="188"/>
      <c r="H2958"/>
      <c r="I2958" s="202"/>
      <c r="J2958"/>
      <c r="K2958" s="205"/>
      <c r="L2958" s="205"/>
      <c r="M2958" s="205"/>
    </row>
    <row r="2959" spans="2:13" ht="15.75">
      <c r="B2959" s="79"/>
      <c r="D2959"/>
      <c r="E2959" s="188"/>
      <c r="H2959"/>
      <c r="I2959" s="202"/>
      <c r="J2959"/>
      <c r="K2959" s="205"/>
      <c r="L2959" s="205"/>
      <c r="M2959" s="205"/>
    </row>
    <row r="2960" spans="2:13" ht="15.75">
      <c r="B2960" s="79"/>
      <c r="D2960"/>
      <c r="E2960" s="188"/>
      <c r="H2960"/>
      <c r="I2960" s="202"/>
      <c r="J2960"/>
      <c r="K2960" s="205"/>
      <c r="L2960" s="205"/>
      <c r="M2960" s="205"/>
    </row>
    <row r="2961" spans="2:13" ht="15.75">
      <c r="B2961" s="79"/>
      <c r="D2961"/>
      <c r="E2961" s="188"/>
      <c r="H2961"/>
      <c r="I2961" s="202"/>
      <c r="J2961"/>
      <c r="K2961" s="205"/>
      <c r="L2961" s="205"/>
      <c r="M2961" s="205"/>
    </row>
    <row r="2962" spans="2:13" ht="15.75">
      <c r="B2962" s="79"/>
      <c r="D2962"/>
      <c r="E2962" s="188"/>
      <c r="H2962"/>
      <c r="I2962" s="202"/>
      <c r="J2962"/>
      <c r="K2962" s="205"/>
      <c r="L2962" s="205"/>
      <c r="M2962" s="205"/>
    </row>
    <row r="2963" spans="2:13" ht="15.75">
      <c r="B2963" s="79"/>
      <c r="D2963"/>
      <c r="E2963" s="188"/>
      <c r="H2963"/>
      <c r="I2963" s="202"/>
      <c r="J2963"/>
      <c r="K2963" s="205"/>
      <c r="L2963" s="205"/>
      <c r="M2963" s="205"/>
    </row>
    <row r="2964" spans="2:13" ht="15.75">
      <c r="B2964" s="79"/>
      <c r="D2964"/>
      <c r="E2964" s="188"/>
      <c r="H2964"/>
      <c r="I2964" s="202"/>
      <c r="J2964"/>
      <c r="K2964" s="205"/>
      <c r="L2964" s="205"/>
      <c r="M2964" s="205"/>
    </row>
    <row r="2965" spans="2:13" ht="15.75">
      <c r="B2965" s="79"/>
      <c r="D2965"/>
      <c r="E2965" s="188"/>
      <c r="H2965"/>
      <c r="I2965" s="202"/>
      <c r="J2965"/>
      <c r="K2965" s="205"/>
      <c r="L2965" s="205"/>
      <c r="M2965" s="205"/>
    </row>
    <row r="2966" spans="2:13" ht="15.75">
      <c r="B2966" s="79"/>
      <c r="D2966"/>
      <c r="E2966" s="188"/>
      <c r="H2966"/>
      <c r="I2966" s="202"/>
      <c r="J2966"/>
      <c r="K2966" s="205"/>
      <c r="L2966" s="205"/>
      <c r="M2966" s="205"/>
    </row>
    <row r="2967" spans="2:13" ht="15.75">
      <c r="B2967" s="79"/>
      <c r="D2967"/>
      <c r="E2967" s="188"/>
      <c r="H2967"/>
      <c r="I2967" s="202"/>
      <c r="J2967"/>
      <c r="K2967" s="205"/>
      <c r="L2967" s="205"/>
      <c r="M2967" s="205"/>
    </row>
    <row r="2968" spans="2:13" ht="15.75">
      <c r="B2968" s="79"/>
      <c r="D2968"/>
      <c r="E2968" s="188"/>
      <c r="H2968"/>
      <c r="I2968" s="202"/>
      <c r="J2968"/>
      <c r="K2968" s="205"/>
      <c r="L2968" s="205"/>
      <c r="M2968" s="205"/>
    </row>
    <row r="2969" spans="2:13" ht="15.75">
      <c r="B2969" s="79"/>
      <c r="D2969"/>
      <c r="E2969" s="188"/>
      <c r="H2969"/>
      <c r="I2969" s="202"/>
      <c r="J2969"/>
      <c r="K2969" s="205"/>
      <c r="L2969" s="205"/>
      <c r="M2969" s="205"/>
    </row>
    <row r="2970" spans="2:13" ht="15.75">
      <c r="B2970" s="79"/>
      <c r="D2970"/>
      <c r="E2970" s="188"/>
      <c r="H2970"/>
      <c r="I2970" s="202"/>
      <c r="J2970"/>
      <c r="K2970" s="205"/>
      <c r="L2970" s="205"/>
      <c r="M2970" s="205"/>
    </row>
    <row r="2971" spans="2:13" ht="15.75">
      <c r="B2971" s="79"/>
      <c r="D2971"/>
      <c r="E2971" s="188"/>
      <c r="H2971"/>
      <c r="I2971" s="202"/>
      <c r="J2971"/>
      <c r="K2971" s="205"/>
      <c r="L2971" s="205"/>
      <c r="M2971" s="205"/>
    </row>
    <row r="2972" spans="2:13" ht="15.75">
      <c r="B2972" s="79"/>
      <c r="D2972"/>
      <c r="E2972" s="188"/>
      <c r="H2972"/>
      <c r="I2972" s="202"/>
      <c r="J2972"/>
      <c r="K2972" s="205"/>
      <c r="L2972" s="205"/>
      <c r="M2972" s="205"/>
    </row>
    <row r="2973" spans="2:13" ht="15.75">
      <c r="B2973" s="79"/>
      <c r="D2973"/>
      <c r="E2973" s="188"/>
      <c r="H2973"/>
      <c r="I2973" s="202"/>
      <c r="J2973"/>
      <c r="K2973" s="205"/>
      <c r="L2973" s="205"/>
      <c r="M2973" s="205"/>
    </row>
    <row r="2974" spans="2:13" ht="15.75">
      <c r="B2974" s="79"/>
      <c r="D2974"/>
      <c r="E2974" s="188"/>
      <c r="H2974"/>
      <c r="I2974" s="202"/>
      <c r="J2974"/>
      <c r="K2974" s="205"/>
      <c r="L2974" s="205"/>
      <c r="M2974" s="205"/>
    </row>
    <row r="2975" spans="2:13" ht="15.75">
      <c r="B2975" s="79"/>
      <c r="D2975"/>
      <c r="E2975" s="188"/>
      <c r="H2975"/>
      <c r="I2975" s="202"/>
      <c r="J2975"/>
      <c r="K2975" s="205"/>
      <c r="L2975" s="205"/>
      <c r="M2975" s="205"/>
    </row>
    <row r="2976" spans="2:13" ht="15.75">
      <c r="B2976" s="79"/>
      <c r="D2976"/>
      <c r="E2976" s="188"/>
      <c r="H2976"/>
      <c r="I2976" s="202"/>
      <c r="J2976"/>
      <c r="K2976" s="205"/>
      <c r="L2976" s="205"/>
      <c r="M2976" s="205"/>
    </row>
    <row r="2977" spans="2:13" ht="15.75">
      <c r="B2977" s="79"/>
      <c r="D2977"/>
      <c r="E2977" s="188"/>
      <c r="H2977"/>
      <c r="I2977" s="202"/>
      <c r="J2977"/>
      <c r="K2977" s="205"/>
      <c r="L2977" s="205"/>
      <c r="M2977" s="205"/>
    </row>
    <row r="2978" spans="2:13" ht="15.75">
      <c r="B2978" s="79"/>
      <c r="D2978"/>
      <c r="E2978" s="188"/>
      <c r="H2978"/>
      <c r="I2978" s="202"/>
      <c r="J2978"/>
      <c r="K2978" s="205"/>
      <c r="L2978" s="205"/>
      <c r="M2978" s="205"/>
    </row>
    <row r="2979" spans="2:13" ht="15.75">
      <c r="B2979" s="79"/>
      <c r="D2979"/>
      <c r="E2979" s="188"/>
      <c r="H2979"/>
      <c r="I2979" s="202"/>
      <c r="J2979"/>
      <c r="K2979" s="205"/>
      <c r="L2979" s="205"/>
      <c r="M2979" s="205"/>
    </row>
    <row r="2980" spans="2:13" ht="15.75">
      <c r="B2980" s="79"/>
      <c r="D2980"/>
      <c r="E2980" s="188"/>
      <c r="H2980"/>
      <c r="I2980" s="202"/>
      <c r="J2980"/>
      <c r="K2980" s="205"/>
      <c r="L2980" s="205"/>
      <c r="M2980" s="205"/>
    </row>
    <row r="2981" spans="2:13" ht="15.75">
      <c r="B2981" s="79"/>
      <c r="D2981"/>
      <c r="E2981" s="188"/>
      <c r="H2981"/>
      <c r="I2981" s="202"/>
      <c r="J2981"/>
      <c r="K2981" s="205"/>
      <c r="L2981" s="205"/>
      <c r="M2981" s="205"/>
    </row>
    <row r="2982" spans="2:13" ht="15.75">
      <c r="B2982" s="79"/>
      <c r="D2982"/>
      <c r="E2982" s="188"/>
      <c r="H2982"/>
      <c r="I2982" s="202"/>
      <c r="J2982"/>
      <c r="K2982" s="205"/>
      <c r="L2982" s="205"/>
      <c r="M2982" s="205"/>
    </row>
    <row r="2983" spans="2:13" ht="15.75">
      <c r="B2983" s="79"/>
      <c r="D2983"/>
      <c r="E2983" s="188"/>
      <c r="H2983"/>
      <c r="I2983" s="202"/>
      <c r="J2983"/>
      <c r="K2983" s="205"/>
      <c r="L2983" s="205"/>
      <c r="M2983" s="205"/>
    </row>
    <row r="2984" spans="2:13" ht="15.75">
      <c r="B2984" s="79"/>
      <c r="D2984"/>
      <c r="E2984" s="188"/>
      <c r="H2984"/>
      <c r="I2984" s="202"/>
      <c r="J2984"/>
      <c r="K2984" s="205"/>
      <c r="L2984" s="205"/>
      <c r="M2984" s="205"/>
    </row>
    <row r="2985" spans="2:13" ht="15.75">
      <c r="B2985" s="79"/>
      <c r="D2985"/>
      <c r="E2985" s="188"/>
      <c r="H2985"/>
      <c r="I2985" s="202"/>
      <c r="J2985"/>
      <c r="K2985" s="205"/>
      <c r="L2985" s="205"/>
      <c r="M2985" s="205"/>
    </row>
    <row r="2986" spans="2:13" ht="15.75">
      <c r="B2986" s="79"/>
      <c r="D2986"/>
      <c r="E2986" s="188"/>
      <c r="H2986"/>
      <c r="I2986" s="202"/>
      <c r="J2986"/>
      <c r="K2986" s="205"/>
      <c r="L2986" s="205"/>
      <c r="M2986" s="205"/>
    </row>
    <row r="2987" spans="2:13" ht="15.75">
      <c r="B2987" s="79"/>
      <c r="D2987"/>
      <c r="E2987" s="188"/>
      <c r="H2987"/>
      <c r="I2987" s="202"/>
      <c r="J2987"/>
      <c r="K2987" s="205"/>
      <c r="L2987" s="205"/>
      <c r="M2987" s="205"/>
    </row>
    <row r="2988" spans="2:13" ht="15.75">
      <c r="B2988" s="79"/>
      <c r="D2988"/>
      <c r="E2988" s="188"/>
      <c r="H2988"/>
      <c r="I2988" s="202"/>
      <c r="J2988"/>
      <c r="K2988" s="205"/>
      <c r="L2988" s="205"/>
      <c r="M2988" s="205"/>
    </row>
    <row r="2989" spans="2:13" ht="15.75">
      <c r="B2989" s="79"/>
      <c r="D2989"/>
      <c r="E2989" s="188"/>
      <c r="H2989"/>
      <c r="I2989" s="202"/>
      <c r="J2989"/>
      <c r="K2989" s="205"/>
      <c r="L2989" s="205"/>
      <c r="M2989" s="205"/>
    </row>
    <row r="2990" spans="2:13" ht="15.75">
      <c r="B2990" s="79"/>
      <c r="D2990"/>
      <c r="E2990" s="188"/>
      <c r="H2990"/>
      <c r="I2990" s="202"/>
      <c r="J2990"/>
      <c r="K2990" s="205"/>
      <c r="L2990" s="205"/>
      <c r="M2990" s="205"/>
    </row>
    <row r="2991" spans="2:13" ht="15.75">
      <c r="B2991" s="79"/>
      <c r="D2991"/>
      <c r="E2991" s="188"/>
      <c r="H2991"/>
      <c r="I2991" s="202"/>
      <c r="J2991"/>
      <c r="K2991" s="205"/>
      <c r="L2991" s="205"/>
      <c r="M2991" s="205"/>
    </row>
    <row r="2992" spans="2:13" ht="15.75">
      <c r="B2992" s="79"/>
      <c r="D2992"/>
      <c r="E2992" s="188"/>
      <c r="H2992"/>
      <c r="I2992" s="202"/>
      <c r="J2992"/>
      <c r="K2992" s="205"/>
      <c r="L2992" s="205"/>
      <c r="M2992" s="205"/>
    </row>
    <row r="2993" spans="2:13" ht="15.75">
      <c r="B2993" s="79"/>
      <c r="D2993"/>
      <c r="E2993" s="188"/>
      <c r="H2993"/>
      <c r="I2993" s="202"/>
      <c r="J2993"/>
      <c r="K2993" s="205"/>
      <c r="L2993" s="205"/>
      <c r="M2993" s="205"/>
    </row>
    <row r="2994" spans="2:13" ht="15.75">
      <c r="B2994" s="79"/>
      <c r="D2994"/>
      <c r="E2994" s="188"/>
      <c r="H2994"/>
      <c r="I2994" s="202"/>
      <c r="J2994"/>
      <c r="K2994" s="205"/>
      <c r="L2994" s="205"/>
      <c r="M2994" s="205"/>
    </row>
    <row r="2995" spans="2:13" ht="15.75">
      <c r="B2995" s="79"/>
      <c r="D2995"/>
      <c r="E2995" s="188"/>
      <c r="H2995"/>
      <c r="I2995" s="202"/>
      <c r="J2995"/>
      <c r="K2995" s="205"/>
      <c r="L2995" s="205"/>
      <c r="M2995" s="205"/>
    </row>
    <row r="2996" spans="2:13" ht="15.75">
      <c r="B2996" s="79"/>
      <c r="D2996"/>
      <c r="E2996" s="188"/>
      <c r="H2996"/>
      <c r="I2996" s="202"/>
      <c r="J2996"/>
      <c r="K2996" s="205"/>
      <c r="L2996" s="205"/>
      <c r="M2996" s="205"/>
    </row>
    <row r="2997" spans="2:13" ht="15.75">
      <c r="B2997" s="79"/>
      <c r="D2997"/>
      <c r="E2997" s="188"/>
      <c r="H2997"/>
      <c r="I2997" s="202"/>
      <c r="J2997"/>
      <c r="K2997" s="205"/>
      <c r="L2997" s="205"/>
      <c r="M2997" s="205"/>
    </row>
    <row r="2998" spans="2:13" ht="15.75">
      <c r="B2998" s="79"/>
      <c r="D2998"/>
      <c r="E2998" s="188"/>
      <c r="H2998"/>
      <c r="I2998" s="202"/>
      <c r="J2998"/>
      <c r="K2998" s="205"/>
      <c r="L2998" s="205"/>
      <c r="M2998" s="205"/>
    </row>
    <row r="2999" spans="2:13" ht="15.75">
      <c r="B2999" s="79"/>
      <c r="D2999"/>
      <c r="E2999" s="188"/>
      <c r="H2999"/>
      <c r="I2999" s="202"/>
      <c r="J2999"/>
      <c r="K2999" s="205"/>
      <c r="L2999" s="205"/>
      <c r="M2999" s="205"/>
    </row>
    <row r="3000" spans="2:13" ht="15.75">
      <c r="B3000" s="79"/>
      <c r="D3000"/>
      <c r="E3000" s="188"/>
      <c r="H3000"/>
      <c r="I3000" s="202"/>
      <c r="J3000"/>
      <c r="K3000" s="205"/>
      <c r="L3000" s="205"/>
      <c r="M3000" s="205"/>
    </row>
    <row r="3001" spans="2:13" ht="15.75">
      <c r="B3001" s="79"/>
      <c r="D3001"/>
      <c r="E3001" s="188"/>
      <c r="H3001"/>
      <c r="I3001" s="202"/>
      <c r="J3001"/>
      <c r="K3001" s="205"/>
      <c r="L3001" s="205"/>
      <c r="M3001" s="205"/>
    </row>
    <row r="3002" spans="2:13" ht="15.75">
      <c r="B3002" s="79"/>
      <c r="D3002"/>
      <c r="E3002" s="188"/>
      <c r="H3002"/>
      <c r="I3002" s="202"/>
      <c r="J3002"/>
      <c r="K3002" s="205"/>
      <c r="L3002" s="205"/>
      <c r="M3002" s="205"/>
    </row>
    <row r="3003" spans="2:13" ht="15.75">
      <c r="B3003" s="79"/>
      <c r="D3003"/>
      <c r="E3003" s="188"/>
      <c r="H3003"/>
      <c r="I3003" s="202"/>
      <c r="J3003"/>
      <c r="K3003" s="205"/>
      <c r="L3003" s="205"/>
      <c r="M3003" s="205"/>
    </row>
    <row r="3004" spans="2:13" ht="15.75">
      <c r="B3004" s="79"/>
      <c r="D3004"/>
      <c r="E3004" s="188"/>
      <c r="H3004"/>
      <c r="I3004" s="202"/>
      <c r="J3004"/>
      <c r="K3004" s="205"/>
      <c r="L3004" s="205"/>
      <c r="M3004" s="205"/>
    </row>
    <row r="3005" spans="2:13" ht="15.75">
      <c r="B3005" s="79"/>
      <c r="D3005"/>
      <c r="E3005" s="188"/>
      <c r="H3005"/>
      <c r="I3005" s="202"/>
      <c r="J3005"/>
      <c r="K3005" s="205"/>
      <c r="L3005" s="205"/>
      <c r="M3005" s="205"/>
    </row>
    <row r="3006" spans="2:13" ht="15.75">
      <c r="B3006" s="79"/>
      <c r="D3006"/>
      <c r="E3006" s="188"/>
      <c r="H3006"/>
      <c r="I3006" s="202"/>
      <c r="J3006"/>
      <c r="K3006" s="205"/>
      <c r="L3006" s="205"/>
      <c r="M3006" s="205"/>
    </row>
    <row r="3007" spans="2:13" ht="15.75">
      <c r="B3007" s="79"/>
      <c r="D3007"/>
      <c r="E3007" s="188"/>
      <c r="H3007"/>
      <c r="I3007" s="202"/>
      <c r="J3007"/>
      <c r="K3007" s="205"/>
      <c r="L3007" s="205"/>
      <c r="M3007" s="205"/>
    </row>
    <row r="3008" spans="2:13" ht="15.75">
      <c r="B3008" s="79"/>
      <c r="D3008"/>
      <c r="E3008" s="188"/>
      <c r="H3008"/>
      <c r="I3008" s="202"/>
      <c r="J3008"/>
      <c r="K3008" s="205"/>
      <c r="L3008" s="205"/>
      <c r="M3008" s="205"/>
    </row>
    <row r="3009" spans="2:13" ht="15.75">
      <c r="B3009" s="79"/>
      <c r="D3009"/>
      <c r="E3009" s="188"/>
      <c r="H3009"/>
      <c r="I3009" s="202"/>
      <c r="J3009"/>
      <c r="K3009" s="205"/>
      <c r="L3009" s="205"/>
      <c r="M3009" s="205"/>
    </row>
    <row r="3010" spans="2:13" ht="15.75">
      <c r="B3010" s="79"/>
      <c r="D3010"/>
      <c r="E3010" s="188"/>
      <c r="H3010"/>
      <c r="I3010" s="202"/>
      <c r="J3010"/>
      <c r="K3010" s="205"/>
      <c r="L3010" s="205"/>
      <c r="M3010" s="205"/>
    </row>
    <row r="3011" spans="2:13" ht="15.75">
      <c r="B3011" s="79"/>
      <c r="D3011"/>
      <c r="E3011" s="188"/>
      <c r="H3011"/>
      <c r="I3011" s="202"/>
      <c r="J3011"/>
      <c r="K3011" s="205"/>
      <c r="L3011" s="205"/>
      <c r="M3011" s="205"/>
    </row>
    <row r="3012" spans="2:13" ht="15.75">
      <c r="B3012" s="79"/>
      <c r="D3012"/>
      <c r="E3012" s="188"/>
      <c r="H3012"/>
      <c r="I3012" s="202"/>
      <c r="J3012"/>
      <c r="K3012" s="205"/>
      <c r="L3012" s="205"/>
      <c r="M3012" s="205"/>
    </row>
    <row r="3013" spans="2:13" ht="15.75">
      <c r="B3013" s="79"/>
      <c r="D3013"/>
      <c r="E3013" s="188"/>
      <c r="H3013"/>
      <c r="I3013" s="202"/>
      <c r="J3013"/>
      <c r="K3013" s="205"/>
      <c r="L3013" s="205"/>
      <c r="M3013" s="205"/>
    </row>
    <row r="3014" spans="2:13" ht="15.75">
      <c r="B3014" s="79"/>
      <c r="D3014"/>
      <c r="E3014" s="188"/>
      <c r="H3014"/>
      <c r="I3014" s="202"/>
      <c r="J3014"/>
      <c r="K3014" s="205"/>
      <c r="L3014" s="205"/>
      <c r="M3014" s="205"/>
    </row>
    <row r="3015" spans="2:13" ht="15.75">
      <c r="B3015" s="79"/>
      <c r="D3015"/>
      <c r="E3015" s="188"/>
      <c r="H3015"/>
      <c r="I3015" s="202"/>
      <c r="J3015"/>
      <c r="K3015" s="205"/>
      <c r="L3015" s="205"/>
      <c r="M3015" s="205"/>
    </row>
    <row r="3016" spans="2:13" ht="15.75">
      <c r="B3016" s="79"/>
      <c r="D3016"/>
      <c r="E3016" s="188"/>
      <c r="H3016"/>
      <c r="I3016" s="202"/>
      <c r="J3016"/>
      <c r="K3016" s="205"/>
      <c r="L3016" s="205"/>
      <c r="M3016" s="205"/>
    </row>
    <row r="3017" spans="2:13" ht="15.75">
      <c r="B3017" s="79"/>
      <c r="D3017"/>
      <c r="E3017" s="188"/>
      <c r="H3017"/>
      <c r="I3017" s="202"/>
      <c r="J3017"/>
      <c r="K3017" s="205"/>
      <c r="L3017" s="205"/>
      <c r="M3017" s="205"/>
    </row>
    <row r="3018" spans="2:13" ht="15.75">
      <c r="B3018" s="79"/>
      <c r="D3018"/>
      <c r="E3018" s="188"/>
      <c r="H3018"/>
      <c r="I3018" s="202"/>
      <c r="J3018"/>
      <c r="K3018" s="205"/>
      <c r="L3018" s="205"/>
      <c r="M3018" s="205"/>
    </row>
    <row r="3019" spans="2:13" ht="15.75">
      <c r="B3019" s="79"/>
      <c r="D3019"/>
      <c r="E3019" s="188"/>
      <c r="H3019"/>
      <c r="I3019" s="202"/>
      <c r="J3019"/>
      <c r="K3019" s="205"/>
      <c r="L3019" s="205"/>
      <c r="M3019" s="205"/>
    </row>
    <row r="3020" spans="2:13" ht="15.75">
      <c r="B3020" s="79"/>
      <c r="D3020"/>
      <c r="E3020" s="188"/>
      <c r="H3020"/>
      <c r="I3020" s="202"/>
      <c r="J3020"/>
      <c r="K3020" s="205"/>
      <c r="L3020" s="205"/>
      <c r="M3020" s="205"/>
    </row>
    <row r="3021" spans="2:13" ht="15.75">
      <c r="B3021" s="79"/>
      <c r="D3021"/>
      <c r="E3021" s="188"/>
      <c r="H3021"/>
      <c r="I3021" s="202"/>
      <c r="J3021"/>
      <c r="K3021" s="205"/>
      <c r="L3021" s="205"/>
      <c r="M3021" s="205"/>
    </row>
    <row r="3022" spans="2:13" ht="15.75">
      <c r="B3022" s="79"/>
      <c r="D3022"/>
      <c r="E3022" s="188"/>
      <c r="H3022"/>
      <c r="I3022" s="202"/>
      <c r="J3022"/>
      <c r="K3022" s="205"/>
      <c r="L3022" s="205"/>
      <c r="M3022" s="205"/>
    </row>
    <row r="3023" spans="2:13" ht="15.75">
      <c r="B3023" s="79"/>
      <c r="D3023"/>
      <c r="E3023" s="188"/>
      <c r="H3023"/>
      <c r="I3023" s="202"/>
      <c r="J3023"/>
      <c r="K3023" s="205"/>
      <c r="L3023" s="205"/>
      <c r="M3023" s="205"/>
    </row>
    <row r="3024" spans="2:13" ht="15.75">
      <c r="B3024" s="79"/>
      <c r="D3024"/>
      <c r="E3024" s="188"/>
      <c r="H3024"/>
      <c r="I3024" s="202"/>
      <c r="J3024"/>
      <c r="K3024" s="205"/>
      <c r="L3024" s="205"/>
      <c r="M3024" s="205"/>
    </row>
    <row r="3025" spans="2:13" ht="15.75">
      <c r="B3025" s="79"/>
      <c r="D3025"/>
      <c r="E3025" s="188"/>
      <c r="H3025"/>
      <c r="I3025" s="202"/>
      <c r="J3025"/>
      <c r="K3025" s="205"/>
      <c r="L3025" s="205"/>
      <c r="M3025" s="205"/>
    </row>
    <row r="3026" spans="2:13" ht="15.75">
      <c r="B3026" s="79"/>
      <c r="D3026"/>
      <c r="E3026" s="188"/>
      <c r="H3026"/>
      <c r="I3026" s="202"/>
      <c r="J3026"/>
      <c r="K3026" s="205"/>
      <c r="L3026" s="205"/>
      <c r="M3026" s="205"/>
    </row>
    <row r="3027" spans="2:13" ht="15.75">
      <c r="B3027" s="79"/>
      <c r="D3027"/>
      <c r="E3027" s="188"/>
      <c r="H3027"/>
      <c r="I3027" s="202"/>
      <c r="J3027"/>
      <c r="K3027" s="205"/>
      <c r="L3027" s="205"/>
      <c r="M3027" s="205"/>
    </row>
    <row r="3028" spans="2:13" ht="15.75">
      <c r="B3028" s="79"/>
      <c r="D3028"/>
      <c r="E3028" s="188"/>
      <c r="H3028"/>
      <c r="I3028" s="202"/>
      <c r="J3028"/>
      <c r="K3028" s="205"/>
      <c r="L3028" s="205"/>
      <c r="M3028" s="205"/>
    </row>
    <row r="3029" spans="2:13" ht="15.75">
      <c r="B3029" s="79"/>
      <c r="D3029"/>
      <c r="E3029" s="188"/>
      <c r="H3029"/>
      <c r="I3029" s="202"/>
      <c r="J3029"/>
      <c r="K3029" s="205"/>
      <c r="L3029" s="205"/>
      <c r="M3029" s="205"/>
    </row>
    <row r="3030" spans="2:13" ht="15.75">
      <c r="B3030" s="79"/>
      <c r="D3030"/>
      <c r="E3030" s="188"/>
      <c r="H3030"/>
      <c r="I3030" s="202"/>
      <c r="J3030"/>
      <c r="K3030" s="205"/>
      <c r="L3030" s="205"/>
      <c r="M3030" s="205"/>
    </row>
    <row r="3031" spans="2:13" ht="15.75">
      <c r="B3031" s="79"/>
      <c r="D3031"/>
      <c r="E3031" s="188"/>
      <c r="H3031"/>
      <c r="I3031" s="202"/>
      <c r="J3031"/>
      <c r="K3031" s="205"/>
      <c r="L3031" s="205"/>
      <c r="M3031" s="205"/>
    </row>
    <row r="3032" spans="2:13" ht="15.75">
      <c r="B3032" s="79"/>
      <c r="D3032"/>
      <c r="E3032" s="188"/>
      <c r="H3032"/>
      <c r="I3032" s="202"/>
      <c r="J3032"/>
      <c r="K3032" s="205"/>
      <c r="L3032" s="205"/>
      <c r="M3032" s="205"/>
    </row>
    <row r="3033" spans="2:13" ht="15.75">
      <c r="B3033" s="79"/>
      <c r="D3033"/>
      <c r="E3033" s="188"/>
      <c r="H3033"/>
      <c r="I3033" s="202"/>
      <c r="J3033"/>
      <c r="K3033" s="205"/>
      <c r="L3033" s="205"/>
      <c r="M3033" s="205"/>
    </row>
    <row r="3034" spans="2:13" ht="15.75">
      <c r="B3034" s="79"/>
      <c r="D3034"/>
      <c r="E3034" s="188"/>
      <c r="H3034"/>
      <c r="I3034" s="202"/>
      <c r="J3034"/>
      <c r="K3034" s="205"/>
      <c r="L3034" s="205"/>
      <c r="M3034" s="205"/>
    </row>
    <row r="3035" spans="2:13" ht="15.75">
      <c r="B3035" s="79"/>
      <c r="D3035"/>
      <c r="E3035" s="188"/>
      <c r="H3035"/>
      <c r="I3035" s="202"/>
      <c r="J3035"/>
      <c r="K3035" s="205"/>
      <c r="L3035" s="205"/>
      <c r="M3035" s="205"/>
    </row>
    <row r="3036" spans="2:13" ht="15.75">
      <c r="B3036" s="79"/>
      <c r="D3036"/>
      <c r="E3036" s="188"/>
      <c r="H3036"/>
      <c r="I3036" s="202"/>
      <c r="J3036"/>
      <c r="K3036" s="205"/>
      <c r="L3036" s="205"/>
      <c r="M3036" s="205"/>
    </row>
    <row r="3037" spans="2:13" ht="15.75">
      <c r="B3037" s="79"/>
      <c r="D3037"/>
      <c r="E3037" s="188"/>
      <c r="H3037"/>
      <c r="I3037" s="202"/>
      <c r="J3037"/>
      <c r="K3037" s="205"/>
      <c r="L3037" s="205"/>
      <c r="M3037" s="205"/>
    </row>
    <row r="3038" spans="2:13" ht="15.75">
      <c r="B3038" s="79"/>
      <c r="D3038"/>
      <c r="E3038" s="188"/>
      <c r="H3038"/>
      <c r="I3038" s="202"/>
      <c r="J3038"/>
      <c r="K3038" s="205"/>
      <c r="L3038" s="205"/>
      <c r="M3038" s="205"/>
    </row>
    <row r="3039" spans="2:13" ht="15.75">
      <c r="B3039" s="79"/>
      <c r="D3039"/>
      <c r="E3039" s="188"/>
      <c r="H3039"/>
      <c r="I3039" s="202"/>
      <c r="J3039"/>
      <c r="K3039" s="205"/>
      <c r="L3039" s="205"/>
      <c r="M3039" s="205"/>
    </row>
    <row r="3040" spans="2:13" ht="15.75">
      <c r="B3040" s="79"/>
      <c r="D3040"/>
      <c r="E3040" s="188"/>
      <c r="H3040"/>
      <c r="I3040" s="202"/>
      <c r="J3040"/>
      <c r="K3040" s="205"/>
      <c r="L3040" s="205"/>
      <c r="M3040" s="205"/>
    </row>
    <row r="3041" spans="2:13" ht="15.75">
      <c r="B3041" s="79"/>
      <c r="D3041"/>
      <c r="E3041" s="188"/>
      <c r="H3041"/>
      <c r="I3041" s="202"/>
      <c r="J3041"/>
      <c r="K3041" s="205"/>
      <c r="L3041" s="205"/>
      <c r="M3041" s="205"/>
    </row>
    <row r="3042" spans="2:13" ht="15.75">
      <c r="B3042" s="79"/>
      <c r="D3042"/>
      <c r="E3042" s="188"/>
      <c r="H3042"/>
      <c r="I3042" s="202"/>
      <c r="J3042"/>
      <c r="K3042" s="205"/>
      <c r="L3042" s="205"/>
      <c r="M3042" s="205"/>
    </row>
    <row r="3043" spans="2:13" ht="15.75">
      <c r="B3043" s="79"/>
      <c r="D3043"/>
      <c r="E3043" s="188"/>
      <c r="H3043"/>
      <c r="I3043" s="202"/>
      <c r="J3043"/>
      <c r="K3043" s="205"/>
      <c r="L3043" s="205"/>
      <c r="M3043" s="205"/>
    </row>
    <row r="3044" spans="2:13" ht="15.75">
      <c r="B3044" s="79"/>
      <c r="D3044"/>
      <c r="E3044" s="188"/>
      <c r="H3044"/>
      <c r="I3044" s="202"/>
      <c r="J3044"/>
      <c r="K3044" s="205"/>
      <c r="L3044" s="205"/>
      <c r="M3044" s="205"/>
    </row>
    <row r="3045" spans="2:13" ht="15.75">
      <c r="B3045" s="79"/>
      <c r="D3045"/>
      <c r="E3045" s="188"/>
      <c r="H3045"/>
      <c r="I3045" s="202"/>
      <c r="J3045"/>
      <c r="K3045" s="205"/>
      <c r="L3045" s="205"/>
      <c r="M3045" s="205"/>
    </row>
    <row r="3046" spans="2:13" ht="15.75">
      <c r="B3046" s="79"/>
      <c r="D3046"/>
      <c r="E3046" s="188"/>
      <c r="H3046"/>
      <c r="I3046" s="202"/>
      <c r="J3046"/>
      <c r="K3046" s="205"/>
      <c r="L3046" s="205"/>
      <c r="M3046" s="205"/>
    </row>
    <row r="3047" spans="2:13" ht="15.75">
      <c r="B3047" s="79"/>
      <c r="D3047"/>
      <c r="E3047" s="188"/>
      <c r="H3047"/>
      <c r="I3047" s="202"/>
      <c r="J3047"/>
      <c r="K3047" s="205"/>
      <c r="L3047" s="205"/>
      <c r="M3047" s="205"/>
    </row>
    <row r="3048" spans="2:13" ht="15.75">
      <c r="B3048" s="79"/>
      <c r="D3048"/>
      <c r="E3048" s="188"/>
      <c r="H3048"/>
      <c r="I3048" s="202"/>
      <c r="J3048"/>
      <c r="K3048" s="205"/>
      <c r="L3048" s="205"/>
      <c r="M3048" s="205"/>
    </row>
    <row r="3049" spans="2:13" ht="15.75">
      <c r="B3049" s="79"/>
      <c r="D3049"/>
      <c r="E3049" s="188"/>
      <c r="H3049"/>
      <c r="I3049" s="202"/>
      <c r="J3049"/>
      <c r="K3049" s="205"/>
      <c r="L3049" s="205"/>
      <c r="M3049" s="205"/>
    </row>
    <row r="3050" spans="2:13" ht="15.75">
      <c r="B3050" s="79"/>
      <c r="D3050"/>
      <c r="E3050" s="188"/>
      <c r="H3050"/>
      <c r="I3050" s="202"/>
      <c r="J3050"/>
      <c r="K3050" s="205"/>
      <c r="L3050" s="205"/>
      <c r="M3050" s="205"/>
    </row>
    <row r="3051" spans="2:13" ht="15.75">
      <c r="B3051" s="79"/>
      <c r="D3051"/>
      <c r="E3051" s="188"/>
      <c r="H3051"/>
      <c r="I3051" s="202"/>
      <c r="J3051"/>
      <c r="K3051" s="205"/>
      <c r="L3051" s="205"/>
      <c r="M3051" s="205"/>
    </row>
    <row r="3052" spans="2:13" ht="15.75">
      <c r="B3052" s="79"/>
      <c r="D3052"/>
      <c r="E3052" s="188"/>
      <c r="H3052"/>
      <c r="I3052" s="202"/>
      <c r="J3052"/>
      <c r="K3052" s="205"/>
      <c r="L3052" s="205"/>
      <c r="M3052" s="205"/>
    </row>
    <row r="3053" spans="2:13" ht="15.75">
      <c r="B3053" s="79"/>
      <c r="D3053"/>
      <c r="E3053" s="188"/>
      <c r="H3053"/>
      <c r="I3053" s="202"/>
      <c r="J3053"/>
      <c r="K3053" s="205"/>
      <c r="L3053" s="205"/>
      <c r="M3053" s="205"/>
    </row>
    <row r="3054" spans="2:13" ht="15.75">
      <c r="B3054" s="79"/>
      <c r="D3054"/>
      <c r="E3054" s="188"/>
      <c r="H3054"/>
      <c r="I3054" s="202"/>
      <c r="J3054"/>
      <c r="K3054" s="205"/>
      <c r="L3054" s="205"/>
      <c r="M3054" s="205"/>
    </row>
    <row r="3055" spans="2:13" ht="15.75">
      <c r="B3055" s="79"/>
      <c r="D3055"/>
      <c r="E3055" s="188"/>
      <c r="H3055"/>
      <c r="I3055" s="202"/>
      <c r="J3055"/>
      <c r="K3055" s="205"/>
      <c r="L3055" s="205"/>
      <c r="M3055" s="205"/>
    </row>
    <row r="3056" spans="2:13" ht="15.75">
      <c r="B3056" s="79"/>
      <c r="D3056"/>
      <c r="E3056" s="188"/>
      <c r="H3056"/>
      <c r="I3056" s="202"/>
      <c r="J3056"/>
      <c r="K3056" s="205"/>
      <c r="L3056" s="205"/>
      <c r="M3056" s="205"/>
    </row>
    <row r="3057" spans="2:13" ht="15.75">
      <c r="B3057" s="79"/>
      <c r="D3057"/>
      <c r="E3057" s="188"/>
      <c r="H3057"/>
      <c r="I3057" s="202"/>
      <c r="J3057"/>
      <c r="K3057" s="205"/>
      <c r="L3057" s="205"/>
      <c r="M3057" s="205"/>
    </row>
    <row r="3058" spans="2:13" ht="15.75">
      <c r="B3058" s="79"/>
      <c r="D3058"/>
      <c r="E3058" s="188"/>
      <c r="H3058"/>
      <c r="I3058" s="202"/>
      <c r="J3058"/>
      <c r="K3058" s="205"/>
      <c r="L3058" s="205"/>
      <c r="M3058" s="205"/>
    </row>
    <row r="3059" spans="2:13" ht="15.75">
      <c r="B3059" s="79"/>
      <c r="D3059"/>
      <c r="E3059" s="188"/>
      <c r="H3059"/>
      <c r="I3059" s="202"/>
      <c r="J3059"/>
      <c r="K3059" s="205"/>
      <c r="L3059" s="205"/>
      <c r="M3059" s="205"/>
    </row>
    <row r="3060" spans="2:13" ht="15.75">
      <c r="B3060" s="79"/>
      <c r="D3060"/>
      <c r="E3060" s="188"/>
      <c r="H3060"/>
      <c r="I3060" s="202"/>
      <c r="J3060"/>
      <c r="K3060" s="205"/>
      <c r="L3060" s="205"/>
      <c r="M3060" s="205"/>
    </row>
    <row r="3061" spans="2:13" ht="15.75">
      <c r="B3061" s="79"/>
      <c r="D3061"/>
      <c r="E3061" s="188"/>
      <c r="H3061"/>
      <c r="I3061" s="202"/>
      <c r="J3061"/>
      <c r="K3061" s="205"/>
      <c r="L3061" s="205"/>
      <c r="M3061" s="205"/>
    </row>
    <row r="3062" spans="2:13" ht="15.75">
      <c r="B3062" s="79"/>
      <c r="D3062"/>
      <c r="E3062" s="188"/>
      <c r="H3062"/>
      <c r="I3062" s="202"/>
      <c r="J3062"/>
      <c r="K3062" s="205"/>
      <c r="L3062" s="205"/>
      <c r="M3062" s="205"/>
    </row>
    <row r="3063" spans="2:13" ht="15.75">
      <c r="B3063" s="79"/>
      <c r="D3063"/>
      <c r="E3063" s="188"/>
      <c r="H3063"/>
      <c r="I3063" s="202"/>
      <c r="J3063"/>
      <c r="K3063" s="205"/>
      <c r="L3063" s="205"/>
      <c r="M3063" s="205"/>
    </row>
    <row r="3064" spans="2:13" ht="15.75">
      <c r="B3064" s="79"/>
      <c r="D3064"/>
      <c r="E3064" s="188"/>
      <c r="H3064"/>
      <c r="I3064" s="202"/>
      <c r="J3064"/>
      <c r="K3064" s="205"/>
      <c r="L3064" s="205"/>
      <c r="M3064" s="205"/>
    </row>
    <row r="3065" spans="2:13" ht="15.75">
      <c r="B3065" s="79"/>
      <c r="D3065"/>
      <c r="E3065" s="188"/>
      <c r="H3065"/>
      <c r="I3065" s="202"/>
      <c r="J3065"/>
      <c r="K3065" s="205"/>
      <c r="L3065" s="205"/>
      <c r="M3065" s="205"/>
    </row>
    <row r="3066" spans="2:13" ht="15.75">
      <c r="B3066" s="79"/>
      <c r="D3066"/>
      <c r="E3066" s="188"/>
      <c r="H3066"/>
      <c r="I3066" s="202"/>
      <c r="J3066"/>
      <c r="K3066" s="205"/>
      <c r="L3066" s="205"/>
      <c r="M3066" s="205"/>
    </row>
    <row r="3067" spans="2:13" ht="15.75">
      <c r="B3067" s="79"/>
      <c r="D3067"/>
      <c r="E3067" s="188"/>
      <c r="H3067"/>
      <c r="I3067" s="202"/>
      <c r="J3067"/>
      <c r="K3067" s="205"/>
      <c r="L3067" s="205"/>
      <c r="M3067" s="205"/>
    </row>
    <row r="3068" spans="2:13" ht="15.75">
      <c r="B3068" s="79"/>
      <c r="D3068"/>
      <c r="E3068" s="188"/>
      <c r="H3068"/>
      <c r="I3068" s="202"/>
      <c r="J3068"/>
      <c r="K3068" s="205"/>
      <c r="L3068" s="205"/>
      <c r="M3068" s="205"/>
    </row>
    <row r="3069" spans="2:13" ht="15.75">
      <c r="B3069" s="79"/>
      <c r="D3069"/>
      <c r="E3069" s="188"/>
      <c r="H3069"/>
      <c r="I3069" s="202"/>
      <c r="J3069"/>
      <c r="K3069" s="205"/>
      <c r="L3069" s="205"/>
      <c r="M3069" s="205"/>
    </row>
    <row r="3070" spans="2:13" ht="15.75">
      <c r="B3070" s="79"/>
      <c r="D3070"/>
      <c r="E3070" s="188"/>
      <c r="H3070"/>
      <c r="I3070" s="202"/>
      <c r="J3070"/>
      <c r="K3070" s="205"/>
      <c r="L3070" s="205"/>
      <c r="M3070" s="205"/>
    </row>
    <row r="3071" spans="2:13" ht="15.75">
      <c r="B3071" s="79"/>
      <c r="D3071"/>
      <c r="E3071" s="188"/>
      <c r="H3071"/>
      <c r="I3071" s="202"/>
      <c r="J3071"/>
      <c r="K3071" s="205"/>
      <c r="L3071" s="205"/>
      <c r="M3071" s="205"/>
    </row>
    <row r="3072" spans="2:13" ht="15.75">
      <c r="B3072" s="79"/>
      <c r="D3072"/>
      <c r="E3072" s="188"/>
      <c r="H3072"/>
      <c r="I3072" s="202"/>
      <c r="J3072"/>
      <c r="K3072" s="205"/>
      <c r="L3072" s="205"/>
      <c r="M3072" s="205"/>
    </row>
    <row r="3073" spans="2:13" ht="15.75">
      <c r="B3073" s="79"/>
      <c r="D3073"/>
      <c r="E3073" s="188"/>
      <c r="H3073"/>
      <c r="I3073" s="202"/>
      <c r="J3073"/>
      <c r="K3073" s="205"/>
      <c r="L3073" s="205"/>
      <c r="M3073" s="205"/>
    </row>
    <row r="3074" spans="2:13" ht="15.75">
      <c r="B3074" s="79"/>
      <c r="D3074"/>
      <c r="E3074" s="188"/>
      <c r="H3074"/>
      <c r="I3074" s="202"/>
      <c r="J3074"/>
      <c r="K3074" s="205"/>
      <c r="L3074" s="205"/>
      <c r="M3074" s="205"/>
    </row>
    <row r="3075" spans="2:13" ht="15.75">
      <c r="B3075" s="79"/>
      <c r="D3075"/>
      <c r="E3075" s="188"/>
      <c r="H3075"/>
      <c r="I3075" s="202"/>
      <c r="J3075"/>
      <c r="K3075" s="205"/>
      <c r="L3075" s="205"/>
      <c r="M3075" s="205"/>
    </row>
    <row r="3076" spans="2:13" ht="15.75">
      <c r="B3076" s="79"/>
      <c r="D3076"/>
      <c r="E3076" s="188"/>
      <c r="H3076"/>
      <c r="I3076" s="202"/>
      <c r="J3076"/>
      <c r="K3076" s="205"/>
      <c r="L3076" s="205"/>
      <c r="M3076" s="205"/>
    </row>
    <row r="3077" spans="2:13" ht="15.75">
      <c r="B3077" s="79"/>
      <c r="D3077"/>
      <c r="E3077" s="188"/>
      <c r="H3077"/>
      <c r="I3077" s="202"/>
      <c r="J3077"/>
      <c r="K3077" s="205"/>
      <c r="L3077" s="205"/>
      <c r="M3077" s="205"/>
    </row>
    <row r="3078" spans="2:13" ht="15.75">
      <c r="B3078" s="79"/>
      <c r="D3078"/>
      <c r="E3078" s="188"/>
      <c r="H3078"/>
      <c r="I3078" s="202"/>
      <c r="J3078"/>
      <c r="K3078" s="205"/>
      <c r="L3078" s="205"/>
      <c r="M3078" s="205"/>
    </row>
    <row r="3079" spans="2:13" ht="15.75">
      <c r="B3079" s="79"/>
      <c r="D3079"/>
      <c r="E3079" s="188"/>
      <c r="H3079"/>
      <c r="I3079" s="202"/>
      <c r="J3079"/>
      <c r="K3079" s="205"/>
      <c r="L3079" s="205"/>
      <c r="M3079" s="205"/>
    </row>
    <row r="3080" spans="2:13" ht="15.75">
      <c r="B3080" s="79"/>
      <c r="D3080"/>
      <c r="E3080" s="188"/>
      <c r="H3080"/>
      <c r="I3080" s="202"/>
      <c r="J3080"/>
      <c r="K3080" s="205"/>
      <c r="L3080" s="205"/>
      <c r="M3080" s="205"/>
    </row>
    <row r="3081" spans="2:13" ht="15.75">
      <c r="B3081" s="79"/>
      <c r="D3081"/>
      <c r="E3081" s="188"/>
      <c r="H3081"/>
      <c r="I3081" s="202"/>
      <c r="J3081"/>
      <c r="K3081" s="205"/>
      <c r="L3081" s="205"/>
      <c r="M3081" s="205"/>
    </row>
    <row r="3082" spans="2:13" ht="15.75">
      <c r="B3082" s="79"/>
      <c r="D3082"/>
      <c r="E3082" s="188"/>
      <c r="H3082"/>
      <c r="I3082" s="202"/>
      <c r="J3082"/>
      <c r="K3082" s="205"/>
      <c r="L3082" s="205"/>
      <c r="M3082" s="205"/>
    </row>
    <row r="3083" spans="2:13" ht="15.75">
      <c r="B3083" s="79"/>
      <c r="D3083"/>
      <c r="E3083" s="188"/>
      <c r="H3083"/>
      <c r="I3083" s="202"/>
      <c r="J3083"/>
      <c r="K3083" s="205"/>
      <c r="L3083" s="205"/>
      <c r="M3083" s="205"/>
    </row>
    <row r="3084" spans="2:13" ht="15.75">
      <c r="B3084" s="79"/>
      <c r="D3084"/>
      <c r="E3084" s="188"/>
      <c r="H3084"/>
      <c r="I3084" s="202"/>
      <c r="J3084"/>
      <c r="K3084" s="205"/>
      <c r="L3084" s="205"/>
      <c r="M3084" s="205"/>
    </row>
    <row r="3085" spans="2:13" ht="15.75">
      <c r="B3085" s="79"/>
      <c r="D3085"/>
      <c r="E3085" s="188"/>
      <c r="H3085"/>
      <c r="I3085" s="202"/>
      <c r="J3085"/>
      <c r="K3085" s="205"/>
      <c r="L3085" s="205"/>
      <c r="M3085" s="205"/>
    </row>
    <row r="3086" spans="2:13" ht="15.75">
      <c r="B3086" s="79"/>
      <c r="D3086"/>
      <c r="E3086" s="188"/>
      <c r="H3086"/>
      <c r="I3086" s="202"/>
      <c r="J3086"/>
      <c r="K3086" s="205"/>
      <c r="L3086" s="205"/>
      <c r="M3086" s="205"/>
    </row>
    <row r="3087" spans="2:13" ht="15.75">
      <c r="B3087" s="79"/>
      <c r="D3087"/>
      <c r="E3087" s="188"/>
      <c r="H3087"/>
      <c r="I3087" s="202"/>
      <c r="J3087"/>
      <c r="K3087" s="205"/>
      <c r="L3087" s="205"/>
      <c r="M3087" s="205"/>
    </row>
    <row r="3088" spans="2:13" ht="15.75">
      <c r="B3088" s="79"/>
      <c r="D3088"/>
      <c r="E3088" s="188"/>
      <c r="H3088"/>
      <c r="I3088" s="202"/>
      <c r="J3088"/>
      <c r="K3088" s="205"/>
      <c r="L3088" s="205"/>
      <c r="M3088" s="205"/>
    </row>
    <row r="3089" spans="2:13" ht="15.75">
      <c r="B3089" s="79"/>
      <c r="D3089"/>
      <c r="E3089" s="188"/>
      <c r="H3089"/>
      <c r="I3089" s="202"/>
      <c r="J3089"/>
      <c r="K3089" s="205"/>
      <c r="L3089" s="205"/>
      <c r="M3089" s="205"/>
    </row>
    <row r="3090" spans="2:13" ht="15.75">
      <c r="B3090" s="79"/>
      <c r="D3090"/>
      <c r="E3090" s="188"/>
      <c r="H3090"/>
      <c r="I3090" s="202"/>
      <c r="J3090"/>
      <c r="K3090" s="205"/>
      <c r="L3090" s="205"/>
      <c r="M3090" s="205"/>
    </row>
    <row r="3091" spans="2:13" ht="15.75">
      <c r="B3091" s="79"/>
      <c r="D3091"/>
      <c r="E3091" s="188"/>
      <c r="H3091"/>
      <c r="I3091" s="202"/>
      <c r="J3091"/>
      <c r="K3091" s="205"/>
      <c r="L3091" s="205"/>
      <c r="M3091" s="205"/>
    </row>
    <row r="3092" spans="2:13" ht="15.75">
      <c r="B3092" s="79"/>
      <c r="D3092"/>
      <c r="E3092" s="188"/>
      <c r="H3092"/>
      <c r="I3092" s="202"/>
      <c r="J3092"/>
      <c r="K3092" s="205"/>
      <c r="L3092" s="205"/>
      <c r="M3092" s="205"/>
    </row>
    <row r="3093" spans="2:13" ht="15.75">
      <c r="B3093" s="79"/>
      <c r="D3093"/>
      <c r="E3093" s="188"/>
      <c r="H3093"/>
      <c r="I3093" s="202"/>
      <c r="J3093"/>
      <c r="K3093" s="205"/>
      <c r="L3093" s="205"/>
      <c r="M3093" s="205"/>
    </row>
    <row r="3094" spans="2:13" ht="15.75">
      <c r="B3094" s="79"/>
      <c r="D3094"/>
      <c r="E3094" s="188"/>
      <c r="H3094"/>
      <c r="I3094" s="202"/>
      <c r="J3094"/>
      <c r="K3094" s="205"/>
      <c r="L3094" s="205"/>
      <c r="M3094" s="205"/>
    </row>
    <row r="3095" spans="2:13" ht="15.75">
      <c r="B3095" s="79"/>
      <c r="D3095"/>
      <c r="E3095" s="188"/>
      <c r="H3095"/>
      <c r="I3095" s="202"/>
      <c r="J3095"/>
      <c r="K3095" s="205"/>
      <c r="L3095" s="205"/>
      <c r="M3095" s="205"/>
    </row>
    <row r="3096" spans="2:13" ht="15.75">
      <c r="B3096" s="79"/>
      <c r="D3096"/>
      <c r="E3096" s="188"/>
      <c r="H3096"/>
      <c r="I3096" s="202"/>
      <c r="J3096"/>
      <c r="K3096" s="205"/>
      <c r="L3096" s="205"/>
      <c r="M3096" s="205"/>
    </row>
    <row r="3097" spans="2:13" ht="15.75">
      <c r="B3097" s="79"/>
      <c r="D3097"/>
      <c r="E3097" s="188"/>
      <c r="H3097"/>
      <c r="I3097" s="202"/>
      <c r="J3097"/>
      <c r="K3097" s="205"/>
      <c r="L3097" s="205"/>
      <c r="M3097" s="205"/>
    </row>
    <row r="3098" spans="2:13" ht="15.75">
      <c r="B3098" s="79"/>
      <c r="D3098"/>
      <c r="E3098" s="188"/>
      <c r="H3098"/>
      <c r="I3098" s="202"/>
      <c r="J3098"/>
      <c r="K3098" s="205"/>
      <c r="L3098" s="205"/>
      <c r="M3098" s="205"/>
    </row>
    <row r="3099" spans="2:13" ht="15.75">
      <c r="B3099" s="79"/>
      <c r="D3099"/>
      <c r="E3099" s="188"/>
      <c r="H3099"/>
      <c r="I3099" s="202"/>
      <c r="J3099"/>
      <c r="K3099" s="205"/>
      <c r="L3099" s="205"/>
      <c r="M3099" s="205"/>
    </row>
    <row r="3100" spans="2:13" ht="15.75">
      <c r="B3100" s="79"/>
      <c r="D3100"/>
      <c r="E3100" s="188"/>
      <c r="H3100"/>
      <c r="I3100" s="202"/>
      <c r="J3100"/>
      <c r="K3100" s="205"/>
      <c r="L3100" s="205"/>
      <c r="M3100" s="205"/>
    </row>
    <row r="3101" spans="2:13" ht="15.75">
      <c r="B3101" s="79"/>
      <c r="D3101"/>
      <c r="E3101" s="188"/>
      <c r="H3101"/>
      <c r="I3101" s="202"/>
      <c r="J3101"/>
      <c r="K3101" s="205"/>
      <c r="L3101" s="205"/>
      <c r="M3101" s="205"/>
    </row>
    <row r="3102" spans="2:13" ht="15.75">
      <c r="B3102" s="79"/>
      <c r="D3102"/>
      <c r="E3102" s="188"/>
      <c r="H3102"/>
      <c r="I3102" s="202"/>
      <c r="J3102"/>
      <c r="K3102" s="205"/>
      <c r="L3102" s="205"/>
      <c r="M3102" s="205"/>
    </row>
    <row r="3103" spans="2:13" ht="15.75">
      <c r="B3103" s="79"/>
      <c r="D3103"/>
      <c r="E3103" s="188"/>
      <c r="H3103"/>
      <c r="I3103" s="202"/>
      <c r="J3103"/>
      <c r="K3103" s="205"/>
      <c r="L3103" s="205"/>
      <c r="M3103" s="205"/>
    </row>
    <row r="3104" spans="2:13" ht="15.75">
      <c r="B3104" s="79"/>
      <c r="D3104"/>
      <c r="E3104" s="188"/>
      <c r="H3104"/>
      <c r="I3104" s="202"/>
      <c r="J3104"/>
      <c r="K3104" s="205"/>
      <c r="L3104" s="205"/>
      <c r="M3104" s="205"/>
    </row>
    <row r="3105" spans="2:13" ht="15.75">
      <c r="B3105" s="79"/>
      <c r="D3105"/>
      <c r="E3105" s="188"/>
      <c r="H3105"/>
      <c r="I3105" s="202"/>
      <c r="J3105"/>
      <c r="K3105" s="205"/>
      <c r="L3105" s="205"/>
      <c r="M3105" s="205"/>
    </row>
    <row r="3106" spans="2:13" ht="15.75">
      <c r="B3106" s="79"/>
      <c r="D3106"/>
      <c r="E3106" s="188"/>
      <c r="H3106"/>
      <c r="I3106" s="202"/>
      <c r="J3106"/>
      <c r="K3106" s="205"/>
      <c r="L3106" s="205"/>
      <c r="M3106" s="205"/>
    </row>
    <row r="3107" spans="2:13" ht="15.75">
      <c r="B3107" s="79"/>
      <c r="D3107"/>
      <c r="E3107" s="188"/>
      <c r="H3107"/>
      <c r="I3107" s="202"/>
      <c r="J3107"/>
      <c r="K3107" s="205"/>
      <c r="L3107" s="205"/>
      <c r="M3107" s="205"/>
    </row>
    <row r="3108" spans="2:13" ht="15.75">
      <c r="B3108" s="79"/>
      <c r="D3108"/>
      <c r="E3108" s="188"/>
      <c r="H3108"/>
      <c r="I3108" s="202"/>
      <c r="J3108"/>
      <c r="K3108" s="205"/>
      <c r="L3108" s="205"/>
      <c r="M3108" s="205"/>
    </row>
    <row r="3109" spans="2:13" ht="15.75">
      <c r="B3109" s="79"/>
      <c r="D3109"/>
      <c r="E3109" s="188"/>
      <c r="H3109"/>
      <c r="I3109" s="202"/>
      <c r="J3109"/>
      <c r="K3109" s="205"/>
      <c r="L3109" s="205"/>
      <c r="M3109" s="205"/>
    </row>
    <row r="3110" spans="2:13" ht="15.75">
      <c r="B3110" s="79"/>
      <c r="D3110"/>
      <c r="E3110" s="188"/>
      <c r="H3110"/>
      <c r="I3110" s="202"/>
      <c r="J3110"/>
      <c r="K3110" s="205"/>
      <c r="L3110" s="205"/>
      <c r="M3110" s="205"/>
    </row>
    <row r="3111" spans="2:13" ht="15.75">
      <c r="B3111" s="79"/>
      <c r="D3111"/>
      <c r="E3111" s="188"/>
      <c r="H3111"/>
      <c r="I3111" s="202"/>
      <c r="J3111"/>
      <c r="K3111" s="205"/>
      <c r="L3111" s="205"/>
      <c r="M3111" s="205"/>
    </row>
    <row r="3112" spans="2:13" ht="15.75">
      <c r="B3112" s="79"/>
      <c r="D3112"/>
      <c r="E3112" s="188"/>
      <c r="H3112"/>
      <c r="I3112" s="202"/>
      <c r="J3112"/>
      <c r="K3112" s="205"/>
      <c r="L3112" s="205"/>
      <c r="M3112" s="205"/>
    </row>
    <row r="3113" spans="2:13" ht="15.75">
      <c r="B3113" s="79"/>
      <c r="D3113"/>
      <c r="E3113" s="188"/>
      <c r="H3113"/>
      <c r="I3113" s="202"/>
      <c r="J3113"/>
      <c r="K3113" s="205"/>
      <c r="L3113" s="205"/>
      <c r="M3113" s="205"/>
    </row>
    <row r="3114" spans="2:13" ht="15.75">
      <c r="B3114" s="79"/>
      <c r="D3114"/>
      <c r="E3114" s="188"/>
      <c r="H3114"/>
      <c r="I3114" s="202"/>
      <c r="J3114"/>
      <c r="K3114" s="205"/>
      <c r="L3114" s="205"/>
      <c r="M3114" s="205"/>
    </row>
    <row r="3115" spans="2:13" ht="15.75">
      <c r="B3115" s="79"/>
      <c r="D3115"/>
      <c r="E3115" s="188"/>
      <c r="H3115"/>
      <c r="I3115" s="202"/>
      <c r="J3115"/>
      <c r="K3115" s="205"/>
      <c r="L3115" s="205"/>
      <c r="M3115" s="205"/>
    </row>
    <row r="3116" spans="2:13" ht="15.75">
      <c r="B3116" s="79"/>
      <c r="D3116"/>
      <c r="E3116" s="188"/>
      <c r="H3116"/>
      <c r="I3116" s="202"/>
      <c r="J3116"/>
      <c r="K3116" s="205"/>
      <c r="L3116" s="205"/>
      <c r="M3116" s="205"/>
    </row>
    <row r="3117" spans="2:13" ht="15.75">
      <c r="B3117" s="79"/>
      <c r="D3117"/>
      <c r="E3117" s="188"/>
      <c r="H3117"/>
      <c r="I3117" s="202"/>
      <c r="J3117"/>
      <c r="K3117" s="205"/>
      <c r="L3117" s="205"/>
      <c r="M3117" s="205"/>
    </row>
    <row r="3118" spans="2:13" ht="15.75">
      <c r="B3118" s="79"/>
      <c r="D3118"/>
      <c r="E3118" s="188"/>
      <c r="H3118"/>
      <c r="I3118" s="202"/>
      <c r="J3118"/>
      <c r="K3118" s="205"/>
      <c r="L3118" s="205"/>
      <c r="M3118" s="205"/>
    </row>
    <row r="3119" spans="2:13" ht="15.75">
      <c r="B3119" s="79"/>
      <c r="D3119"/>
      <c r="E3119" s="188"/>
      <c r="H3119"/>
      <c r="I3119" s="202"/>
      <c r="J3119"/>
      <c r="K3119" s="205"/>
      <c r="L3119" s="205"/>
      <c r="M3119" s="205"/>
    </row>
    <row r="3120" spans="2:13" ht="15.75">
      <c r="B3120" s="79"/>
      <c r="D3120"/>
      <c r="E3120" s="188"/>
      <c r="H3120"/>
      <c r="I3120" s="202"/>
      <c r="J3120"/>
      <c r="K3120" s="205"/>
      <c r="L3120" s="205"/>
      <c r="M3120" s="205"/>
    </row>
    <row r="3121" spans="2:13" ht="15.75">
      <c r="B3121" s="79"/>
      <c r="D3121"/>
      <c r="E3121" s="188"/>
      <c r="H3121"/>
      <c r="I3121" s="202"/>
      <c r="J3121"/>
      <c r="K3121" s="205"/>
      <c r="L3121" s="205"/>
      <c r="M3121" s="205"/>
    </row>
    <row r="3122" spans="2:13" ht="15.75">
      <c r="B3122" s="79"/>
      <c r="D3122"/>
      <c r="E3122" s="188"/>
      <c r="H3122"/>
      <c r="I3122" s="202"/>
      <c r="J3122"/>
      <c r="K3122" s="205"/>
      <c r="L3122" s="205"/>
      <c r="M3122" s="205"/>
    </row>
    <row r="3123" spans="2:13" ht="15.75">
      <c r="B3123" s="79"/>
      <c r="D3123"/>
      <c r="E3123" s="188"/>
      <c r="H3123"/>
      <c r="I3123" s="202"/>
      <c r="J3123"/>
      <c r="K3123" s="205"/>
      <c r="L3123" s="205"/>
      <c r="M3123" s="205"/>
    </row>
    <row r="3124" spans="2:13" ht="15.75">
      <c r="B3124" s="79"/>
      <c r="D3124"/>
      <c r="E3124" s="188"/>
      <c r="H3124"/>
      <c r="I3124" s="202"/>
      <c r="J3124"/>
      <c r="K3124" s="205"/>
      <c r="L3124" s="205"/>
      <c r="M3124" s="205"/>
    </row>
    <row r="3125" spans="2:13" ht="15.75">
      <c r="B3125" s="79"/>
      <c r="D3125"/>
      <c r="E3125" s="188"/>
      <c r="H3125"/>
      <c r="I3125" s="202"/>
      <c r="J3125"/>
      <c r="K3125" s="205"/>
      <c r="L3125" s="205"/>
      <c r="M3125" s="205"/>
    </row>
    <row r="3126" spans="2:13" ht="15.75">
      <c r="B3126" s="79"/>
      <c r="D3126"/>
      <c r="E3126" s="188"/>
      <c r="H3126"/>
      <c r="I3126" s="202"/>
      <c r="J3126"/>
      <c r="K3126" s="205"/>
      <c r="L3126" s="205"/>
      <c r="M3126" s="205"/>
    </row>
    <row r="3127" spans="2:13" ht="15.75">
      <c r="B3127" s="79"/>
      <c r="D3127"/>
      <c r="E3127" s="188"/>
      <c r="H3127"/>
      <c r="I3127" s="202"/>
      <c r="J3127"/>
      <c r="K3127" s="205"/>
      <c r="L3127" s="205"/>
      <c r="M3127" s="205"/>
    </row>
    <row r="3128" spans="2:13" ht="15.75">
      <c r="B3128" s="79"/>
      <c r="D3128"/>
      <c r="E3128" s="188"/>
      <c r="H3128"/>
      <c r="I3128" s="202"/>
      <c r="J3128"/>
      <c r="K3128" s="205"/>
      <c r="L3128" s="205"/>
      <c r="M3128" s="205"/>
    </row>
    <row r="3129" spans="2:13" ht="15.75">
      <c r="B3129" s="79"/>
      <c r="D3129"/>
      <c r="E3129" s="188"/>
      <c r="H3129"/>
      <c r="I3129" s="202"/>
      <c r="J3129"/>
      <c r="K3129" s="205"/>
      <c r="L3129" s="205"/>
      <c r="M3129" s="205"/>
    </row>
    <row r="3130" spans="2:13" ht="15.75">
      <c r="B3130" s="79"/>
      <c r="D3130"/>
      <c r="E3130" s="188"/>
      <c r="H3130"/>
      <c r="I3130" s="202"/>
      <c r="J3130"/>
      <c r="K3130" s="205"/>
      <c r="L3130" s="205"/>
      <c r="M3130" s="205"/>
    </row>
    <row r="3131" spans="2:13" ht="15.75">
      <c r="B3131" s="79"/>
      <c r="D3131"/>
      <c r="E3131" s="188"/>
      <c r="H3131"/>
      <c r="I3131" s="202"/>
      <c r="J3131"/>
      <c r="K3131" s="205"/>
      <c r="L3131" s="205"/>
      <c r="M3131" s="205"/>
    </row>
    <row r="3132" spans="2:13" ht="15.75">
      <c r="B3132" s="79"/>
      <c r="D3132"/>
      <c r="E3132" s="188"/>
      <c r="H3132"/>
      <c r="I3132" s="202"/>
      <c r="J3132"/>
      <c r="K3132" s="205"/>
      <c r="L3132" s="205"/>
      <c r="M3132" s="205"/>
    </row>
    <row r="3133" spans="2:13" ht="15.75">
      <c r="B3133" s="79"/>
      <c r="D3133"/>
      <c r="E3133" s="188"/>
      <c r="H3133"/>
      <c r="I3133" s="202"/>
      <c r="J3133"/>
      <c r="K3133" s="205"/>
      <c r="L3133" s="205"/>
      <c r="M3133" s="205"/>
    </row>
    <row r="3134" spans="2:13" ht="15.75">
      <c r="B3134" s="79"/>
      <c r="D3134"/>
      <c r="E3134" s="188"/>
      <c r="H3134"/>
      <c r="I3134" s="202"/>
      <c r="J3134"/>
      <c r="K3134" s="205"/>
      <c r="L3134" s="205"/>
      <c r="M3134" s="205"/>
    </row>
    <row r="3135" spans="2:13" ht="15.75">
      <c r="B3135" s="79"/>
      <c r="D3135"/>
      <c r="E3135" s="188"/>
      <c r="H3135"/>
      <c r="I3135" s="202"/>
      <c r="J3135"/>
      <c r="K3135" s="205"/>
      <c r="L3135" s="205"/>
      <c r="M3135" s="205"/>
    </row>
    <row r="3136" spans="2:13" ht="15.75">
      <c r="B3136" s="79"/>
      <c r="D3136"/>
      <c r="E3136" s="188"/>
      <c r="H3136"/>
      <c r="I3136" s="202"/>
      <c r="J3136"/>
      <c r="K3136" s="205"/>
      <c r="L3136" s="205"/>
      <c r="M3136" s="205"/>
    </row>
    <row r="3137" spans="2:13" ht="15.75">
      <c r="B3137" s="79"/>
      <c r="D3137"/>
      <c r="E3137" s="188"/>
      <c r="H3137"/>
      <c r="I3137" s="202"/>
      <c r="J3137"/>
      <c r="K3137" s="205"/>
      <c r="L3137" s="205"/>
      <c r="M3137" s="205"/>
    </row>
    <row r="3138" spans="2:13" ht="15.75">
      <c r="B3138" s="79"/>
      <c r="D3138"/>
      <c r="E3138" s="188"/>
      <c r="H3138"/>
      <c r="I3138" s="202"/>
      <c r="J3138"/>
      <c r="K3138" s="205"/>
      <c r="L3138" s="205"/>
      <c r="M3138" s="205"/>
    </row>
    <row r="3139" spans="2:13" ht="15.75">
      <c r="B3139" s="79"/>
      <c r="D3139"/>
      <c r="E3139" s="188"/>
      <c r="H3139"/>
      <c r="I3139" s="202"/>
      <c r="J3139"/>
      <c r="K3139" s="205"/>
      <c r="L3139" s="205"/>
      <c r="M3139" s="205"/>
    </row>
    <row r="3140" spans="2:13" ht="15.75">
      <c r="B3140" s="79"/>
      <c r="D3140"/>
      <c r="E3140" s="188"/>
      <c r="H3140"/>
      <c r="I3140" s="202"/>
      <c r="J3140"/>
      <c r="K3140" s="205"/>
      <c r="L3140" s="205"/>
      <c r="M3140" s="205"/>
    </row>
    <row r="3141" spans="2:13" ht="15.75">
      <c r="B3141" s="79"/>
      <c r="D3141"/>
      <c r="E3141" s="188"/>
      <c r="H3141"/>
      <c r="I3141" s="202"/>
      <c r="J3141"/>
      <c r="K3141" s="205"/>
      <c r="L3141" s="205"/>
      <c r="M3141" s="205"/>
    </row>
    <row r="3142" spans="2:13" ht="15.75">
      <c r="B3142" s="79"/>
      <c r="D3142"/>
      <c r="E3142" s="188"/>
      <c r="H3142"/>
      <c r="I3142" s="202"/>
      <c r="J3142"/>
      <c r="K3142" s="205"/>
      <c r="L3142" s="205"/>
      <c r="M3142" s="205"/>
    </row>
    <row r="3143" spans="2:13" ht="15.75">
      <c r="B3143" s="79"/>
      <c r="D3143"/>
      <c r="E3143" s="188"/>
      <c r="H3143"/>
      <c r="I3143" s="202"/>
      <c r="J3143"/>
      <c r="K3143" s="205"/>
      <c r="L3143" s="205"/>
      <c r="M3143" s="205"/>
    </row>
    <row r="3144" spans="2:13" ht="15.75">
      <c r="B3144" s="79"/>
      <c r="D3144"/>
      <c r="E3144" s="188"/>
      <c r="H3144"/>
      <c r="I3144" s="202"/>
      <c r="J3144"/>
      <c r="K3144" s="205"/>
      <c r="L3144" s="205"/>
      <c r="M3144" s="205"/>
    </row>
    <row r="3145" spans="2:13" ht="15.75">
      <c r="B3145" s="79"/>
      <c r="D3145"/>
      <c r="E3145" s="188"/>
      <c r="H3145"/>
      <c r="I3145" s="202"/>
      <c r="J3145"/>
      <c r="K3145" s="205"/>
      <c r="L3145" s="205"/>
      <c r="M3145" s="205"/>
    </row>
    <row r="3146" spans="2:13" ht="15.75">
      <c r="B3146" s="79"/>
      <c r="D3146"/>
      <c r="E3146" s="188"/>
      <c r="H3146"/>
      <c r="I3146" s="202"/>
      <c r="J3146"/>
      <c r="K3146" s="205"/>
      <c r="L3146" s="205"/>
      <c r="M3146" s="205"/>
    </row>
    <row r="3147" spans="2:13" ht="15.75">
      <c r="B3147" s="79"/>
      <c r="D3147"/>
      <c r="E3147" s="188"/>
      <c r="H3147"/>
      <c r="I3147" s="202"/>
      <c r="J3147"/>
      <c r="K3147" s="205"/>
      <c r="L3147" s="205"/>
      <c r="M3147" s="205"/>
    </row>
    <row r="3148" spans="2:13" ht="15.75">
      <c r="B3148" s="79"/>
      <c r="D3148"/>
      <c r="E3148" s="188"/>
      <c r="H3148"/>
      <c r="I3148" s="202"/>
      <c r="J3148"/>
      <c r="K3148" s="205"/>
      <c r="L3148" s="205"/>
      <c r="M3148" s="205"/>
    </row>
    <row r="3149" spans="2:13" ht="15.75">
      <c r="B3149" s="79"/>
      <c r="D3149"/>
      <c r="E3149" s="188"/>
      <c r="H3149"/>
      <c r="I3149" s="202"/>
      <c r="J3149"/>
      <c r="K3149" s="205"/>
      <c r="L3149" s="205"/>
      <c r="M3149" s="205"/>
    </row>
    <row r="3150" spans="2:13" ht="15.75">
      <c r="B3150" s="79"/>
      <c r="D3150"/>
      <c r="E3150" s="188"/>
      <c r="H3150"/>
      <c r="I3150" s="202"/>
      <c r="J3150"/>
      <c r="K3150" s="205"/>
      <c r="L3150" s="205"/>
      <c r="M3150" s="205"/>
    </row>
    <row r="3151" spans="2:13" ht="15.75">
      <c r="B3151" s="79"/>
      <c r="D3151"/>
      <c r="E3151" s="188"/>
      <c r="H3151"/>
      <c r="I3151" s="202"/>
      <c r="J3151"/>
      <c r="K3151" s="205"/>
      <c r="L3151" s="205"/>
      <c r="M3151" s="205"/>
    </row>
    <row r="3152" spans="2:13" ht="15.75">
      <c r="B3152" s="79"/>
      <c r="D3152"/>
      <c r="E3152" s="188"/>
      <c r="H3152"/>
      <c r="I3152" s="202"/>
      <c r="J3152"/>
      <c r="K3152" s="205"/>
      <c r="L3152" s="205"/>
      <c r="M3152" s="205"/>
    </row>
    <row r="3153" spans="2:13" ht="15.75">
      <c r="B3153" s="79"/>
      <c r="D3153"/>
      <c r="E3153" s="188"/>
      <c r="H3153"/>
      <c r="I3153" s="202"/>
      <c r="J3153"/>
      <c r="K3153" s="205"/>
      <c r="L3153" s="205"/>
      <c r="M3153" s="205"/>
    </row>
    <row r="3154" spans="2:13" ht="15.75">
      <c r="B3154" s="79"/>
      <c r="D3154"/>
      <c r="E3154" s="188"/>
      <c r="H3154"/>
      <c r="I3154" s="202"/>
      <c r="J3154"/>
      <c r="K3154" s="205"/>
      <c r="L3154" s="205"/>
      <c r="M3154" s="205"/>
    </row>
    <row r="3155" spans="2:13" ht="15.75">
      <c r="B3155" s="79"/>
      <c r="D3155"/>
      <c r="E3155" s="188"/>
      <c r="H3155"/>
      <c r="I3155" s="202"/>
      <c r="J3155"/>
      <c r="K3155" s="205"/>
      <c r="L3155" s="205"/>
      <c r="M3155" s="205"/>
    </row>
    <row r="3156" spans="2:13" ht="15.75">
      <c r="B3156" s="79"/>
      <c r="D3156"/>
      <c r="E3156" s="188"/>
      <c r="H3156"/>
      <c r="I3156" s="202"/>
      <c r="J3156"/>
      <c r="K3156" s="205"/>
      <c r="L3156" s="205"/>
      <c r="M3156" s="205"/>
    </row>
    <row r="3157" spans="2:13" ht="15.75">
      <c r="B3157" s="79"/>
      <c r="D3157"/>
      <c r="E3157" s="188"/>
      <c r="H3157"/>
      <c r="I3157" s="202"/>
      <c r="J3157"/>
      <c r="K3157" s="205"/>
      <c r="L3157" s="205"/>
      <c r="M3157" s="205"/>
    </row>
    <row r="3158" spans="2:13" ht="15.75">
      <c r="B3158" s="79"/>
      <c r="D3158"/>
      <c r="E3158" s="188"/>
      <c r="H3158"/>
      <c r="I3158" s="202"/>
      <c r="J3158"/>
      <c r="K3158" s="205"/>
      <c r="L3158" s="205"/>
      <c r="M3158" s="205"/>
    </row>
    <row r="3159" spans="2:13" ht="15.75">
      <c r="B3159" s="79"/>
      <c r="D3159"/>
      <c r="E3159" s="188"/>
      <c r="H3159"/>
      <c r="I3159" s="202"/>
      <c r="J3159"/>
      <c r="K3159" s="205"/>
      <c r="L3159" s="205"/>
      <c r="M3159" s="205"/>
    </row>
    <row r="3160" spans="2:13" ht="15.75">
      <c r="B3160" s="79"/>
      <c r="D3160"/>
      <c r="E3160" s="188"/>
      <c r="H3160"/>
      <c r="I3160" s="202"/>
      <c r="J3160"/>
      <c r="K3160" s="205"/>
      <c r="L3160" s="205"/>
      <c r="M3160" s="205"/>
    </row>
    <row r="3161" spans="2:13" ht="15.75">
      <c r="B3161" s="79"/>
      <c r="D3161"/>
      <c r="E3161" s="188"/>
      <c r="H3161"/>
      <c r="I3161" s="202"/>
      <c r="J3161"/>
      <c r="K3161" s="205"/>
      <c r="L3161" s="205"/>
      <c r="M3161" s="205"/>
    </row>
    <row r="3162" spans="2:13" ht="15.75">
      <c r="B3162" s="79"/>
      <c r="D3162"/>
      <c r="E3162" s="188"/>
      <c r="H3162"/>
      <c r="I3162" s="202"/>
      <c r="J3162"/>
      <c r="K3162" s="205"/>
      <c r="L3162" s="205"/>
      <c r="M3162" s="205"/>
    </row>
    <row r="3163" spans="2:13" ht="15.75">
      <c r="B3163" s="79"/>
      <c r="D3163"/>
      <c r="E3163" s="188"/>
      <c r="H3163"/>
      <c r="I3163" s="202"/>
      <c r="J3163"/>
      <c r="K3163" s="205"/>
      <c r="L3163" s="205"/>
      <c r="M3163" s="205"/>
    </row>
    <row r="3164" spans="2:13" ht="15.75">
      <c r="B3164" s="79"/>
      <c r="D3164"/>
      <c r="E3164" s="188"/>
      <c r="H3164"/>
      <c r="I3164" s="202"/>
      <c r="J3164"/>
      <c r="K3164" s="205"/>
      <c r="L3164" s="205"/>
      <c r="M3164" s="205"/>
    </row>
    <row r="3165" spans="2:13" ht="15.75">
      <c r="B3165" s="79"/>
      <c r="D3165"/>
      <c r="E3165" s="188"/>
      <c r="H3165"/>
      <c r="I3165" s="202"/>
      <c r="J3165"/>
      <c r="K3165" s="205"/>
      <c r="L3165" s="205"/>
      <c r="M3165" s="205"/>
    </row>
    <row r="3166" spans="2:13" ht="15.75">
      <c r="B3166" s="79"/>
      <c r="D3166"/>
      <c r="E3166" s="188"/>
      <c r="H3166"/>
      <c r="I3166" s="202"/>
      <c r="J3166"/>
      <c r="K3166" s="205"/>
      <c r="L3166" s="205"/>
      <c r="M3166" s="205"/>
    </row>
    <row r="3167" spans="2:13" ht="15.75">
      <c r="B3167" s="79"/>
      <c r="D3167"/>
      <c r="E3167" s="188"/>
      <c r="H3167"/>
      <c r="I3167" s="202"/>
      <c r="J3167"/>
      <c r="K3167" s="205"/>
      <c r="L3167" s="205"/>
      <c r="M3167" s="205"/>
    </row>
    <row r="3168" spans="2:13" ht="15.75">
      <c r="B3168" s="79"/>
      <c r="D3168"/>
      <c r="E3168" s="188"/>
      <c r="H3168"/>
      <c r="I3168" s="202"/>
      <c r="J3168"/>
      <c r="K3168" s="205"/>
      <c r="L3168" s="205"/>
      <c r="M3168" s="205"/>
    </row>
    <row r="3169" spans="2:13" ht="15.75">
      <c r="B3169" s="79"/>
      <c r="D3169"/>
      <c r="E3169" s="188"/>
      <c r="H3169"/>
      <c r="I3169" s="202"/>
      <c r="J3169"/>
      <c r="K3169" s="205"/>
      <c r="L3169" s="205"/>
      <c r="M3169" s="205"/>
    </row>
    <row r="3170" spans="2:13" ht="15.75">
      <c r="B3170" s="79"/>
      <c r="D3170"/>
      <c r="E3170" s="188"/>
      <c r="H3170"/>
      <c r="I3170" s="202"/>
      <c r="J3170"/>
      <c r="K3170" s="205"/>
      <c r="L3170" s="205"/>
      <c r="M3170" s="205"/>
    </row>
    <row r="3171" spans="2:13" ht="15.75">
      <c r="B3171" s="79"/>
      <c r="D3171"/>
      <c r="E3171" s="188"/>
      <c r="H3171"/>
      <c r="I3171" s="202"/>
      <c r="J3171"/>
      <c r="K3171" s="205"/>
      <c r="L3171" s="205"/>
      <c r="M3171" s="205"/>
    </row>
    <row r="3172" spans="2:13" ht="15.75">
      <c r="B3172" s="79"/>
      <c r="D3172"/>
      <c r="E3172" s="188"/>
      <c r="H3172"/>
      <c r="I3172" s="202"/>
      <c r="J3172"/>
      <c r="K3172" s="205"/>
      <c r="L3172" s="205"/>
      <c r="M3172" s="205"/>
    </row>
    <row r="3173" spans="2:13" ht="15.75">
      <c r="B3173" s="79"/>
      <c r="D3173"/>
      <c r="E3173" s="188"/>
      <c r="H3173"/>
      <c r="I3173" s="202"/>
      <c r="J3173"/>
      <c r="K3173" s="205"/>
      <c r="L3173" s="205"/>
      <c r="M3173" s="205"/>
    </row>
    <row r="3174" spans="2:13" ht="15.75">
      <c r="B3174" s="79"/>
      <c r="D3174"/>
      <c r="E3174" s="188"/>
      <c r="H3174"/>
      <c r="I3174" s="202"/>
      <c r="J3174"/>
      <c r="K3174" s="205"/>
      <c r="L3174" s="205"/>
      <c r="M3174" s="205"/>
    </row>
    <row r="3175" spans="2:13" ht="15.75">
      <c r="B3175" s="79"/>
      <c r="D3175"/>
      <c r="E3175" s="188"/>
      <c r="H3175"/>
      <c r="I3175" s="202"/>
      <c r="J3175"/>
      <c r="K3175" s="205"/>
      <c r="L3175" s="205"/>
      <c r="M3175" s="205"/>
    </row>
    <row r="3176" spans="2:13" ht="15.75">
      <c r="B3176" s="79"/>
      <c r="D3176"/>
      <c r="E3176" s="188"/>
      <c r="H3176"/>
      <c r="I3176" s="202"/>
      <c r="J3176"/>
      <c r="K3176" s="205"/>
      <c r="L3176" s="205"/>
      <c r="M3176" s="205"/>
    </row>
    <row r="3177" spans="2:13" ht="15.75">
      <c r="B3177" s="79"/>
      <c r="D3177"/>
      <c r="E3177" s="188"/>
      <c r="H3177"/>
      <c r="I3177" s="202"/>
      <c r="J3177"/>
      <c r="K3177" s="205"/>
      <c r="L3177" s="205"/>
      <c r="M3177" s="205"/>
    </row>
    <row r="3178" spans="2:13" ht="15.75">
      <c r="B3178" s="79"/>
      <c r="D3178"/>
      <c r="E3178" s="188"/>
      <c r="H3178"/>
      <c r="I3178" s="202"/>
      <c r="J3178"/>
      <c r="K3178" s="205"/>
      <c r="L3178" s="205"/>
      <c r="M3178" s="205"/>
    </row>
    <row r="3179" spans="2:13" ht="15.75">
      <c r="B3179" s="79"/>
      <c r="D3179"/>
      <c r="E3179" s="188"/>
      <c r="H3179"/>
      <c r="I3179" s="202"/>
      <c r="J3179"/>
      <c r="K3179" s="205"/>
      <c r="L3179" s="205"/>
      <c r="M3179" s="205"/>
    </row>
    <row r="3180" spans="2:13" ht="15.75">
      <c r="B3180" s="79"/>
      <c r="D3180"/>
      <c r="E3180" s="188"/>
      <c r="H3180"/>
      <c r="I3180" s="202"/>
      <c r="J3180"/>
      <c r="K3180" s="205"/>
      <c r="L3180" s="205"/>
      <c r="M3180" s="205"/>
    </row>
    <row r="3181" spans="2:13" ht="15.75">
      <c r="B3181" s="79"/>
      <c r="D3181"/>
      <c r="E3181" s="188"/>
      <c r="H3181"/>
      <c r="I3181" s="202"/>
      <c r="J3181"/>
      <c r="K3181" s="205"/>
      <c r="L3181" s="205"/>
      <c r="M3181" s="205"/>
    </row>
    <row r="3182" spans="2:13" ht="15.75">
      <c r="B3182" s="79"/>
      <c r="D3182"/>
      <c r="E3182" s="188"/>
      <c r="H3182"/>
      <c r="I3182" s="202"/>
      <c r="J3182"/>
      <c r="K3182" s="205"/>
      <c r="L3182" s="205"/>
      <c r="M3182" s="205"/>
    </row>
    <row r="3183" spans="2:13" ht="15.75">
      <c r="B3183" s="79"/>
      <c r="D3183"/>
      <c r="E3183" s="188"/>
      <c r="H3183"/>
      <c r="I3183" s="202"/>
      <c r="J3183"/>
      <c r="K3183" s="205"/>
      <c r="L3183" s="205"/>
      <c r="M3183" s="205"/>
    </row>
    <row r="3184" spans="2:13" ht="15.75">
      <c r="B3184" s="79"/>
      <c r="D3184"/>
      <c r="E3184" s="188"/>
      <c r="H3184"/>
      <c r="I3184" s="202"/>
      <c r="J3184"/>
      <c r="K3184" s="205"/>
      <c r="L3184" s="205"/>
      <c r="M3184" s="205"/>
    </row>
    <row r="3185" spans="2:13" ht="15.75">
      <c r="B3185" s="79"/>
      <c r="D3185"/>
      <c r="E3185" s="188"/>
      <c r="H3185"/>
      <c r="I3185" s="202"/>
      <c r="J3185"/>
      <c r="K3185" s="205"/>
      <c r="L3185" s="205"/>
      <c r="M3185" s="205"/>
    </row>
    <row r="3186" spans="2:13" ht="15.75">
      <c r="B3186" s="79"/>
      <c r="D3186"/>
      <c r="E3186" s="188"/>
      <c r="H3186"/>
      <c r="I3186" s="202"/>
      <c r="J3186"/>
      <c r="K3186" s="205"/>
      <c r="L3186" s="205"/>
      <c r="M3186" s="205"/>
    </row>
    <row r="3187" spans="2:13" ht="15.75">
      <c r="B3187" s="79"/>
      <c r="D3187"/>
      <c r="E3187" s="188"/>
      <c r="H3187"/>
      <c r="I3187" s="202"/>
      <c r="J3187"/>
      <c r="K3187" s="205"/>
      <c r="L3187" s="205"/>
      <c r="M3187" s="205"/>
    </row>
    <row r="3188" spans="2:13" ht="15.75">
      <c r="B3188" s="79"/>
      <c r="D3188"/>
      <c r="E3188" s="188"/>
      <c r="H3188"/>
      <c r="I3188" s="202"/>
      <c r="J3188"/>
      <c r="K3188" s="205"/>
      <c r="L3188" s="205"/>
      <c r="M3188" s="205"/>
    </row>
    <row r="3189" spans="2:13" ht="15.75">
      <c r="B3189" s="79"/>
      <c r="D3189"/>
      <c r="E3189" s="188"/>
      <c r="H3189"/>
      <c r="I3189" s="202"/>
      <c r="J3189"/>
      <c r="K3189" s="205"/>
      <c r="L3189" s="205"/>
      <c r="M3189" s="205"/>
    </row>
    <row r="3190" spans="2:13" ht="15.75">
      <c r="B3190" s="79"/>
      <c r="D3190"/>
      <c r="E3190" s="188"/>
      <c r="H3190"/>
      <c r="I3190" s="202"/>
      <c r="J3190"/>
      <c r="K3190" s="205"/>
      <c r="L3190" s="205"/>
      <c r="M3190" s="205"/>
    </row>
    <row r="3191" spans="2:13" ht="15.75">
      <c r="B3191" s="79"/>
      <c r="D3191"/>
      <c r="E3191" s="188"/>
      <c r="H3191"/>
      <c r="I3191" s="202"/>
      <c r="J3191"/>
      <c r="K3191" s="205"/>
      <c r="L3191" s="205"/>
      <c r="M3191" s="205"/>
    </row>
    <row r="3192" spans="2:13" ht="15.75">
      <c r="B3192" s="79"/>
      <c r="D3192"/>
      <c r="E3192" s="188"/>
      <c r="H3192"/>
      <c r="I3192" s="202"/>
      <c r="J3192"/>
      <c r="K3192" s="205"/>
      <c r="L3192" s="205"/>
      <c r="M3192" s="205"/>
    </row>
    <row r="3193" spans="2:13" ht="15.75">
      <c r="B3193" s="79"/>
      <c r="D3193"/>
      <c r="E3193" s="188"/>
      <c r="H3193"/>
      <c r="I3193" s="202"/>
      <c r="J3193"/>
      <c r="K3193" s="205"/>
      <c r="L3193" s="205"/>
      <c r="M3193" s="205"/>
    </row>
    <row r="3194" spans="2:13" ht="15.75">
      <c r="B3194" s="79"/>
      <c r="D3194"/>
      <c r="E3194" s="188"/>
      <c r="H3194"/>
      <c r="I3194" s="202"/>
      <c r="J3194"/>
      <c r="K3194" s="205"/>
      <c r="L3194" s="205"/>
      <c r="M3194" s="205"/>
    </row>
    <row r="3195" spans="2:13" ht="15.75">
      <c r="B3195" s="79"/>
      <c r="D3195"/>
      <c r="E3195" s="188"/>
      <c r="H3195"/>
      <c r="I3195" s="202"/>
      <c r="J3195"/>
      <c r="K3195" s="205"/>
      <c r="L3195" s="205"/>
      <c r="M3195" s="205"/>
    </row>
    <row r="3196" spans="2:13" ht="15.75">
      <c r="B3196" s="79"/>
      <c r="D3196"/>
      <c r="E3196" s="188"/>
      <c r="H3196"/>
      <c r="I3196" s="202"/>
      <c r="J3196"/>
      <c r="K3196" s="205"/>
      <c r="L3196" s="205"/>
      <c r="M3196" s="205"/>
    </row>
    <row r="3197" spans="2:13" ht="15.75">
      <c r="B3197" s="79"/>
      <c r="D3197"/>
      <c r="E3197" s="188"/>
      <c r="H3197"/>
      <c r="I3197" s="202"/>
      <c r="J3197"/>
      <c r="K3197" s="205"/>
      <c r="L3197" s="205"/>
      <c r="M3197" s="205"/>
    </row>
    <row r="3198" spans="2:13" ht="15.75">
      <c r="B3198" s="79"/>
      <c r="D3198"/>
      <c r="E3198" s="188"/>
      <c r="H3198"/>
      <c r="I3198" s="202"/>
      <c r="J3198"/>
      <c r="K3198" s="205"/>
      <c r="L3198" s="205"/>
      <c r="M3198" s="205"/>
    </row>
    <row r="3199" spans="2:13" ht="15.75">
      <c r="B3199" s="79"/>
      <c r="D3199"/>
      <c r="E3199" s="188"/>
      <c r="H3199"/>
      <c r="I3199" s="202"/>
      <c r="J3199"/>
      <c r="K3199" s="205"/>
      <c r="L3199" s="205"/>
      <c r="M3199" s="205"/>
    </row>
    <row r="3200" spans="2:13" ht="15.75">
      <c r="B3200" s="79"/>
      <c r="D3200"/>
      <c r="E3200" s="188"/>
      <c r="H3200"/>
      <c r="I3200" s="202"/>
      <c r="J3200"/>
      <c r="K3200" s="205"/>
      <c r="L3200" s="205"/>
      <c r="M3200" s="205"/>
    </row>
    <row r="3201" spans="2:13" ht="15.75">
      <c r="B3201" s="79"/>
      <c r="D3201"/>
      <c r="E3201" s="188"/>
      <c r="H3201"/>
      <c r="I3201" s="202"/>
      <c r="J3201"/>
      <c r="K3201" s="205"/>
      <c r="L3201" s="205"/>
      <c r="M3201" s="205"/>
    </row>
    <row r="3202" spans="2:13" ht="15.75">
      <c r="B3202" s="79"/>
      <c r="D3202"/>
      <c r="E3202" s="188"/>
      <c r="H3202"/>
      <c r="I3202" s="202"/>
      <c r="J3202"/>
      <c r="K3202" s="205"/>
      <c r="L3202" s="205"/>
      <c r="M3202" s="205"/>
    </row>
    <row r="3203" spans="2:13" ht="15.75">
      <c r="B3203" s="79"/>
      <c r="D3203"/>
      <c r="E3203" s="188"/>
      <c r="H3203"/>
      <c r="I3203" s="202"/>
      <c r="J3203"/>
      <c r="K3203" s="205"/>
      <c r="L3203" s="205"/>
      <c r="M3203" s="205"/>
    </row>
    <row r="3204" spans="2:13" ht="15.75">
      <c r="B3204" s="79"/>
      <c r="D3204"/>
      <c r="E3204" s="188"/>
      <c r="H3204"/>
      <c r="I3204" s="202"/>
      <c r="J3204"/>
      <c r="K3204" s="205"/>
      <c r="L3204" s="205"/>
      <c r="M3204" s="205"/>
    </row>
    <row r="3205" spans="2:13" ht="15.75">
      <c r="B3205" s="79"/>
      <c r="D3205"/>
      <c r="E3205" s="188"/>
      <c r="H3205"/>
      <c r="I3205" s="202"/>
      <c r="J3205"/>
      <c r="K3205" s="205"/>
      <c r="L3205" s="205"/>
      <c r="M3205" s="205"/>
    </row>
    <row r="3206" spans="2:13" ht="15.75">
      <c r="B3206" s="79"/>
      <c r="D3206"/>
      <c r="E3206" s="188"/>
      <c r="H3206"/>
      <c r="I3206" s="202"/>
      <c r="J3206"/>
      <c r="K3206" s="205"/>
      <c r="L3206" s="205"/>
      <c r="M3206" s="205"/>
    </row>
    <row r="3207" spans="2:13" ht="15.75">
      <c r="B3207" s="79"/>
      <c r="D3207"/>
      <c r="E3207" s="188"/>
      <c r="H3207"/>
      <c r="I3207" s="202"/>
      <c r="J3207"/>
      <c r="K3207" s="205"/>
      <c r="L3207" s="205"/>
      <c r="M3207" s="205"/>
    </row>
    <row r="3208" spans="2:13" ht="15.75">
      <c r="B3208" s="79"/>
      <c r="D3208"/>
      <c r="E3208" s="188"/>
      <c r="H3208"/>
      <c r="I3208" s="202"/>
      <c r="J3208"/>
      <c r="K3208" s="205"/>
      <c r="L3208" s="205"/>
      <c r="M3208" s="205"/>
    </row>
    <row r="3209" spans="2:13" ht="15.75">
      <c r="B3209" s="79"/>
      <c r="D3209"/>
      <c r="E3209" s="188"/>
      <c r="H3209"/>
      <c r="I3209" s="202"/>
      <c r="J3209"/>
      <c r="K3209" s="205"/>
      <c r="L3209" s="205"/>
      <c r="M3209" s="205"/>
    </row>
    <row r="3210" spans="2:13" ht="15.75">
      <c r="B3210" s="79"/>
      <c r="D3210"/>
      <c r="E3210" s="188"/>
      <c r="H3210"/>
      <c r="I3210" s="202"/>
      <c r="J3210"/>
      <c r="K3210" s="205"/>
      <c r="L3210" s="205"/>
      <c r="M3210" s="205"/>
    </row>
    <row r="3211" spans="2:13" ht="15.75">
      <c r="B3211" s="79"/>
      <c r="D3211"/>
      <c r="E3211" s="188"/>
      <c r="H3211"/>
      <c r="I3211" s="202"/>
      <c r="J3211"/>
      <c r="K3211" s="205"/>
      <c r="L3211" s="205"/>
      <c r="M3211" s="205"/>
    </row>
    <row r="3212" spans="2:13" ht="15.75">
      <c r="B3212" s="79"/>
      <c r="D3212"/>
      <c r="E3212" s="188"/>
      <c r="H3212"/>
      <c r="I3212" s="202"/>
      <c r="J3212"/>
      <c r="K3212" s="205"/>
      <c r="L3212" s="205"/>
      <c r="M3212" s="205"/>
    </row>
    <row r="3213" spans="2:13" ht="15.75">
      <c r="B3213" s="79"/>
      <c r="D3213"/>
      <c r="E3213" s="188"/>
      <c r="H3213"/>
      <c r="I3213" s="202"/>
      <c r="J3213"/>
      <c r="K3213" s="205"/>
      <c r="L3213" s="205"/>
      <c r="M3213" s="205"/>
    </row>
    <row r="3214" spans="2:13" ht="15.75">
      <c r="B3214" s="79"/>
      <c r="D3214"/>
      <c r="E3214" s="188"/>
      <c r="H3214"/>
      <c r="I3214" s="202"/>
      <c r="J3214"/>
      <c r="K3214" s="205"/>
      <c r="L3214" s="205"/>
      <c r="M3214" s="205"/>
    </row>
    <row r="3215" spans="2:13" ht="15.75">
      <c r="B3215" s="79"/>
      <c r="D3215"/>
      <c r="E3215" s="188"/>
      <c r="H3215"/>
      <c r="I3215" s="202"/>
      <c r="J3215"/>
      <c r="K3215" s="205"/>
      <c r="L3215" s="205"/>
      <c r="M3215" s="205"/>
    </row>
    <row r="3216" spans="2:13" ht="15.75">
      <c r="B3216" s="79"/>
      <c r="D3216"/>
      <c r="E3216" s="188"/>
      <c r="H3216"/>
      <c r="I3216" s="202"/>
      <c r="J3216"/>
      <c r="K3216" s="205"/>
      <c r="L3216" s="205"/>
      <c r="M3216" s="205"/>
    </row>
    <row r="3217" spans="2:13" ht="15.75">
      <c r="B3217" s="79"/>
      <c r="D3217"/>
      <c r="E3217" s="188"/>
      <c r="H3217"/>
      <c r="I3217" s="202"/>
      <c r="J3217"/>
      <c r="K3217" s="205"/>
      <c r="L3217" s="205"/>
      <c r="M3217" s="205"/>
    </row>
    <row r="3218" spans="2:13" ht="15.75">
      <c r="B3218" s="79"/>
      <c r="D3218"/>
      <c r="E3218" s="188"/>
      <c r="H3218"/>
      <c r="I3218" s="202"/>
      <c r="J3218"/>
      <c r="K3218" s="205"/>
      <c r="L3218" s="205"/>
      <c r="M3218" s="205"/>
    </row>
    <row r="3219" spans="2:13" ht="15.75">
      <c r="B3219" s="79"/>
      <c r="D3219"/>
      <c r="E3219" s="188"/>
      <c r="H3219"/>
      <c r="I3219" s="202"/>
      <c r="J3219"/>
      <c r="K3219" s="205"/>
      <c r="L3219" s="205"/>
      <c r="M3219" s="205"/>
    </row>
    <row r="3220" spans="2:13" ht="15.75">
      <c r="B3220" s="79"/>
      <c r="D3220"/>
      <c r="E3220" s="188"/>
      <c r="H3220"/>
      <c r="I3220" s="202"/>
      <c r="J3220"/>
      <c r="K3220" s="205"/>
      <c r="L3220" s="205"/>
      <c r="M3220" s="205"/>
    </row>
    <row r="3221" spans="2:13" ht="15.75">
      <c r="B3221" s="79"/>
      <c r="D3221"/>
      <c r="E3221" s="188"/>
      <c r="H3221"/>
      <c r="I3221" s="202"/>
      <c r="J3221"/>
      <c r="K3221" s="205"/>
      <c r="L3221" s="205"/>
      <c r="M3221" s="205"/>
    </row>
    <row r="3222" spans="2:13" ht="15.75">
      <c r="B3222" s="79"/>
      <c r="D3222"/>
      <c r="E3222" s="188"/>
      <c r="H3222"/>
      <c r="I3222" s="202"/>
      <c r="J3222"/>
      <c r="K3222" s="205"/>
      <c r="L3222" s="205"/>
      <c r="M3222" s="205"/>
    </row>
    <row r="3223" spans="2:13" ht="15.75">
      <c r="B3223" s="79"/>
      <c r="D3223"/>
      <c r="E3223" s="188"/>
      <c r="H3223"/>
      <c r="I3223" s="202"/>
      <c r="J3223"/>
      <c r="K3223" s="205"/>
      <c r="L3223" s="205"/>
      <c r="M3223" s="205"/>
    </row>
    <row r="3224" spans="2:13" ht="15.75">
      <c r="B3224" s="79"/>
      <c r="D3224"/>
      <c r="E3224" s="188"/>
      <c r="H3224"/>
      <c r="I3224" s="202"/>
      <c r="J3224"/>
      <c r="K3224" s="205"/>
      <c r="L3224" s="205"/>
      <c r="M3224" s="205"/>
    </row>
    <row r="3225" spans="2:13" ht="15.75">
      <c r="B3225" s="79"/>
      <c r="D3225"/>
      <c r="E3225" s="188"/>
      <c r="H3225"/>
      <c r="I3225" s="202"/>
      <c r="J3225"/>
      <c r="K3225" s="205"/>
      <c r="L3225" s="205"/>
      <c r="M3225" s="205"/>
    </row>
    <row r="3226" spans="2:13" ht="15.75">
      <c r="B3226" s="79"/>
      <c r="D3226"/>
      <c r="E3226" s="188"/>
      <c r="H3226"/>
      <c r="I3226" s="202"/>
      <c r="J3226"/>
      <c r="K3226" s="205"/>
      <c r="L3226" s="205"/>
      <c r="M3226" s="205"/>
    </row>
    <row r="3227" spans="2:13" ht="15.75">
      <c r="B3227" s="79"/>
      <c r="D3227"/>
      <c r="E3227" s="188"/>
      <c r="H3227"/>
      <c r="I3227" s="202"/>
      <c r="J3227"/>
      <c r="K3227" s="205"/>
      <c r="L3227" s="205"/>
      <c r="M3227" s="205"/>
    </row>
    <row r="3228" spans="2:13" ht="15.75">
      <c r="B3228" s="79"/>
      <c r="D3228"/>
      <c r="E3228" s="188"/>
      <c r="H3228"/>
      <c r="I3228" s="202"/>
      <c r="J3228"/>
      <c r="K3228" s="205"/>
      <c r="L3228" s="205"/>
      <c r="M3228" s="205"/>
    </row>
    <row r="3229" spans="2:13" ht="15.75">
      <c r="B3229" s="79"/>
      <c r="D3229"/>
      <c r="E3229" s="188"/>
      <c r="H3229"/>
      <c r="I3229" s="202"/>
      <c r="J3229"/>
      <c r="K3229" s="205"/>
      <c r="L3229" s="205"/>
      <c r="M3229" s="205"/>
    </row>
    <row r="3230" spans="2:13" ht="15.75">
      <c r="B3230" s="79"/>
      <c r="D3230"/>
      <c r="E3230" s="188"/>
      <c r="H3230"/>
      <c r="I3230" s="202"/>
      <c r="J3230"/>
      <c r="K3230" s="205"/>
      <c r="L3230" s="205"/>
      <c r="M3230" s="205"/>
    </row>
    <row r="3231" spans="2:13" ht="15.75">
      <c r="B3231" s="79"/>
      <c r="D3231"/>
      <c r="E3231" s="188"/>
      <c r="H3231"/>
      <c r="I3231" s="202"/>
      <c r="J3231"/>
      <c r="K3231" s="205"/>
      <c r="L3231" s="205"/>
      <c r="M3231" s="205"/>
    </row>
    <row r="3232" spans="2:13" ht="15.75">
      <c r="B3232" s="79"/>
      <c r="D3232"/>
      <c r="E3232" s="188"/>
      <c r="H3232"/>
      <c r="I3232" s="202"/>
      <c r="J3232"/>
      <c r="K3232" s="205"/>
      <c r="L3232" s="205"/>
      <c r="M3232" s="205"/>
    </row>
    <row r="3233" spans="2:13" ht="15.75">
      <c r="B3233" s="79"/>
      <c r="D3233"/>
      <c r="E3233" s="188"/>
      <c r="H3233"/>
      <c r="I3233" s="202"/>
      <c r="J3233"/>
      <c r="K3233" s="205"/>
      <c r="L3233" s="205"/>
      <c r="M3233" s="205"/>
    </row>
    <row r="3234" spans="2:13" ht="15.75">
      <c r="B3234" s="79"/>
      <c r="D3234"/>
      <c r="E3234" s="188"/>
      <c r="H3234"/>
      <c r="I3234" s="202"/>
      <c r="J3234"/>
      <c r="K3234" s="205"/>
      <c r="L3234" s="205"/>
      <c r="M3234" s="205"/>
    </row>
    <row r="3235" spans="2:13" ht="15.75">
      <c r="B3235" s="79"/>
      <c r="D3235"/>
      <c r="E3235" s="188"/>
      <c r="H3235"/>
      <c r="I3235" s="202"/>
      <c r="J3235"/>
      <c r="K3235" s="205"/>
      <c r="L3235" s="205"/>
      <c r="M3235" s="205"/>
    </row>
    <row r="3236" spans="2:13" ht="15.75">
      <c r="B3236" s="79"/>
      <c r="D3236"/>
      <c r="E3236" s="188"/>
      <c r="H3236"/>
      <c r="I3236" s="202"/>
      <c r="J3236"/>
      <c r="K3236" s="205"/>
      <c r="L3236" s="205"/>
      <c r="M3236" s="205"/>
    </row>
    <row r="3237" spans="2:13" ht="15.75">
      <c r="B3237" s="79"/>
      <c r="D3237"/>
      <c r="E3237" s="188"/>
      <c r="H3237"/>
      <c r="I3237" s="202"/>
      <c r="J3237"/>
      <c r="K3237" s="205"/>
      <c r="L3237" s="205"/>
      <c r="M3237" s="205"/>
    </row>
    <row r="3238" spans="2:13" ht="15.75">
      <c r="B3238" s="79"/>
      <c r="D3238"/>
      <c r="E3238" s="188"/>
      <c r="H3238"/>
      <c r="I3238" s="202"/>
      <c r="J3238"/>
      <c r="K3238" s="205"/>
      <c r="L3238" s="205"/>
      <c r="M3238" s="205"/>
    </row>
    <row r="3239" spans="2:13" ht="15.75">
      <c r="B3239" s="79"/>
      <c r="D3239"/>
      <c r="E3239" s="188"/>
      <c r="H3239"/>
      <c r="I3239" s="202"/>
      <c r="J3239"/>
      <c r="K3239" s="205"/>
      <c r="L3239" s="205"/>
      <c r="M3239" s="205"/>
    </row>
    <row r="3240" spans="2:13" ht="15.75">
      <c r="B3240" s="79"/>
      <c r="D3240"/>
      <c r="E3240" s="188"/>
      <c r="H3240"/>
      <c r="I3240" s="202"/>
      <c r="J3240"/>
      <c r="K3240" s="205"/>
      <c r="L3240" s="205"/>
      <c r="M3240" s="205"/>
    </row>
    <row r="3241" spans="2:13" ht="15.75">
      <c r="B3241" s="79"/>
      <c r="D3241"/>
      <c r="E3241" s="188"/>
      <c r="H3241"/>
      <c r="I3241" s="202"/>
      <c r="J3241"/>
      <c r="K3241" s="205"/>
      <c r="L3241" s="205"/>
      <c r="M3241" s="205"/>
    </row>
    <row r="3242" spans="2:13" ht="15.75">
      <c r="B3242" s="79"/>
      <c r="D3242"/>
      <c r="E3242" s="188"/>
      <c r="H3242"/>
      <c r="I3242" s="202"/>
      <c r="J3242"/>
      <c r="K3242" s="205"/>
      <c r="L3242" s="205"/>
      <c r="M3242" s="205"/>
    </row>
    <row r="3243" spans="2:13" ht="15.75">
      <c r="B3243" s="79"/>
      <c r="D3243"/>
      <c r="E3243" s="188"/>
      <c r="H3243"/>
      <c r="I3243" s="202"/>
      <c r="J3243"/>
      <c r="K3243" s="205"/>
      <c r="L3243" s="205"/>
      <c r="M3243" s="205"/>
    </row>
    <row r="3244" spans="2:13" ht="15.75">
      <c r="B3244" s="79"/>
      <c r="D3244"/>
      <c r="E3244" s="188"/>
      <c r="H3244"/>
      <c r="I3244" s="202"/>
      <c r="J3244"/>
      <c r="K3244" s="205"/>
      <c r="L3244" s="205"/>
      <c r="M3244" s="205"/>
    </row>
    <row r="3245" spans="2:13" ht="15.75">
      <c r="B3245" s="79"/>
      <c r="D3245"/>
      <c r="E3245" s="188"/>
      <c r="H3245"/>
      <c r="I3245" s="202"/>
      <c r="J3245"/>
      <c r="K3245" s="205"/>
      <c r="L3245" s="205"/>
      <c r="M3245" s="205"/>
    </row>
    <row r="3246" spans="2:13" ht="15.75">
      <c r="B3246" s="79"/>
      <c r="D3246"/>
      <c r="E3246" s="188"/>
      <c r="H3246"/>
      <c r="I3246" s="202"/>
      <c r="J3246"/>
      <c r="K3246" s="205"/>
      <c r="L3246" s="205"/>
      <c r="M3246" s="205"/>
    </row>
    <row r="3247" spans="2:13" ht="15.75">
      <c r="B3247" s="79"/>
      <c r="D3247"/>
      <c r="E3247" s="188"/>
      <c r="H3247"/>
      <c r="I3247" s="202"/>
      <c r="J3247"/>
      <c r="K3247" s="205"/>
      <c r="L3247" s="205"/>
      <c r="M3247" s="205"/>
    </row>
    <row r="3248" spans="2:13" ht="15.75">
      <c r="B3248" s="79"/>
      <c r="D3248"/>
      <c r="E3248" s="188"/>
      <c r="H3248"/>
      <c r="I3248" s="202"/>
      <c r="J3248"/>
      <c r="K3248" s="205"/>
      <c r="L3248" s="205"/>
      <c r="M3248" s="205"/>
    </row>
    <row r="3249" spans="2:13" ht="15.75">
      <c r="B3249" s="79"/>
      <c r="D3249"/>
      <c r="E3249" s="188"/>
      <c r="H3249"/>
      <c r="I3249" s="202"/>
      <c r="J3249"/>
      <c r="K3249" s="205"/>
      <c r="L3249" s="205"/>
      <c r="M3249" s="205"/>
    </row>
    <row r="3250" spans="2:13" ht="15.75">
      <c r="B3250" s="79"/>
      <c r="D3250"/>
      <c r="E3250" s="188"/>
      <c r="H3250"/>
      <c r="I3250" s="202"/>
      <c r="J3250"/>
      <c r="K3250" s="205"/>
      <c r="L3250" s="205"/>
      <c r="M3250" s="205"/>
    </row>
    <row r="3251" spans="2:13" ht="15.75">
      <c r="B3251" s="79"/>
      <c r="D3251"/>
      <c r="E3251" s="188"/>
      <c r="H3251"/>
      <c r="I3251" s="202"/>
      <c r="J3251"/>
      <c r="K3251" s="205"/>
      <c r="L3251" s="205"/>
      <c r="M3251" s="205"/>
    </row>
    <row r="3252" spans="2:13" ht="15.75">
      <c r="B3252" s="79"/>
      <c r="D3252"/>
      <c r="E3252" s="188"/>
      <c r="H3252"/>
      <c r="I3252" s="202"/>
      <c r="J3252"/>
      <c r="K3252" s="205"/>
      <c r="L3252" s="205"/>
      <c r="M3252" s="205"/>
    </row>
    <row r="3253" spans="2:13" ht="15.75">
      <c r="B3253" s="79"/>
      <c r="D3253"/>
      <c r="E3253" s="188"/>
      <c r="H3253"/>
      <c r="I3253" s="202"/>
      <c r="J3253"/>
      <c r="K3253" s="205"/>
      <c r="L3253" s="205"/>
      <c r="M3253" s="205"/>
    </row>
    <row r="3254" spans="2:13" ht="15.75">
      <c r="B3254" s="79"/>
      <c r="D3254"/>
      <c r="E3254" s="188"/>
      <c r="H3254"/>
      <c r="I3254" s="202"/>
      <c r="J3254"/>
      <c r="K3254" s="205"/>
      <c r="L3254" s="205"/>
      <c r="M3254" s="205"/>
    </row>
    <row r="3255" spans="2:13" ht="15.75">
      <c r="B3255" s="79"/>
      <c r="D3255"/>
      <c r="E3255" s="188"/>
      <c r="H3255"/>
      <c r="I3255" s="202"/>
      <c r="J3255"/>
      <c r="K3255" s="205"/>
      <c r="L3255" s="205"/>
      <c r="M3255" s="205"/>
    </row>
    <row r="3256" spans="2:13" ht="15.75">
      <c r="B3256" s="79"/>
      <c r="D3256"/>
      <c r="E3256" s="188"/>
      <c r="H3256"/>
      <c r="I3256" s="202"/>
      <c r="J3256"/>
      <c r="K3256" s="205"/>
      <c r="L3256" s="205"/>
      <c r="M3256" s="205"/>
    </row>
    <row r="3257" spans="2:13" ht="15.75">
      <c r="B3257" s="79"/>
      <c r="D3257"/>
      <c r="E3257" s="188"/>
      <c r="H3257"/>
      <c r="I3257" s="202"/>
      <c r="J3257"/>
      <c r="K3257" s="205"/>
      <c r="L3257" s="205"/>
      <c r="M3257" s="205"/>
    </row>
    <row r="3258" spans="2:13" ht="15.75">
      <c r="B3258" s="79"/>
      <c r="D3258"/>
      <c r="E3258" s="188"/>
      <c r="H3258"/>
      <c r="I3258" s="202"/>
      <c r="J3258"/>
      <c r="K3258" s="205"/>
      <c r="L3258" s="205"/>
      <c r="M3258" s="205"/>
    </row>
    <row r="3259" spans="2:13" ht="15.75">
      <c r="B3259" s="79"/>
      <c r="D3259"/>
      <c r="E3259" s="188"/>
      <c r="H3259"/>
      <c r="I3259" s="202"/>
      <c r="J3259"/>
      <c r="K3259" s="205"/>
      <c r="L3259" s="205"/>
      <c r="M3259" s="205"/>
    </row>
    <row r="3260" spans="2:13" ht="15.75">
      <c r="B3260" s="79"/>
      <c r="D3260"/>
      <c r="E3260" s="188"/>
      <c r="H3260"/>
      <c r="I3260" s="202"/>
      <c r="J3260"/>
      <c r="K3260" s="205"/>
      <c r="L3260" s="205"/>
      <c r="M3260" s="205"/>
    </row>
    <row r="3261" spans="2:13" ht="15.75">
      <c r="B3261" s="79"/>
      <c r="D3261"/>
      <c r="E3261" s="188"/>
      <c r="H3261"/>
      <c r="I3261" s="202"/>
      <c r="J3261"/>
      <c r="K3261" s="205"/>
      <c r="L3261" s="205"/>
      <c r="M3261" s="205"/>
    </row>
    <row r="3262" spans="2:13" ht="15.75">
      <c r="B3262" s="79"/>
      <c r="D3262"/>
      <c r="E3262" s="188"/>
      <c r="H3262"/>
      <c r="I3262" s="202"/>
      <c r="J3262"/>
      <c r="K3262" s="205"/>
      <c r="L3262" s="205"/>
      <c r="M3262" s="205"/>
    </row>
    <row r="3263" spans="2:13" ht="15.75">
      <c r="B3263" s="79"/>
      <c r="D3263"/>
      <c r="E3263" s="188"/>
      <c r="H3263"/>
      <c r="I3263" s="202"/>
      <c r="J3263"/>
      <c r="K3263" s="205"/>
      <c r="L3263" s="205"/>
      <c r="M3263" s="205"/>
    </row>
    <row r="3264" spans="2:13" ht="15.75">
      <c r="B3264" s="79"/>
      <c r="D3264"/>
      <c r="E3264" s="188"/>
      <c r="H3264"/>
      <c r="I3264" s="202"/>
      <c r="J3264"/>
      <c r="K3264" s="205"/>
      <c r="L3264" s="205"/>
      <c r="M3264" s="205"/>
    </row>
    <row r="3265" spans="2:13" ht="15.75">
      <c r="B3265" s="79"/>
      <c r="D3265"/>
      <c r="E3265" s="188"/>
      <c r="H3265"/>
      <c r="I3265" s="202"/>
      <c r="J3265"/>
      <c r="K3265" s="205"/>
      <c r="L3265" s="205"/>
      <c r="M3265" s="205"/>
    </row>
    <row r="3266" spans="2:13" ht="15.75">
      <c r="B3266" s="79"/>
      <c r="D3266"/>
      <c r="E3266" s="188"/>
      <c r="H3266"/>
      <c r="I3266" s="202"/>
      <c r="J3266"/>
      <c r="K3266" s="205"/>
      <c r="L3266" s="205"/>
      <c r="M3266" s="205"/>
    </row>
    <row r="3267" spans="2:13" ht="15.75">
      <c r="B3267" s="79"/>
      <c r="D3267"/>
      <c r="E3267" s="188"/>
      <c r="H3267"/>
      <c r="I3267" s="202"/>
      <c r="J3267"/>
      <c r="K3267" s="205"/>
      <c r="L3267" s="205"/>
      <c r="M3267" s="205"/>
    </row>
    <row r="3268" spans="2:13" ht="15.75">
      <c r="B3268" s="79"/>
      <c r="D3268"/>
      <c r="E3268" s="188"/>
      <c r="H3268"/>
      <c r="I3268" s="202"/>
      <c r="J3268"/>
      <c r="K3268" s="205"/>
      <c r="L3268" s="205"/>
      <c r="M3268" s="205"/>
    </row>
    <row r="3269" spans="2:13" ht="15.75">
      <c r="B3269" s="79"/>
      <c r="D3269"/>
      <c r="E3269" s="188"/>
      <c r="H3269"/>
      <c r="I3269" s="202"/>
      <c r="J3269"/>
      <c r="K3269" s="205"/>
      <c r="L3269" s="205"/>
      <c r="M3269" s="205"/>
    </row>
    <row r="3270" spans="2:13" ht="15.75">
      <c r="B3270" s="79"/>
      <c r="D3270"/>
      <c r="E3270" s="188"/>
      <c r="H3270"/>
      <c r="I3270" s="202"/>
      <c r="J3270"/>
      <c r="K3270" s="205"/>
      <c r="L3270" s="205"/>
      <c r="M3270" s="205"/>
    </row>
    <row r="3271" spans="2:13" ht="15.75">
      <c r="B3271" s="79"/>
      <c r="D3271"/>
      <c r="E3271" s="188"/>
      <c r="H3271"/>
      <c r="I3271" s="202"/>
      <c r="J3271"/>
      <c r="K3271" s="205"/>
      <c r="L3271" s="205"/>
      <c r="M3271" s="205"/>
    </row>
    <row r="3272" spans="2:13" ht="15.75">
      <c r="B3272" s="79"/>
      <c r="D3272"/>
      <c r="E3272" s="188"/>
      <c r="H3272"/>
      <c r="I3272" s="202"/>
      <c r="J3272"/>
      <c r="K3272" s="205"/>
      <c r="L3272" s="205"/>
      <c r="M3272" s="205"/>
    </row>
    <row r="3273" spans="2:13" ht="15.75">
      <c r="B3273" s="79"/>
      <c r="D3273"/>
      <c r="E3273" s="188"/>
      <c r="H3273"/>
      <c r="I3273" s="202"/>
      <c r="J3273"/>
      <c r="K3273" s="205"/>
      <c r="L3273" s="205"/>
      <c r="M3273" s="205"/>
    </row>
    <row r="3274" spans="2:13" ht="15.75">
      <c r="B3274" s="79"/>
      <c r="D3274"/>
      <c r="E3274" s="188"/>
      <c r="H3274"/>
      <c r="I3274" s="202"/>
      <c r="J3274"/>
      <c r="K3274" s="205"/>
      <c r="L3274" s="205"/>
      <c r="M3274" s="205"/>
    </row>
    <row r="3275" spans="2:13" ht="15.75">
      <c r="B3275" s="79"/>
      <c r="D3275"/>
      <c r="E3275" s="188"/>
      <c r="H3275"/>
      <c r="I3275" s="202"/>
      <c r="J3275"/>
      <c r="K3275" s="205"/>
      <c r="L3275" s="205"/>
      <c r="M3275" s="205"/>
    </row>
    <row r="3276" spans="2:13" ht="15.75">
      <c r="B3276" s="79"/>
      <c r="D3276"/>
      <c r="E3276" s="188"/>
      <c r="H3276"/>
      <c r="I3276" s="202"/>
      <c r="J3276"/>
      <c r="K3276" s="205"/>
      <c r="L3276" s="205"/>
      <c r="M3276" s="205"/>
    </row>
    <row r="3277" spans="2:13" ht="15.75">
      <c r="B3277" s="79"/>
      <c r="D3277"/>
      <c r="E3277" s="188"/>
      <c r="H3277"/>
      <c r="I3277" s="202"/>
      <c r="J3277"/>
      <c r="K3277" s="205"/>
      <c r="L3277" s="205"/>
      <c r="M3277" s="205"/>
    </row>
    <row r="3278" spans="2:13" ht="15.75">
      <c r="B3278" s="79"/>
      <c r="D3278"/>
      <c r="E3278" s="188"/>
      <c r="H3278"/>
      <c r="I3278" s="202"/>
      <c r="J3278"/>
      <c r="K3278" s="205"/>
      <c r="L3278" s="205"/>
      <c r="M3278" s="205"/>
    </row>
    <row r="3279" spans="2:13" ht="15.75">
      <c r="B3279" s="79"/>
      <c r="D3279"/>
      <c r="E3279" s="188"/>
      <c r="H3279"/>
      <c r="I3279" s="202"/>
      <c r="J3279"/>
      <c r="K3279" s="205"/>
      <c r="L3279" s="205"/>
      <c r="M3279" s="205"/>
    </row>
    <row r="3280" spans="2:13" ht="15.75">
      <c r="B3280" s="79"/>
      <c r="D3280"/>
      <c r="E3280" s="188"/>
      <c r="H3280"/>
      <c r="I3280" s="202"/>
      <c r="J3280"/>
      <c r="K3280" s="205"/>
      <c r="L3280" s="205"/>
      <c r="M3280" s="205"/>
    </row>
    <row r="3281" spans="2:13" ht="15.75">
      <c r="B3281" s="79"/>
      <c r="D3281"/>
      <c r="E3281" s="188"/>
      <c r="H3281"/>
      <c r="I3281" s="202"/>
      <c r="J3281"/>
      <c r="K3281" s="205"/>
      <c r="L3281" s="205"/>
      <c r="M3281" s="205"/>
    </row>
    <row r="3282" spans="2:13" ht="15.75">
      <c r="B3282" s="79"/>
      <c r="D3282"/>
      <c r="E3282" s="188"/>
      <c r="H3282"/>
      <c r="I3282" s="202"/>
      <c r="J3282"/>
      <c r="K3282" s="205"/>
      <c r="L3282" s="205"/>
      <c r="M3282" s="205"/>
    </row>
    <row r="3283" spans="2:13" ht="15.75">
      <c r="B3283" s="79"/>
      <c r="D3283"/>
      <c r="E3283" s="188"/>
      <c r="H3283"/>
      <c r="I3283" s="202"/>
      <c r="J3283"/>
      <c r="K3283" s="205"/>
      <c r="L3283" s="205"/>
      <c r="M3283" s="205"/>
    </row>
    <row r="3284" spans="2:13" ht="15.75">
      <c r="B3284" s="79"/>
      <c r="D3284"/>
      <c r="E3284" s="188"/>
      <c r="H3284"/>
      <c r="I3284" s="202"/>
      <c r="J3284"/>
      <c r="K3284" s="205"/>
      <c r="L3284" s="205"/>
      <c r="M3284" s="205"/>
    </row>
    <row r="3285" spans="2:13" ht="15.75">
      <c r="B3285" s="79"/>
      <c r="D3285"/>
      <c r="E3285" s="188"/>
      <c r="H3285"/>
      <c r="I3285" s="202"/>
      <c r="J3285"/>
      <c r="K3285" s="205"/>
      <c r="L3285" s="205"/>
      <c r="M3285" s="205"/>
    </row>
    <row r="3286" spans="2:13" ht="15.75">
      <c r="B3286" s="79"/>
      <c r="D3286"/>
      <c r="E3286" s="188"/>
      <c r="H3286"/>
      <c r="I3286" s="202"/>
      <c r="J3286"/>
      <c r="K3286" s="205"/>
      <c r="L3286" s="205"/>
      <c r="M3286" s="205"/>
    </row>
    <row r="3287" spans="2:13" ht="15.75">
      <c r="B3287" s="79"/>
      <c r="D3287"/>
      <c r="E3287" s="188"/>
      <c r="H3287"/>
      <c r="I3287" s="202"/>
      <c r="J3287"/>
      <c r="K3287" s="205"/>
      <c r="L3287" s="205"/>
      <c r="M3287" s="205"/>
    </row>
    <row r="3288" spans="2:13" ht="15.75">
      <c r="B3288" s="79"/>
      <c r="D3288"/>
      <c r="E3288" s="188"/>
      <c r="H3288"/>
      <c r="I3288" s="202"/>
      <c r="J3288"/>
      <c r="K3288" s="205"/>
      <c r="L3288" s="205"/>
      <c r="M3288" s="205"/>
    </row>
    <row r="3289" spans="2:13" ht="15.75">
      <c r="B3289" s="79"/>
      <c r="D3289"/>
      <c r="E3289" s="188"/>
      <c r="H3289"/>
      <c r="I3289" s="202"/>
      <c r="J3289"/>
      <c r="K3289" s="205"/>
      <c r="L3289" s="205"/>
      <c r="M3289" s="205"/>
    </row>
    <row r="3290" spans="2:13" ht="15.75">
      <c r="B3290" s="79"/>
      <c r="D3290"/>
      <c r="E3290" s="188"/>
      <c r="H3290"/>
      <c r="I3290" s="202"/>
      <c r="J3290"/>
      <c r="K3290" s="205"/>
      <c r="L3290" s="205"/>
      <c r="M3290" s="205"/>
    </row>
    <row r="3291" spans="2:13" ht="15.75">
      <c r="B3291" s="79"/>
      <c r="D3291"/>
      <c r="E3291" s="188"/>
      <c r="H3291"/>
      <c r="I3291" s="202"/>
      <c r="J3291"/>
      <c r="K3291" s="205"/>
      <c r="L3291" s="205"/>
      <c r="M3291" s="205"/>
    </row>
    <row r="3292" spans="2:13" ht="15.75">
      <c r="B3292" s="79"/>
      <c r="D3292"/>
      <c r="E3292" s="188"/>
      <c r="H3292"/>
      <c r="I3292" s="202"/>
      <c r="J3292"/>
      <c r="K3292" s="205"/>
      <c r="L3292" s="205"/>
      <c r="M3292" s="205"/>
    </row>
    <row r="3293" spans="2:13" ht="15.75">
      <c r="B3293" s="79"/>
      <c r="D3293"/>
      <c r="E3293" s="188"/>
      <c r="H3293"/>
      <c r="I3293" s="202"/>
      <c r="J3293"/>
      <c r="K3293" s="205"/>
      <c r="L3293" s="205"/>
      <c r="M3293" s="205"/>
    </row>
    <row r="3294" spans="2:13" ht="15.75">
      <c r="B3294" s="79"/>
      <c r="D3294"/>
      <c r="E3294" s="188"/>
      <c r="H3294"/>
      <c r="I3294" s="202"/>
      <c r="J3294"/>
      <c r="K3294" s="205"/>
      <c r="L3294" s="205"/>
      <c r="M3294" s="205"/>
    </row>
    <row r="3295" spans="2:13" ht="15.75">
      <c r="B3295" s="79"/>
      <c r="D3295"/>
      <c r="E3295" s="188"/>
      <c r="H3295"/>
      <c r="I3295" s="202"/>
      <c r="J3295"/>
      <c r="K3295" s="205"/>
      <c r="L3295" s="205"/>
      <c r="M3295" s="205"/>
    </row>
    <row r="3296" spans="2:13" ht="15.75">
      <c r="B3296" s="79"/>
      <c r="D3296"/>
      <c r="E3296" s="188"/>
      <c r="H3296"/>
      <c r="I3296" s="202"/>
      <c r="J3296"/>
      <c r="K3296" s="205"/>
      <c r="L3296" s="205"/>
      <c r="M3296" s="205"/>
    </row>
    <row r="3297" spans="2:13" ht="15.75">
      <c r="B3297" s="79"/>
      <c r="D3297"/>
      <c r="E3297" s="188"/>
      <c r="H3297"/>
      <c r="I3297" s="202"/>
      <c r="J3297"/>
      <c r="K3297" s="205"/>
      <c r="L3297" s="205"/>
      <c r="M3297" s="205"/>
    </row>
    <row r="3298" spans="2:13" ht="15.75">
      <c r="B3298" s="79"/>
      <c r="D3298"/>
      <c r="E3298" s="188"/>
      <c r="H3298"/>
      <c r="I3298" s="202"/>
      <c r="J3298"/>
      <c r="K3298" s="205"/>
      <c r="L3298" s="205"/>
      <c r="M3298" s="205"/>
    </row>
    <row r="3299" spans="2:13" ht="15.75">
      <c r="B3299" s="79"/>
      <c r="D3299"/>
      <c r="E3299" s="188"/>
      <c r="H3299"/>
      <c r="I3299" s="202"/>
      <c r="J3299"/>
      <c r="K3299" s="205"/>
      <c r="L3299" s="205"/>
      <c r="M3299" s="205"/>
    </row>
    <row r="3300" spans="2:13" ht="15.75">
      <c r="B3300" s="79"/>
      <c r="D3300"/>
      <c r="E3300" s="188"/>
      <c r="H3300"/>
      <c r="I3300" s="202"/>
      <c r="J3300"/>
      <c r="K3300" s="205"/>
      <c r="L3300" s="205"/>
      <c r="M3300" s="205"/>
    </row>
    <row r="3301" spans="2:13" ht="15.75">
      <c r="B3301" s="79"/>
      <c r="D3301"/>
      <c r="E3301" s="188"/>
      <c r="H3301"/>
      <c r="I3301" s="202"/>
      <c r="J3301"/>
      <c r="K3301" s="205"/>
      <c r="L3301" s="205"/>
      <c r="M3301" s="205"/>
    </row>
    <row r="3302" spans="2:13" ht="15.75">
      <c r="B3302" s="79"/>
      <c r="D3302"/>
      <c r="E3302" s="188"/>
      <c r="H3302"/>
      <c r="I3302" s="202"/>
      <c r="J3302"/>
      <c r="K3302" s="205"/>
      <c r="L3302" s="205"/>
      <c r="M3302" s="205"/>
    </row>
    <row r="3303" spans="2:13" ht="15.75">
      <c r="B3303" s="79"/>
      <c r="D3303"/>
      <c r="E3303" s="188"/>
      <c r="H3303"/>
      <c r="I3303" s="202"/>
      <c r="J3303"/>
      <c r="K3303" s="205"/>
      <c r="L3303" s="205"/>
      <c r="M3303" s="205"/>
    </row>
    <row r="3304" spans="2:13" ht="15.75">
      <c r="B3304" s="79"/>
      <c r="D3304"/>
      <c r="E3304" s="188"/>
      <c r="H3304"/>
      <c r="I3304" s="202"/>
      <c r="J3304"/>
      <c r="K3304" s="205"/>
      <c r="L3304" s="205"/>
      <c r="M3304" s="205"/>
    </row>
    <row r="3305" spans="2:13" ht="15.75">
      <c r="B3305" s="79"/>
      <c r="D3305"/>
      <c r="E3305" s="188"/>
      <c r="H3305"/>
      <c r="I3305" s="202"/>
      <c r="J3305"/>
      <c r="K3305" s="205"/>
      <c r="L3305" s="205"/>
      <c r="M3305" s="205"/>
    </row>
    <row r="3306" spans="2:13" ht="15.75">
      <c r="B3306" s="79"/>
      <c r="D3306"/>
      <c r="E3306" s="188"/>
      <c r="H3306"/>
      <c r="I3306" s="202"/>
      <c r="J3306"/>
      <c r="K3306" s="205"/>
      <c r="L3306" s="205"/>
      <c r="M3306" s="205"/>
    </row>
    <row r="3307" spans="2:13" ht="15.75">
      <c r="B3307" s="79"/>
      <c r="D3307"/>
      <c r="E3307" s="188"/>
      <c r="H3307"/>
      <c r="I3307" s="202"/>
      <c r="J3307"/>
      <c r="K3307" s="205"/>
      <c r="L3307" s="205"/>
      <c r="M3307" s="205"/>
    </row>
    <row r="3308" spans="2:13" ht="15.75">
      <c r="B3308" s="79"/>
      <c r="D3308"/>
      <c r="E3308" s="188"/>
      <c r="H3308"/>
      <c r="I3308" s="202"/>
      <c r="J3308"/>
      <c r="K3308" s="205"/>
      <c r="L3308" s="205"/>
      <c r="M3308" s="205"/>
    </row>
    <row r="3309" spans="2:13" ht="15.75">
      <c r="B3309" s="79"/>
      <c r="D3309"/>
      <c r="E3309" s="188"/>
      <c r="H3309"/>
      <c r="I3309" s="202"/>
      <c r="J3309"/>
      <c r="K3309" s="205"/>
      <c r="L3309" s="205"/>
      <c r="M3309" s="205"/>
    </row>
    <row r="3310" spans="2:13" ht="15.75">
      <c r="B3310" s="79"/>
      <c r="D3310"/>
      <c r="E3310" s="188"/>
      <c r="H3310"/>
      <c r="I3310" s="202"/>
      <c r="J3310"/>
      <c r="K3310" s="205"/>
      <c r="L3310" s="205"/>
      <c r="M3310" s="205"/>
    </row>
    <row r="3311" spans="2:13" ht="15.75">
      <c r="B3311" s="79"/>
      <c r="D3311"/>
      <c r="E3311" s="188"/>
      <c r="H3311"/>
      <c r="I3311" s="202"/>
      <c r="J3311"/>
      <c r="K3311" s="205"/>
      <c r="L3311" s="205"/>
      <c r="M3311" s="205"/>
    </row>
    <row r="3312" spans="2:13" ht="15.75">
      <c r="B3312" s="79"/>
      <c r="D3312"/>
      <c r="E3312" s="188"/>
      <c r="H3312"/>
      <c r="I3312" s="202"/>
      <c r="J3312"/>
      <c r="K3312" s="205"/>
      <c r="L3312" s="205"/>
      <c r="M3312" s="205"/>
    </row>
    <row r="3313" spans="2:13" ht="15.75">
      <c r="B3313" s="79"/>
      <c r="D3313"/>
      <c r="E3313" s="188"/>
      <c r="H3313"/>
      <c r="I3313" s="202"/>
      <c r="J3313"/>
      <c r="K3313" s="205"/>
      <c r="L3313" s="205"/>
      <c r="M3313" s="205"/>
    </row>
    <row r="3314" spans="2:13" ht="15.75">
      <c r="B3314" s="79"/>
      <c r="D3314"/>
      <c r="E3314" s="188"/>
      <c r="H3314"/>
      <c r="I3314" s="202"/>
      <c r="J3314"/>
      <c r="K3314" s="205"/>
      <c r="L3314" s="205"/>
      <c r="M3314" s="205"/>
    </row>
    <row r="3315" spans="2:13" ht="15.75">
      <c r="B3315" s="79"/>
      <c r="D3315"/>
      <c r="E3315" s="188"/>
      <c r="H3315"/>
      <c r="I3315" s="202"/>
      <c r="J3315"/>
      <c r="K3315" s="205"/>
      <c r="L3315" s="205"/>
      <c r="M3315" s="205"/>
    </row>
    <row r="3316" spans="2:13" ht="15.75">
      <c r="B3316" s="79"/>
      <c r="D3316"/>
      <c r="E3316" s="188"/>
      <c r="H3316"/>
      <c r="I3316" s="202"/>
      <c r="J3316"/>
      <c r="K3316" s="205"/>
      <c r="L3316" s="205"/>
      <c r="M3316" s="205"/>
    </row>
    <row r="3317" spans="2:13" ht="15.75">
      <c r="B3317" s="79"/>
      <c r="D3317"/>
      <c r="E3317" s="188"/>
      <c r="H3317"/>
      <c r="I3317" s="202"/>
      <c r="J3317"/>
      <c r="K3317" s="205"/>
      <c r="L3317" s="205"/>
      <c r="M3317" s="205"/>
    </row>
    <row r="3318" spans="2:13" ht="15.75">
      <c r="B3318" s="79"/>
      <c r="D3318"/>
      <c r="E3318" s="188"/>
      <c r="H3318"/>
      <c r="I3318" s="202"/>
      <c r="J3318"/>
      <c r="K3318" s="205"/>
      <c r="L3318" s="205"/>
      <c r="M3318" s="205"/>
    </row>
    <row r="3319" spans="2:13" ht="15.75">
      <c r="B3319" s="79"/>
      <c r="D3319"/>
      <c r="E3319" s="188"/>
      <c r="H3319"/>
      <c r="I3319" s="202"/>
      <c r="J3319"/>
      <c r="K3319" s="205"/>
      <c r="L3319" s="205"/>
      <c r="M3319" s="205"/>
    </row>
    <row r="3320" spans="2:13" ht="15.75">
      <c r="B3320" s="79"/>
      <c r="D3320"/>
      <c r="E3320" s="188"/>
      <c r="H3320"/>
      <c r="I3320" s="202"/>
      <c r="J3320"/>
      <c r="K3320" s="205"/>
      <c r="L3320" s="205"/>
      <c r="M3320" s="205"/>
    </row>
    <row r="3321" spans="2:13" ht="15.75">
      <c r="B3321" s="79"/>
      <c r="D3321"/>
      <c r="E3321" s="188"/>
      <c r="H3321"/>
      <c r="I3321" s="202"/>
      <c r="J3321"/>
      <c r="K3321" s="205"/>
      <c r="L3321" s="205"/>
      <c r="M3321" s="205"/>
    </row>
    <row r="3322" spans="2:13" ht="15.75">
      <c r="B3322" s="79"/>
      <c r="D3322"/>
      <c r="E3322" s="188"/>
      <c r="H3322"/>
      <c r="I3322" s="202"/>
      <c r="J3322"/>
      <c r="K3322" s="205"/>
      <c r="L3322" s="205"/>
      <c r="M3322" s="205"/>
    </row>
    <row r="3323" spans="2:13" ht="15.75">
      <c r="B3323" s="79"/>
      <c r="D3323"/>
      <c r="E3323" s="188"/>
      <c r="H3323"/>
      <c r="I3323" s="202"/>
      <c r="J3323"/>
      <c r="K3323" s="205"/>
      <c r="L3323" s="205"/>
      <c r="M3323" s="205"/>
    </row>
    <row r="3324" spans="2:13" ht="15.75">
      <c r="B3324" s="79"/>
      <c r="D3324"/>
      <c r="E3324" s="188"/>
      <c r="H3324"/>
      <c r="I3324" s="202"/>
      <c r="J3324"/>
      <c r="K3324" s="205"/>
      <c r="L3324" s="205"/>
      <c r="M3324" s="205"/>
    </row>
    <row r="3325" spans="2:13" ht="15.75">
      <c r="B3325" s="79"/>
      <c r="D3325"/>
      <c r="E3325" s="188"/>
      <c r="H3325"/>
      <c r="I3325" s="202"/>
      <c r="J3325"/>
      <c r="K3325" s="205"/>
      <c r="L3325" s="205"/>
      <c r="M3325" s="205"/>
    </row>
    <row r="3326" spans="2:13" ht="15.75">
      <c r="B3326" s="79"/>
      <c r="D3326"/>
      <c r="E3326" s="188"/>
      <c r="H3326"/>
      <c r="I3326" s="202"/>
      <c r="J3326"/>
      <c r="K3326" s="205"/>
      <c r="L3326" s="205"/>
      <c r="M3326" s="205"/>
    </row>
    <row r="3327" spans="2:13" ht="15.75">
      <c r="B3327" s="79"/>
      <c r="D3327"/>
      <c r="E3327" s="188"/>
      <c r="H3327"/>
      <c r="I3327" s="202"/>
      <c r="J3327"/>
      <c r="K3327" s="205"/>
      <c r="L3327" s="205"/>
      <c r="M3327" s="205"/>
    </row>
    <row r="3328" spans="2:13" ht="15.75">
      <c r="B3328" s="79"/>
      <c r="D3328"/>
      <c r="E3328" s="188"/>
      <c r="H3328"/>
      <c r="I3328" s="202"/>
      <c r="J3328"/>
      <c r="K3328" s="205"/>
      <c r="L3328" s="205"/>
      <c r="M3328" s="205"/>
    </row>
    <row r="3329" spans="2:13" ht="15.75">
      <c r="B3329" s="79"/>
      <c r="D3329"/>
      <c r="E3329" s="188"/>
      <c r="H3329"/>
      <c r="I3329" s="202"/>
      <c r="J3329"/>
      <c r="K3329" s="205"/>
      <c r="L3329" s="205"/>
      <c r="M3329" s="205"/>
    </row>
    <row r="3330" spans="2:13" ht="15.75">
      <c r="B3330" s="79"/>
      <c r="D3330"/>
      <c r="E3330" s="188"/>
      <c r="H3330"/>
      <c r="I3330" s="202"/>
      <c r="J3330"/>
      <c r="K3330" s="205"/>
      <c r="L3330" s="205"/>
      <c r="M3330" s="205"/>
    </row>
    <row r="3331" spans="2:13" ht="15.75">
      <c r="B3331" s="79"/>
      <c r="D3331"/>
      <c r="E3331" s="188"/>
      <c r="H3331"/>
      <c r="I3331" s="202"/>
      <c r="J3331"/>
      <c r="K3331" s="205"/>
      <c r="L3331" s="205"/>
      <c r="M3331" s="205"/>
    </row>
    <row r="3332" spans="2:13" ht="15.75">
      <c r="B3332" s="79"/>
      <c r="D3332"/>
      <c r="E3332" s="188"/>
      <c r="H3332"/>
      <c r="I3332" s="202"/>
      <c r="J3332"/>
      <c r="K3332" s="205"/>
      <c r="L3332" s="205"/>
      <c r="M3332" s="205"/>
    </row>
    <row r="3333" spans="2:13" ht="15.75">
      <c r="B3333" s="79"/>
      <c r="D3333"/>
      <c r="E3333" s="188"/>
      <c r="H3333"/>
      <c r="I3333" s="202"/>
      <c r="J3333"/>
      <c r="K3333" s="205"/>
      <c r="L3333" s="205"/>
      <c r="M3333" s="205"/>
    </row>
    <row r="3334" spans="2:13" ht="15.75">
      <c r="B3334" s="79"/>
      <c r="D3334"/>
      <c r="E3334" s="188"/>
      <c r="H3334"/>
      <c r="I3334" s="202"/>
      <c r="J3334"/>
      <c r="K3334" s="205"/>
      <c r="L3334" s="205"/>
      <c r="M3334" s="205"/>
    </row>
    <row r="3335" spans="2:13" ht="15.75">
      <c r="B3335" s="79"/>
      <c r="D3335"/>
      <c r="E3335" s="188"/>
      <c r="H3335"/>
      <c r="I3335" s="202"/>
      <c r="J3335"/>
      <c r="K3335" s="205"/>
      <c r="L3335" s="205"/>
      <c r="M3335" s="205"/>
    </row>
    <row r="3336" spans="2:13" ht="15.75">
      <c r="B3336" s="79"/>
      <c r="D3336"/>
      <c r="E3336" s="188"/>
      <c r="H3336"/>
      <c r="I3336" s="202"/>
      <c r="J3336"/>
      <c r="K3336" s="205"/>
      <c r="L3336" s="205"/>
      <c r="M3336" s="205"/>
    </row>
    <row r="3337" spans="2:13" ht="15.75">
      <c r="B3337" s="79"/>
      <c r="D3337"/>
      <c r="E3337" s="188"/>
      <c r="H3337"/>
      <c r="I3337" s="202"/>
      <c r="J3337"/>
      <c r="K3337" s="205"/>
      <c r="L3337" s="205"/>
      <c r="M3337" s="205"/>
    </row>
    <row r="3338" spans="2:13" ht="15.75">
      <c r="B3338" s="79"/>
      <c r="D3338"/>
      <c r="E3338" s="188"/>
      <c r="H3338"/>
      <c r="I3338" s="202"/>
      <c r="J3338"/>
      <c r="K3338" s="205"/>
      <c r="L3338" s="205"/>
      <c r="M3338" s="205"/>
    </row>
    <row r="3339" spans="2:13" ht="15.75">
      <c r="B3339" s="79"/>
      <c r="D3339"/>
      <c r="E3339" s="188"/>
      <c r="H3339"/>
      <c r="I3339" s="202"/>
      <c r="J3339"/>
      <c r="K3339" s="205"/>
      <c r="L3339" s="205"/>
      <c r="M3339" s="205"/>
    </row>
    <row r="3340" spans="2:13" ht="15.75">
      <c r="B3340" s="79"/>
      <c r="D3340"/>
      <c r="E3340" s="188"/>
      <c r="H3340"/>
      <c r="I3340" s="202"/>
      <c r="J3340"/>
      <c r="K3340" s="205"/>
      <c r="L3340" s="205"/>
      <c r="M3340" s="205"/>
    </row>
    <row r="3341" spans="2:13" ht="15.75">
      <c r="B3341" s="79"/>
      <c r="D3341"/>
      <c r="E3341" s="188"/>
      <c r="H3341"/>
      <c r="I3341" s="202"/>
      <c r="J3341"/>
      <c r="K3341" s="205"/>
      <c r="L3341" s="205"/>
      <c r="M3341" s="205"/>
    </row>
    <row r="3342" spans="2:13" ht="15.75">
      <c r="B3342" s="79"/>
      <c r="D3342"/>
      <c r="E3342" s="188"/>
      <c r="H3342"/>
      <c r="I3342" s="202"/>
      <c r="J3342"/>
      <c r="K3342" s="205"/>
      <c r="L3342" s="205"/>
      <c r="M3342" s="205"/>
    </row>
    <row r="3343" spans="2:13" ht="15.75">
      <c r="B3343" s="79"/>
      <c r="D3343"/>
      <c r="E3343" s="188"/>
      <c r="H3343"/>
      <c r="I3343" s="202"/>
      <c r="J3343"/>
      <c r="K3343" s="205"/>
      <c r="L3343" s="205"/>
      <c r="M3343" s="205"/>
    </row>
    <row r="3344" spans="2:13" ht="15.75">
      <c r="B3344" s="79"/>
      <c r="D3344"/>
      <c r="E3344" s="188"/>
      <c r="H3344"/>
      <c r="I3344" s="202"/>
      <c r="J3344"/>
      <c r="K3344" s="205"/>
      <c r="L3344" s="205"/>
      <c r="M3344" s="205"/>
    </row>
    <row r="3345" spans="2:13" ht="15.75">
      <c r="B3345" s="79"/>
      <c r="D3345"/>
      <c r="E3345" s="188"/>
      <c r="H3345"/>
      <c r="I3345" s="202"/>
      <c r="J3345"/>
      <c r="K3345" s="205"/>
      <c r="L3345" s="205"/>
      <c r="M3345" s="205"/>
    </row>
    <row r="3346" spans="2:13" ht="15.75">
      <c r="B3346" s="79"/>
      <c r="D3346"/>
      <c r="E3346" s="188"/>
      <c r="H3346"/>
      <c r="I3346" s="202"/>
      <c r="J3346"/>
      <c r="K3346" s="205"/>
      <c r="L3346" s="205"/>
      <c r="M3346" s="205"/>
    </row>
    <row r="3347" spans="2:13" ht="15.75">
      <c r="B3347" s="79"/>
      <c r="D3347"/>
      <c r="E3347" s="188"/>
      <c r="H3347"/>
      <c r="I3347" s="202"/>
      <c r="J3347"/>
      <c r="K3347" s="205"/>
      <c r="L3347" s="205"/>
      <c r="M3347" s="205"/>
    </row>
    <row r="3348" spans="2:13" ht="15.75">
      <c r="B3348" s="79"/>
      <c r="D3348"/>
      <c r="E3348" s="188"/>
      <c r="H3348"/>
      <c r="I3348" s="202"/>
      <c r="J3348"/>
      <c r="K3348" s="205"/>
      <c r="L3348" s="205"/>
      <c r="M3348" s="205"/>
    </row>
    <row r="3349" spans="2:13" ht="15.75">
      <c r="B3349" s="79"/>
      <c r="D3349"/>
      <c r="E3349" s="188"/>
      <c r="H3349"/>
      <c r="I3349" s="202"/>
      <c r="J3349"/>
      <c r="K3349" s="205"/>
      <c r="L3349" s="205"/>
      <c r="M3349" s="205"/>
    </row>
    <row r="3350" spans="2:13" ht="15.75">
      <c r="B3350" s="79"/>
      <c r="D3350"/>
      <c r="E3350" s="188"/>
      <c r="H3350"/>
      <c r="I3350" s="202"/>
      <c r="J3350"/>
      <c r="K3350" s="205"/>
      <c r="L3350" s="205"/>
      <c r="M3350" s="205"/>
    </row>
    <row r="3351" spans="2:13" ht="15.75">
      <c r="B3351" s="79"/>
      <c r="D3351"/>
      <c r="E3351" s="188"/>
      <c r="H3351"/>
      <c r="I3351" s="202"/>
      <c r="J3351"/>
      <c r="K3351" s="205"/>
      <c r="L3351" s="205"/>
      <c r="M3351" s="205"/>
    </row>
    <row r="3352" spans="2:13" ht="15.75">
      <c r="B3352" s="79"/>
      <c r="D3352"/>
      <c r="E3352" s="188"/>
      <c r="H3352"/>
      <c r="I3352" s="202"/>
      <c r="J3352"/>
      <c r="K3352" s="205"/>
      <c r="L3352" s="205"/>
      <c r="M3352" s="205"/>
    </row>
    <row r="3353" spans="2:13" ht="15.75">
      <c r="B3353" s="79"/>
      <c r="D3353"/>
      <c r="E3353" s="188"/>
      <c r="H3353"/>
      <c r="I3353" s="202"/>
      <c r="J3353"/>
      <c r="K3353" s="205"/>
      <c r="L3353" s="205"/>
      <c r="M3353" s="205"/>
    </row>
    <row r="3354" spans="2:13" ht="15.75">
      <c r="B3354" s="79"/>
      <c r="D3354"/>
      <c r="E3354" s="188"/>
      <c r="H3354"/>
      <c r="I3354" s="202"/>
      <c r="J3354"/>
      <c r="K3354" s="205"/>
      <c r="L3354" s="205"/>
      <c r="M3354" s="205"/>
    </row>
    <row r="3355" spans="2:13" ht="15.75">
      <c r="B3355" s="79"/>
      <c r="D3355"/>
      <c r="E3355" s="188"/>
      <c r="H3355"/>
      <c r="I3355" s="202"/>
      <c r="J3355"/>
      <c r="K3355" s="205"/>
      <c r="L3355" s="205"/>
      <c r="M3355" s="205"/>
    </row>
    <row r="3356" spans="2:13" ht="15.75">
      <c r="B3356" s="79"/>
      <c r="D3356"/>
      <c r="E3356" s="188"/>
      <c r="H3356"/>
      <c r="I3356" s="202"/>
      <c r="J3356"/>
      <c r="K3356" s="205"/>
      <c r="L3356" s="205"/>
      <c r="M3356" s="205"/>
    </row>
    <row r="3357" spans="2:13" ht="15.75">
      <c r="B3357" s="79"/>
      <c r="D3357"/>
      <c r="E3357" s="188"/>
      <c r="H3357"/>
      <c r="I3357" s="202"/>
      <c r="J3357"/>
      <c r="K3357" s="205"/>
      <c r="L3357" s="205"/>
      <c r="M3357" s="205"/>
    </row>
    <row r="3358" spans="2:13" ht="15.75">
      <c r="B3358" s="79"/>
      <c r="D3358"/>
      <c r="E3358" s="188"/>
      <c r="H3358"/>
      <c r="I3358" s="202"/>
      <c r="J3358"/>
      <c r="K3358" s="205"/>
      <c r="L3358" s="205"/>
      <c r="M3358" s="205"/>
    </row>
    <row r="3359" spans="2:13" ht="15.75">
      <c r="B3359" s="79"/>
      <c r="D3359"/>
      <c r="E3359" s="188"/>
      <c r="H3359"/>
      <c r="I3359" s="202"/>
      <c r="J3359"/>
      <c r="K3359" s="205"/>
      <c r="L3359" s="205"/>
      <c r="M3359" s="205"/>
    </row>
    <row r="3360" spans="2:13" ht="15.75">
      <c r="B3360" s="79"/>
      <c r="D3360"/>
      <c r="E3360" s="188"/>
      <c r="H3360"/>
      <c r="I3360" s="202"/>
      <c r="J3360"/>
      <c r="K3360" s="205"/>
      <c r="L3360" s="205"/>
      <c r="M3360" s="205"/>
    </row>
    <row r="3361" spans="2:13" ht="15.75">
      <c r="B3361" s="79"/>
      <c r="D3361"/>
      <c r="E3361" s="188"/>
      <c r="H3361"/>
      <c r="I3361" s="202"/>
      <c r="J3361"/>
      <c r="K3361" s="205"/>
      <c r="L3361" s="205"/>
      <c r="M3361" s="205"/>
    </row>
    <row r="3362" spans="2:13" ht="15.75">
      <c r="B3362" s="79"/>
      <c r="D3362"/>
      <c r="E3362" s="188"/>
      <c r="H3362"/>
      <c r="I3362" s="202"/>
      <c r="J3362"/>
      <c r="K3362" s="205"/>
      <c r="L3362" s="205"/>
      <c r="M3362" s="205"/>
    </row>
    <row r="3363" spans="2:13" ht="15.75">
      <c r="B3363" s="79"/>
      <c r="D3363"/>
      <c r="E3363" s="188"/>
      <c r="H3363"/>
      <c r="I3363" s="202"/>
      <c r="J3363"/>
      <c r="K3363" s="205"/>
      <c r="L3363" s="205"/>
      <c r="M3363" s="205"/>
    </row>
    <row r="3364" spans="2:13" ht="15.75">
      <c r="B3364" s="79"/>
      <c r="D3364"/>
      <c r="E3364" s="188"/>
      <c r="H3364"/>
      <c r="I3364" s="202"/>
      <c r="J3364"/>
      <c r="K3364" s="205"/>
      <c r="L3364" s="205"/>
      <c r="M3364" s="205"/>
    </row>
    <row r="3365" spans="2:13" ht="15.75">
      <c r="B3365" s="79"/>
      <c r="D3365"/>
      <c r="E3365" s="188"/>
      <c r="H3365"/>
      <c r="I3365" s="202"/>
      <c r="J3365"/>
      <c r="K3365" s="205"/>
      <c r="L3365" s="205"/>
      <c r="M3365" s="205"/>
    </row>
    <row r="3366" spans="2:13" ht="15.75">
      <c r="B3366" s="79"/>
      <c r="D3366"/>
      <c r="E3366" s="188"/>
      <c r="H3366"/>
      <c r="I3366" s="202"/>
      <c r="J3366"/>
      <c r="K3366" s="205"/>
      <c r="L3366" s="205"/>
      <c r="M3366" s="205"/>
    </row>
    <row r="3367" spans="2:13" ht="15.75">
      <c r="B3367" s="79"/>
      <c r="D3367"/>
      <c r="E3367" s="188"/>
      <c r="H3367"/>
      <c r="I3367" s="202"/>
      <c r="J3367"/>
      <c r="K3367" s="205"/>
      <c r="L3367" s="205"/>
      <c r="M3367" s="205"/>
    </row>
    <row r="3368" spans="2:13" ht="15.75">
      <c r="B3368" s="79"/>
      <c r="D3368"/>
      <c r="E3368" s="188"/>
      <c r="H3368"/>
      <c r="I3368" s="202"/>
      <c r="J3368"/>
      <c r="K3368" s="205"/>
      <c r="L3368" s="205"/>
      <c r="M3368" s="205"/>
    </row>
    <row r="3369" spans="2:13" ht="15.75">
      <c r="B3369" s="79"/>
      <c r="D3369"/>
      <c r="E3369" s="188"/>
      <c r="H3369"/>
      <c r="I3369" s="202"/>
      <c r="J3369"/>
      <c r="K3369" s="205"/>
      <c r="L3369" s="205"/>
      <c r="M3369" s="205"/>
    </row>
    <row r="3370" spans="2:13" ht="15.75">
      <c r="B3370" s="79"/>
      <c r="D3370"/>
      <c r="E3370" s="188"/>
      <c r="H3370"/>
      <c r="I3370" s="202"/>
      <c r="J3370"/>
      <c r="K3370" s="205"/>
      <c r="L3370" s="205"/>
      <c r="M3370" s="205"/>
    </row>
    <row r="3371" spans="2:13" ht="15.75">
      <c r="B3371" s="79"/>
      <c r="D3371"/>
      <c r="E3371" s="188"/>
      <c r="H3371"/>
      <c r="I3371" s="202"/>
      <c r="J3371"/>
      <c r="K3371" s="205"/>
      <c r="L3371" s="205"/>
      <c r="M3371" s="205"/>
    </row>
    <row r="3372" spans="2:13" ht="15.75">
      <c r="B3372" s="79"/>
      <c r="D3372"/>
      <c r="E3372" s="188"/>
      <c r="H3372"/>
      <c r="I3372" s="202"/>
      <c r="J3372"/>
      <c r="K3372" s="205"/>
      <c r="L3372" s="205"/>
      <c r="M3372" s="205"/>
    </row>
    <row r="3373" spans="2:13" ht="15.75">
      <c r="B3373" s="79"/>
      <c r="D3373"/>
      <c r="E3373" s="188"/>
      <c r="H3373"/>
      <c r="I3373" s="202"/>
      <c r="J3373"/>
      <c r="K3373" s="205"/>
      <c r="L3373" s="205"/>
      <c r="M3373" s="205"/>
    </row>
    <row r="3374" spans="2:13" ht="15.75">
      <c r="B3374" s="79"/>
      <c r="D3374"/>
      <c r="E3374" s="188"/>
      <c r="H3374"/>
      <c r="I3374" s="202"/>
      <c r="J3374"/>
      <c r="K3374" s="205"/>
      <c r="L3374" s="205"/>
      <c r="M3374" s="205"/>
    </row>
    <row r="3375" spans="2:13" ht="15.75">
      <c r="B3375" s="79"/>
      <c r="D3375"/>
      <c r="E3375" s="188"/>
      <c r="H3375"/>
      <c r="I3375" s="202"/>
      <c r="J3375"/>
      <c r="K3375" s="205"/>
      <c r="L3375" s="205"/>
      <c r="M3375" s="205"/>
    </row>
    <row r="3376" spans="2:13" ht="15.75">
      <c r="B3376" s="79"/>
      <c r="D3376"/>
      <c r="E3376" s="188"/>
      <c r="H3376"/>
      <c r="I3376" s="202"/>
      <c r="J3376"/>
      <c r="K3376" s="205"/>
      <c r="L3376" s="205"/>
      <c r="M3376" s="205"/>
    </row>
    <row r="3377" spans="2:13" ht="15.75">
      <c r="B3377" s="79"/>
      <c r="D3377"/>
      <c r="E3377" s="188"/>
      <c r="H3377"/>
      <c r="I3377" s="202"/>
      <c r="J3377"/>
      <c r="K3377" s="205"/>
      <c r="L3377" s="205"/>
      <c r="M3377" s="205"/>
    </row>
    <row r="3378" spans="2:13" ht="15.75">
      <c r="B3378" s="79"/>
      <c r="D3378"/>
      <c r="E3378" s="188"/>
      <c r="H3378"/>
      <c r="I3378" s="202"/>
      <c r="J3378"/>
      <c r="K3378" s="205"/>
      <c r="L3378" s="205"/>
      <c r="M3378" s="205"/>
    </row>
    <row r="3379" spans="2:13" ht="15.75">
      <c r="B3379" s="79"/>
      <c r="D3379"/>
      <c r="E3379" s="188"/>
      <c r="H3379"/>
      <c r="I3379" s="202"/>
      <c r="J3379"/>
      <c r="K3379" s="205"/>
      <c r="L3379" s="205"/>
      <c r="M3379" s="205"/>
    </row>
    <row r="3380" spans="2:13" ht="15.75">
      <c r="B3380" s="79"/>
      <c r="D3380"/>
      <c r="E3380" s="188"/>
      <c r="H3380"/>
      <c r="I3380" s="202"/>
      <c r="J3380"/>
      <c r="K3380" s="205"/>
      <c r="L3380" s="205"/>
      <c r="M3380" s="205"/>
    </row>
    <row r="3381" spans="2:13" ht="15.75">
      <c r="B3381" s="79"/>
      <c r="D3381"/>
      <c r="E3381" s="188"/>
      <c r="H3381"/>
      <c r="I3381" s="202"/>
      <c r="J3381"/>
      <c r="K3381" s="205"/>
      <c r="L3381" s="205"/>
      <c r="M3381" s="205"/>
    </row>
    <row r="3382" spans="2:13" ht="15.75">
      <c r="B3382" s="79"/>
      <c r="D3382"/>
      <c r="E3382" s="188"/>
      <c r="H3382"/>
      <c r="I3382" s="202"/>
      <c r="J3382"/>
      <c r="K3382" s="205"/>
      <c r="L3382" s="205"/>
      <c r="M3382" s="205"/>
    </row>
    <row r="3383" spans="2:13" ht="15.75">
      <c r="B3383" s="79"/>
      <c r="D3383"/>
      <c r="E3383" s="188"/>
      <c r="H3383"/>
      <c r="I3383" s="202"/>
      <c r="J3383"/>
      <c r="K3383" s="205"/>
      <c r="L3383" s="205"/>
      <c r="M3383" s="205"/>
    </row>
    <row r="3384" spans="2:13" ht="15.75">
      <c r="B3384" s="79"/>
      <c r="D3384"/>
      <c r="E3384" s="188"/>
      <c r="H3384"/>
      <c r="I3384" s="202"/>
      <c r="J3384"/>
      <c r="K3384" s="205"/>
      <c r="L3384" s="205"/>
      <c r="M3384" s="205"/>
    </row>
    <row r="3385" spans="2:13" ht="15.75">
      <c r="B3385" s="79"/>
      <c r="D3385"/>
      <c r="E3385" s="188"/>
      <c r="H3385"/>
      <c r="I3385" s="202"/>
      <c r="J3385"/>
      <c r="K3385" s="205"/>
      <c r="L3385" s="205"/>
      <c r="M3385" s="205"/>
    </row>
    <row r="3386" spans="2:13" ht="15.75">
      <c r="B3386" s="79"/>
      <c r="D3386"/>
      <c r="E3386" s="188"/>
      <c r="H3386"/>
      <c r="I3386" s="202"/>
      <c r="J3386"/>
      <c r="K3386" s="205"/>
      <c r="L3386" s="205"/>
      <c r="M3386" s="205"/>
    </row>
    <row r="3387" spans="2:13" ht="15.75">
      <c r="B3387" s="79"/>
      <c r="D3387"/>
      <c r="E3387" s="188"/>
      <c r="H3387"/>
      <c r="I3387" s="202"/>
      <c r="J3387"/>
      <c r="K3387" s="205"/>
      <c r="L3387" s="205"/>
      <c r="M3387" s="205"/>
    </row>
    <row r="3388" spans="2:13" ht="15.75">
      <c r="B3388" s="79"/>
      <c r="D3388"/>
      <c r="E3388" s="188"/>
      <c r="H3388"/>
      <c r="I3388" s="202"/>
      <c r="J3388"/>
      <c r="K3388" s="205"/>
      <c r="L3388" s="205"/>
      <c r="M3388" s="205"/>
    </row>
    <row r="3389" spans="2:13" ht="15.75">
      <c r="B3389" s="79"/>
      <c r="D3389"/>
      <c r="E3389" s="188"/>
      <c r="H3389"/>
      <c r="I3389" s="202"/>
      <c r="J3389"/>
      <c r="K3389" s="205"/>
      <c r="L3389" s="205"/>
      <c r="M3389" s="205"/>
    </row>
    <row r="3390" spans="2:13" ht="15.75">
      <c r="B3390" s="79"/>
      <c r="D3390"/>
      <c r="E3390" s="188"/>
      <c r="H3390"/>
      <c r="I3390" s="202"/>
      <c r="J3390"/>
      <c r="K3390" s="205"/>
      <c r="L3390" s="205"/>
      <c r="M3390" s="205"/>
    </row>
    <row r="3391" spans="2:13" ht="15.75">
      <c r="B3391" s="79"/>
      <c r="D3391"/>
      <c r="E3391" s="188"/>
      <c r="H3391"/>
      <c r="I3391" s="202"/>
      <c r="J3391"/>
      <c r="K3391" s="205"/>
      <c r="L3391" s="205"/>
      <c r="M3391" s="205"/>
    </row>
    <row r="3392" spans="2:13" ht="15.75">
      <c r="B3392" s="79"/>
      <c r="D3392"/>
      <c r="E3392" s="188"/>
      <c r="H3392"/>
      <c r="I3392" s="202"/>
      <c r="J3392"/>
      <c r="K3392" s="205"/>
      <c r="L3392" s="205"/>
      <c r="M3392" s="205"/>
    </row>
    <row r="3393" spans="2:13" ht="15.75">
      <c r="B3393" s="79"/>
      <c r="D3393"/>
      <c r="E3393" s="188"/>
      <c r="H3393"/>
      <c r="I3393" s="202"/>
      <c r="J3393"/>
      <c r="K3393" s="205"/>
      <c r="L3393" s="205"/>
      <c r="M3393" s="205"/>
    </row>
    <row r="3394" spans="2:13" ht="15.75">
      <c r="B3394" s="79"/>
      <c r="D3394"/>
      <c r="E3394" s="188"/>
      <c r="H3394"/>
      <c r="I3394" s="202"/>
      <c r="J3394"/>
      <c r="K3394" s="205"/>
      <c r="L3394" s="205"/>
      <c r="M3394" s="205"/>
    </row>
    <row r="3395" spans="2:13" ht="15.75">
      <c r="B3395" s="79"/>
      <c r="D3395"/>
      <c r="E3395" s="188"/>
      <c r="H3395"/>
      <c r="I3395" s="202"/>
      <c r="J3395"/>
      <c r="K3395" s="205"/>
      <c r="L3395" s="205"/>
      <c r="M3395" s="205"/>
    </row>
    <row r="3396" spans="2:13" ht="15.75">
      <c r="B3396" s="79"/>
      <c r="D3396"/>
      <c r="E3396" s="188"/>
      <c r="H3396"/>
      <c r="I3396" s="202"/>
      <c r="J3396"/>
      <c r="K3396" s="205"/>
      <c r="L3396" s="205"/>
      <c r="M3396" s="205"/>
    </row>
    <row r="3397" spans="2:13" ht="15.75">
      <c r="B3397" s="79"/>
      <c r="D3397"/>
      <c r="E3397" s="188"/>
      <c r="H3397"/>
      <c r="I3397" s="202"/>
      <c r="J3397"/>
      <c r="K3397" s="205"/>
      <c r="L3397" s="205"/>
      <c r="M3397" s="205"/>
    </row>
    <row r="3398" spans="2:13" ht="15.75">
      <c r="B3398" s="79"/>
      <c r="D3398"/>
      <c r="E3398" s="188"/>
      <c r="H3398"/>
      <c r="I3398" s="202"/>
      <c r="J3398"/>
      <c r="K3398" s="205"/>
      <c r="L3398" s="205"/>
      <c r="M3398" s="205"/>
    </row>
    <row r="3399" spans="2:13" ht="15.75">
      <c r="B3399" s="79"/>
      <c r="D3399"/>
      <c r="E3399" s="188"/>
      <c r="H3399"/>
      <c r="I3399" s="202"/>
      <c r="J3399"/>
      <c r="K3399" s="205"/>
      <c r="L3399" s="205"/>
      <c r="M3399" s="205"/>
    </row>
    <row r="3400" spans="2:13" ht="15.75">
      <c r="B3400" s="79"/>
      <c r="D3400"/>
      <c r="E3400" s="188"/>
      <c r="H3400"/>
      <c r="I3400" s="202"/>
      <c r="J3400"/>
      <c r="K3400" s="205"/>
      <c r="L3400" s="205"/>
      <c r="M3400" s="205"/>
    </row>
    <row r="3401" spans="2:13" ht="15.75">
      <c r="B3401" s="79"/>
      <c r="D3401"/>
      <c r="E3401" s="188"/>
      <c r="H3401"/>
      <c r="I3401" s="202"/>
      <c r="J3401"/>
      <c r="K3401" s="205"/>
      <c r="L3401" s="205"/>
      <c r="M3401" s="205"/>
    </row>
    <row r="3402" spans="2:13" ht="15.75">
      <c r="B3402" s="79"/>
      <c r="D3402"/>
      <c r="E3402" s="188"/>
      <c r="H3402"/>
      <c r="I3402" s="202"/>
      <c r="J3402"/>
      <c r="K3402" s="205"/>
      <c r="L3402" s="205"/>
      <c r="M3402" s="205"/>
    </row>
    <row r="3403" spans="2:13" ht="15.75">
      <c r="B3403" s="79"/>
      <c r="D3403"/>
      <c r="E3403" s="188"/>
      <c r="H3403"/>
      <c r="I3403" s="202"/>
      <c r="J3403"/>
      <c r="K3403" s="205"/>
      <c r="L3403" s="205"/>
      <c r="M3403" s="205"/>
    </row>
    <row r="3404" spans="2:13" ht="15.75">
      <c r="B3404" s="79"/>
      <c r="D3404"/>
      <c r="E3404" s="188"/>
      <c r="H3404"/>
      <c r="I3404" s="202"/>
      <c r="J3404"/>
      <c r="K3404" s="205"/>
      <c r="L3404" s="205"/>
      <c r="M3404" s="205"/>
    </row>
    <row r="3405" spans="2:13" ht="15.75">
      <c r="B3405" s="79"/>
      <c r="D3405"/>
      <c r="E3405" s="188"/>
      <c r="H3405"/>
      <c r="I3405" s="202"/>
      <c r="J3405"/>
      <c r="K3405" s="205"/>
      <c r="L3405" s="205"/>
      <c r="M3405" s="205"/>
    </row>
    <row r="3406" spans="2:13" ht="15.75">
      <c r="B3406" s="79"/>
      <c r="D3406"/>
      <c r="E3406" s="188"/>
      <c r="H3406"/>
      <c r="I3406" s="202"/>
      <c r="J3406"/>
      <c r="K3406" s="205"/>
      <c r="L3406" s="205"/>
      <c r="M3406" s="205"/>
    </row>
    <row r="3407" spans="2:13" ht="15.75">
      <c r="B3407" s="79"/>
      <c r="D3407"/>
      <c r="E3407" s="188"/>
      <c r="H3407"/>
      <c r="I3407" s="202"/>
      <c r="J3407"/>
      <c r="K3407" s="205"/>
      <c r="L3407" s="205"/>
      <c r="M3407" s="205"/>
    </row>
    <row r="3408" spans="2:13" ht="15.75">
      <c r="B3408" s="79"/>
      <c r="D3408"/>
      <c r="E3408" s="188"/>
      <c r="H3408"/>
      <c r="I3408" s="202"/>
      <c r="J3408"/>
      <c r="K3408" s="205"/>
      <c r="L3408" s="205"/>
      <c r="M3408" s="205"/>
    </row>
    <row r="3409" spans="2:13" ht="15.75">
      <c r="B3409" s="79"/>
      <c r="D3409"/>
      <c r="E3409" s="188"/>
      <c r="H3409"/>
      <c r="I3409" s="202"/>
      <c r="J3409"/>
      <c r="K3409" s="205"/>
      <c r="L3409" s="205"/>
      <c r="M3409" s="205"/>
    </row>
    <row r="3410" spans="2:13" ht="15.75">
      <c r="B3410" s="79"/>
      <c r="D3410"/>
      <c r="E3410" s="188"/>
      <c r="H3410"/>
      <c r="I3410" s="202"/>
      <c r="J3410"/>
      <c r="K3410" s="205"/>
      <c r="L3410" s="205"/>
      <c r="M3410" s="205"/>
    </row>
    <row r="3411" spans="2:13" ht="15.75">
      <c r="B3411" s="79"/>
      <c r="D3411"/>
      <c r="E3411" s="188"/>
      <c r="H3411"/>
      <c r="I3411" s="202"/>
      <c r="J3411"/>
      <c r="K3411" s="205"/>
      <c r="L3411" s="205"/>
      <c r="M3411" s="205"/>
    </row>
    <row r="3412" spans="2:13" ht="15.75">
      <c r="B3412" s="79"/>
      <c r="D3412"/>
      <c r="E3412" s="188"/>
      <c r="H3412"/>
      <c r="I3412" s="202"/>
      <c r="J3412"/>
      <c r="K3412" s="205"/>
      <c r="L3412" s="205"/>
      <c r="M3412" s="205"/>
    </row>
    <row r="3413" spans="2:13" ht="15.75">
      <c r="B3413" s="79"/>
      <c r="D3413"/>
      <c r="E3413" s="188"/>
      <c r="H3413"/>
      <c r="I3413" s="202"/>
      <c r="J3413"/>
      <c r="K3413" s="205"/>
      <c r="L3413" s="205"/>
      <c r="M3413" s="205"/>
    </row>
    <row r="3414" spans="2:13" ht="15.75">
      <c r="B3414" s="79"/>
      <c r="D3414"/>
      <c r="E3414" s="188"/>
      <c r="H3414"/>
      <c r="I3414" s="202"/>
      <c r="J3414"/>
      <c r="K3414" s="205"/>
      <c r="L3414" s="205"/>
      <c r="M3414" s="205"/>
    </row>
    <row r="3415" spans="2:13" ht="15.75">
      <c r="B3415" s="79"/>
      <c r="D3415"/>
      <c r="E3415" s="188"/>
      <c r="H3415"/>
      <c r="I3415" s="202"/>
      <c r="J3415"/>
      <c r="K3415" s="205"/>
      <c r="L3415" s="205"/>
      <c r="M3415" s="205"/>
    </row>
    <row r="3416" spans="2:13" ht="15.75">
      <c r="B3416" s="79"/>
      <c r="D3416"/>
      <c r="E3416" s="188"/>
      <c r="H3416"/>
      <c r="I3416" s="202"/>
      <c r="J3416"/>
      <c r="K3416" s="205"/>
      <c r="L3416" s="205"/>
      <c r="M3416" s="205"/>
    </row>
    <row r="3417" spans="2:13" ht="15.75">
      <c r="B3417" s="79"/>
      <c r="D3417"/>
      <c r="E3417" s="188"/>
      <c r="H3417"/>
      <c r="I3417" s="202"/>
      <c r="J3417"/>
      <c r="K3417" s="205"/>
      <c r="L3417" s="205"/>
      <c r="M3417" s="205"/>
    </row>
    <row r="3418" spans="2:13" ht="15.75">
      <c r="B3418" s="79"/>
      <c r="D3418"/>
      <c r="E3418" s="188"/>
      <c r="H3418"/>
      <c r="I3418" s="202"/>
      <c r="J3418"/>
      <c r="K3418" s="205"/>
      <c r="L3418" s="205"/>
      <c r="M3418" s="205"/>
    </row>
    <row r="3419" spans="2:13" ht="15.75">
      <c r="B3419" s="79"/>
      <c r="D3419"/>
      <c r="E3419" s="188"/>
      <c r="H3419"/>
      <c r="I3419" s="202"/>
      <c r="J3419"/>
      <c r="K3419" s="205"/>
      <c r="L3419" s="205"/>
      <c r="M3419" s="205"/>
    </row>
    <row r="3420" spans="2:13" ht="15.75">
      <c r="B3420" s="79"/>
      <c r="D3420"/>
      <c r="E3420" s="188"/>
      <c r="H3420"/>
      <c r="I3420" s="202"/>
      <c r="J3420"/>
      <c r="K3420" s="205"/>
      <c r="L3420" s="205"/>
      <c r="M3420" s="205"/>
    </row>
    <row r="3421" spans="2:13" ht="15.75">
      <c r="B3421" s="79"/>
      <c r="D3421"/>
      <c r="E3421" s="188"/>
      <c r="H3421"/>
      <c r="I3421" s="202"/>
      <c r="J3421"/>
      <c r="K3421" s="205"/>
      <c r="L3421" s="205"/>
      <c r="M3421" s="205"/>
    </row>
    <row r="3422" spans="2:13" ht="15.75">
      <c r="B3422" s="79"/>
      <c r="D3422"/>
      <c r="E3422" s="188"/>
      <c r="H3422"/>
      <c r="I3422" s="202"/>
      <c r="J3422"/>
      <c r="K3422" s="205"/>
      <c r="L3422" s="205"/>
      <c r="M3422" s="205"/>
    </row>
    <row r="3423" spans="2:13" ht="15.75">
      <c r="B3423" s="79"/>
      <c r="D3423"/>
      <c r="E3423" s="188"/>
      <c r="H3423"/>
      <c r="I3423" s="202"/>
      <c r="J3423"/>
      <c r="K3423" s="205"/>
      <c r="L3423" s="205"/>
      <c r="M3423" s="205"/>
    </row>
    <row r="3424" spans="2:13" ht="15.75">
      <c r="B3424" s="79"/>
      <c r="D3424"/>
      <c r="E3424" s="188"/>
      <c r="H3424"/>
      <c r="I3424" s="202"/>
      <c r="J3424"/>
      <c r="K3424" s="205"/>
      <c r="L3424" s="205"/>
      <c r="M3424" s="205"/>
    </row>
    <row r="3425" spans="2:13" ht="15.75">
      <c r="B3425" s="79"/>
      <c r="D3425"/>
      <c r="E3425" s="188"/>
      <c r="H3425"/>
      <c r="I3425" s="202"/>
      <c r="J3425"/>
      <c r="K3425" s="205"/>
      <c r="L3425" s="205"/>
      <c r="M3425" s="205"/>
    </row>
    <row r="3426" spans="2:13" ht="15.75">
      <c r="B3426" s="79"/>
      <c r="D3426"/>
      <c r="E3426" s="188"/>
      <c r="H3426"/>
      <c r="I3426" s="202"/>
      <c r="J3426"/>
      <c r="K3426" s="205"/>
      <c r="L3426" s="205"/>
      <c r="M3426" s="205"/>
    </row>
    <row r="3427" spans="2:13" ht="15.75">
      <c r="B3427" s="79"/>
      <c r="D3427"/>
      <c r="E3427" s="188"/>
      <c r="H3427"/>
      <c r="I3427" s="202"/>
      <c r="J3427"/>
      <c r="K3427" s="205"/>
      <c r="L3427" s="205"/>
      <c r="M3427" s="205"/>
    </row>
    <row r="3428" spans="2:13" ht="15.75">
      <c r="B3428" s="79"/>
      <c r="D3428"/>
      <c r="E3428" s="188"/>
      <c r="H3428"/>
      <c r="I3428" s="202"/>
      <c r="J3428"/>
      <c r="K3428" s="205"/>
      <c r="L3428" s="205"/>
      <c r="M3428" s="205"/>
    </row>
    <row r="3429" spans="2:13" ht="15.75">
      <c r="B3429" s="79"/>
      <c r="D3429"/>
      <c r="E3429" s="188"/>
      <c r="H3429"/>
      <c r="I3429" s="202"/>
      <c r="J3429"/>
      <c r="K3429" s="205"/>
      <c r="L3429" s="205"/>
      <c r="M3429" s="205"/>
    </row>
    <row r="3430" spans="2:13" ht="15.75">
      <c r="B3430" s="79"/>
      <c r="D3430"/>
      <c r="E3430" s="188"/>
      <c r="H3430"/>
      <c r="I3430" s="202"/>
      <c r="J3430"/>
      <c r="K3430" s="205"/>
      <c r="L3430" s="205"/>
      <c r="M3430" s="205"/>
    </row>
    <row r="3431" spans="2:13" ht="15.75">
      <c r="B3431" s="79"/>
      <c r="D3431"/>
      <c r="E3431" s="188"/>
      <c r="H3431"/>
      <c r="I3431" s="202"/>
      <c r="J3431"/>
      <c r="K3431" s="205"/>
      <c r="L3431" s="205"/>
      <c r="M3431" s="205"/>
    </row>
    <row r="3432" spans="2:13" ht="15.75">
      <c r="B3432" s="79"/>
      <c r="D3432"/>
      <c r="E3432" s="188"/>
      <c r="H3432"/>
      <c r="I3432" s="202"/>
      <c r="J3432"/>
      <c r="K3432" s="205"/>
      <c r="L3432" s="205"/>
      <c r="M3432" s="205"/>
    </row>
    <row r="3433" spans="2:13" ht="15.75">
      <c r="B3433" s="79"/>
      <c r="D3433"/>
      <c r="E3433" s="188"/>
      <c r="H3433"/>
      <c r="I3433" s="202"/>
      <c r="J3433"/>
      <c r="K3433" s="205"/>
      <c r="L3433" s="205"/>
      <c r="M3433" s="205"/>
    </row>
    <row r="3434" spans="2:13" ht="15.75">
      <c r="B3434" s="79"/>
      <c r="D3434"/>
      <c r="E3434" s="188"/>
      <c r="H3434"/>
      <c r="I3434" s="202"/>
      <c r="J3434"/>
      <c r="K3434" s="205"/>
      <c r="L3434" s="205"/>
      <c r="M3434" s="205"/>
    </row>
    <row r="3435" spans="2:13" ht="15.75">
      <c r="B3435" s="79"/>
      <c r="D3435"/>
      <c r="E3435" s="188"/>
      <c r="H3435"/>
      <c r="I3435" s="202"/>
      <c r="J3435"/>
      <c r="K3435" s="205"/>
      <c r="L3435" s="205"/>
      <c r="M3435" s="205"/>
    </row>
    <row r="3436" spans="2:13" ht="15.75">
      <c r="B3436" s="79"/>
      <c r="D3436"/>
      <c r="E3436" s="188"/>
      <c r="H3436"/>
      <c r="I3436" s="202"/>
      <c r="J3436"/>
      <c r="K3436" s="205"/>
      <c r="L3436" s="205"/>
      <c r="M3436" s="205"/>
    </row>
    <row r="3437" spans="2:13" ht="15.75">
      <c r="B3437" s="79"/>
      <c r="D3437"/>
      <c r="E3437" s="188"/>
      <c r="H3437"/>
      <c r="I3437" s="202"/>
      <c r="J3437"/>
      <c r="K3437" s="205"/>
      <c r="L3437" s="205"/>
      <c r="M3437" s="205"/>
    </row>
    <row r="3438" spans="2:13" ht="15.75">
      <c r="B3438" s="79"/>
      <c r="D3438"/>
      <c r="E3438" s="188"/>
      <c r="H3438"/>
      <c r="I3438" s="202"/>
      <c r="J3438"/>
      <c r="K3438" s="205"/>
      <c r="L3438" s="205"/>
      <c r="M3438" s="205"/>
    </row>
    <row r="3439" spans="2:13" ht="15.75">
      <c r="B3439" s="79"/>
      <c r="D3439"/>
      <c r="E3439" s="188"/>
      <c r="H3439"/>
      <c r="I3439" s="202"/>
      <c r="J3439"/>
      <c r="K3439" s="205"/>
      <c r="L3439" s="205"/>
      <c r="M3439" s="205"/>
    </row>
    <row r="3440" spans="2:13" ht="15.75">
      <c r="B3440" s="79"/>
      <c r="D3440"/>
      <c r="E3440" s="188"/>
      <c r="H3440"/>
      <c r="I3440" s="202"/>
      <c r="J3440"/>
      <c r="K3440" s="205"/>
      <c r="L3440" s="205"/>
      <c r="M3440" s="205"/>
    </row>
    <row r="3441" spans="2:13" ht="15.75">
      <c r="B3441" s="79"/>
      <c r="D3441"/>
      <c r="E3441" s="188"/>
      <c r="H3441"/>
      <c r="I3441" s="202"/>
      <c r="J3441"/>
      <c r="K3441" s="205"/>
      <c r="L3441" s="205"/>
      <c r="M3441" s="205"/>
    </row>
    <row r="3442" spans="2:13" ht="15.75">
      <c r="B3442" s="79"/>
      <c r="D3442"/>
      <c r="E3442" s="188"/>
      <c r="H3442"/>
      <c r="I3442" s="202"/>
      <c r="J3442"/>
      <c r="K3442" s="205"/>
      <c r="L3442" s="205"/>
      <c r="M3442" s="205"/>
    </row>
    <row r="3443" spans="2:13" ht="15.75">
      <c r="B3443" s="79"/>
      <c r="D3443"/>
      <c r="E3443" s="188"/>
      <c r="H3443"/>
      <c r="I3443" s="202"/>
      <c r="J3443"/>
      <c r="K3443" s="205"/>
      <c r="L3443" s="205"/>
      <c r="M3443" s="205"/>
    </row>
    <row r="3444" spans="2:13" ht="15.75">
      <c r="B3444" s="79"/>
      <c r="D3444"/>
      <c r="E3444" s="188"/>
      <c r="H3444"/>
      <c r="I3444" s="202"/>
      <c r="J3444"/>
      <c r="K3444" s="205"/>
      <c r="L3444" s="205"/>
      <c r="M3444" s="205"/>
    </row>
    <row r="3445" spans="2:13" ht="15.75">
      <c r="B3445" s="79"/>
      <c r="D3445"/>
      <c r="E3445" s="188"/>
      <c r="H3445"/>
      <c r="I3445" s="202"/>
      <c r="J3445"/>
      <c r="K3445" s="205"/>
      <c r="L3445" s="205"/>
      <c r="M3445" s="205"/>
    </row>
    <row r="3446" spans="2:13" ht="15.75">
      <c r="B3446" s="79"/>
      <c r="D3446"/>
      <c r="E3446" s="188"/>
      <c r="H3446"/>
      <c r="I3446" s="202"/>
      <c r="J3446"/>
      <c r="K3446" s="205"/>
      <c r="L3446" s="205"/>
      <c r="M3446" s="205"/>
    </row>
    <row r="3447" spans="2:13" ht="15.75">
      <c r="B3447" s="79"/>
      <c r="D3447"/>
      <c r="E3447" s="188"/>
      <c r="H3447"/>
      <c r="I3447" s="202"/>
      <c r="J3447"/>
      <c r="K3447" s="205"/>
      <c r="L3447" s="205"/>
      <c r="M3447" s="205"/>
    </row>
    <row r="3448" spans="2:13" ht="15.75">
      <c r="B3448" s="79"/>
      <c r="D3448"/>
      <c r="E3448" s="188"/>
      <c r="H3448"/>
      <c r="I3448" s="202"/>
      <c r="J3448"/>
      <c r="K3448" s="205"/>
      <c r="L3448" s="205"/>
      <c r="M3448" s="205"/>
    </row>
    <row r="3449" spans="2:13" ht="15.75">
      <c r="B3449" s="79"/>
      <c r="D3449"/>
      <c r="E3449" s="188"/>
      <c r="H3449"/>
      <c r="I3449" s="202"/>
      <c r="J3449"/>
      <c r="K3449" s="205"/>
      <c r="L3449" s="205"/>
      <c r="M3449" s="205"/>
    </row>
    <row r="3450" spans="2:13" ht="15.75">
      <c r="B3450" s="79"/>
      <c r="D3450"/>
      <c r="E3450" s="188"/>
      <c r="H3450"/>
      <c r="I3450" s="202"/>
      <c r="J3450"/>
      <c r="K3450" s="205"/>
      <c r="L3450" s="205"/>
      <c r="M3450" s="205"/>
    </row>
    <row r="3451" spans="2:13" ht="15.75">
      <c r="B3451" s="79"/>
      <c r="D3451"/>
      <c r="E3451" s="188"/>
      <c r="H3451"/>
      <c r="I3451" s="202"/>
      <c r="J3451"/>
      <c r="K3451" s="205"/>
      <c r="L3451" s="205"/>
      <c r="M3451" s="205"/>
    </row>
    <row r="3452" spans="2:13" ht="15.75">
      <c r="B3452" s="79"/>
      <c r="D3452"/>
      <c r="E3452" s="188"/>
      <c r="H3452"/>
      <c r="I3452" s="202"/>
      <c r="J3452"/>
      <c r="K3452" s="205"/>
      <c r="L3452" s="205"/>
      <c r="M3452" s="205"/>
    </row>
    <row r="3453" spans="2:13" ht="15.75">
      <c r="B3453" s="79"/>
      <c r="D3453"/>
      <c r="E3453" s="188"/>
      <c r="H3453"/>
      <c r="I3453" s="202"/>
      <c r="J3453"/>
      <c r="K3453" s="205"/>
      <c r="L3453" s="205"/>
      <c r="M3453" s="205"/>
    </row>
    <row r="3454" spans="2:13" ht="15.75">
      <c r="B3454" s="79"/>
      <c r="D3454"/>
      <c r="E3454" s="188"/>
      <c r="H3454"/>
      <c r="I3454" s="202"/>
      <c r="J3454"/>
      <c r="K3454" s="205"/>
      <c r="L3454" s="205"/>
      <c r="M3454" s="205"/>
    </row>
    <row r="3455" spans="2:13" ht="15.75">
      <c r="B3455" s="79"/>
      <c r="D3455"/>
      <c r="E3455" s="188"/>
      <c r="H3455"/>
      <c r="I3455" s="202"/>
      <c r="J3455"/>
      <c r="K3455" s="205"/>
      <c r="L3455" s="205"/>
      <c r="M3455" s="205"/>
    </row>
    <row r="3456" spans="2:13" ht="15.75">
      <c r="B3456" s="79"/>
      <c r="D3456"/>
      <c r="E3456" s="188"/>
      <c r="H3456"/>
      <c r="I3456" s="202"/>
      <c r="J3456"/>
      <c r="K3456" s="205"/>
      <c r="L3456" s="205"/>
      <c r="M3456" s="205"/>
    </row>
    <row r="3457" spans="2:13" ht="15.75">
      <c r="B3457" s="79"/>
      <c r="D3457"/>
      <c r="E3457" s="188"/>
      <c r="H3457"/>
      <c r="I3457" s="202"/>
      <c r="J3457"/>
      <c r="K3457" s="205"/>
      <c r="L3457" s="205"/>
      <c r="M3457" s="205"/>
    </row>
    <row r="3458" spans="2:13" ht="15.75">
      <c r="B3458" s="79"/>
      <c r="D3458"/>
      <c r="E3458" s="188"/>
      <c r="H3458"/>
      <c r="I3458" s="202"/>
      <c r="J3458"/>
      <c r="K3458" s="205"/>
      <c r="L3458" s="205"/>
      <c r="M3458" s="205"/>
    </row>
    <row r="3459" spans="2:13" ht="15.75">
      <c r="B3459" s="79"/>
      <c r="D3459"/>
      <c r="E3459" s="188"/>
      <c r="H3459"/>
      <c r="I3459" s="202"/>
      <c r="J3459"/>
      <c r="K3459" s="205"/>
      <c r="L3459" s="205"/>
      <c r="M3459" s="205"/>
    </row>
    <row r="3460" spans="2:13" ht="15.75">
      <c r="B3460" s="79"/>
      <c r="D3460"/>
      <c r="E3460" s="188"/>
      <c r="H3460"/>
      <c r="I3460" s="202"/>
      <c r="J3460"/>
      <c r="K3460" s="205"/>
      <c r="L3460" s="205"/>
      <c r="M3460" s="205"/>
    </row>
    <row r="3461" spans="2:13" ht="15.75">
      <c r="B3461" s="79"/>
      <c r="D3461"/>
      <c r="E3461" s="188"/>
      <c r="H3461"/>
      <c r="I3461" s="202"/>
      <c r="J3461"/>
      <c r="K3461" s="205"/>
      <c r="L3461" s="205"/>
      <c r="M3461" s="205"/>
    </row>
    <row r="3462" spans="2:13" ht="15.75">
      <c r="B3462" s="79"/>
      <c r="D3462"/>
      <c r="E3462" s="188"/>
      <c r="H3462"/>
      <c r="I3462" s="202"/>
      <c r="J3462"/>
      <c r="K3462" s="205"/>
      <c r="L3462" s="205"/>
      <c r="M3462" s="205"/>
    </row>
    <row r="3463" spans="2:13" ht="15.75">
      <c r="B3463" s="79"/>
      <c r="D3463"/>
      <c r="E3463" s="188"/>
      <c r="H3463"/>
      <c r="I3463" s="202"/>
      <c r="J3463"/>
      <c r="K3463" s="205"/>
      <c r="L3463" s="205"/>
      <c r="M3463" s="205"/>
    </row>
    <row r="3464" spans="2:13" ht="15.75">
      <c r="B3464" s="79"/>
      <c r="D3464"/>
      <c r="E3464" s="188"/>
      <c r="H3464"/>
      <c r="I3464" s="202"/>
      <c r="J3464"/>
      <c r="K3464" s="205"/>
      <c r="L3464" s="205"/>
      <c r="M3464" s="205"/>
    </row>
    <row r="3465" spans="2:13" ht="15.75">
      <c r="B3465" s="79"/>
      <c r="D3465"/>
      <c r="E3465" s="188"/>
      <c r="H3465"/>
      <c r="I3465" s="202"/>
      <c r="J3465"/>
      <c r="K3465" s="205"/>
      <c r="L3465" s="205"/>
      <c r="M3465" s="205"/>
    </row>
    <row r="3466" spans="2:13" ht="15.75">
      <c r="B3466" s="79"/>
      <c r="D3466"/>
      <c r="E3466" s="188"/>
      <c r="H3466"/>
      <c r="I3466" s="202"/>
      <c r="J3466"/>
      <c r="K3466" s="205"/>
      <c r="L3466" s="205"/>
      <c r="M3466" s="205"/>
    </row>
    <row r="3467" spans="2:13" ht="15.75">
      <c r="B3467" s="79"/>
      <c r="D3467"/>
      <c r="E3467" s="188"/>
      <c r="H3467"/>
      <c r="I3467" s="202"/>
      <c r="J3467"/>
      <c r="K3467" s="205"/>
      <c r="L3467" s="205"/>
      <c r="M3467" s="205"/>
    </row>
    <row r="3468" spans="2:13" ht="15.75">
      <c r="B3468" s="79"/>
      <c r="D3468"/>
      <c r="E3468" s="188"/>
      <c r="H3468"/>
      <c r="I3468" s="202"/>
      <c r="J3468"/>
      <c r="K3468" s="205"/>
      <c r="L3468" s="205"/>
      <c r="M3468" s="205"/>
    </row>
    <row r="3469" spans="2:13" ht="15.75">
      <c r="B3469" s="79"/>
      <c r="D3469"/>
      <c r="E3469" s="188"/>
      <c r="H3469"/>
      <c r="I3469" s="202"/>
      <c r="J3469"/>
      <c r="K3469" s="205"/>
      <c r="L3469" s="205"/>
      <c r="M3469" s="205"/>
    </row>
    <row r="3470" spans="2:13" ht="15.75">
      <c r="B3470" s="79"/>
      <c r="D3470"/>
      <c r="E3470" s="188"/>
      <c r="H3470"/>
      <c r="I3470" s="202"/>
      <c r="J3470"/>
      <c r="K3470" s="205"/>
      <c r="L3470" s="205"/>
      <c r="M3470" s="205"/>
    </row>
    <row r="3471" spans="2:13" ht="15.75">
      <c r="B3471" s="79"/>
      <c r="D3471"/>
      <c r="E3471" s="188"/>
      <c r="H3471"/>
      <c r="I3471" s="202"/>
      <c r="J3471"/>
      <c r="K3471" s="205"/>
      <c r="L3471" s="205"/>
      <c r="M3471" s="205"/>
    </row>
    <row r="3472" spans="2:13" ht="15.75">
      <c r="B3472" s="79"/>
      <c r="D3472"/>
      <c r="E3472" s="188"/>
      <c r="H3472"/>
      <c r="I3472" s="202"/>
      <c r="J3472"/>
      <c r="K3472" s="205"/>
      <c r="L3472" s="205"/>
      <c r="M3472" s="205"/>
    </row>
    <row r="3473" spans="2:13" ht="15.75">
      <c r="B3473" s="79"/>
      <c r="D3473"/>
      <c r="E3473" s="188"/>
      <c r="H3473"/>
      <c r="I3473" s="202"/>
      <c r="J3473"/>
      <c r="K3473" s="205"/>
      <c r="L3473" s="205"/>
      <c r="M3473" s="205"/>
    </row>
    <row r="3474" spans="2:13" ht="15.75">
      <c r="B3474" s="79"/>
      <c r="D3474"/>
      <c r="E3474" s="188"/>
      <c r="H3474"/>
      <c r="I3474" s="202"/>
      <c r="J3474"/>
      <c r="K3474" s="205"/>
      <c r="L3474" s="205"/>
      <c r="M3474" s="205"/>
    </row>
    <row r="3475" spans="2:13" ht="15.75">
      <c r="B3475" s="79"/>
      <c r="D3475"/>
      <c r="E3475" s="188"/>
      <c r="H3475"/>
      <c r="I3475" s="202"/>
      <c r="J3475"/>
      <c r="K3475" s="205"/>
      <c r="L3475" s="205"/>
      <c r="M3475" s="205"/>
    </row>
    <row r="3476" spans="2:13" ht="15.75">
      <c r="B3476" s="79"/>
      <c r="D3476"/>
      <c r="E3476" s="188"/>
      <c r="H3476"/>
      <c r="I3476" s="202"/>
      <c r="J3476"/>
      <c r="K3476" s="205"/>
      <c r="L3476" s="205"/>
      <c r="M3476" s="205"/>
    </row>
    <row r="3477" spans="2:13" ht="15.75">
      <c r="B3477" s="79"/>
      <c r="D3477"/>
      <c r="E3477" s="188"/>
      <c r="H3477"/>
      <c r="I3477" s="202"/>
      <c r="J3477"/>
      <c r="K3477" s="205"/>
      <c r="L3477" s="205"/>
      <c r="M3477" s="205"/>
    </row>
    <row r="3478" spans="2:13" ht="15.75">
      <c r="B3478" s="79"/>
      <c r="D3478"/>
      <c r="E3478" s="188"/>
      <c r="H3478"/>
      <c r="I3478" s="202"/>
      <c r="J3478"/>
      <c r="K3478" s="205"/>
      <c r="L3478" s="205"/>
      <c r="M3478" s="205"/>
    </row>
    <row r="3479" spans="2:13" ht="15.75">
      <c r="B3479" s="79"/>
      <c r="D3479"/>
      <c r="E3479" s="188"/>
      <c r="H3479"/>
      <c r="I3479" s="202"/>
      <c r="J3479"/>
      <c r="K3479" s="205"/>
      <c r="L3479" s="205"/>
      <c r="M3479" s="205"/>
    </row>
    <row r="3480" spans="2:13" ht="15.75">
      <c r="B3480" s="79"/>
      <c r="D3480"/>
      <c r="E3480" s="188"/>
      <c r="H3480"/>
      <c r="I3480" s="202"/>
      <c r="J3480"/>
      <c r="K3480" s="205"/>
      <c r="L3480" s="205"/>
      <c r="M3480" s="205"/>
    </row>
    <row r="3481" spans="2:13" ht="15.75">
      <c r="B3481" s="79"/>
      <c r="D3481"/>
      <c r="E3481" s="188"/>
      <c r="H3481"/>
      <c r="I3481" s="202"/>
      <c r="J3481"/>
      <c r="K3481" s="205"/>
      <c r="L3481" s="205"/>
      <c r="M3481" s="205"/>
    </row>
    <row r="3482" spans="2:13" ht="15.75">
      <c r="B3482" s="79"/>
      <c r="D3482"/>
      <c r="E3482" s="188"/>
      <c r="H3482"/>
      <c r="I3482" s="202"/>
      <c r="J3482"/>
      <c r="K3482" s="205"/>
      <c r="L3482" s="205"/>
      <c r="M3482" s="205"/>
    </row>
    <row r="3483" spans="2:13" ht="15.75">
      <c r="B3483" s="79"/>
      <c r="D3483"/>
      <c r="E3483" s="188"/>
      <c r="H3483"/>
      <c r="I3483" s="202"/>
      <c r="J3483"/>
      <c r="K3483" s="205"/>
      <c r="L3483" s="205"/>
      <c r="M3483" s="205"/>
    </row>
    <row r="3484" spans="2:13" ht="15.75">
      <c r="B3484" s="79"/>
      <c r="D3484"/>
      <c r="E3484" s="188"/>
      <c r="H3484"/>
      <c r="I3484" s="202"/>
      <c r="J3484"/>
      <c r="K3484" s="205"/>
      <c r="L3484" s="205"/>
      <c r="M3484" s="205"/>
    </row>
    <row r="3485" spans="2:13" ht="15.75">
      <c r="B3485" s="79"/>
      <c r="D3485"/>
      <c r="E3485" s="188"/>
      <c r="H3485"/>
      <c r="I3485" s="202"/>
      <c r="J3485"/>
      <c r="K3485" s="205"/>
      <c r="L3485" s="205"/>
      <c r="M3485" s="205"/>
    </row>
    <row r="3486" spans="2:13" ht="15.75">
      <c r="B3486" s="79"/>
      <c r="D3486"/>
      <c r="E3486" s="188"/>
      <c r="H3486"/>
      <c r="I3486" s="202"/>
      <c r="J3486"/>
      <c r="K3486" s="205"/>
      <c r="L3486" s="205"/>
      <c r="M3486" s="205"/>
    </row>
    <row r="3487" spans="2:13" ht="15.75">
      <c r="B3487" s="79"/>
      <c r="D3487"/>
      <c r="E3487" s="188"/>
      <c r="H3487"/>
      <c r="I3487" s="202"/>
      <c r="J3487"/>
      <c r="K3487" s="205"/>
      <c r="L3487" s="205"/>
      <c r="M3487" s="205"/>
    </row>
    <row r="3488" spans="2:13" ht="15.75">
      <c r="B3488" s="79"/>
      <c r="D3488"/>
      <c r="E3488" s="188"/>
      <c r="H3488"/>
      <c r="I3488" s="202"/>
      <c r="J3488"/>
      <c r="K3488" s="205"/>
      <c r="L3488" s="205"/>
      <c r="M3488" s="205"/>
    </row>
    <row r="3489" spans="2:13" ht="15.75">
      <c r="B3489" s="79"/>
      <c r="D3489"/>
      <c r="E3489" s="188"/>
      <c r="H3489"/>
      <c r="I3489" s="202"/>
      <c r="J3489"/>
      <c r="K3489" s="205"/>
      <c r="L3489" s="205"/>
      <c r="M3489" s="205"/>
    </row>
    <row r="3490" spans="2:13" ht="15.75">
      <c r="B3490" s="79"/>
      <c r="D3490"/>
      <c r="E3490" s="188"/>
      <c r="H3490"/>
      <c r="I3490" s="202"/>
      <c r="J3490"/>
      <c r="K3490" s="205"/>
      <c r="L3490" s="205"/>
      <c r="M3490" s="205"/>
    </row>
    <row r="3491" spans="2:13" ht="15.75">
      <c r="B3491" s="79"/>
      <c r="D3491"/>
      <c r="E3491" s="188"/>
      <c r="H3491"/>
      <c r="I3491" s="202"/>
      <c r="J3491"/>
      <c r="K3491" s="205"/>
      <c r="L3491" s="205"/>
      <c r="M3491" s="205"/>
    </row>
    <row r="3492" spans="2:13" ht="15.75">
      <c r="B3492" s="79"/>
      <c r="D3492"/>
      <c r="E3492" s="188"/>
      <c r="H3492"/>
      <c r="I3492" s="202"/>
      <c r="J3492"/>
      <c r="K3492" s="205"/>
      <c r="L3492" s="205"/>
      <c r="M3492" s="205"/>
    </row>
    <row r="3493" spans="2:13" ht="15.75">
      <c r="B3493" s="79"/>
      <c r="D3493"/>
      <c r="E3493" s="188"/>
      <c r="H3493"/>
      <c r="I3493" s="202"/>
      <c r="J3493"/>
      <c r="K3493" s="205"/>
      <c r="L3493" s="205"/>
      <c r="M3493" s="205"/>
    </row>
    <row r="3494" spans="2:13" ht="15.75">
      <c r="B3494" s="79"/>
      <c r="D3494"/>
      <c r="E3494" s="188"/>
      <c r="H3494"/>
      <c r="I3494" s="202"/>
      <c r="J3494"/>
      <c r="K3494" s="205"/>
      <c r="L3494" s="205"/>
      <c r="M3494" s="205"/>
    </row>
    <row r="3495" spans="2:13" ht="15.75">
      <c r="B3495" s="79"/>
      <c r="D3495"/>
      <c r="E3495" s="188"/>
      <c r="H3495"/>
      <c r="I3495" s="202"/>
      <c r="J3495"/>
      <c r="K3495" s="205"/>
      <c r="L3495" s="205"/>
      <c r="M3495" s="205"/>
    </row>
    <row r="3496" spans="2:13" ht="15.75">
      <c r="B3496" s="79"/>
      <c r="D3496"/>
      <c r="E3496" s="188"/>
      <c r="H3496"/>
      <c r="I3496" s="202"/>
      <c r="J3496"/>
      <c r="K3496" s="205"/>
      <c r="L3496" s="205"/>
      <c r="M3496" s="205"/>
    </row>
    <row r="3497" spans="2:13" ht="15.75">
      <c r="B3497" s="79"/>
      <c r="D3497"/>
      <c r="E3497" s="188"/>
      <c r="H3497"/>
      <c r="I3497" s="202"/>
      <c r="J3497"/>
      <c r="K3497" s="205"/>
      <c r="L3497" s="205"/>
      <c r="M3497" s="205"/>
    </row>
    <row r="3498" spans="2:13" ht="15.75">
      <c r="B3498" s="79"/>
      <c r="D3498"/>
      <c r="E3498" s="188"/>
      <c r="H3498"/>
      <c r="I3498" s="202"/>
      <c r="J3498"/>
      <c r="K3498" s="205"/>
      <c r="L3498" s="205"/>
      <c r="M3498" s="205"/>
    </row>
    <row r="3499" spans="2:13" ht="15.75">
      <c r="B3499" s="79"/>
      <c r="D3499"/>
      <c r="E3499" s="188"/>
      <c r="H3499"/>
      <c r="I3499" s="202"/>
      <c r="J3499"/>
      <c r="K3499" s="205"/>
      <c r="L3499" s="205"/>
      <c r="M3499" s="205"/>
    </row>
    <row r="3500" spans="2:13" ht="15.75">
      <c r="B3500" s="79"/>
      <c r="D3500"/>
      <c r="E3500" s="188"/>
      <c r="H3500"/>
      <c r="I3500" s="202"/>
      <c r="J3500"/>
      <c r="K3500" s="205"/>
      <c r="L3500" s="205"/>
      <c r="M3500" s="205"/>
    </row>
    <row r="3501" spans="2:13" ht="15.75">
      <c r="B3501" s="79"/>
      <c r="D3501"/>
      <c r="E3501" s="188"/>
      <c r="H3501"/>
      <c r="I3501" s="202"/>
      <c r="J3501"/>
      <c r="K3501" s="205"/>
      <c r="L3501" s="205"/>
      <c r="M3501" s="205"/>
    </row>
    <row r="3502" spans="2:13" ht="15.75">
      <c r="B3502" s="79"/>
      <c r="D3502"/>
      <c r="E3502" s="188"/>
      <c r="H3502"/>
      <c r="I3502" s="202"/>
      <c r="J3502"/>
      <c r="K3502" s="205"/>
      <c r="L3502" s="205"/>
      <c r="M3502" s="205"/>
    </row>
    <row r="3503" spans="2:13" ht="15.75">
      <c r="B3503" s="79"/>
      <c r="D3503"/>
      <c r="E3503" s="188"/>
      <c r="H3503"/>
      <c r="I3503" s="202"/>
      <c r="J3503"/>
      <c r="K3503" s="205"/>
      <c r="L3503" s="205"/>
      <c r="M3503" s="205"/>
    </row>
    <row r="3504" spans="2:13" ht="15.75">
      <c r="B3504" s="79"/>
      <c r="D3504"/>
      <c r="E3504" s="188"/>
      <c r="H3504"/>
      <c r="I3504" s="202"/>
      <c r="J3504"/>
      <c r="K3504" s="205"/>
      <c r="L3504" s="205"/>
      <c r="M3504" s="205"/>
    </row>
    <row r="3505" spans="2:13" ht="15.75">
      <c r="B3505" s="79"/>
      <c r="D3505"/>
      <c r="E3505" s="188"/>
      <c r="H3505"/>
      <c r="I3505" s="202"/>
      <c r="J3505"/>
      <c r="K3505" s="205"/>
      <c r="L3505" s="205"/>
      <c r="M3505" s="205"/>
    </row>
    <row r="3506" spans="2:13" ht="15.75">
      <c r="B3506" s="79"/>
      <c r="D3506"/>
      <c r="E3506" s="188"/>
      <c r="H3506"/>
      <c r="I3506" s="202"/>
      <c r="J3506"/>
      <c r="K3506" s="205"/>
      <c r="L3506" s="205"/>
      <c r="M3506" s="205"/>
    </row>
    <row r="3507" spans="2:13" ht="15.75">
      <c r="B3507" s="79"/>
      <c r="D3507"/>
      <c r="E3507" s="188"/>
      <c r="H3507"/>
      <c r="I3507" s="202"/>
      <c r="J3507"/>
      <c r="K3507" s="205"/>
      <c r="L3507" s="205"/>
      <c r="M3507" s="205"/>
    </row>
    <row r="3508" spans="2:13" ht="15.75">
      <c r="B3508" s="79"/>
      <c r="D3508"/>
      <c r="E3508" s="188"/>
      <c r="H3508"/>
      <c r="I3508" s="202"/>
      <c r="J3508"/>
      <c r="K3508" s="205"/>
      <c r="L3508" s="205"/>
      <c r="M3508" s="205"/>
    </row>
    <row r="3509" spans="2:13" ht="15.75">
      <c r="B3509" s="79"/>
      <c r="D3509"/>
      <c r="E3509" s="188"/>
      <c r="H3509"/>
      <c r="I3509" s="202"/>
      <c r="J3509"/>
      <c r="K3509" s="205"/>
      <c r="L3509" s="205"/>
      <c r="M3509" s="205"/>
    </row>
    <row r="3510" spans="2:13" ht="15.75">
      <c r="B3510" s="79"/>
      <c r="D3510"/>
      <c r="E3510" s="188"/>
      <c r="H3510"/>
      <c r="I3510" s="202"/>
      <c r="J3510"/>
      <c r="K3510" s="205"/>
      <c r="L3510" s="205"/>
      <c r="M3510" s="205"/>
    </row>
    <row r="3511" spans="2:13" ht="15.75">
      <c r="B3511" s="79"/>
      <c r="D3511"/>
      <c r="E3511" s="188"/>
      <c r="H3511"/>
      <c r="I3511" s="202"/>
      <c r="J3511"/>
      <c r="K3511" s="205"/>
      <c r="L3511" s="205"/>
      <c r="M3511" s="205"/>
    </row>
    <row r="3512" spans="2:13" ht="15.75">
      <c r="B3512" s="79"/>
      <c r="D3512"/>
      <c r="E3512" s="188"/>
      <c r="H3512"/>
      <c r="I3512" s="202"/>
      <c r="J3512"/>
      <c r="K3512" s="205"/>
      <c r="L3512" s="205"/>
      <c r="M3512" s="205"/>
    </row>
    <row r="3513" spans="2:13" ht="15.75">
      <c r="B3513" s="79"/>
      <c r="D3513"/>
      <c r="E3513" s="188"/>
      <c r="H3513"/>
      <c r="I3513" s="202"/>
      <c r="J3513"/>
      <c r="K3513" s="205"/>
      <c r="L3513" s="205"/>
      <c r="M3513" s="205"/>
    </row>
    <row r="3514" spans="2:13" ht="15.75">
      <c r="B3514" s="79"/>
      <c r="D3514"/>
      <c r="E3514" s="188"/>
      <c r="H3514"/>
      <c r="I3514" s="202"/>
      <c r="J3514"/>
      <c r="K3514" s="205"/>
      <c r="L3514" s="205"/>
      <c r="M3514" s="205"/>
    </row>
    <row r="3515" spans="2:13" ht="15.75">
      <c r="B3515" s="79"/>
      <c r="D3515"/>
      <c r="E3515" s="188"/>
      <c r="H3515"/>
      <c r="I3515" s="202"/>
      <c r="J3515"/>
      <c r="K3515" s="205"/>
      <c r="L3515" s="205"/>
      <c r="M3515" s="205"/>
    </row>
    <row r="3516" spans="2:13" ht="15.75">
      <c r="B3516" s="79"/>
      <c r="D3516"/>
      <c r="E3516" s="188"/>
      <c r="H3516"/>
      <c r="I3516" s="202"/>
      <c r="J3516"/>
      <c r="K3516" s="205"/>
      <c r="L3516" s="205"/>
      <c r="M3516" s="205"/>
    </row>
    <row r="3517" spans="2:13" ht="15.75">
      <c r="B3517" s="79"/>
      <c r="D3517"/>
      <c r="E3517" s="188"/>
      <c r="H3517"/>
      <c r="I3517" s="202"/>
      <c r="J3517"/>
      <c r="K3517" s="205"/>
      <c r="L3517" s="205"/>
      <c r="M3517" s="205"/>
    </row>
    <row r="3518" spans="2:13" ht="15.75">
      <c r="B3518" s="79"/>
      <c r="D3518"/>
      <c r="E3518" s="188"/>
      <c r="H3518"/>
      <c r="I3518" s="202"/>
      <c r="J3518"/>
      <c r="K3518" s="205"/>
      <c r="L3518" s="205"/>
      <c r="M3518" s="205"/>
    </row>
    <row r="3519" spans="2:13" ht="15.75">
      <c r="B3519" s="79"/>
      <c r="D3519"/>
      <c r="E3519" s="188"/>
      <c r="H3519"/>
      <c r="I3519" s="202"/>
      <c r="J3519"/>
      <c r="K3519" s="205"/>
      <c r="L3519" s="205"/>
      <c r="M3519" s="205"/>
    </row>
    <row r="3520" spans="2:13" ht="15.75">
      <c r="B3520" s="79"/>
      <c r="D3520"/>
      <c r="E3520" s="188"/>
      <c r="H3520"/>
      <c r="I3520" s="202"/>
      <c r="J3520"/>
      <c r="K3520" s="205"/>
      <c r="L3520" s="205"/>
      <c r="M3520" s="205"/>
    </row>
    <row r="3521" spans="2:13" ht="15.75">
      <c r="B3521" s="79"/>
      <c r="D3521"/>
      <c r="E3521" s="188"/>
      <c r="H3521"/>
      <c r="I3521" s="202"/>
      <c r="J3521"/>
      <c r="K3521" s="205"/>
      <c r="L3521" s="205"/>
      <c r="M3521" s="205"/>
    </row>
    <row r="3522" spans="2:13" ht="15.75">
      <c r="B3522" s="79"/>
      <c r="D3522"/>
      <c r="E3522" s="188"/>
      <c r="H3522"/>
      <c r="I3522" s="202"/>
      <c r="J3522"/>
      <c r="K3522" s="205"/>
      <c r="L3522" s="205"/>
      <c r="M3522" s="205"/>
    </row>
    <row r="3523" spans="2:13" ht="15.75">
      <c r="B3523" s="79"/>
      <c r="D3523"/>
      <c r="E3523" s="188"/>
      <c r="H3523"/>
      <c r="I3523" s="202"/>
      <c r="J3523"/>
      <c r="K3523" s="205"/>
      <c r="L3523" s="205"/>
      <c r="M3523" s="205"/>
    </row>
    <row r="3524" spans="2:13" ht="15.75">
      <c r="B3524" s="79"/>
      <c r="D3524"/>
      <c r="E3524" s="188"/>
      <c r="H3524"/>
      <c r="I3524" s="202"/>
      <c r="J3524"/>
      <c r="K3524" s="205"/>
      <c r="L3524" s="205"/>
      <c r="M3524" s="205"/>
    </row>
    <row r="3525" spans="2:13" ht="15.75">
      <c r="B3525" s="79"/>
      <c r="D3525"/>
      <c r="E3525" s="188"/>
      <c r="H3525"/>
      <c r="I3525" s="202"/>
      <c r="J3525"/>
      <c r="K3525" s="205"/>
      <c r="L3525" s="205"/>
      <c r="M3525" s="205"/>
    </row>
    <row r="3526" spans="2:13" ht="15.75">
      <c r="B3526" s="79"/>
      <c r="D3526"/>
      <c r="E3526" s="188"/>
      <c r="H3526"/>
      <c r="I3526" s="202"/>
      <c r="J3526"/>
      <c r="K3526" s="205"/>
      <c r="L3526" s="205"/>
      <c r="M3526" s="205"/>
    </row>
    <row r="3527" spans="2:13" ht="15.75">
      <c r="B3527" s="79"/>
      <c r="D3527"/>
      <c r="E3527" s="188"/>
      <c r="H3527"/>
      <c r="I3527" s="202"/>
      <c r="J3527"/>
      <c r="K3527" s="205"/>
      <c r="L3527" s="205"/>
      <c r="M3527" s="205"/>
    </row>
    <row r="3528" spans="2:13" ht="15.75">
      <c r="B3528" s="79"/>
      <c r="D3528"/>
      <c r="E3528" s="188"/>
      <c r="H3528"/>
      <c r="I3528" s="202"/>
      <c r="J3528"/>
      <c r="K3528" s="205"/>
      <c r="L3528" s="205"/>
      <c r="M3528" s="205"/>
    </row>
    <row r="3529" spans="2:13" ht="15.75">
      <c r="B3529" s="79"/>
      <c r="D3529"/>
      <c r="E3529" s="188"/>
      <c r="H3529"/>
      <c r="I3529" s="202"/>
      <c r="J3529"/>
      <c r="K3529" s="205"/>
      <c r="L3529" s="205"/>
      <c r="M3529" s="205"/>
    </row>
    <row r="3530" spans="2:13" ht="15.75">
      <c r="B3530" s="79"/>
      <c r="D3530"/>
      <c r="E3530" s="188"/>
      <c r="H3530"/>
      <c r="I3530" s="202"/>
      <c r="J3530"/>
      <c r="K3530" s="205"/>
      <c r="L3530" s="205"/>
      <c r="M3530" s="205"/>
    </row>
    <row r="3531" spans="2:13" ht="15.75">
      <c r="B3531" s="79"/>
      <c r="D3531"/>
      <c r="E3531" s="188"/>
      <c r="H3531"/>
      <c r="I3531" s="202"/>
      <c r="J3531"/>
      <c r="K3531" s="205"/>
      <c r="L3531" s="205"/>
      <c r="M3531" s="205"/>
    </row>
    <row r="3532" spans="2:13" ht="15.75">
      <c r="B3532" s="79"/>
      <c r="D3532"/>
      <c r="E3532" s="188"/>
      <c r="H3532"/>
      <c r="I3532" s="202"/>
      <c r="J3532"/>
      <c r="K3532" s="205"/>
      <c r="L3532" s="205"/>
      <c r="M3532" s="205"/>
    </row>
    <row r="3533" spans="2:13" ht="15.75">
      <c r="B3533" s="79"/>
      <c r="D3533"/>
      <c r="E3533" s="188"/>
      <c r="H3533"/>
      <c r="I3533" s="202"/>
      <c r="J3533"/>
      <c r="K3533" s="205"/>
      <c r="L3533" s="205"/>
      <c r="M3533" s="205"/>
    </row>
    <row r="3534" spans="2:13" ht="15.75">
      <c r="B3534" s="79"/>
      <c r="D3534"/>
      <c r="E3534" s="188"/>
      <c r="H3534"/>
      <c r="I3534" s="202"/>
      <c r="J3534"/>
      <c r="K3534" s="205"/>
      <c r="L3534" s="205"/>
      <c r="M3534" s="205"/>
    </row>
    <row r="3535" spans="2:13" ht="15.75">
      <c r="B3535" s="79"/>
      <c r="D3535"/>
      <c r="E3535" s="188"/>
      <c r="H3535"/>
      <c r="I3535" s="202"/>
      <c r="J3535"/>
      <c r="K3535" s="205"/>
      <c r="L3535" s="205"/>
      <c r="M3535" s="205"/>
    </row>
    <row r="3536" spans="2:13" ht="15.75">
      <c r="B3536" s="79"/>
      <c r="D3536"/>
      <c r="E3536" s="188"/>
      <c r="H3536"/>
      <c r="I3536" s="202"/>
      <c r="J3536"/>
      <c r="K3536" s="205"/>
      <c r="L3536" s="205"/>
      <c r="M3536" s="205"/>
    </row>
    <row r="3537" spans="2:13" ht="15.75">
      <c r="B3537" s="79"/>
      <c r="D3537"/>
      <c r="E3537" s="188"/>
      <c r="H3537"/>
      <c r="I3537" s="202"/>
      <c r="J3537"/>
      <c r="K3537" s="205"/>
      <c r="L3537" s="205"/>
      <c r="M3537" s="205"/>
    </row>
    <row r="3538" spans="2:13" ht="15.75">
      <c r="B3538" s="79"/>
      <c r="D3538"/>
      <c r="E3538" s="188"/>
      <c r="H3538"/>
      <c r="I3538" s="202"/>
      <c r="J3538"/>
      <c r="K3538" s="205"/>
      <c r="L3538" s="205"/>
      <c r="M3538" s="205"/>
    </row>
    <row r="3539" spans="2:13" ht="15.75">
      <c r="B3539" s="79"/>
      <c r="D3539"/>
      <c r="E3539" s="188"/>
      <c r="H3539"/>
      <c r="I3539" s="202"/>
      <c r="J3539"/>
      <c r="K3539" s="205"/>
      <c r="L3539" s="205"/>
      <c r="M3539" s="205"/>
    </row>
    <row r="3540" spans="2:13" ht="15.75">
      <c r="B3540" s="79"/>
      <c r="D3540"/>
      <c r="E3540" s="188"/>
      <c r="H3540"/>
      <c r="I3540" s="202"/>
      <c r="J3540"/>
      <c r="K3540" s="205"/>
      <c r="L3540" s="205"/>
      <c r="M3540" s="205"/>
    </row>
    <row r="3541" spans="2:13" ht="15.75">
      <c r="B3541" s="79"/>
      <c r="D3541"/>
      <c r="E3541" s="188"/>
      <c r="H3541"/>
      <c r="I3541" s="202"/>
      <c r="J3541"/>
      <c r="K3541" s="205"/>
      <c r="L3541" s="205"/>
      <c r="M3541" s="205"/>
    </row>
    <row r="3542" spans="2:13" ht="15.75">
      <c r="B3542" s="79"/>
      <c r="D3542"/>
      <c r="E3542" s="188"/>
      <c r="H3542"/>
      <c r="I3542" s="202"/>
      <c r="J3542"/>
      <c r="K3542" s="205"/>
      <c r="L3542" s="205"/>
      <c r="M3542" s="205"/>
    </row>
    <row r="3543" spans="2:13" ht="15.75">
      <c r="B3543" s="79"/>
      <c r="D3543"/>
      <c r="E3543" s="188"/>
      <c r="H3543"/>
      <c r="I3543" s="202"/>
      <c r="J3543"/>
      <c r="K3543" s="205"/>
      <c r="L3543" s="205"/>
      <c r="M3543" s="205"/>
    </row>
    <row r="3544" spans="2:13" ht="15.75">
      <c r="B3544" s="79"/>
      <c r="D3544"/>
      <c r="E3544" s="188"/>
      <c r="H3544"/>
      <c r="I3544" s="202"/>
      <c r="J3544"/>
      <c r="K3544" s="205"/>
      <c r="L3544" s="205"/>
      <c r="M3544" s="205"/>
    </row>
    <row r="3545" spans="2:13" ht="15.75">
      <c r="B3545" s="79"/>
      <c r="D3545"/>
      <c r="E3545" s="188"/>
      <c r="H3545"/>
      <c r="I3545" s="202"/>
      <c r="J3545"/>
      <c r="K3545" s="205"/>
      <c r="L3545" s="205"/>
      <c r="M3545" s="205"/>
    </row>
    <row r="3546" spans="2:13" ht="15.75">
      <c r="B3546" s="79"/>
      <c r="D3546"/>
      <c r="E3546" s="188"/>
      <c r="H3546"/>
      <c r="I3546" s="202"/>
      <c r="J3546"/>
      <c r="K3546" s="205"/>
      <c r="L3546" s="205"/>
      <c r="M3546" s="205"/>
    </row>
    <row r="3547" spans="2:13" ht="15.75">
      <c r="B3547" s="79"/>
      <c r="D3547"/>
      <c r="E3547" s="188"/>
      <c r="H3547"/>
      <c r="I3547" s="202"/>
      <c r="J3547"/>
      <c r="K3547" s="205"/>
      <c r="L3547" s="205"/>
      <c r="M3547" s="205"/>
    </row>
    <row r="3548" spans="2:13" ht="15.75">
      <c r="B3548" s="79"/>
      <c r="D3548"/>
      <c r="E3548" s="188"/>
      <c r="H3548"/>
      <c r="I3548" s="202"/>
      <c r="J3548"/>
      <c r="K3548" s="205"/>
      <c r="L3548" s="205"/>
      <c r="M3548" s="205"/>
    </row>
    <row r="3549" spans="2:13" ht="15.75">
      <c r="B3549" s="79"/>
      <c r="D3549"/>
      <c r="E3549" s="188"/>
      <c r="H3549"/>
      <c r="I3549" s="202"/>
      <c r="J3549"/>
      <c r="K3549" s="205"/>
      <c r="L3549" s="205"/>
      <c r="M3549" s="205"/>
    </row>
    <row r="3550" spans="2:13" ht="15.75">
      <c r="B3550" s="79"/>
      <c r="D3550"/>
      <c r="E3550" s="188"/>
      <c r="H3550"/>
      <c r="I3550" s="202"/>
      <c r="J3550"/>
      <c r="K3550" s="205"/>
      <c r="L3550" s="205"/>
      <c r="M3550" s="205"/>
    </row>
    <row r="3551" spans="2:13" ht="15.75">
      <c r="B3551" s="79"/>
      <c r="D3551"/>
      <c r="E3551" s="188"/>
      <c r="H3551"/>
      <c r="I3551" s="202"/>
      <c r="J3551"/>
      <c r="K3551" s="205"/>
      <c r="L3551" s="205"/>
      <c r="M3551" s="205"/>
    </row>
    <row r="3552" spans="2:13" ht="15.75">
      <c r="B3552" s="79"/>
      <c r="D3552"/>
      <c r="E3552" s="188"/>
      <c r="H3552"/>
      <c r="I3552" s="202"/>
      <c r="J3552"/>
      <c r="K3552" s="205"/>
      <c r="L3552" s="205"/>
      <c r="M3552" s="205"/>
    </row>
    <row r="3553" spans="2:13" ht="15.75">
      <c r="B3553" s="79"/>
      <c r="D3553"/>
      <c r="E3553" s="188"/>
      <c r="H3553"/>
      <c r="I3553" s="202"/>
      <c r="J3553"/>
      <c r="K3553" s="205"/>
      <c r="L3553" s="205"/>
      <c r="M3553" s="205"/>
    </row>
    <row r="3554" spans="2:13" ht="15.75">
      <c r="B3554" s="79"/>
      <c r="D3554"/>
      <c r="E3554" s="188"/>
      <c r="H3554"/>
      <c r="I3554" s="202"/>
      <c r="J3554"/>
      <c r="K3554" s="205"/>
      <c r="L3554" s="205"/>
      <c r="M3554" s="205"/>
    </row>
    <row r="3555" spans="2:13" ht="15.75">
      <c r="B3555" s="79"/>
      <c r="D3555"/>
      <c r="E3555" s="188"/>
      <c r="H3555"/>
      <c r="I3555" s="202"/>
      <c r="J3555"/>
      <c r="K3555" s="205"/>
      <c r="L3555" s="205"/>
      <c r="M3555" s="205"/>
    </row>
    <row r="3556" spans="2:13" ht="15.75">
      <c r="B3556" s="79"/>
      <c r="D3556"/>
      <c r="E3556" s="188"/>
      <c r="H3556"/>
      <c r="I3556" s="202"/>
      <c r="J3556"/>
      <c r="K3556" s="205"/>
      <c r="L3556" s="205"/>
      <c r="M3556" s="205"/>
    </row>
    <row r="3557" spans="2:13" ht="15.75">
      <c r="B3557" s="79"/>
      <c r="D3557"/>
      <c r="E3557" s="188"/>
      <c r="H3557"/>
      <c r="I3557" s="202"/>
      <c r="J3557"/>
      <c r="K3557" s="205"/>
      <c r="L3557" s="205"/>
      <c r="M3557" s="205"/>
    </row>
    <row r="3558" spans="2:13" ht="15.75">
      <c r="B3558" s="79"/>
      <c r="D3558"/>
      <c r="E3558" s="188"/>
      <c r="H3558"/>
      <c r="I3558" s="202"/>
      <c r="J3558"/>
      <c r="K3558" s="205"/>
      <c r="L3558" s="205"/>
      <c r="M3558" s="205"/>
    </row>
    <row r="3559" spans="2:13" ht="15.75">
      <c r="B3559" s="79"/>
      <c r="D3559"/>
      <c r="E3559" s="188"/>
      <c r="H3559"/>
      <c r="I3559" s="202"/>
      <c r="J3559"/>
      <c r="K3559" s="205"/>
      <c r="L3559" s="205"/>
      <c r="M3559" s="205"/>
    </row>
    <row r="3560" spans="2:13" ht="15.75">
      <c r="B3560" s="79"/>
      <c r="D3560"/>
      <c r="E3560" s="188"/>
      <c r="H3560"/>
      <c r="I3560" s="202"/>
      <c r="J3560"/>
      <c r="K3560" s="205"/>
      <c r="L3560" s="205"/>
      <c r="M3560" s="205"/>
    </row>
    <row r="3561" spans="2:13" ht="15.75">
      <c r="B3561" s="79"/>
      <c r="D3561"/>
      <c r="E3561" s="188"/>
      <c r="H3561"/>
      <c r="I3561" s="202"/>
      <c r="J3561"/>
      <c r="K3561" s="205"/>
      <c r="L3561" s="205"/>
      <c r="M3561" s="205"/>
    </row>
    <row r="3562" spans="2:13" ht="15.75">
      <c r="B3562" s="79"/>
      <c r="D3562"/>
      <c r="E3562" s="188"/>
      <c r="H3562"/>
      <c r="I3562" s="202"/>
      <c r="J3562"/>
      <c r="K3562" s="205"/>
      <c r="L3562" s="205"/>
      <c r="M3562" s="205"/>
    </row>
    <row r="3563" spans="2:13" ht="15.75">
      <c r="B3563" s="79"/>
      <c r="D3563"/>
      <c r="E3563" s="188"/>
      <c r="H3563"/>
      <c r="I3563" s="202"/>
      <c r="J3563"/>
      <c r="K3563" s="205"/>
      <c r="L3563" s="205"/>
      <c r="M3563" s="205"/>
    </row>
    <row r="3564" spans="2:13" ht="15.75">
      <c r="B3564" s="79"/>
      <c r="D3564"/>
      <c r="E3564" s="188"/>
      <c r="H3564"/>
      <c r="I3564" s="202"/>
      <c r="J3564"/>
      <c r="K3564" s="205"/>
      <c r="L3564" s="205"/>
      <c r="M3564" s="205"/>
    </row>
    <row r="3565" spans="2:13" ht="15.75">
      <c r="B3565" s="79"/>
      <c r="D3565"/>
      <c r="E3565" s="188"/>
      <c r="H3565"/>
      <c r="I3565" s="202"/>
      <c r="J3565"/>
      <c r="K3565" s="205"/>
      <c r="L3565" s="205"/>
      <c r="M3565" s="205"/>
    </row>
    <row r="3566" spans="2:13" ht="15.75">
      <c r="B3566" s="79"/>
      <c r="D3566"/>
      <c r="E3566" s="188"/>
      <c r="H3566"/>
      <c r="I3566" s="202"/>
      <c r="J3566"/>
      <c r="K3566" s="205"/>
      <c r="L3566" s="205"/>
      <c r="M3566" s="205"/>
    </row>
    <row r="3567" spans="2:13" ht="15.75">
      <c r="B3567" s="79"/>
      <c r="D3567"/>
      <c r="E3567" s="188"/>
      <c r="H3567"/>
      <c r="I3567" s="202"/>
      <c r="J3567"/>
      <c r="K3567" s="205"/>
      <c r="L3567" s="205"/>
      <c r="M3567" s="205"/>
    </row>
    <row r="3568" spans="2:13" ht="15.75">
      <c r="B3568" s="79"/>
      <c r="D3568"/>
      <c r="E3568" s="188"/>
      <c r="H3568"/>
      <c r="I3568" s="202"/>
      <c r="J3568"/>
      <c r="K3568" s="205"/>
      <c r="L3568" s="205"/>
      <c r="M3568" s="205"/>
    </row>
    <row r="3569" spans="2:13" ht="15.75">
      <c r="B3569" s="79"/>
      <c r="D3569"/>
      <c r="E3569" s="188"/>
      <c r="H3569"/>
      <c r="I3569" s="202"/>
      <c r="J3569"/>
      <c r="K3569" s="205"/>
      <c r="L3569" s="205"/>
      <c r="M3569" s="205"/>
    </row>
    <row r="3570" spans="2:13" ht="15.75">
      <c r="B3570" s="79"/>
      <c r="D3570"/>
      <c r="E3570" s="188"/>
      <c r="H3570"/>
      <c r="I3570" s="202"/>
      <c r="J3570"/>
      <c r="K3570" s="205"/>
      <c r="L3570" s="205"/>
      <c r="M3570" s="205"/>
    </row>
    <row r="3571" spans="2:13" ht="15.75">
      <c r="B3571" s="79"/>
      <c r="D3571"/>
      <c r="E3571" s="188"/>
      <c r="H3571"/>
      <c r="I3571" s="202"/>
      <c r="J3571"/>
      <c r="K3571" s="205"/>
      <c r="L3571" s="205"/>
      <c r="M3571" s="205"/>
    </row>
    <row r="3572" spans="2:13" ht="15.75">
      <c r="B3572" s="79"/>
      <c r="D3572"/>
      <c r="E3572" s="188"/>
      <c r="H3572"/>
      <c r="I3572" s="202"/>
      <c r="J3572"/>
      <c r="K3572" s="205"/>
      <c r="L3572" s="205"/>
      <c r="M3572" s="205"/>
    </row>
    <row r="3573" spans="2:13" ht="15.75">
      <c r="B3573" s="79"/>
      <c r="D3573"/>
      <c r="E3573" s="188"/>
      <c r="H3573"/>
      <c r="I3573" s="202"/>
      <c r="J3573"/>
      <c r="K3573" s="205"/>
      <c r="L3573" s="205"/>
      <c r="M3573" s="205"/>
    </row>
    <row r="3574" spans="2:13" ht="15.75">
      <c r="B3574" s="79"/>
      <c r="D3574"/>
      <c r="E3574" s="188"/>
      <c r="H3574"/>
      <c r="I3574" s="202"/>
      <c r="J3574"/>
      <c r="K3574" s="205"/>
      <c r="L3574" s="205"/>
      <c r="M3574" s="205"/>
    </row>
    <row r="3575" spans="2:13" ht="15.75">
      <c r="B3575" s="79"/>
      <c r="D3575"/>
      <c r="E3575" s="188"/>
      <c r="H3575"/>
      <c r="I3575" s="202"/>
      <c r="J3575"/>
      <c r="K3575" s="205"/>
      <c r="L3575" s="205"/>
      <c r="M3575" s="205"/>
    </row>
    <row r="3576" spans="2:13" ht="15.75">
      <c r="B3576" s="79"/>
      <c r="D3576"/>
      <c r="E3576" s="188"/>
      <c r="H3576"/>
      <c r="I3576" s="202"/>
      <c r="J3576"/>
      <c r="K3576" s="205"/>
      <c r="L3576" s="205"/>
      <c r="M3576" s="205"/>
    </row>
    <row r="3577" spans="2:13" ht="15.75">
      <c r="B3577" s="79"/>
      <c r="D3577"/>
      <c r="E3577" s="188"/>
      <c r="H3577"/>
      <c r="I3577" s="202"/>
      <c r="J3577"/>
      <c r="K3577" s="205"/>
      <c r="L3577" s="205"/>
      <c r="M3577" s="205"/>
    </row>
    <row r="3578" spans="2:13" ht="15.75">
      <c r="B3578" s="79"/>
      <c r="D3578"/>
      <c r="E3578" s="188"/>
      <c r="H3578"/>
      <c r="I3578" s="202"/>
      <c r="J3578"/>
      <c r="K3578" s="205"/>
      <c r="L3578" s="205"/>
      <c r="M3578" s="205"/>
    </row>
    <row r="3579" spans="2:13" ht="15.75">
      <c r="B3579" s="79"/>
      <c r="D3579"/>
      <c r="E3579" s="188"/>
      <c r="H3579"/>
      <c r="I3579" s="202"/>
      <c r="J3579"/>
      <c r="K3579" s="205"/>
      <c r="L3579" s="205"/>
      <c r="M3579" s="205"/>
    </row>
    <row r="3580" spans="2:13" ht="15.75">
      <c r="B3580" s="79"/>
      <c r="D3580"/>
      <c r="E3580" s="188"/>
      <c r="H3580"/>
      <c r="I3580" s="202"/>
      <c r="J3580"/>
      <c r="K3580" s="205"/>
      <c r="L3580" s="205"/>
      <c r="M3580" s="205"/>
    </row>
    <row r="3581" spans="2:13" ht="15.75">
      <c r="B3581" s="79"/>
      <c r="D3581"/>
      <c r="E3581" s="188"/>
      <c r="H3581"/>
      <c r="I3581" s="202"/>
      <c r="J3581"/>
      <c r="K3581" s="205"/>
      <c r="L3581" s="205"/>
      <c r="M3581" s="205"/>
    </row>
    <row r="3582" spans="2:13" ht="15.75">
      <c r="B3582" s="79"/>
      <c r="D3582"/>
      <c r="E3582" s="188"/>
      <c r="H3582"/>
      <c r="I3582" s="202"/>
      <c r="J3582"/>
      <c r="K3582" s="205"/>
      <c r="L3582" s="205"/>
      <c r="M3582" s="205"/>
    </row>
    <row r="3583" spans="2:13" ht="15.75">
      <c r="B3583" s="79"/>
      <c r="D3583"/>
      <c r="E3583" s="188"/>
      <c r="H3583"/>
      <c r="I3583" s="202"/>
      <c r="J3583"/>
      <c r="K3583" s="205"/>
      <c r="L3583" s="205"/>
      <c r="M3583" s="205"/>
    </row>
    <row r="3584" spans="2:13" ht="15.75">
      <c r="B3584" s="79"/>
      <c r="D3584"/>
      <c r="E3584" s="188"/>
      <c r="H3584"/>
      <c r="I3584" s="202"/>
      <c r="J3584"/>
      <c r="K3584" s="205"/>
      <c r="L3584" s="205"/>
      <c r="M3584" s="205"/>
    </row>
    <row r="3585" spans="2:13" ht="15.75">
      <c r="B3585" s="79"/>
      <c r="D3585"/>
      <c r="E3585" s="188"/>
      <c r="H3585"/>
      <c r="I3585" s="202"/>
      <c r="J3585"/>
      <c r="K3585" s="205"/>
      <c r="L3585" s="205"/>
      <c r="M3585" s="205"/>
    </row>
    <row r="3586" spans="2:13" ht="15.75">
      <c r="B3586" s="79"/>
      <c r="D3586"/>
      <c r="E3586" s="188"/>
      <c r="H3586"/>
      <c r="I3586" s="202"/>
      <c r="J3586"/>
      <c r="K3586" s="205"/>
      <c r="L3586" s="205"/>
      <c r="M3586" s="205"/>
    </row>
    <row r="3587" spans="2:13" ht="15.75">
      <c r="B3587" s="79"/>
      <c r="D3587"/>
      <c r="E3587" s="188"/>
      <c r="H3587"/>
      <c r="I3587" s="202"/>
      <c r="J3587"/>
      <c r="K3587" s="205"/>
      <c r="L3587" s="205"/>
      <c r="M3587" s="205"/>
    </row>
    <row r="3588" spans="2:13" ht="15.75">
      <c r="B3588" s="79"/>
      <c r="D3588"/>
      <c r="E3588" s="188"/>
      <c r="H3588"/>
      <c r="I3588" s="202"/>
      <c r="J3588"/>
      <c r="K3588" s="205"/>
      <c r="L3588" s="205"/>
      <c r="M3588" s="205"/>
    </row>
    <row r="3589" spans="2:13" ht="15.75">
      <c r="B3589" s="79"/>
      <c r="D3589"/>
      <c r="E3589" s="188"/>
      <c r="H3589"/>
      <c r="I3589" s="202"/>
      <c r="J3589"/>
      <c r="K3589" s="205"/>
      <c r="L3589" s="205"/>
      <c r="M3589" s="205"/>
    </row>
    <row r="3590" spans="2:13" ht="15.75">
      <c r="B3590" s="79"/>
      <c r="D3590"/>
      <c r="E3590" s="188"/>
      <c r="H3590"/>
      <c r="I3590" s="202"/>
      <c r="J3590"/>
      <c r="K3590" s="205"/>
      <c r="L3590" s="205"/>
      <c r="M3590" s="205"/>
    </row>
    <row r="3591" spans="2:13" ht="15.75">
      <c r="B3591" s="79"/>
      <c r="D3591"/>
      <c r="E3591" s="188"/>
      <c r="H3591"/>
      <c r="I3591" s="202"/>
      <c r="J3591"/>
      <c r="K3591" s="205"/>
      <c r="L3591" s="205"/>
      <c r="M3591" s="205"/>
    </row>
    <row r="3592" spans="2:13" ht="15.75">
      <c r="B3592" s="79"/>
      <c r="D3592"/>
      <c r="E3592" s="188"/>
      <c r="H3592"/>
      <c r="I3592" s="202"/>
      <c r="J3592"/>
      <c r="K3592" s="205"/>
      <c r="L3592" s="205"/>
      <c r="M3592" s="205"/>
    </row>
    <row r="3593" spans="2:13" ht="15.75">
      <c r="B3593" s="79"/>
      <c r="D3593"/>
      <c r="E3593" s="188"/>
      <c r="H3593"/>
      <c r="I3593" s="202"/>
      <c r="J3593"/>
      <c r="K3593" s="205"/>
      <c r="L3593" s="205"/>
      <c r="M3593" s="205"/>
    </row>
    <row r="3594" spans="2:13" ht="15.75">
      <c r="B3594" s="79"/>
      <c r="D3594"/>
      <c r="E3594" s="188"/>
      <c r="H3594"/>
      <c r="I3594" s="202"/>
      <c r="J3594"/>
      <c r="K3594" s="205"/>
      <c r="L3594" s="205"/>
      <c r="M3594" s="205"/>
    </row>
    <row r="3595" spans="2:13" ht="15.75">
      <c r="B3595" s="79"/>
      <c r="D3595"/>
      <c r="E3595" s="188"/>
      <c r="H3595"/>
      <c r="I3595" s="202"/>
      <c r="J3595"/>
      <c r="K3595" s="205"/>
      <c r="L3595" s="205"/>
      <c r="M3595" s="205"/>
    </row>
    <row r="3596" spans="2:13" ht="15.75">
      <c r="B3596" s="79"/>
      <c r="D3596"/>
      <c r="E3596" s="188"/>
      <c r="H3596"/>
      <c r="I3596" s="202"/>
      <c r="J3596"/>
      <c r="K3596" s="205"/>
      <c r="L3596" s="205"/>
      <c r="M3596" s="205"/>
    </row>
    <row r="3597" spans="2:13" ht="15.75">
      <c r="B3597" s="79"/>
      <c r="D3597"/>
      <c r="E3597" s="188"/>
      <c r="H3597"/>
      <c r="I3597" s="202"/>
      <c r="J3597"/>
      <c r="K3597" s="205"/>
      <c r="L3597" s="205"/>
      <c r="M3597" s="205"/>
    </row>
    <row r="3598" spans="2:13" ht="15.75">
      <c r="B3598" s="79"/>
      <c r="D3598"/>
      <c r="E3598" s="188"/>
      <c r="H3598"/>
      <c r="I3598" s="202"/>
      <c r="J3598"/>
      <c r="K3598" s="205"/>
      <c r="L3598" s="205"/>
      <c r="M3598" s="205"/>
    </row>
    <row r="3599" spans="2:13" ht="15.75">
      <c r="B3599" s="79"/>
      <c r="D3599"/>
      <c r="E3599" s="188"/>
      <c r="H3599"/>
      <c r="I3599" s="202"/>
      <c r="J3599"/>
      <c r="K3599" s="205"/>
      <c r="L3599" s="205"/>
      <c r="M3599" s="205"/>
    </row>
    <row r="3600" spans="2:13" ht="15.75">
      <c r="B3600" s="79"/>
      <c r="D3600"/>
      <c r="E3600" s="188"/>
      <c r="H3600"/>
      <c r="I3600" s="202"/>
      <c r="J3600"/>
      <c r="K3600" s="205"/>
      <c r="L3600" s="205"/>
      <c r="M3600" s="205"/>
    </row>
    <row r="3601" spans="2:13" ht="15.75">
      <c r="B3601" s="79"/>
      <c r="D3601"/>
      <c r="E3601" s="188"/>
      <c r="H3601"/>
      <c r="I3601" s="202"/>
      <c r="J3601"/>
      <c r="K3601" s="205"/>
      <c r="L3601" s="205"/>
      <c r="M3601" s="205"/>
    </row>
    <row r="3602" spans="2:13" ht="15.75">
      <c r="B3602" s="79"/>
      <c r="D3602"/>
      <c r="E3602" s="188"/>
      <c r="H3602"/>
      <c r="I3602" s="202"/>
      <c r="J3602"/>
      <c r="K3602" s="205"/>
      <c r="L3602" s="205"/>
      <c r="M3602" s="205"/>
    </row>
    <row r="3603" spans="2:13" ht="15.75">
      <c r="B3603" s="79"/>
      <c r="D3603"/>
      <c r="E3603" s="188"/>
      <c r="H3603"/>
      <c r="I3603" s="202"/>
      <c r="J3603"/>
      <c r="K3603" s="205"/>
      <c r="L3603" s="205"/>
      <c r="M3603" s="205"/>
    </row>
    <row r="3604" spans="2:13" ht="15.75">
      <c r="B3604" s="79"/>
      <c r="D3604"/>
      <c r="E3604" s="188"/>
      <c r="H3604"/>
      <c r="I3604" s="202"/>
      <c r="J3604"/>
      <c r="K3604" s="205"/>
      <c r="L3604" s="205"/>
      <c r="M3604" s="205"/>
    </row>
    <row r="3605" spans="2:13" ht="15.75">
      <c r="B3605" s="79"/>
      <c r="D3605"/>
      <c r="E3605" s="188"/>
      <c r="H3605"/>
      <c r="I3605" s="202"/>
      <c r="J3605"/>
      <c r="K3605" s="205"/>
      <c r="L3605" s="205"/>
      <c r="M3605" s="205"/>
    </row>
    <row r="3606" spans="2:13" ht="15.75">
      <c r="B3606" s="79"/>
      <c r="D3606"/>
      <c r="E3606" s="188"/>
      <c r="H3606"/>
      <c r="I3606" s="202"/>
      <c r="J3606"/>
      <c r="K3606" s="205"/>
      <c r="L3606" s="205"/>
      <c r="M3606" s="205"/>
    </row>
    <row r="3607" spans="2:13" ht="15.75">
      <c r="B3607" s="79"/>
      <c r="D3607"/>
      <c r="E3607" s="188"/>
      <c r="H3607"/>
      <c r="I3607" s="202"/>
      <c r="J3607"/>
      <c r="K3607" s="205"/>
      <c r="L3607" s="205"/>
      <c r="M3607" s="205"/>
    </row>
    <row r="3608" spans="2:13" ht="15.75">
      <c r="B3608" s="79"/>
      <c r="D3608"/>
      <c r="E3608" s="188"/>
      <c r="H3608"/>
      <c r="I3608" s="202"/>
      <c r="J3608"/>
      <c r="K3608" s="205"/>
      <c r="L3608" s="205"/>
      <c r="M3608" s="205"/>
    </row>
    <row r="3609" spans="2:13" ht="15.75">
      <c r="B3609" s="79"/>
      <c r="D3609"/>
      <c r="E3609" s="188"/>
      <c r="H3609"/>
      <c r="I3609" s="202"/>
      <c r="J3609"/>
      <c r="K3609" s="205"/>
      <c r="L3609" s="205"/>
      <c r="M3609" s="205"/>
    </row>
    <row r="3610" spans="2:13" ht="15.75">
      <c r="B3610" s="79"/>
      <c r="D3610"/>
      <c r="E3610" s="188"/>
      <c r="H3610"/>
      <c r="I3610" s="202"/>
      <c r="J3610"/>
      <c r="K3610" s="205"/>
      <c r="L3610" s="205"/>
      <c r="M3610" s="205"/>
    </row>
    <row r="3611" spans="2:13" ht="15.75">
      <c r="B3611" s="79"/>
      <c r="D3611"/>
      <c r="E3611" s="188"/>
      <c r="H3611"/>
      <c r="I3611" s="202"/>
      <c r="J3611"/>
      <c r="K3611" s="205"/>
      <c r="L3611" s="205"/>
      <c r="M3611" s="205"/>
    </row>
    <row r="3612" spans="2:13" ht="15.75">
      <c r="B3612" s="79"/>
      <c r="D3612"/>
      <c r="E3612" s="188"/>
      <c r="H3612"/>
      <c r="I3612" s="202"/>
      <c r="J3612"/>
      <c r="K3612" s="205"/>
      <c r="L3612" s="205"/>
      <c r="M3612" s="205"/>
    </row>
    <row r="3613" spans="2:13" ht="15.75">
      <c r="B3613" s="79"/>
      <c r="D3613"/>
      <c r="E3613" s="188"/>
      <c r="H3613"/>
      <c r="I3613" s="202"/>
      <c r="J3613"/>
      <c r="K3613" s="205"/>
      <c r="L3613" s="205"/>
      <c r="M3613" s="205"/>
    </row>
    <row r="3614" spans="2:13" ht="15.75">
      <c r="B3614" s="79"/>
      <c r="D3614"/>
      <c r="E3614" s="188"/>
      <c r="H3614"/>
      <c r="I3614" s="202"/>
      <c r="J3614"/>
      <c r="K3614" s="205"/>
      <c r="L3614" s="205"/>
      <c r="M3614" s="205"/>
    </row>
    <row r="3615" spans="2:13" ht="15.75">
      <c r="B3615" s="79"/>
      <c r="D3615"/>
      <c r="E3615" s="188"/>
      <c r="H3615"/>
      <c r="I3615" s="202"/>
      <c r="J3615"/>
      <c r="K3615" s="205"/>
      <c r="L3615" s="205"/>
      <c r="M3615" s="205"/>
    </row>
    <row r="3616" spans="2:13" ht="15.75">
      <c r="B3616" s="79"/>
      <c r="D3616"/>
      <c r="E3616" s="188"/>
      <c r="H3616"/>
      <c r="I3616" s="202"/>
      <c r="J3616"/>
      <c r="K3616" s="205"/>
      <c r="L3616" s="205"/>
      <c r="M3616" s="205"/>
    </row>
    <row r="3617" spans="2:13" ht="15.75">
      <c r="B3617" s="79"/>
      <c r="D3617"/>
      <c r="E3617" s="188"/>
      <c r="H3617"/>
      <c r="I3617" s="202"/>
      <c r="J3617"/>
      <c r="K3617" s="205"/>
      <c r="L3617" s="205"/>
      <c r="M3617" s="205"/>
    </row>
    <row r="3618" spans="2:13" ht="15.75">
      <c r="B3618" s="79"/>
      <c r="D3618"/>
      <c r="E3618" s="188"/>
      <c r="H3618"/>
      <c r="I3618" s="202"/>
      <c r="J3618"/>
      <c r="K3618" s="205"/>
      <c r="L3618" s="205"/>
      <c r="M3618" s="205"/>
    </row>
    <row r="3619" spans="2:13" ht="15.75">
      <c r="B3619" s="79"/>
      <c r="D3619"/>
      <c r="E3619" s="188"/>
      <c r="H3619"/>
      <c r="I3619" s="202"/>
      <c r="J3619"/>
      <c r="K3619" s="205"/>
      <c r="L3619" s="205"/>
      <c r="M3619" s="205"/>
    </row>
    <row r="3620" spans="2:13" ht="15.75">
      <c r="B3620" s="79"/>
      <c r="D3620"/>
      <c r="E3620" s="188"/>
      <c r="H3620"/>
      <c r="I3620" s="202"/>
      <c r="J3620"/>
      <c r="K3620" s="205"/>
      <c r="L3620" s="205"/>
      <c r="M3620" s="205"/>
    </row>
    <row r="3621" spans="2:13" ht="15.75">
      <c r="B3621" s="79"/>
      <c r="D3621"/>
      <c r="E3621" s="188"/>
      <c r="H3621"/>
      <c r="I3621" s="202"/>
      <c r="J3621"/>
      <c r="K3621" s="205"/>
      <c r="L3621" s="205"/>
      <c r="M3621" s="205"/>
    </row>
    <row r="3622" spans="2:13" ht="15.75">
      <c r="B3622" s="79"/>
      <c r="D3622"/>
      <c r="E3622" s="188"/>
      <c r="H3622"/>
      <c r="I3622" s="202"/>
      <c r="J3622"/>
      <c r="K3622" s="205"/>
      <c r="L3622" s="205"/>
      <c r="M3622" s="205"/>
    </row>
    <row r="3623" spans="2:13" ht="15.75">
      <c r="B3623" s="79"/>
      <c r="D3623"/>
      <c r="E3623" s="188"/>
      <c r="H3623"/>
      <c r="I3623" s="202"/>
      <c r="J3623"/>
      <c r="K3623" s="205"/>
      <c r="L3623" s="205"/>
      <c r="M3623" s="205"/>
    </row>
    <row r="3624" spans="2:13" ht="15.75">
      <c r="B3624" s="79"/>
      <c r="D3624"/>
      <c r="E3624" s="188"/>
      <c r="H3624"/>
      <c r="I3624" s="202"/>
      <c r="J3624"/>
      <c r="K3624" s="205"/>
      <c r="L3624" s="205"/>
      <c r="M3624" s="205"/>
    </row>
    <row r="3625" spans="2:13" ht="15.75">
      <c r="B3625" s="79"/>
      <c r="D3625"/>
      <c r="E3625" s="188"/>
      <c r="H3625"/>
      <c r="I3625" s="202"/>
      <c r="J3625"/>
      <c r="K3625" s="205"/>
      <c r="L3625" s="205"/>
      <c r="M3625" s="205"/>
    </row>
    <row r="3626" spans="2:13" ht="15.75">
      <c r="B3626" s="79"/>
      <c r="D3626"/>
      <c r="E3626" s="188"/>
      <c r="H3626"/>
      <c r="I3626" s="202"/>
      <c r="J3626"/>
      <c r="K3626" s="205"/>
      <c r="L3626" s="205"/>
      <c r="M3626" s="205"/>
    </row>
    <row r="3627" spans="2:13" ht="15.75">
      <c r="B3627" s="79"/>
      <c r="D3627"/>
      <c r="E3627" s="188"/>
      <c r="H3627"/>
      <c r="I3627" s="202"/>
      <c r="J3627"/>
      <c r="K3627" s="205"/>
      <c r="L3627" s="205"/>
      <c r="M3627" s="205"/>
    </row>
    <row r="3628" spans="2:13" ht="15.75">
      <c r="B3628" s="79"/>
      <c r="D3628"/>
      <c r="E3628" s="188"/>
      <c r="H3628"/>
      <c r="I3628" s="202"/>
      <c r="J3628"/>
      <c r="K3628" s="205"/>
      <c r="L3628" s="205"/>
      <c r="M3628" s="205"/>
    </row>
    <row r="3629" spans="2:13" ht="15.75">
      <c r="B3629" s="79"/>
      <c r="D3629"/>
      <c r="E3629" s="188"/>
      <c r="H3629"/>
      <c r="I3629" s="202"/>
      <c r="J3629"/>
      <c r="K3629" s="205"/>
      <c r="L3629" s="205"/>
      <c r="M3629" s="205"/>
    </row>
    <row r="3630" spans="2:13" ht="15.75">
      <c r="B3630" s="79"/>
      <c r="D3630"/>
      <c r="E3630" s="188"/>
      <c r="H3630"/>
      <c r="I3630" s="202"/>
      <c r="J3630"/>
      <c r="K3630" s="205"/>
      <c r="L3630" s="205"/>
      <c r="M3630" s="205"/>
    </row>
    <row r="3631" spans="2:13" ht="15.75">
      <c r="B3631" s="79"/>
      <c r="D3631"/>
      <c r="E3631" s="188"/>
      <c r="H3631"/>
      <c r="I3631" s="202"/>
      <c r="J3631"/>
      <c r="K3631" s="205"/>
      <c r="L3631" s="205"/>
      <c r="M3631" s="205"/>
    </row>
    <row r="3632" spans="2:13" ht="15.75">
      <c r="B3632" s="79"/>
      <c r="D3632"/>
      <c r="E3632" s="188"/>
      <c r="H3632"/>
      <c r="I3632" s="202"/>
      <c r="J3632"/>
      <c r="K3632" s="205"/>
      <c r="L3632" s="205"/>
      <c r="M3632" s="205"/>
    </row>
    <row r="3633" spans="2:13" ht="15.75">
      <c r="B3633" s="79"/>
      <c r="D3633"/>
      <c r="E3633" s="188"/>
      <c r="H3633"/>
      <c r="I3633" s="202"/>
      <c r="J3633"/>
      <c r="K3633" s="205"/>
      <c r="L3633" s="205"/>
      <c r="M3633" s="205"/>
    </row>
    <row r="3634" spans="2:13" ht="15.75">
      <c r="B3634" s="79"/>
      <c r="D3634"/>
      <c r="E3634" s="188"/>
      <c r="H3634"/>
      <c r="I3634" s="202"/>
      <c r="J3634"/>
      <c r="K3634" s="205"/>
      <c r="L3634" s="205"/>
      <c r="M3634" s="205"/>
    </row>
    <row r="3635" spans="2:13" ht="15.75">
      <c r="B3635" s="79"/>
      <c r="D3635"/>
      <c r="E3635" s="188"/>
      <c r="H3635"/>
      <c r="I3635" s="202"/>
      <c r="J3635"/>
      <c r="K3635" s="205"/>
      <c r="L3635" s="205"/>
      <c r="M3635" s="205"/>
    </row>
    <row r="3636" spans="2:13" ht="15.75">
      <c r="B3636" s="79"/>
      <c r="D3636"/>
      <c r="E3636" s="188"/>
      <c r="H3636"/>
      <c r="I3636" s="202"/>
      <c r="J3636"/>
      <c r="K3636" s="205"/>
      <c r="L3636" s="205"/>
      <c r="M3636" s="205"/>
    </row>
    <row r="3637" spans="2:13" ht="15.75">
      <c r="B3637" s="79"/>
      <c r="D3637"/>
      <c r="E3637" s="188"/>
      <c r="H3637"/>
      <c r="I3637" s="202"/>
      <c r="J3637"/>
      <c r="K3637" s="205"/>
      <c r="L3637" s="205"/>
      <c r="M3637" s="205"/>
    </row>
    <row r="3638" spans="2:13" ht="15.75">
      <c r="B3638" s="79"/>
      <c r="D3638"/>
      <c r="E3638" s="188"/>
      <c r="H3638"/>
      <c r="I3638" s="202"/>
      <c r="J3638"/>
      <c r="K3638" s="205"/>
      <c r="L3638" s="205"/>
      <c r="M3638" s="205"/>
    </row>
    <row r="3639" spans="2:13" ht="15.75">
      <c r="B3639" s="79"/>
      <c r="D3639"/>
      <c r="E3639" s="188"/>
      <c r="H3639"/>
      <c r="I3639" s="202"/>
      <c r="J3639"/>
      <c r="K3639" s="205"/>
      <c r="L3639" s="205"/>
      <c r="M3639" s="205"/>
    </row>
    <row r="3640" spans="2:13" ht="15.75">
      <c r="B3640" s="79"/>
      <c r="D3640"/>
      <c r="E3640" s="188"/>
      <c r="H3640"/>
      <c r="I3640" s="202"/>
      <c r="J3640"/>
      <c r="K3640" s="205"/>
      <c r="L3640" s="205"/>
      <c r="M3640" s="205"/>
    </row>
    <row r="3641" spans="2:13" ht="15.75">
      <c r="B3641" s="79"/>
      <c r="D3641"/>
      <c r="E3641" s="188"/>
      <c r="H3641"/>
      <c r="I3641" s="202"/>
      <c r="J3641"/>
      <c r="K3641" s="205"/>
      <c r="L3641" s="205"/>
      <c r="M3641" s="205"/>
    </row>
    <row r="3642" spans="2:13" ht="15.75">
      <c r="B3642" s="79"/>
      <c r="D3642"/>
      <c r="E3642" s="188"/>
      <c r="H3642"/>
      <c r="I3642" s="202"/>
      <c r="J3642"/>
      <c r="K3642" s="205"/>
      <c r="L3642" s="205"/>
      <c r="M3642" s="205"/>
    </row>
    <row r="3643" spans="2:13" ht="15.75">
      <c r="B3643" s="79"/>
      <c r="D3643"/>
      <c r="E3643" s="188"/>
      <c r="H3643"/>
      <c r="I3643" s="202"/>
      <c r="J3643"/>
      <c r="K3643" s="205"/>
      <c r="L3643" s="205"/>
      <c r="M3643" s="205"/>
    </row>
    <row r="3644" spans="2:13" ht="15.75">
      <c r="B3644" s="79"/>
      <c r="D3644"/>
      <c r="E3644" s="188"/>
      <c r="H3644"/>
      <c r="I3644" s="202"/>
      <c r="J3644"/>
      <c r="K3644" s="205"/>
      <c r="L3644" s="205"/>
      <c r="M3644" s="205"/>
    </row>
    <row r="3645" spans="2:13" ht="15.75">
      <c r="B3645" s="79"/>
      <c r="D3645"/>
      <c r="E3645" s="188"/>
      <c r="H3645"/>
      <c r="I3645" s="202"/>
      <c r="J3645"/>
      <c r="K3645" s="205"/>
      <c r="L3645" s="205"/>
      <c r="M3645" s="205"/>
    </row>
    <row r="3646" spans="2:13" ht="15.75">
      <c r="B3646" s="79"/>
      <c r="D3646"/>
      <c r="E3646" s="188"/>
      <c r="H3646"/>
      <c r="I3646" s="202"/>
      <c r="J3646"/>
      <c r="K3646" s="205"/>
      <c r="L3646" s="205"/>
      <c r="M3646" s="205"/>
    </row>
    <row r="3647" spans="2:13" ht="15.75">
      <c r="B3647" s="79"/>
      <c r="D3647"/>
      <c r="E3647" s="188"/>
      <c r="H3647"/>
      <c r="I3647" s="202"/>
      <c r="J3647"/>
      <c r="K3647" s="205"/>
      <c r="L3647" s="205"/>
      <c r="M3647" s="205"/>
    </row>
    <row r="3648" spans="2:13" ht="15.75">
      <c r="B3648" s="79"/>
      <c r="D3648"/>
      <c r="E3648" s="188"/>
      <c r="H3648"/>
      <c r="I3648" s="202"/>
      <c r="J3648"/>
      <c r="K3648" s="205"/>
      <c r="L3648" s="205"/>
      <c r="M3648" s="205"/>
    </row>
    <row r="3649" spans="2:13" ht="15.75">
      <c r="B3649" s="79"/>
      <c r="D3649"/>
      <c r="E3649" s="188"/>
      <c r="H3649"/>
      <c r="I3649" s="202"/>
      <c r="J3649"/>
      <c r="K3649" s="205"/>
      <c r="L3649" s="205"/>
      <c r="M3649" s="205"/>
    </row>
    <row r="3650" spans="2:13" ht="15.75">
      <c r="B3650" s="79"/>
      <c r="D3650"/>
      <c r="E3650" s="188"/>
      <c r="H3650"/>
      <c r="I3650" s="202"/>
      <c r="J3650"/>
      <c r="K3650" s="205"/>
      <c r="L3650" s="205"/>
      <c r="M3650" s="205"/>
    </row>
    <row r="3651" spans="2:13" ht="15.75">
      <c r="B3651" s="79"/>
      <c r="D3651"/>
      <c r="E3651" s="188"/>
      <c r="H3651"/>
      <c r="I3651" s="202"/>
      <c r="J3651"/>
      <c r="K3651" s="205"/>
      <c r="L3651" s="205"/>
      <c r="M3651" s="205"/>
    </row>
    <row r="3652" spans="2:13" ht="15.75">
      <c r="B3652" s="79"/>
      <c r="D3652"/>
      <c r="E3652" s="188"/>
      <c r="H3652"/>
      <c r="I3652" s="202"/>
      <c r="J3652"/>
      <c r="K3652" s="205"/>
      <c r="L3652" s="205"/>
      <c r="M3652" s="205"/>
    </row>
    <row r="3653" spans="2:13" ht="15.75">
      <c r="B3653" s="79"/>
      <c r="D3653"/>
      <c r="E3653" s="188"/>
      <c r="H3653"/>
      <c r="I3653" s="202"/>
      <c r="J3653"/>
      <c r="K3653" s="205"/>
      <c r="L3653" s="205"/>
      <c r="M3653" s="205"/>
    </row>
    <row r="3654" spans="2:13" ht="15.75">
      <c r="B3654" s="79"/>
      <c r="D3654"/>
      <c r="E3654" s="188"/>
      <c r="H3654"/>
      <c r="I3654" s="202"/>
      <c r="J3654"/>
      <c r="K3654" s="205"/>
      <c r="L3654" s="205"/>
      <c r="M3654" s="205"/>
    </row>
    <row r="3655" spans="2:13" ht="15.75">
      <c r="B3655" s="79"/>
      <c r="D3655"/>
      <c r="E3655" s="188"/>
      <c r="H3655"/>
      <c r="I3655" s="202"/>
      <c r="J3655"/>
      <c r="K3655" s="205"/>
      <c r="L3655" s="205"/>
      <c r="M3655" s="205"/>
    </row>
    <row r="3656" spans="2:13" ht="15.75">
      <c r="B3656" s="79"/>
      <c r="D3656"/>
      <c r="E3656" s="188"/>
      <c r="H3656"/>
      <c r="I3656" s="202"/>
      <c r="J3656"/>
      <c r="K3656" s="205"/>
      <c r="L3656" s="205"/>
      <c r="M3656" s="205"/>
    </row>
    <row r="3657" spans="2:13" ht="15.75">
      <c r="B3657" s="79"/>
      <c r="D3657"/>
      <c r="E3657" s="188"/>
      <c r="H3657"/>
      <c r="I3657" s="202"/>
      <c r="J3657"/>
      <c r="K3657" s="205"/>
      <c r="L3657" s="205"/>
      <c r="M3657" s="205"/>
    </row>
    <row r="3658" spans="2:13" ht="15.75">
      <c r="B3658" s="79"/>
      <c r="D3658"/>
      <c r="E3658" s="188"/>
      <c r="H3658"/>
      <c r="I3658" s="202"/>
      <c r="J3658"/>
      <c r="K3658" s="205"/>
      <c r="L3658" s="205"/>
      <c r="M3658" s="205"/>
    </row>
    <row r="3659" spans="2:13" ht="15.75">
      <c r="B3659" s="79"/>
      <c r="D3659"/>
      <c r="E3659" s="188"/>
      <c r="H3659"/>
      <c r="I3659" s="202"/>
      <c r="J3659"/>
      <c r="K3659" s="205"/>
      <c r="L3659" s="205"/>
      <c r="M3659" s="205"/>
    </row>
    <row r="3660" spans="2:13" ht="15.75">
      <c r="B3660" s="79"/>
      <c r="D3660"/>
      <c r="E3660" s="188"/>
      <c r="H3660"/>
      <c r="I3660" s="202"/>
      <c r="J3660"/>
      <c r="K3660" s="205"/>
      <c r="L3660" s="205"/>
      <c r="M3660" s="205"/>
    </row>
    <row r="3661" spans="2:13" ht="15.75">
      <c r="B3661" s="79"/>
      <c r="D3661"/>
      <c r="E3661" s="188"/>
      <c r="H3661"/>
      <c r="I3661" s="202"/>
      <c r="J3661"/>
      <c r="K3661" s="205"/>
      <c r="L3661" s="205"/>
      <c r="M3661" s="205"/>
    </row>
    <row r="3662" spans="2:13" ht="15.75">
      <c r="B3662" s="79"/>
      <c r="D3662"/>
      <c r="E3662" s="188"/>
      <c r="H3662"/>
      <c r="I3662" s="202"/>
      <c r="J3662"/>
      <c r="K3662" s="205"/>
      <c r="L3662" s="205"/>
      <c r="M3662" s="205"/>
    </row>
    <row r="3663" spans="2:13" ht="15.75">
      <c r="B3663" s="79"/>
      <c r="D3663"/>
      <c r="E3663" s="188"/>
      <c r="H3663"/>
      <c r="I3663" s="202"/>
      <c r="J3663"/>
      <c r="K3663" s="205"/>
      <c r="L3663" s="205"/>
      <c r="M3663" s="205"/>
    </row>
    <row r="3664" spans="2:13" ht="15.75">
      <c r="B3664" s="79"/>
      <c r="D3664"/>
      <c r="E3664" s="188"/>
      <c r="H3664"/>
      <c r="I3664" s="202"/>
      <c r="J3664"/>
      <c r="K3664" s="205"/>
      <c r="L3664" s="205"/>
      <c r="M3664" s="205"/>
    </row>
    <row r="3665" spans="2:13" ht="15.75">
      <c r="B3665" s="79"/>
      <c r="D3665"/>
      <c r="E3665" s="188"/>
      <c r="H3665"/>
      <c r="I3665" s="202"/>
      <c r="J3665"/>
      <c r="K3665" s="205"/>
      <c r="L3665" s="205"/>
      <c r="M3665" s="205"/>
    </row>
    <row r="3666" spans="2:13" ht="15.75">
      <c r="B3666" s="79"/>
      <c r="D3666"/>
      <c r="E3666" s="188"/>
      <c r="H3666"/>
      <c r="I3666" s="202"/>
      <c r="J3666"/>
      <c r="K3666" s="205"/>
      <c r="L3666" s="205"/>
      <c r="M3666" s="205"/>
    </row>
    <row r="3667" spans="2:13" ht="15.75">
      <c r="B3667" s="79"/>
      <c r="D3667"/>
      <c r="E3667" s="188"/>
      <c r="H3667"/>
      <c r="I3667" s="202"/>
      <c r="J3667"/>
      <c r="K3667" s="205"/>
      <c r="L3667" s="205"/>
      <c r="M3667" s="205"/>
    </row>
    <row r="3668" spans="2:13" ht="15.75">
      <c r="B3668" s="79"/>
      <c r="D3668"/>
      <c r="E3668" s="188"/>
      <c r="H3668"/>
      <c r="I3668" s="202"/>
      <c r="J3668"/>
      <c r="K3668" s="205"/>
      <c r="L3668" s="205"/>
      <c r="M3668" s="205"/>
    </row>
    <row r="3669" spans="2:13" ht="15.75">
      <c r="B3669" s="79"/>
      <c r="D3669"/>
      <c r="E3669" s="188"/>
      <c r="H3669"/>
      <c r="I3669" s="202"/>
      <c r="J3669"/>
      <c r="K3669" s="205"/>
      <c r="L3669" s="205"/>
      <c r="M3669" s="205"/>
    </row>
    <row r="3670" spans="2:13" ht="15.75">
      <c r="B3670" s="79"/>
      <c r="D3670"/>
      <c r="E3670" s="188"/>
      <c r="H3670"/>
      <c r="I3670" s="202"/>
      <c r="J3670"/>
      <c r="K3670" s="205"/>
      <c r="L3670" s="205"/>
      <c r="M3670" s="205"/>
    </row>
    <row r="3671" spans="2:13" ht="15.75">
      <c r="B3671" s="79"/>
      <c r="D3671"/>
      <c r="E3671" s="188"/>
      <c r="H3671"/>
      <c r="I3671" s="202"/>
      <c r="J3671"/>
      <c r="K3671" s="205"/>
      <c r="L3671" s="205"/>
      <c r="M3671" s="205"/>
    </row>
    <row r="3672" spans="2:13" ht="15.75">
      <c r="B3672" s="79"/>
      <c r="D3672"/>
      <c r="E3672" s="188"/>
      <c r="H3672"/>
      <c r="I3672" s="202"/>
      <c r="J3672"/>
      <c r="K3672" s="205"/>
      <c r="L3672" s="205"/>
      <c r="M3672" s="205"/>
    </row>
    <row r="3673" spans="2:13" ht="15.75">
      <c r="B3673" s="79"/>
      <c r="D3673"/>
      <c r="E3673" s="188"/>
      <c r="H3673"/>
      <c r="I3673" s="202"/>
      <c r="J3673"/>
      <c r="K3673" s="205"/>
      <c r="L3673" s="205"/>
      <c r="M3673" s="205"/>
    </row>
    <row r="3674" spans="2:13" ht="15.75">
      <c r="B3674" s="79"/>
      <c r="D3674"/>
      <c r="E3674" s="188"/>
      <c r="H3674"/>
      <c r="I3674" s="202"/>
      <c r="J3674"/>
      <c r="K3674" s="205"/>
      <c r="L3674" s="205"/>
      <c r="M3674" s="205"/>
    </row>
    <row r="3675" spans="2:13" ht="15.75">
      <c r="B3675" s="79"/>
      <c r="D3675"/>
      <c r="E3675" s="188"/>
      <c r="H3675"/>
      <c r="I3675" s="202"/>
      <c r="J3675"/>
      <c r="K3675" s="205"/>
      <c r="L3675" s="205"/>
      <c r="M3675" s="205"/>
    </row>
    <row r="3676" spans="2:13" ht="15.75">
      <c r="B3676" s="79"/>
      <c r="D3676"/>
      <c r="E3676" s="188"/>
      <c r="H3676"/>
      <c r="I3676" s="202"/>
      <c r="J3676"/>
      <c r="K3676" s="205"/>
      <c r="L3676" s="205"/>
      <c r="M3676" s="205"/>
    </row>
    <row r="3677" spans="2:13" ht="15.75">
      <c r="B3677" s="79"/>
      <c r="D3677"/>
      <c r="E3677" s="188"/>
      <c r="H3677"/>
      <c r="I3677" s="202"/>
      <c r="J3677"/>
      <c r="K3677" s="205"/>
      <c r="L3677" s="205"/>
      <c r="M3677" s="205"/>
    </row>
    <row r="3678" spans="2:13" ht="15.75">
      <c r="B3678" s="79"/>
      <c r="D3678"/>
      <c r="E3678" s="188"/>
      <c r="H3678"/>
      <c r="I3678" s="202"/>
      <c r="J3678"/>
      <c r="K3678" s="205"/>
      <c r="L3678" s="205"/>
      <c r="M3678" s="205"/>
    </row>
    <row r="3679" spans="2:13" ht="15.75">
      <c r="B3679" s="79"/>
      <c r="D3679"/>
      <c r="E3679" s="188"/>
      <c r="H3679"/>
      <c r="I3679" s="202"/>
      <c r="J3679"/>
      <c r="K3679" s="205"/>
      <c r="L3679" s="205"/>
      <c r="M3679" s="205"/>
    </row>
    <row r="3680" spans="2:13" ht="15.75">
      <c r="B3680" s="79"/>
      <c r="D3680"/>
      <c r="E3680" s="188"/>
      <c r="H3680"/>
      <c r="I3680" s="202"/>
      <c r="J3680"/>
      <c r="K3680" s="205"/>
      <c r="L3680" s="205"/>
      <c r="M3680" s="205"/>
    </row>
    <row r="3681" spans="2:13" ht="15.75">
      <c r="B3681" s="79"/>
      <c r="D3681"/>
      <c r="E3681" s="188"/>
      <c r="H3681"/>
      <c r="I3681" s="202"/>
      <c r="J3681"/>
      <c r="K3681" s="205"/>
      <c r="L3681" s="205"/>
      <c r="M3681" s="205"/>
    </row>
    <row r="3682" spans="2:13" ht="15.75">
      <c r="B3682" s="79"/>
      <c r="D3682"/>
      <c r="E3682" s="188"/>
      <c r="H3682"/>
      <c r="I3682" s="202"/>
      <c r="J3682"/>
      <c r="K3682" s="205"/>
      <c r="L3682" s="205"/>
      <c r="M3682" s="205"/>
    </row>
    <row r="3683" spans="2:13" ht="15.75">
      <c r="B3683" s="79"/>
      <c r="D3683"/>
      <c r="E3683" s="188"/>
      <c r="H3683"/>
      <c r="I3683" s="202"/>
      <c r="J3683"/>
      <c r="K3683" s="205"/>
      <c r="L3683" s="205"/>
      <c r="M3683" s="205"/>
    </row>
    <row r="3684" spans="2:13" ht="15.75">
      <c r="B3684" s="79"/>
      <c r="D3684"/>
      <c r="E3684" s="188"/>
      <c r="H3684"/>
      <c r="I3684" s="202"/>
      <c r="J3684"/>
      <c r="K3684" s="205"/>
      <c r="L3684" s="205"/>
      <c r="M3684" s="205"/>
    </row>
    <row r="3685" spans="2:13" ht="15.75">
      <c r="B3685" s="79"/>
      <c r="D3685"/>
      <c r="E3685" s="188"/>
      <c r="H3685"/>
      <c r="I3685" s="202"/>
      <c r="J3685"/>
      <c r="K3685" s="205"/>
      <c r="L3685" s="205"/>
      <c r="M3685" s="205"/>
    </row>
    <row r="3686" spans="2:13" ht="15.75">
      <c r="B3686" s="79"/>
      <c r="D3686"/>
      <c r="E3686" s="188"/>
      <c r="H3686"/>
      <c r="I3686" s="202"/>
      <c r="J3686"/>
      <c r="K3686" s="205"/>
      <c r="L3686" s="205"/>
      <c r="M3686" s="205"/>
    </row>
    <row r="3687" spans="2:13" ht="15.75">
      <c r="B3687" s="79"/>
      <c r="D3687"/>
      <c r="E3687" s="188"/>
      <c r="H3687"/>
      <c r="I3687" s="202"/>
      <c r="J3687"/>
      <c r="K3687" s="205"/>
      <c r="L3687" s="205"/>
      <c r="M3687" s="205"/>
    </row>
    <row r="3688" spans="2:13" ht="15.75">
      <c r="B3688" s="79"/>
      <c r="D3688"/>
      <c r="E3688" s="188"/>
      <c r="H3688"/>
      <c r="I3688" s="202"/>
      <c r="J3688"/>
      <c r="K3688" s="205"/>
      <c r="L3688" s="205"/>
      <c r="M3688" s="205"/>
    </row>
    <row r="3689" spans="2:13" ht="15.75">
      <c r="B3689" s="79"/>
      <c r="D3689"/>
      <c r="E3689" s="188"/>
      <c r="H3689"/>
      <c r="I3689" s="202"/>
      <c r="J3689"/>
      <c r="K3689" s="205"/>
      <c r="L3689" s="205"/>
      <c r="M3689" s="205"/>
    </row>
    <row r="3690" spans="2:13" ht="15.75">
      <c r="B3690" s="79"/>
      <c r="D3690"/>
      <c r="E3690" s="188"/>
      <c r="H3690"/>
      <c r="I3690" s="202"/>
      <c r="J3690"/>
      <c r="K3690" s="205"/>
      <c r="L3690" s="205"/>
      <c r="M3690" s="205"/>
    </row>
    <row r="3691" spans="2:13" ht="15.75">
      <c r="B3691" s="79"/>
      <c r="D3691"/>
      <c r="E3691" s="188"/>
      <c r="H3691"/>
      <c r="I3691" s="202"/>
      <c r="J3691"/>
      <c r="K3691" s="205"/>
      <c r="L3691" s="205"/>
      <c r="M3691" s="205"/>
    </row>
    <row r="3692" spans="2:13" ht="15.75">
      <c r="B3692" s="79"/>
      <c r="D3692"/>
      <c r="E3692" s="188"/>
      <c r="H3692"/>
      <c r="I3692" s="202"/>
      <c r="J3692"/>
      <c r="K3692" s="205"/>
      <c r="L3692" s="205"/>
      <c r="M3692" s="205"/>
    </row>
    <row r="3693" spans="2:13" ht="15.75">
      <c r="B3693" s="79"/>
      <c r="D3693"/>
      <c r="E3693" s="188"/>
      <c r="H3693"/>
      <c r="I3693" s="202"/>
      <c r="J3693"/>
      <c r="K3693" s="205"/>
      <c r="L3693" s="205"/>
      <c r="M3693" s="205"/>
    </row>
    <row r="3694" spans="2:13" ht="15.75">
      <c r="B3694" s="79"/>
      <c r="D3694"/>
      <c r="E3694" s="188"/>
      <c r="H3694"/>
      <c r="I3694" s="202"/>
      <c r="J3694"/>
      <c r="K3694" s="205"/>
      <c r="L3694" s="205"/>
      <c r="M3694" s="205"/>
    </row>
    <row r="3695" spans="2:13" ht="15.75">
      <c r="B3695" s="79"/>
      <c r="D3695"/>
      <c r="E3695" s="188"/>
      <c r="H3695"/>
      <c r="I3695" s="202"/>
      <c r="J3695"/>
      <c r="K3695" s="205"/>
      <c r="L3695" s="205"/>
      <c r="M3695" s="205"/>
    </row>
    <row r="3696" spans="2:13" ht="15.75">
      <c r="B3696" s="79"/>
      <c r="D3696"/>
      <c r="E3696" s="188"/>
      <c r="H3696"/>
      <c r="I3696" s="202"/>
      <c r="J3696"/>
      <c r="K3696" s="205"/>
      <c r="L3696" s="205"/>
      <c r="M3696" s="205"/>
    </row>
    <row r="3697" spans="2:13" ht="15.75">
      <c r="B3697" s="79"/>
      <c r="D3697"/>
      <c r="E3697" s="188"/>
      <c r="H3697"/>
      <c r="I3697" s="202"/>
      <c r="J3697"/>
      <c r="K3697" s="205"/>
      <c r="L3697" s="205"/>
      <c r="M3697" s="205"/>
    </row>
    <row r="3698" spans="2:13" ht="15.75">
      <c r="B3698" s="79"/>
      <c r="D3698"/>
      <c r="E3698" s="188"/>
      <c r="H3698"/>
      <c r="I3698" s="202"/>
      <c r="J3698"/>
      <c r="K3698" s="205"/>
      <c r="L3698" s="205"/>
      <c r="M3698" s="205"/>
    </row>
    <row r="3699" spans="2:13" ht="15.75">
      <c r="B3699" s="79"/>
      <c r="D3699"/>
      <c r="E3699" s="188"/>
      <c r="H3699"/>
      <c r="I3699" s="202"/>
      <c r="J3699"/>
      <c r="K3699" s="205"/>
      <c r="L3699" s="205"/>
      <c r="M3699" s="205"/>
    </row>
    <row r="3700" spans="2:13" ht="15.75">
      <c r="B3700" s="79"/>
      <c r="D3700"/>
      <c r="E3700" s="188"/>
      <c r="H3700"/>
      <c r="I3700" s="202"/>
      <c r="J3700"/>
      <c r="K3700" s="205"/>
      <c r="L3700" s="205"/>
      <c r="M3700" s="205"/>
    </row>
    <row r="3701" spans="2:13" ht="15.75">
      <c r="B3701" s="79"/>
      <c r="D3701"/>
      <c r="E3701" s="188"/>
      <c r="H3701"/>
      <c r="I3701" s="202"/>
      <c r="J3701"/>
      <c r="K3701" s="205"/>
      <c r="L3701" s="205"/>
      <c r="M3701" s="205"/>
    </row>
    <row r="3702" spans="2:13" ht="15.75">
      <c r="B3702" s="79"/>
      <c r="D3702"/>
      <c r="E3702" s="188"/>
      <c r="H3702"/>
      <c r="I3702" s="202"/>
      <c r="J3702"/>
      <c r="K3702" s="205"/>
      <c r="L3702" s="205"/>
      <c r="M3702" s="205"/>
    </row>
    <row r="3703" spans="2:13" ht="15.75">
      <c r="B3703" s="79"/>
      <c r="D3703"/>
      <c r="E3703" s="188"/>
      <c r="H3703"/>
      <c r="I3703" s="202"/>
      <c r="J3703"/>
      <c r="K3703" s="205"/>
      <c r="L3703" s="205"/>
      <c r="M3703" s="205"/>
    </row>
    <row r="3704" spans="2:13" ht="15.75">
      <c r="B3704" s="79"/>
      <c r="D3704"/>
      <c r="E3704" s="188"/>
      <c r="H3704"/>
      <c r="I3704" s="202"/>
      <c r="J3704"/>
      <c r="K3704" s="205"/>
      <c r="L3704" s="205"/>
      <c r="M3704" s="205"/>
    </row>
    <row r="3705" spans="2:13" ht="15.75">
      <c r="B3705" s="79"/>
      <c r="D3705"/>
      <c r="E3705" s="188"/>
      <c r="H3705"/>
      <c r="I3705" s="202"/>
      <c r="J3705"/>
      <c r="K3705" s="205"/>
      <c r="L3705" s="205"/>
      <c r="M3705" s="205"/>
    </row>
    <row r="3706" spans="2:13" ht="15.75">
      <c r="B3706" s="79"/>
      <c r="D3706"/>
      <c r="E3706" s="188"/>
      <c r="H3706"/>
      <c r="I3706" s="202"/>
      <c r="J3706"/>
      <c r="K3706" s="205"/>
      <c r="L3706" s="205"/>
      <c r="M3706" s="205"/>
    </row>
    <row r="3707" spans="2:13" ht="15.75">
      <c r="B3707" s="79"/>
      <c r="D3707"/>
      <c r="E3707" s="188"/>
      <c r="H3707"/>
      <c r="I3707" s="202"/>
      <c r="J3707"/>
      <c r="K3707" s="205"/>
      <c r="L3707" s="205"/>
      <c r="M3707" s="205"/>
    </row>
    <row r="3708" spans="2:13" ht="15.75">
      <c r="B3708" s="79"/>
      <c r="D3708"/>
      <c r="E3708" s="188"/>
      <c r="H3708"/>
      <c r="I3708" s="202"/>
      <c r="J3708"/>
      <c r="K3708" s="205"/>
      <c r="L3708" s="205"/>
      <c r="M3708" s="205"/>
    </row>
    <row r="3709" spans="2:13" ht="15.75">
      <c r="B3709" s="79"/>
      <c r="D3709"/>
      <c r="E3709" s="188"/>
      <c r="H3709"/>
      <c r="I3709" s="202"/>
      <c r="J3709"/>
      <c r="K3709" s="205"/>
      <c r="L3709" s="205"/>
      <c r="M3709" s="205"/>
    </row>
    <row r="3710" spans="2:13" ht="15.75">
      <c r="B3710" s="79"/>
      <c r="D3710"/>
      <c r="E3710" s="188"/>
      <c r="H3710"/>
      <c r="I3710" s="202"/>
      <c r="J3710"/>
      <c r="K3710" s="205"/>
      <c r="L3710" s="205"/>
      <c r="M3710" s="205"/>
    </row>
    <row r="3711" spans="2:13" ht="15.75">
      <c r="B3711" s="79"/>
      <c r="D3711"/>
      <c r="E3711" s="188"/>
      <c r="H3711"/>
      <c r="I3711" s="202"/>
      <c r="J3711"/>
      <c r="K3711" s="205"/>
      <c r="L3711" s="205"/>
      <c r="M3711" s="205"/>
    </row>
    <row r="3712" spans="2:13" ht="15.75">
      <c r="B3712" s="79"/>
      <c r="D3712"/>
      <c r="E3712" s="188"/>
      <c r="H3712"/>
      <c r="I3712" s="202"/>
      <c r="J3712"/>
      <c r="K3712" s="205"/>
      <c r="L3712" s="205"/>
      <c r="M3712" s="205"/>
    </row>
    <row r="3713" spans="2:13" ht="15.75">
      <c r="B3713" s="79"/>
      <c r="D3713"/>
      <c r="E3713" s="188"/>
      <c r="H3713"/>
      <c r="I3713" s="202"/>
      <c r="J3713"/>
      <c r="K3713" s="205"/>
      <c r="L3713" s="205"/>
      <c r="M3713" s="205"/>
    </row>
    <row r="3714" spans="2:13" ht="15.75">
      <c r="B3714" s="79"/>
      <c r="D3714"/>
      <c r="E3714" s="188"/>
      <c r="H3714"/>
      <c r="I3714" s="202"/>
      <c r="J3714"/>
      <c r="K3714" s="205"/>
      <c r="L3714" s="205"/>
      <c r="M3714" s="205"/>
    </row>
    <row r="3715" spans="2:13" ht="15.75">
      <c r="B3715" s="79"/>
      <c r="D3715"/>
      <c r="E3715" s="188"/>
      <c r="H3715"/>
      <c r="I3715" s="202"/>
      <c r="J3715"/>
      <c r="K3715" s="205"/>
      <c r="L3715" s="205"/>
      <c r="M3715" s="205"/>
    </row>
    <row r="3716" spans="2:13" ht="15.75">
      <c r="B3716" s="79"/>
      <c r="D3716"/>
      <c r="E3716" s="188"/>
      <c r="H3716"/>
      <c r="I3716" s="202"/>
      <c r="J3716"/>
      <c r="K3716" s="205"/>
      <c r="L3716" s="205"/>
      <c r="M3716" s="205"/>
    </row>
    <row r="3717" spans="2:13" ht="15.75">
      <c r="B3717" s="79"/>
      <c r="D3717"/>
      <c r="E3717" s="188"/>
      <c r="H3717"/>
      <c r="I3717" s="202"/>
      <c r="J3717"/>
      <c r="K3717" s="205"/>
      <c r="L3717" s="205"/>
      <c r="M3717" s="205"/>
    </row>
    <row r="3718" spans="2:13" ht="15.75">
      <c r="B3718" s="79"/>
      <c r="D3718"/>
      <c r="E3718" s="188"/>
      <c r="H3718"/>
      <c r="I3718" s="202"/>
      <c r="J3718"/>
      <c r="K3718" s="205"/>
      <c r="L3718" s="205"/>
      <c r="M3718" s="205"/>
    </row>
    <row r="3719" spans="2:13" ht="15.75">
      <c r="B3719" s="79"/>
      <c r="D3719"/>
      <c r="E3719" s="188"/>
      <c r="H3719"/>
      <c r="I3719" s="202"/>
      <c r="J3719"/>
      <c r="K3719" s="205"/>
      <c r="L3719" s="205"/>
      <c r="M3719" s="205"/>
    </row>
    <row r="3720" spans="2:13" ht="15.75">
      <c r="B3720" s="79"/>
      <c r="D3720"/>
      <c r="E3720" s="188"/>
      <c r="H3720"/>
      <c r="I3720" s="202"/>
      <c r="J3720"/>
      <c r="K3720" s="205"/>
      <c r="L3720" s="205"/>
      <c r="M3720" s="205"/>
    </row>
    <row r="3721" spans="2:13" ht="15.75">
      <c r="B3721" s="79"/>
      <c r="D3721"/>
      <c r="E3721" s="188"/>
      <c r="H3721"/>
      <c r="I3721" s="202"/>
      <c r="J3721"/>
      <c r="K3721" s="205"/>
      <c r="L3721" s="205"/>
      <c r="M3721" s="205"/>
    </row>
    <row r="3722" spans="2:13" ht="15.75">
      <c r="B3722" s="79"/>
      <c r="D3722"/>
      <c r="E3722" s="188"/>
      <c r="H3722"/>
      <c r="I3722" s="202"/>
      <c r="J3722"/>
      <c r="K3722" s="205"/>
      <c r="L3722" s="205"/>
      <c r="M3722" s="205"/>
    </row>
    <row r="3723" spans="2:13" ht="15.75">
      <c r="B3723" s="79"/>
      <c r="D3723"/>
      <c r="E3723" s="188"/>
      <c r="H3723"/>
      <c r="I3723" s="202"/>
      <c r="J3723"/>
      <c r="K3723" s="205"/>
      <c r="L3723" s="205"/>
      <c r="M3723" s="205"/>
    </row>
    <row r="3724" spans="2:13" ht="15.75">
      <c r="B3724" s="79"/>
      <c r="D3724"/>
      <c r="E3724" s="188"/>
      <c r="H3724"/>
      <c r="I3724" s="202"/>
      <c r="J3724"/>
      <c r="K3724" s="205"/>
      <c r="L3724" s="205"/>
      <c r="M3724" s="205"/>
    </row>
    <row r="3725" spans="2:13" ht="15.75">
      <c r="B3725" s="79"/>
      <c r="D3725"/>
      <c r="E3725" s="188"/>
      <c r="H3725"/>
      <c r="I3725" s="202"/>
      <c r="J3725"/>
      <c r="K3725" s="205"/>
      <c r="L3725" s="205"/>
      <c r="M3725" s="205"/>
    </row>
    <row r="3726" spans="2:13" ht="15.75">
      <c r="B3726" s="79"/>
      <c r="D3726"/>
      <c r="E3726" s="188"/>
      <c r="H3726"/>
      <c r="I3726" s="202"/>
      <c r="J3726"/>
      <c r="K3726" s="205"/>
      <c r="L3726" s="205"/>
      <c r="M3726" s="205"/>
    </row>
    <row r="3727" spans="2:13" ht="15.75">
      <c r="B3727" s="79"/>
      <c r="D3727"/>
      <c r="E3727" s="188"/>
      <c r="H3727"/>
      <c r="I3727" s="202"/>
      <c r="J3727"/>
      <c r="K3727" s="205"/>
      <c r="L3727" s="205"/>
      <c r="M3727" s="205"/>
    </row>
    <row r="3728" spans="2:13" ht="15.75">
      <c r="B3728" s="79"/>
      <c r="D3728"/>
      <c r="E3728" s="188"/>
      <c r="H3728"/>
      <c r="I3728" s="202"/>
      <c r="J3728"/>
      <c r="K3728" s="205"/>
      <c r="L3728" s="205"/>
      <c r="M3728" s="205"/>
    </row>
    <row r="3729" spans="2:13" ht="15.75">
      <c r="B3729" s="79"/>
      <c r="D3729"/>
      <c r="E3729" s="188"/>
      <c r="H3729"/>
      <c r="I3729" s="202"/>
      <c r="J3729"/>
      <c r="K3729" s="205"/>
      <c r="L3729" s="205"/>
      <c r="M3729" s="205"/>
    </row>
    <row r="3730" spans="2:13" ht="15.75">
      <c r="B3730" s="79"/>
      <c r="D3730"/>
      <c r="E3730" s="188"/>
      <c r="H3730"/>
      <c r="I3730" s="202"/>
      <c r="J3730"/>
      <c r="K3730" s="205"/>
      <c r="L3730" s="205"/>
      <c r="M3730" s="205"/>
    </row>
    <row r="3731" spans="2:13" ht="15.75">
      <c r="B3731" s="79"/>
      <c r="D3731"/>
      <c r="E3731" s="188"/>
      <c r="H3731"/>
      <c r="I3731" s="202"/>
      <c r="J3731"/>
      <c r="K3731" s="205"/>
      <c r="L3731" s="205"/>
      <c r="M3731" s="205"/>
    </row>
    <row r="3732" spans="2:13" ht="15.75">
      <c r="B3732" s="79"/>
      <c r="D3732"/>
      <c r="E3732" s="188"/>
      <c r="H3732"/>
      <c r="I3732" s="202"/>
      <c r="J3732"/>
      <c r="K3732" s="205"/>
      <c r="L3732" s="205"/>
      <c r="M3732" s="205"/>
    </row>
    <row r="3733" spans="2:13" ht="15.75">
      <c r="B3733" s="79"/>
      <c r="D3733"/>
      <c r="E3733" s="188"/>
      <c r="H3733"/>
      <c r="I3733" s="202"/>
      <c r="J3733"/>
      <c r="K3733" s="205"/>
      <c r="L3733" s="205"/>
      <c r="M3733" s="205"/>
    </row>
    <row r="3734" spans="2:13" ht="15.75">
      <c r="B3734" s="79"/>
      <c r="D3734"/>
      <c r="E3734" s="188"/>
      <c r="H3734"/>
      <c r="I3734" s="202"/>
      <c r="J3734"/>
      <c r="K3734" s="205"/>
      <c r="L3734" s="205"/>
      <c r="M3734" s="205"/>
    </row>
    <row r="3735" spans="2:13" ht="15.75">
      <c r="B3735" s="79"/>
      <c r="D3735"/>
      <c r="E3735" s="188"/>
      <c r="H3735"/>
      <c r="I3735" s="202"/>
      <c r="J3735"/>
      <c r="K3735" s="205"/>
      <c r="L3735" s="205"/>
      <c r="M3735" s="205"/>
    </row>
    <row r="3736" spans="2:13" ht="15.75">
      <c r="B3736" s="79"/>
      <c r="D3736"/>
      <c r="E3736" s="188"/>
      <c r="H3736"/>
      <c r="I3736" s="202"/>
      <c r="J3736"/>
      <c r="K3736" s="205"/>
      <c r="L3736" s="205"/>
      <c r="M3736" s="205"/>
    </row>
    <row r="3737" spans="2:13" ht="15.75">
      <c r="B3737" s="79"/>
      <c r="D3737"/>
      <c r="E3737" s="188"/>
      <c r="H3737"/>
      <c r="I3737" s="202"/>
      <c r="J3737"/>
      <c r="K3737" s="205"/>
      <c r="L3737" s="205"/>
      <c r="M3737" s="205"/>
    </row>
    <row r="3738" spans="2:13" ht="15.75">
      <c r="B3738" s="79"/>
      <c r="D3738"/>
      <c r="E3738" s="188"/>
      <c r="H3738"/>
      <c r="I3738" s="202"/>
      <c r="J3738"/>
      <c r="K3738" s="205"/>
      <c r="L3738" s="205"/>
      <c r="M3738" s="205"/>
    </row>
    <row r="3739" spans="2:13" ht="15.75">
      <c r="B3739" s="79"/>
      <c r="D3739"/>
      <c r="E3739" s="188"/>
      <c r="H3739"/>
      <c r="I3739" s="202"/>
      <c r="J3739"/>
      <c r="K3739" s="205"/>
      <c r="L3739" s="205"/>
      <c r="M3739" s="205"/>
    </row>
    <row r="3740" spans="2:13" ht="15.75">
      <c r="B3740" s="79"/>
      <c r="D3740"/>
      <c r="E3740" s="188"/>
      <c r="H3740"/>
      <c r="I3740" s="202"/>
      <c r="J3740"/>
      <c r="K3740" s="205"/>
      <c r="L3740" s="205"/>
      <c r="M3740" s="205"/>
    </row>
    <row r="3741" spans="2:13" ht="15.75">
      <c r="B3741" s="79"/>
      <c r="D3741"/>
      <c r="E3741" s="188"/>
      <c r="H3741"/>
      <c r="I3741" s="202"/>
      <c r="J3741"/>
      <c r="K3741" s="205"/>
      <c r="L3741" s="205"/>
      <c r="M3741" s="205"/>
    </row>
    <row r="3742" spans="2:13" ht="15.75">
      <c r="B3742" s="79"/>
      <c r="D3742"/>
      <c r="E3742" s="188"/>
      <c r="H3742"/>
      <c r="I3742" s="202"/>
      <c r="J3742"/>
      <c r="K3742" s="205"/>
      <c r="L3742" s="205"/>
      <c r="M3742" s="205"/>
    </row>
    <row r="3743" spans="2:13" ht="15.75">
      <c r="B3743" s="79"/>
      <c r="D3743"/>
      <c r="E3743" s="188"/>
      <c r="H3743"/>
      <c r="I3743" s="202"/>
      <c r="J3743"/>
      <c r="K3743" s="205"/>
      <c r="L3743" s="205"/>
      <c r="M3743" s="205"/>
    </row>
    <row r="3744" spans="2:13" ht="15.75">
      <c r="B3744" s="79"/>
      <c r="D3744"/>
      <c r="E3744" s="188"/>
      <c r="H3744"/>
      <c r="I3744" s="202"/>
      <c r="J3744"/>
      <c r="K3744" s="205"/>
      <c r="L3744" s="205"/>
      <c r="M3744" s="205"/>
    </row>
    <row r="3745" spans="2:13" ht="15.75">
      <c r="B3745" s="79"/>
      <c r="D3745"/>
      <c r="E3745" s="188"/>
      <c r="H3745"/>
      <c r="I3745" s="202"/>
      <c r="J3745"/>
      <c r="K3745" s="205"/>
      <c r="L3745" s="205"/>
      <c r="M3745" s="205"/>
    </row>
    <row r="3746" spans="2:13" ht="15.75">
      <c r="B3746" s="79"/>
      <c r="D3746"/>
      <c r="E3746" s="188"/>
      <c r="H3746"/>
      <c r="I3746" s="202"/>
      <c r="J3746"/>
      <c r="K3746" s="205"/>
      <c r="L3746" s="205"/>
      <c r="M3746" s="205"/>
    </row>
    <row r="3747" spans="2:13" ht="15.75">
      <c r="B3747" s="79"/>
      <c r="D3747"/>
      <c r="E3747" s="188"/>
      <c r="H3747"/>
      <c r="I3747" s="202"/>
      <c r="J3747"/>
      <c r="K3747" s="205"/>
      <c r="L3747" s="205"/>
      <c r="M3747" s="205"/>
    </row>
    <row r="3748" spans="2:13" ht="15.75">
      <c r="B3748" s="79"/>
      <c r="D3748"/>
      <c r="E3748" s="188"/>
      <c r="H3748"/>
      <c r="I3748" s="202"/>
      <c r="J3748"/>
      <c r="K3748" s="205"/>
      <c r="L3748" s="205"/>
      <c r="M3748" s="205"/>
    </row>
    <row r="3749" spans="2:13" ht="15.75">
      <c r="B3749" s="79"/>
      <c r="D3749"/>
      <c r="E3749" s="188"/>
      <c r="H3749"/>
      <c r="I3749" s="202"/>
      <c r="J3749"/>
      <c r="K3749" s="205"/>
      <c r="L3749" s="205"/>
      <c r="M3749" s="205"/>
    </row>
    <row r="3750" spans="2:13" ht="15.75">
      <c r="B3750" s="79"/>
      <c r="D3750"/>
      <c r="E3750" s="188"/>
      <c r="H3750"/>
      <c r="I3750" s="202"/>
      <c r="J3750"/>
      <c r="K3750" s="205"/>
      <c r="L3750" s="205"/>
      <c r="M3750" s="205"/>
    </row>
    <row r="3751" spans="2:13" ht="15.75">
      <c r="B3751" s="79"/>
      <c r="D3751"/>
      <c r="E3751" s="188"/>
      <c r="H3751"/>
      <c r="I3751" s="202"/>
      <c r="J3751"/>
      <c r="K3751" s="205"/>
      <c r="L3751" s="205"/>
      <c r="M3751" s="205"/>
    </row>
    <row r="3752" spans="2:13" ht="15.75">
      <c r="B3752" s="79"/>
      <c r="D3752"/>
      <c r="E3752" s="188"/>
      <c r="H3752"/>
      <c r="I3752" s="202"/>
      <c r="J3752"/>
      <c r="K3752" s="205"/>
      <c r="L3752" s="205"/>
      <c r="M3752" s="205"/>
    </row>
    <row r="3753" spans="2:13" ht="15.75">
      <c r="B3753" s="79"/>
      <c r="D3753"/>
      <c r="E3753" s="188"/>
      <c r="H3753"/>
      <c r="I3753" s="202"/>
      <c r="J3753"/>
      <c r="K3753" s="205"/>
      <c r="L3753" s="205"/>
      <c r="M3753" s="205"/>
    </row>
    <row r="3754" spans="2:13" ht="15.75">
      <c r="B3754" s="79"/>
      <c r="D3754"/>
      <c r="E3754" s="188"/>
      <c r="H3754"/>
      <c r="I3754" s="202"/>
      <c r="J3754"/>
      <c r="K3754" s="205"/>
      <c r="L3754" s="205"/>
      <c r="M3754" s="205"/>
    </row>
    <row r="3755" spans="2:13" ht="15.75">
      <c r="B3755" s="79"/>
      <c r="D3755"/>
      <c r="E3755" s="188"/>
      <c r="H3755"/>
      <c r="I3755" s="202"/>
      <c r="J3755"/>
      <c r="K3755" s="205"/>
      <c r="L3755" s="205"/>
      <c r="M3755" s="205"/>
    </row>
    <row r="3756" spans="2:13" ht="15.75">
      <c r="B3756" s="79"/>
      <c r="D3756"/>
      <c r="E3756" s="188"/>
      <c r="H3756"/>
      <c r="I3756" s="202"/>
      <c r="J3756"/>
      <c r="K3756" s="205"/>
      <c r="L3756" s="205"/>
      <c r="M3756" s="205"/>
    </row>
    <row r="3757" spans="2:13" ht="15.75">
      <c r="B3757" s="79"/>
      <c r="D3757"/>
      <c r="E3757" s="188"/>
      <c r="H3757"/>
      <c r="I3757" s="202"/>
      <c r="J3757"/>
      <c r="K3757" s="205"/>
      <c r="L3757" s="205"/>
      <c r="M3757" s="205"/>
    </row>
    <row r="3758" spans="2:13" ht="15.75">
      <c r="B3758" s="79"/>
      <c r="D3758"/>
      <c r="E3758" s="188"/>
      <c r="H3758"/>
      <c r="I3758" s="202"/>
      <c r="J3758"/>
      <c r="K3758" s="205"/>
      <c r="L3758" s="205"/>
      <c r="M3758" s="205"/>
    </row>
    <row r="3759" spans="2:13" ht="15.75">
      <c r="B3759" s="79"/>
      <c r="D3759"/>
      <c r="E3759" s="188"/>
      <c r="H3759"/>
      <c r="I3759" s="202"/>
      <c r="J3759"/>
      <c r="K3759" s="205"/>
      <c r="L3759" s="205"/>
      <c r="M3759" s="205"/>
    </row>
    <row r="3760" spans="2:13" ht="15.75">
      <c r="B3760" s="79"/>
      <c r="D3760"/>
      <c r="E3760" s="188"/>
      <c r="H3760"/>
      <c r="I3760" s="202"/>
      <c r="J3760"/>
      <c r="K3760" s="205"/>
      <c r="L3760" s="205"/>
      <c r="M3760" s="205"/>
    </row>
    <row r="3761" spans="2:13" ht="15.75">
      <c r="B3761" s="79"/>
      <c r="D3761"/>
      <c r="E3761" s="188"/>
      <c r="H3761"/>
      <c r="I3761" s="202"/>
      <c r="J3761"/>
      <c r="K3761" s="205"/>
      <c r="L3761" s="205"/>
      <c r="M3761" s="205"/>
    </row>
    <row r="3762" spans="2:13" ht="15.75">
      <c r="B3762" s="79"/>
      <c r="D3762"/>
      <c r="E3762" s="188"/>
      <c r="H3762"/>
      <c r="I3762" s="202"/>
      <c r="J3762"/>
      <c r="K3762" s="205"/>
      <c r="L3762" s="205"/>
      <c r="M3762" s="205"/>
    </row>
    <row r="3763" spans="2:13" ht="15.75">
      <c r="B3763" s="79"/>
      <c r="D3763"/>
      <c r="E3763" s="188"/>
      <c r="H3763"/>
      <c r="I3763" s="202"/>
      <c r="J3763"/>
      <c r="K3763" s="205"/>
      <c r="L3763" s="205"/>
      <c r="M3763" s="205"/>
    </row>
    <row r="3764" spans="2:13" ht="15.75">
      <c r="B3764" s="79"/>
      <c r="D3764"/>
      <c r="E3764" s="188"/>
      <c r="H3764"/>
      <c r="I3764" s="202"/>
      <c r="J3764"/>
      <c r="K3764" s="205"/>
      <c r="L3764" s="205"/>
      <c r="M3764" s="205"/>
    </row>
    <row r="3765" spans="2:13" ht="15.75">
      <c r="B3765" s="79"/>
      <c r="D3765"/>
      <c r="E3765" s="188"/>
      <c r="H3765"/>
      <c r="I3765" s="202"/>
      <c r="J3765"/>
      <c r="K3765" s="205"/>
      <c r="L3765" s="205"/>
      <c r="M3765" s="205"/>
    </row>
    <row r="3766" spans="2:13" ht="15.75">
      <c r="B3766" s="79"/>
      <c r="D3766"/>
      <c r="E3766" s="188"/>
      <c r="H3766"/>
      <c r="I3766" s="202"/>
      <c r="J3766"/>
      <c r="K3766" s="205"/>
      <c r="L3766" s="205"/>
      <c r="M3766" s="205"/>
    </row>
    <row r="3767" spans="2:13" ht="15.75">
      <c r="B3767" s="79"/>
      <c r="D3767"/>
      <c r="E3767" s="188"/>
      <c r="H3767"/>
      <c r="I3767" s="202"/>
      <c r="J3767"/>
      <c r="K3767" s="205"/>
      <c r="L3767" s="205"/>
      <c r="M3767" s="205"/>
    </row>
    <row r="3768" spans="2:13" ht="15.75">
      <c r="B3768" s="79"/>
      <c r="D3768"/>
      <c r="E3768" s="188"/>
      <c r="H3768"/>
      <c r="I3768" s="202"/>
      <c r="J3768"/>
      <c r="K3768" s="205"/>
      <c r="L3768" s="205"/>
      <c r="M3768" s="205"/>
    </row>
    <row r="3769" spans="2:13" ht="15.75">
      <c r="B3769" s="79"/>
      <c r="D3769"/>
      <c r="E3769" s="188"/>
      <c r="H3769"/>
      <c r="I3769" s="202"/>
      <c r="J3769"/>
      <c r="K3769" s="205"/>
      <c r="L3769" s="205"/>
      <c r="M3769" s="205"/>
    </row>
    <row r="3770" spans="2:13" ht="15.75">
      <c r="B3770" s="79"/>
      <c r="D3770"/>
      <c r="E3770" s="188"/>
      <c r="H3770"/>
      <c r="I3770" s="202"/>
      <c r="J3770"/>
      <c r="K3770" s="205"/>
      <c r="L3770" s="205"/>
      <c r="M3770" s="205"/>
    </row>
    <row r="3771" spans="2:13" ht="15.75">
      <c r="B3771" s="79"/>
      <c r="D3771"/>
      <c r="E3771" s="188"/>
      <c r="H3771"/>
      <c r="I3771" s="202"/>
      <c r="J3771"/>
      <c r="K3771" s="205"/>
      <c r="L3771" s="205"/>
      <c r="M3771" s="205"/>
    </row>
    <row r="3772" spans="2:13" ht="15.75">
      <c r="B3772" s="79"/>
      <c r="D3772"/>
      <c r="E3772" s="188"/>
      <c r="H3772"/>
      <c r="I3772" s="202"/>
      <c r="J3772"/>
      <c r="K3772" s="205"/>
      <c r="L3772" s="205"/>
      <c r="M3772" s="205"/>
    </row>
    <row r="3773" spans="2:13" ht="15.75">
      <c r="B3773" s="79"/>
      <c r="D3773"/>
      <c r="E3773" s="188"/>
      <c r="H3773"/>
      <c r="I3773" s="202"/>
      <c r="J3773"/>
      <c r="K3773" s="205"/>
      <c r="L3773" s="205"/>
      <c r="M3773" s="205"/>
    </row>
    <row r="3774" spans="2:13" ht="15.75">
      <c r="B3774" s="79"/>
      <c r="D3774"/>
      <c r="E3774" s="188"/>
      <c r="H3774"/>
      <c r="I3774" s="202"/>
      <c r="J3774"/>
      <c r="K3774" s="205"/>
      <c r="L3774" s="205"/>
      <c r="M3774" s="205"/>
    </row>
    <row r="3775" spans="2:13" ht="15.75">
      <c r="B3775" s="79"/>
      <c r="D3775"/>
      <c r="E3775" s="188"/>
      <c r="H3775"/>
      <c r="I3775" s="202"/>
      <c r="J3775"/>
      <c r="K3775" s="205"/>
      <c r="L3775" s="205"/>
      <c r="M3775" s="205"/>
    </row>
    <row r="3776" spans="2:13" ht="15.75">
      <c r="B3776" s="79"/>
      <c r="D3776"/>
      <c r="E3776" s="188"/>
      <c r="H3776"/>
      <c r="I3776" s="202"/>
      <c r="J3776"/>
      <c r="K3776" s="205"/>
      <c r="L3776" s="205"/>
      <c r="M3776" s="205"/>
    </row>
    <row r="3777" spans="2:13" ht="15.75">
      <c r="B3777" s="79"/>
      <c r="D3777"/>
      <c r="E3777" s="188"/>
      <c r="H3777"/>
      <c r="I3777" s="202"/>
      <c r="J3777"/>
      <c r="K3777" s="205"/>
      <c r="L3777" s="205"/>
      <c r="M3777" s="205"/>
    </row>
    <row r="3778" spans="2:13" ht="15.75">
      <c r="B3778" s="79"/>
      <c r="D3778"/>
      <c r="E3778" s="188"/>
      <c r="H3778"/>
      <c r="I3778" s="202"/>
      <c r="J3778"/>
      <c r="K3778" s="205"/>
      <c r="L3778" s="205"/>
      <c r="M3778" s="205"/>
    </row>
    <row r="3779" spans="2:13" ht="15.75">
      <c r="B3779" s="79"/>
      <c r="D3779"/>
      <c r="E3779" s="188"/>
      <c r="H3779"/>
      <c r="I3779" s="202"/>
      <c r="J3779"/>
      <c r="K3779" s="205"/>
      <c r="L3779" s="205"/>
      <c r="M3779" s="205"/>
    </row>
    <row r="3780" spans="2:13" ht="15.75">
      <c r="B3780" s="79"/>
      <c r="D3780"/>
      <c r="E3780" s="188"/>
      <c r="H3780"/>
      <c r="I3780" s="202"/>
      <c r="J3780"/>
      <c r="K3780" s="205"/>
      <c r="L3780" s="205"/>
      <c r="M3780" s="205"/>
    </row>
    <row r="3781" spans="2:13" ht="15.75">
      <c r="B3781" s="79"/>
      <c r="D3781"/>
      <c r="E3781" s="188"/>
      <c r="H3781"/>
      <c r="I3781" s="202"/>
      <c r="J3781"/>
      <c r="K3781" s="205"/>
      <c r="L3781" s="205"/>
      <c r="M3781" s="205"/>
    </row>
    <row r="3782" spans="2:13" ht="15.75">
      <c r="B3782" s="79"/>
      <c r="D3782"/>
      <c r="E3782" s="188"/>
      <c r="H3782"/>
      <c r="I3782" s="202"/>
      <c r="J3782"/>
      <c r="K3782" s="205"/>
      <c r="L3782" s="205"/>
      <c r="M3782" s="205"/>
    </row>
    <row r="3783" spans="2:13" ht="15.75">
      <c r="B3783" s="79"/>
      <c r="D3783"/>
      <c r="E3783" s="188"/>
      <c r="H3783"/>
      <c r="I3783" s="202"/>
      <c r="J3783"/>
      <c r="K3783" s="205"/>
      <c r="L3783" s="205"/>
      <c r="M3783" s="205"/>
    </row>
    <row r="3784" spans="2:13" ht="15.75">
      <c r="B3784" s="79"/>
      <c r="D3784"/>
      <c r="E3784" s="188"/>
      <c r="H3784"/>
      <c r="I3784" s="202"/>
      <c r="J3784"/>
      <c r="K3784" s="205"/>
      <c r="L3784" s="205"/>
      <c r="M3784" s="205"/>
    </row>
    <row r="3785" spans="2:13" ht="15.75">
      <c r="B3785" s="79"/>
      <c r="D3785"/>
      <c r="E3785" s="188"/>
      <c r="H3785"/>
      <c r="I3785" s="202"/>
      <c r="J3785"/>
      <c r="K3785" s="205"/>
      <c r="L3785" s="205"/>
      <c r="M3785" s="205"/>
    </row>
    <row r="3786" spans="2:13" ht="15.75">
      <c r="B3786" s="79"/>
      <c r="D3786"/>
      <c r="E3786" s="188"/>
      <c r="H3786"/>
      <c r="I3786" s="202"/>
      <c r="J3786"/>
      <c r="K3786" s="205"/>
      <c r="L3786" s="205"/>
      <c r="M3786" s="205"/>
    </row>
    <row r="3787" spans="2:13" ht="15.75">
      <c r="B3787" s="79"/>
      <c r="D3787"/>
      <c r="E3787" s="188"/>
      <c r="H3787"/>
      <c r="I3787" s="202"/>
      <c r="J3787"/>
      <c r="K3787" s="205"/>
      <c r="L3787" s="205"/>
      <c r="M3787" s="205"/>
    </row>
    <row r="3788" spans="2:13" ht="15.75">
      <c r="B3788" s="79"/>
      <c r="D3788"/>
      <c r="E3788" s="188"/>
      <c r="H3788"/>
      <c r="I3788" s="202"/>
      <c r="J3788"/>
      <c r="K3788" s="205"/>
      <c r="L3788" s="205"/>
      <c r="M3788" s="205"/>
    </row>
    <row r="3789" spans="2:13" ht="15.75">
      <c r="B3789" s="79"/>
      <c r="D3789"/>
      <c r="E3789" s="188"/>
      <c r="H3789"/>
      <c r="I3789" s="202"/>
      <c r="J3789"/>
      <c r="K3789" s="205"/>
      <c r="L3789" s="205"/>
      <c r="M3789" s="205"/>
    </row>
    <row r="3790" spans="2:13" ht="15.75">
      <c r="B3790" s="79"/>
      <c r="D3790"/>
      <c r="E3790" s="188"/>
      <c r="H3790"/>
      <c r="I3790" s="202"/>
      <c r="J3790"/>
      <c r="K3790" s="205"/>
      <c r="L3790" s="205"/>
      <c r="M3790" s="205"/>
    </row>
    <row r="3791" spans="2:13" ht="15.75">
      <c r="B3791" s="79"/>
      <c r="D3791"/>
      <c r="E3791" s="188"/>
      <c r="H3791"/>
      <c r="I3791" s="202"/>
      <c r="J3791"/>
      <c r="K3791" s="205"/>
      <c r="L3791" s="205"/>
      <c r="M3791" s="205"/>
    </row>
    <row r="3792" spans="2:13" ht="15.75">
      <c r="B3792" s="79"/>
      <c r="D3792"/>
      <c r="E3792" s="188"/>
      <c r="H3792"/>
      <c r="I3792" s="202"/>
      <c r="J3792"/>
      <c r="K3792" s="205"/>
      <c r="L3792" s="205"/>
      <c r="M3792" s="205"/>
    </row>
    <row r="3793" spans="2:13" ht="15.75">
      <c r="B3793" s="79"/>
      <c r="D3793"/>
      <c r="E3793" s="188"/>
      <c r="H3793"/>
      <c r="I3793" s="202"/>
      <c r="J3793"/>
      <c r="K3793" s="205"/>
      <c r="L3793" s="205"/>
      <c r="M3793" s="205"/>
    </row>
    <row r="3794" spans="2:13" ht="15.75">
      <c r="B3794" s="79"/>
      <c r="D3794"/>
      <c r="E3794" s="188"/>
      <c r="H3794"/>
      <c r="I3794" s="202"/>
      <c r="J3794"/>
      <c r="K3794" s="205"/>
      <c r="L3794" s="205"/>
      <c r="M3794" s="205"/>
    </row>
    <row r="3795" spans="2:13" ht="15.75">
      <c r="B3795" s="79"/>
      <c r="D3795"/>
      <c r="E3795" s="188"/>
      <c r="H3795"/>
      <c r="I3795" s="202"/>
      <c r="J3795"/>
      <c r="K3795" s="205"/>
      <c r="L3795" s="205"/>
      <c r="M3795" s="205"/>
    </row>
    <row r="3796" spans="2:13" ht="15.75">
      <c r="B3796" s="79"/>
      <c r="D3796"/>
      <c r="E3796" s="188"/>
      <c r="H3796"/>
      <c r="I3796" s="202"/>
      <c r="J3796"/>
      <c r="K3796" s="205"/>
      <c r="L3796" s="205"/>
      <c r="M3796" s="205"/>
    </row>
    <row r="3797" spans="2:13" ht="15.75">
      <c r="B3797" s="79"/>
      <c r="D3797"/>
      <c r="E3797" s="188"/>
      <c r="H3797"/>
      <c r="I3797" s="202"/>
      <c r="J3797"/>
      <c r="K3797" s="205"/>
      <c r="L3797" s="205"/>
      <c r="M3797" s="205"/>
    </row>
    <row r="3798" spans="2:13" ht="15.75">
      <c r="B3798" s="79"/>
      <c r="D3798"/>
      <c r="E3798" s="188"/>
      <c r="H3798"/>
      <c r="I3798" s="202"/>
      <c r="J3798"/>
      <c r="K3798" s="205"/>
      <c r="L3798" s="205"/>
      <c r="M3798" s="205"/>
    </row>
    <row r="3799" spans="2:13" ht="15.75">
      <c r="B3799" s="79"/>
      <c r="D3799"/>
      <c r="E3799" s="188"/>
      <c r="H3799"/>
      <c r="I3799" s="202"/>
      <c r="J3799"/>
      <c r="K3799" s="205"/>
      <c r="L3799" s="205"/>
      <c r="M3799" s="205"/>
    </row>
    <row r="3800" spans="2:13" ht="15.75">
      <c r="B3800" s="79"/>
      <c r="D3800"/>
      <c r="E3800" s="188"/>
      <c r="H3800"/>
      <c r="I3800" s="202"/>
      <c r="J3800"/>
      <c r="K3800" s="205"/>
      <c r="L3800" s="205"/>
      <c r="M3800" s="205"/>
    </row>
    <row r="3801" spans="2:13" ht="15.75">
      <c r="B3801" s="79"/>
      <c r="D3801"/>
      <c r="E3801" s="188"/>
      <c r="H3801"/>
      <c r="I3801" s="202"/>
      <c r="J3801"/>
      <c r="K3801" s="205"/>
      <c r="L3801" s="205"/>
      <c r="M3801" s="205"/>
    </row>
    <row r="3802" spans="2:13" ht="15.75">
      <c r="B3802" s="79"/>
      <c r="D3802"/>
      <c r="E3802" s="188"/>
      <c r="H3802"/>
      <c r="I3802" s="202"/>
      <c r="J3802"/>
      <c r="K3802" s="205"/>
      <c r="L3802" s="205"/>
      <c r="M3802" s="205"/>
    </row>
    <row r="3803" spans="2:13" ht="15.75">
      <c r="B3803" s="79"/>
      <c r="D3803"/>
      <c r="E3803" s="188"/>
      <c r="H3803"/>
      <c r="I3803" s="202"/>
      <c r="J3803"/>
      <c r="K3803" s="205"/>
      <c r="L3803" s="205"/>
      <c r="M3803" s="205"/>
    </row>
    <row r="3804" spans="2:13" ht="15.75">
      <c r="B3804" s="79"/>
      <c r="D3804"/>
      <c r="E3804" s="188"/>
      <c r="H3804"/>
      <c r="I3804" s="202"/>
      <c r="J3804"/>
      <c r="K3804" s="205"/>
      <c r="L3804" s="205"/>
      <c r="M3804" s="205"/>
    </row>
    <row r="3805" spans="2:13" ht="15.75">
      <c r="B3805" s="79"/>
      <c r="D3805"/>
      <c r="E3805" s="188"/>
      <c r="H3805"/>
      <c r="I3805" s="202"/>
      <c r="J3805"/>
      <c r="K3805" s="205"/>
      <c r="L3805" s="205"/>
      <c r="M3805" s="205"/>
    </row>
    <row r="3806" spans="2:13" ht="15.75">
      <c r="B3806" s="79"/>
      <c r="D3806"/>
      <c r="E3806" s="188"/>
      <c r="H3806"/>
      <c r="I3806" s="202"/>
      <c r="J3806"/>
      <c r="K3806" s="205"/>
      <c r="L3806" s="205"/>
      <c r="M3806" s="205"/>
    </row>
    <row r="3807" spans="2:13" ht="15.75">
      <c r="B3807" s="79"/>
      <c r="D3807"/>
      <c r="E3807" s="188"/>
      <c r="H3807"/>
      <c r="I3807" s="202"/>
      <c r="J3807"/>
      <c r="K3807" s="205"/>
      <c r="L3807" s="205"/>
      <c r="M3807" s="205"/>
    </row>
    <row r="3808" spans="2:13" ht="15.75">
      <c r="B3808" s="79"/>
      <c r="D3808"/>
      <c r="E3808" s="188"/>
      <c r="H3808"/>
      <c r="I3808" s="202"/>
      <c r="J3808"/>
      <c r="K3808" s="205"/>
      <c r="L3808" s="205"/>
      <c r="M3808" s="205"/>
    </row>
    <row r="3809" spans="2:13" ht="15.75">
      <c r="B3809" s="79"/>
      <c r="D3809"/>
      <c r="E3809" s="188"/>
      <c r="H3809"/>
      <c r="I3809" s="202"/>
      <c r="J3809"/>
      <c r="K3809" s="205"/>
      <c r="L3809" s="205"/>
      <c r="M3809" s="205"/>
    </row>
    <row r="3810" spans="2:13" ht="15.75">
      <c r="B3810" s="79"/>
      <c r="D3810"/>
      <c r="E3810" s="188"/>
      <c r="H3810"/>
      <c r="I3810" s="202"/>
      <c r="J3810"/>
      <c r="K3810" s="205"/>
      <c r="L3810" s="205"/>
      <c r="M3810" s="205"/>
    </row>
    <row r="3811" spans="2:13" ht="15.75">
      <c r="B3811" s="79"/>
      <c r="D3811"/>
      <c r="E3811" s="188"/>
      <c r="H3811"/>
      <c r="I3811" s="202"/>
      <c r="J3811"/>
      <c r="K3811" s="205"/>
      <c r="L3811" s="205"/>
      <c r="M3811" s="205"/>
    </row>
    <row r="3812" spans="2:13" ht="15.75">
      <c r="B3812" s="79"/>
      <c r="D3812"/>
      <c r="E3812" s="188"/>
      <c r="H3812"/>
      <c r="I3812" s="202"/>
      <c r="J3812"/>
      <c r="K3812" s="205"/>
      <c r="L3812" s="205"/>
      <c r="M3812" s="205"/>
    </row>
    <row r="3813" spans="2:13" ht="15.75">
      <c r="B3813" s="79"/>
      <c r="D3813"/>
      <c r="E3813" s="188"/>
      <c r="H3813"/>
      <c r="I3813" s="202"/>
      <c r="J3813"/>
      <c r="K3813" s="205"/>
      <c r="L3813" s="205"/>
      <c r="M3813" s="205"/>
    </row>
    <row r="3814" spans="2:13" ht="15.75">
      <c r="B3814" s="79"/>
      <c r="D3814"/>
      <c r="E3814" s="188"/>
      <c r="H3814"/>
      <c r="I3814" s="202"/>
      <c r="J3814"/>
      <c r="K3814" s="205"/>
      <c r="L3814" s="205"/>
      <c r="M3814" s="205"/>
    </row>
    <row r="3815" spans="2:13" ht="15.75">
      <c r="B3815" s="79"/>
      <c r="D3815"/>
      <c r="E3815" s="188"/>
      <c r="H3815"/>
      <c r="I3815" s="202"/>
      <c r="J3815"/>
      <c r="K3815" s="205"/>
      <c r="L3815" s="205"/>
      <c r="M3815" s="205"/>
    </row>
    <row r="3816" spans="2:13" ht="15.75">
      <c r="B3816" s="79"/>
      <c r="D3816"/>
      <c r="E3816" s="188"/>
      <c r="H3816"/>
      <c r="I3816" s="202"/>
      <c r="J3816"/>
      <c r="K3816" s="205"/>
      <c r="L3816" s="205"/>
      <c r="M3816" s="205"/>
    </row>
    <row r="3817" spans="2:13" ht="15.75">
      <c r="B3817" s="79"/>
      <c r="D3817"/>
      <c r="E3817" s="188"/>
      <c r="H3817"/>
      <c r="I3817" s="202"/>
      <c r="J3817"/>
      <c r="K3817" s="205"/>
      <c r="L3817" s="205"/>
      <c r="M3817" s="205"/>
    </row>
    <row r="3818" spans="2:13" ht="15.75">
      <c r="B3818" s="79"/>
      <c r="D3818"/>
      <c r="E3818" s="188"/>
      <c r="H3818"/>
      <c r="I3818" s="202"/>
      <c r="J3818"/>
      <c r="K3818" s="205"/>
      <c r="L3818" s="205"/>
      <c r="M3818" s="205"/>
    </row>
    <row r="3819" spans="2:13" ht="15.75">
      <c r="B3819" s="79"/>
      <c r="D3819"/>
      <c r="E3819" s="188"/>
      <c r="H3819"/>
      <c r="I3819" s="202"/>
      <c r="J3819"/>
      <c r="K3819" s="205"/>
      <c r="L3819" s="205"/>
      <c r="M3819" s="205"/>
    </row>
    <row r="3820" spans="2:13" ht="15.75">
      <c r="B3820" s="79"/>
      <c r="D3820"/>
      <c r="E3820" s="188"/>
      <c r="H3820"/>
      <c r="I3820" s="202"/>
      <c r="J3820"/>
      <c r="K3820" s="205"/>
      <c r="L3820" s="205"/>
      <c r="M3820" s="205"/>
    </row>
    <row r="3821" spans="2:13" ht="15.75">
      <c r="B3821" s="79"/>
      <c r="D3821"/>
      <c r="E3821" s="188"/>
      <c r="H3821"/>
      <c r="I3821" s="202"/>
      <c r="J3821"/>
      <c r="K3821" s="205"/>
      <c r="L3821" s="205"/>
      <c r="M3821" s="205"/>
    </row>
    <row r="3822" spans="2:13" ht="15.75">
      <c r="B3822" s="79"/>
      <c r="D3822"/>
      <c r="E3822" s="188"/>
      <c r="H3822"/>
      <c r="I3822" s="202"/>
      <c r="J3822"/>
      <c r="K3822" s="205"/>
      <c r="L3822" s="205"/>
      <c r="M3822" s="205"/>
    </row>
    <row r="3823" spans="2:13" ht="15.75">
      <c r="B3823" s="79"/>
      <c r="D3823"/>
      <c r="E3823" s="188"/>
      <c r="H3823"/>
      <c r="I3823" s="202"/>
      <c r="J3823"/>
      <c r="K3823" s="205"/>
      <c r="L3823" s="205"/>
      <c r="M3823" s="205"/>
    </row>
    <row r="3824" spans="2:13" ht="15.75">
      <c r="B3824" s="79"/>
      <c r="D3824"/>
      <c r="E3824" s="188"/>
      <c r="H3824"/>
      <c r="I3824" s="202"/>
      <c r="J3824"/>
      <c r="K3824" s="205"/>
      <c r="L3824" s="205"/>
      <c r="M3824" s="205"/>
    </row>
    <row r="3825" spans="2:13" ht="15.75">
      <c r="B3825" s="79"/>
      <c r="D3825"/>
      <c r="E3825" s="188"/>
      <c r="H3825"/>
      <c r="I3825" s="202"/>
      <c r="J3825"/>
      <c r="K3825" s="205"/>
      <c r="L3825" s="205"/>
      <c r="M3825" s="205"/>
    </row>
    <row r="3826" spans="2:13" ht="15.75">
      <c r="B3826" s="79"/>
      <c r="D3826"/>
      <c r="E3826" s="188"/>
      <c r="H3826"/>
      <c r="I3826" s="202"/>
      <c r="J3826"/>
      <c r="K3826" s="205"/>
      <c r="L3826" s="205"/>
      <c r="M3826" s="205"/>
    </row>
    <row r="3827" spans="2:13" ht="15.75">
      <c r="B3827" s="79"/>
      <c r="D3827"/>
      <c r="E3827" s="188"/>
      <c r="H3827"/>
      <c r="I3827" s="202"/>
      <c r="J3827"/>
      <c r="K3827" s="205"/>
      <c r="L3827" s="205"/>
      <c r="M3827" s="205"/>
    </row>
    <row r="3828" spans="2:13" ht="15.75">
      <c r="B3828" s="79"/>
      <c r="D3828"/>
      <c r="E3828" s="188"/>
      <c r="H3828"/>
      <c r="I3828" s="202"/>
      <c r="J3828"/>
      <c r="K3828" s="205"/>
      <c r="L3828" s="205"/>
      <c r="M3828" s="205"/>
    </row>
    <row r="3829" spans="2:13" ht="15.75">
      <c r="B3829" s="79"/>
      <c r="D3829"/>
      <c r="E3829" s="188"/>
      <c r="H3829"/>
      <c r="I3829" s="202"/>
      <c r="J3829"/>
      <c r="K3829" s="205"/>
      <c r="L3829" s="205"/>
      <c r="M3829" s="205"/>
    </row>
    <row r="3830" spans="2:13" ht="15.75">
      <c r="B3830" s="79"/>
      <c r="D3830"/>
      <c r="E3830" s="188"/>
      <c r="H3830"/>
      <c r="I3830" s="202"/>
      <c r="J3830"/>
      <c r="K3830" s="205"/>
      <c r="L3830" s="205"/>
      <c r="M3830" s="205"/>
    </row>
    <row r="3831" spans="2:13" ht="15.75">
      <c r="B3831" s="79"/>
      <c r="D3831"/>
      <c r="E3831" s="188"/>
      <c r="H3831"/>
      <c r="I3831" s="202"/>
      <c r="J3831"/>
      <c r="K3831" s="205"/>
      <c r="L3831" s="205"/>
      <c r="M3831" s="205"/>
    </row>
    <row r="3832" spans="2:13" ht="15.75">
      <c r="B3832" s="79"/>
      <c r="D3832"/>
      <c r="E3832" s="188"/>
      <c r="H3832"/>
      <c r="I3832" s="202"/>
      <c r="J3832"/>
      <c r="K3832" s="205"/>
      <c r="L3832" s="205"/>
      <c r="M3832" s="205"/>
    </row>
    <row r="3833" spans="2:13" ht="15.75">
      <c r="B3833" s="79"/>
      <c r="D3833"/>
      <c r="E3833" s="188"/>
      <c r="H3833"/>
      <c r="I3833" s="202"/>
      <c r="J3833"/>
      <c r="K3833" s="205"/>
      <c r="L3833" s="205"/>
      <c r="M3833" s="205"/>
    </row>
    <row r="3834" spans="2:13" ht="15.75">
      <c r="B3834" s="79"/>
      <c r="D3834"/>
      <c r="E3834" s="188"/>
      <c r="H3834"/>
      <c r="I3834" s="202"/>
      <c r="J3834"/>
      <c r="K3834" s="205"/>
      <c r="L3834" s="205"/>
      <c r="M3834" s="205"/>
    </row>
    <row r="3835" spans="2:13" ht="15.75">
      <c r="B3835" s="79"/>
      <c r="D3835"/>
      <c r="E3835" s="188"/>
      <c r="H3835"/>
      <c r="I3835" s="202"/>
      <c r="J3835"/>
      <c r="K3835" s="205"/>
      <c r="L3835" s="205"/>
      <c r="M3835" s="205"/>
    </row>
    <row r="3836" spans="2:13" ht="15.75">
      <c r="B3836" s="79"/>
      <c r="D3836"/>
      <c r="E3836" s="188"/>
      <c r="H3836"/>
      <c r="I3836" s="202"/>
      <c r="J3836"/>
      <c r="K3836" s="205"/>
      <c r="L3836" s="205"/>
      <c r="M3836" s="205"/>
    </row>
    <row r="3837" spans="2:13" ht="15.75">
      <c r="B3837" s="79"/>
      <c r="D3837"/>
      <c r="E3837" s="188"/>
      <c r="H3837"/>
      <c r="I3837" s="202"/>
      <c r="J3837"/>
      <c r="K3837" s="205"/>
      <c r="L3837" s="205"/>
      <c r="M3837" s="205"/>
    </row>
    <row r="3838" spans="2:13" ht="15.75">
      <c r="B3838" s="79"/>
      <c r="D3838"/>
      <c r="E3838" s="188"/>
      <c r="H3838"/>
      <c r="I3838" s="202"/>
      <c r="J3838"/>
      <c r="K3838" s="205"/>
      <c r="L3838" s="205"/>
      <c r="M3838" s="205"/>
    </row>
    <row r="3839" spans="2:13" ht="15.75">
      <c r="B3839" s="79"/>
      <c r="D3839"/>
      <c r="E3839" s="188"/>
      <c r="H3839"/>
      <c r="I3839" s="202"/>
      <c r="J3839"/>
      <c r="K3839" s="205"/>
      <c r="L3839" s="205"/>
      <c r="M3839" s="205"/>
    </row>
    <row r="3840" spans="2:13" ht="15.75">
      <c r="B3840" s="79"/>
      <c r="D3840"/>
      <c r="E3840" s="188"/>
      <c r="H3840"/>
      <c r="I3840" s="202"/>
      <c r="J3840"/>
      <c r="K3840" s="205"/>
      <c r="L3840" s="205"/>
      <c r="M3840" s="205"/>
    </row>
    <row r="3841" spans="2:13" ht="15.75">
      <c r="B3841" s="79"/>
      <c r="D3841"/>
      <c r="E3841" s="188"/>
      <c r="H3841"/>
      <c r="I3841" s="202"/>
      <c r="J3841"/>
      <c r="K3841" s="205"/>
      <c r="L3841" s="205"/>
      <c r="M3841" s="205"/>
    </row>
    <row r="3842" spans="2:13" ht="15.75">
      <c r="B3842" s="79"/>
      <c r="D3842"/>
      <c r="E3842" s="188"/>
      <c r="H3842"/>
      <c r="I3842" s="202"/>
      <c r="J3842"/>
      <c r="K3842" s="205"/>
      <c r="L3842" s="205"/>
      <c r="M3842" s="205"/>
    </row>
    <row r="3843" spans="2:13" ht="15.75">
      <c r="B3843" s="79"/>
      <c r="D3843"/>
      <c r="E3843" s="188"/>
      <c r="H3843"/>
      <c r="I3843" s="202"/>
      <c r="J3843"/>
      <c r="K3843" s="205"/>
      <c r="L3843" s="205"/>
      <c r="M3843" s="205"/>
    </row>
    <row r="3844" spans="2:13" ht="15.75">
      <c r="B3844" s="79"/>
      <c r="D3844"/>
      <c r="E3844" s="188"/>
      <c r="H3844"/>
      <c r="I3844" s="202"/>
      <c r="J3844"/>
      <c r="K3844" s="205"/>
      <c r="L3844" s="205"/>
      <c r="M3844" s="205"/>
    </row>
    <row r="3845" spans="2:13" ht="15.75">
      <c r="B3845" s="79"/>
      <c r="D3845"/>
      <c r="E3845" s="188"/>
      <c r="H3845"/>
      <c r="I3845" s="202"/>
      <c r="J3845"/>
      <c r="K3845" s="205"/>
      <c r="L3845" s="205"/>
      <c r="M3845" s="205"/>
    </row>
    <row r="3846" spans="2:13" ht="15.75">
      <c r="B3846" s="79"/>
      <c r="D3846"/>
      <c r="E3846" s="188"/>
      <c r="H3846"/>
      <c r="I3846" s="202"/>
      <c r="J3846"/>
      <c r="K3846" s="205"/>
      <c r="L3846" s="205"/>
      <c r="M3846" s="205"/>
    </row>
    <row r="3847" spans="2:13" ht="15.75">
      <c r="B3847" s="79"/>
      <c r="D3847"/>
      <c r="E3847" s="188"/>
      <c r="H3847"/>
      <c r="I3847" s="202"/>
      <c r="J3847"/>
      <c r="K3847" s="205"/>
      <c r="L3847" s="205"/>
      <c r="M3847" s="205"/>
    </row>
    <row r="3848" spans="2:13" ht="15.75">
      <c r="B3848" s="79"/>
      <c r="D3848"/>
      <c r="E3848" s="188"/>
      <c r="H3848"/>
      <c r="I3848" s="202"/>
      <c r="J3848"/>
      <c r="K3848" s="205"/>
      <c r="L3848" s="205"/>
      <c r="M3848" s="205"/>
    </row>
    <row r="3849" spans="2:13" ht="15.75">
      <c r="B3849" s="79"/>
      <c r="D3849"/>
      <c r="E3849" s="188"/>
      <c r="H3849"/>
      <c r="I3849" s="202"/>
      <c r="J3849"/>
      <c r="K3849" s="205"/>
      <c r="L3849" s="205"/>
      <c r="M3849" s="205"/>
    </row>
    <row r="3850" spans="2:13" ht="15.75">
      <c r="B3850" s="79"/>
      <c r="D3850"/>
      <c r="E3850" s="188"/>
      <c r="H3850"/>
      <c r="I3850" s="202"/>
      <c r="J3850"/>
      <c r="K3850" s="205"/>
      <c r="L3850" s="205"/>
      <c r="M3850" s="205"/>
    </row>
    <row r="3851" spans="2:13" ht="15.75">
      <c r="B3851" s="79"/>
      <c r="D3851"/>
      <c r="E3851" s="188"/>
      <c r="H3851"/>
      <c r="I3851" s="202"/>
      <c r="J3851"/>
      <c r="K3851" s="205"/>
      <c r="L3851" s="205"/>
      <c r="M3851" s="205"/>
    </row>
    <row r="3852" spans="2:13" ht="15.75">
      <c r="B3852" s="79"/>
      <c r="D3852"/>
      <c r="E3852" s="188"/>
      <c r="H3852"/>
      <c r="I3852" s="202"/>
      <c r="J3852"/>
      <c r="K3852" s="205"/>
      <c r="L3852" s="205"/>
      <c r="M3852" s="205"/>
    </row>
    <row r="3853" spans="2:13" ht="15.75">
      <c r="B3853" s="79"/>
      <c r="D3853"/>
      <c r="E3853" s="188"/>
      <c r="H3853"/>
      <c r="I3853" s="202"/>
      <c r="J3853"/>
      <c r="K3853" s="205"/>
      <c r="L3853" s="205"/>
      <c r="M3853" s="205"/>
    </row>
    <row r="3854" spans="2:13" ht="15.75">
      <c r="B3854" s="79"/>
      <c r="D3854"/>
      <c r="E3854" s="188"/>
      <c r="H3854"/>
      <c r="I3854" s="202"/>
      <c r="J3854"/>
      <c r="K3854" s="205"/>
      <c r="L3854" s="205"/>
      <c r="M3854" s="205"/>
    </row>
    <row r="3855" spans="2:13" ht="15.75">
      <c r="B3855" s="79"/>
      <c r="D3855"/>
      <c r="E3855" s="188"/>
      <c r="H3855"/>
      <c r="I3855" s="202"/>
      <c r="J3855"/>
      <c r="K3855" s="205"/>
      <c r="L3855" s="205"/>
      <c r="M3855" s="205"/>
    </row>
    <row r="3856" spans="2:13" ht="15.75">
      <c r="B3856" s="79"/>
      <c r="D3856"/>
      <c r="E3856" s="188"/>
      <c r="H3856"/>
      <c r="I3856" s="202"/>
      <c r="J3856"/>
      <c r="K3856" s="205"/>
      <c r="L3856" s="205"/>
      <c r="M3856" s="205"/>
    </row>
    <row r="3857" spans="2:13" ht="15.75">
      <c r="B3857" s="79"/>
      <c r="D3857"/>
      <c r="E3857" s="188"/>
      <c r="H3857"/>
      <c r="I3857" s="202"/>
      <c r="J3857"/>
      <c r="K3857" s="205"/>
      <c r="L3857" s="205"/>
      <c r="M3857" s="205"/>
    </row>
    <row r="3858" spans="2:13" ht="15.75">
      <c r="B3858" s="79"/>
      <c r="D3858"/>
      <c r="E3858" s="188"/>
      <c r="H3858"/>
      <c r="I3858" s="202"/>
      <c r="J3858"/>
      <c r="K3858" s="205"/>
      <c r="L3858" s="205"/>
      <c r="M3858" s="205"/>
    </row>
    <row r="3859" spans="2:13" ht="15.75">
      <c r="B3859" s="79"/>
      <c r="D3859"/>
      <c r="E3859" s="188"/>
      <c r="H3859"/>
      <c r="I3859" s="202"/>
      <c r="J3859"/>
      <c r="K3859" s="205"/>
      <c r="L3859" s="205"/>
      <c r="M3859" s="205"/>
    </row>
    <row r="3860" spans="2:13" ht="15.75">
      <c r="B3860" s="79"/>
      <c r="D3860"/>
      <c r="E3860" s="188"/>
      <c r="H3860"/>
      <c r="I3860" s="202"/>
      <c r="J3860"/>
      <c r="K3860" s="205"/>
      <c r="L3860" s="205"/>
      <c r="M3860" s="205"/>
    </row>
    <row r="3861" spans="2:13" ht="15.75">
      <c r="B3861" s="79"/>
      <c r="D3861"/>
      <c r="E3861" s="188"/>
      <c r="H3861"/>
      <c r="I3861" s="202"/>
      <c r="J3861"/>
      <c r="K3861" s="205"/>
      <c r="L3861" s="205"/>
      <c r="M3861" s="205"/>
    </row>
    <row r="3862" spans="2:13" ht="15.75">
      <c r="B3862" s="79"/>
      <c r="D3862"/>
      <c r="E3862" s="188"/>
      <c r="H3862"/>
      <c r="I3862" s="202"/>
      <c r="J3862"/>
      <c r="K3862" s="205"/>
      <c r="L3862" s="205"/>
      <c r="M3862" s="205"/>
    </row>
    <row r="3863" spans="2:13" ht="15.75">
      <c r="B3863" s="79"/>
      <c r="D3863"/>
      <c r="E3863" s="188"/>
      <c r="H3863"/>
      <c r="I3863" s="202"/>
      <c r="J3863"/>
      <c r="K3863" s="205"/>
      <c r="L3863" s="205"/>
      <c r="M3863" s="205"/>
    </row>
    <row r="3864" spans="2:13" ht="15.75">
      <c r="B3864" s="79"/>
      <c r="D3864"/>
      <c r="E3864" s="188"/>
      <c r="H3864"/>
      <c r="I3864" s="202"/>
      <c r="J3864"/>
      <c r="K3864" s="205"/>
      <c r="L3864" s="205"/>
      <c r="M3864" s="205"/>
    </row>
    <row r="3865" spans="2:13" ht="15.75">
      <c r="B3865" s="79"/>
      <c r="D3865"/>
      <c r="E3865" s="188"/>
      <c r="H3865"/>
      <c r="I3865" s="202"/>
      <c r="J3865"/>
      <c r="K3865" s="205"/>
      <c r="L3865" s="205"/>
      <c r="M3865" s="205"/>
    </row>
    <row r="3866" spans="2:13" ht="15.75">
      <c r="B3866" s="79"/>
      <c r="D3866"/>
      <c r="E3866" s="188"/>
      <c r="H3866"/>
      <c r="I3866" s="202"/>
      <c r="J3866"/>
      <c r="K3866" s="205"/>
      <c r="L3866" s="205"/>
      <c r="M3866" s="205"/>
    </row>
    <row r="3867" spans="2:13" ht="15.75">
      <c r="B3867" s="79"/>
      <c r="D3867"/>
      <c r="E3867" s="188"/>
      <c r="H3867"/>
      <c r="I3867" s="202"/>
      <c r="J3867"/>
      <c r="K3867" s="205"/>
      <c r="L3867" s="205"/>
      <c r="M3867" s="205"/>
    </row>
    <row r="3868" spans="2:13" ht="15.75">
      <c r="B3868" s="79"/>
      <c r="D3868"/>
      <c r="E3868" s="188"/>
      <c r="H3868"/>
      <c r="I3868" s="202"/>
      <c r="J3868"/>
      <c r="K3868" s="205"/>
      <c r="L3868" s="205"/>
      <c r="M3868" s="205"/>
    </row>
    <row r="3869" spans="2:13" ht="15.75">
      <c r="B3869" s="79"/>
      <c r="D3869"/>
      <c r="E3869" s="188"/>
      <c r="H3869"/>
      <c r="I3869" s="202"/>
      <c r="J3869"/>
      <c r="K3869" s="205"/>
      <c r="L3869" s="205"/>
      <c r="M3869" s="205"/>
    </row>
    <row r="3870" spans="2:13" ht="15.75">
      <c r="B3870" s="79"/>
      <c r="D3870"/>
      <c r="E3870" s="188"/>
      <c r="H3870"/>
      <c r="I3870" s="202"/>
      <c r="J3870"/>
      <c r="K3870" s="205"/>
      <c r="L3870" s="205"/>
      <c r="M3870" s="205"/>
    </row>
    <row r="3871" spans="2:13" ht="15.75">
      <c r="B3871" s="79"/>
      <c r="D3871"/>
      <c r="E3871" s="188"/>
      <c r="H3871"/>
      <c r="I3871" s="202"/>
      <c r="J3871"/>
      <c r="K3871" s="205"/>
      <c r="L3871" s="205"/>
      <c r="M3871" s="205"/>
    </row>
    <row r="3872" spans="2:13" ht="15.75">
      <c r="B3872" s="79"/>
      <c r="D3872"/>
      <c r="E3872" s="188"/>
      <c r="H3872"/>
      <c r="I3872" s="202"/>
      <c r="J3872"/>
      <c r="K3872" s="205"/>
      <c r="L3872" s="205"/>
      <c r="M3872" s="205"/>
    </row>
    <row r="3873" spans="2:13" ht="15.75">
      <c r="B3873" s="79"/>
      <c r="D3873"/>
      <c r="E3873" s="188"/>
      <c r="H3873"/>
      <c r="I3873" s="202"/>
      <c r="J3873"/>
      <c r="K3873" s="205"/>
      <c r="L3873" s="205"/>
      <c r="M3873" s="205"/>
    </row>
    <row r="3874" spans="2:13" ht="15.75">
      <c r="B3874" s="79"/>
      <c r="D3874"/>
      <c r="E3874" s="188"/>
      <c r="H3874"/>
      <c r="I3874" s="202"/>
      <c r="J3874"/>
      <c r="K3874" s="205"/>
      <c r="L3874" s="205"/>
      <c r="M3874" s="205"/>
    </row>
    <row r="3875" spans="2:13" ht="15.75">
      <c r="B3875" s="79"/>
      <c r="D3875"/>
      <c r="E3875" s="188"/>
      <c r="H3875"/>
      <c r="I3875" s="202"/>
      <c r="J3875"/>
      <c r="K3875" s="205"/>
      <c r="L3875" s="205"/>
      <c r="M3875" s="205"/>
    </row>
    <row r="3876" spans="2:13" ht="15.75">
      <c r="B3876" s="79"/>
      <c r="D3876"/>
      <c r="E3876" s="188"/>
      <c r="H3876"/>
      <c r="I3876" s="202"/>
      <c r="J3876"/>
      <c r="K3876" s="205"/>
      <c r="L3876" s="205"/>
      <c r="M3876" s="205"/>
    </row>
    <row r="3877" spans="2:13" ht="15.75">
      <c r="B3877" s="79"/>
      <c r="D3877"/>
      <c r="E3877" s="188"/>
      <c r="H3877"/>
      <c r="I3877" s="202"/>
      <c r="J3877"/>
      <c r="K3877" s="205"/>
      <c r="L3877" s="205"/>
      <c r="M3877" s="205"/>
    </row>
    <row r="3878" spans="2:13" ht="15.75">
      <c r="B3878" s="79"/>
      <c r="D3878"/>
      <c r="E3878" s="188"/>
      <c r="H3878"/>
      <c r="I3878" s="202"/>
      <c r="J3878"/>
      <c r="K3878" s="205"/>
      <c r="L3878" s="205"/>
      <c r="M3878" s="205"/>
    </row>
    <row r="3879" spans="2:13" ht="15.75">
      <c r="B3879" s="79"/>
      <c r="D3879"/>
      <c r="E3879" s="188"/>
      <c r="H3879"/>
      <c r="I3879" s="202"/>
      <c r="J3879"/>
      <c r="K3879" s="205"/>
      <c r="L3879" s="205"/>
      <c r="M3879" s="205"/>
    </row>
    <row r="3880" spans="2:13" ht="15.75">
      <c r="B3880" s="79"/>
      <c r="D3880"/>
      <c r="E3880" s="188"/>
      <c r="H3880"/>
      <c r="I3880" s="202"/>
      <c r="J3880"/>
      <c r="K3880" s="205"/>
      <c r="L3880" s="205"/>
      <c r="M3880" s="205"/>
    </row>
    <row r="3881" spans="2:13" ht="15.75">
      <c r="B3881" s="79"/>
      <c r="D3881"/>
      <c r="E3881" s="188"/>
      <c r="H3881"/>
      <c r="I3881" s="202"/>
      <c r="J3881"/>
      <c r="K3881" s="205"/>
      <c r="L3881" s="205"/>
      <c r="M3881" s="205"/>
    </row>
    <row r="3882" spans="2:13" ht="15.75">
      <c r="B3882" s="79"/>
      <c r="D3882"/>
      <c r="E3882" s="188"/>
      <c r="H3882"/>
      <c r="I3882" s="202"/>
      <c r="J3882"/>
      <c r="K3882" s="205"/>
      <c r="L3882" s="205"/>
      <c r="M3882" s="205"/>
    </row>
    <row r="3883" spans="2:13" ht="15.75">
      <c r="B3883" s="79"/>
      <c r="D3883"/>
      <c r="E3883" s="188"/>
      <c r="H3883"/>
      <c r="I3883" s="202"/>
      <c r="J3883"/>
      <c r="K3883" s="205"/>
      <c r="L3883" s="205"/>
      <c r="M3883" s="205"/>
    </row>
    <row r="3884" spans="2:13" ht="15.75">
      <c r="B3884" s="79"/>
      <c r="D3884"/>
      <c r="E3884" s="188"/>
      <c r="H3884"/>
      <c r="I3884" s="202"/>
      <c r="J3884"/>
      <c r="K3884" s="205"/>
      <c r="L3884" s="205"/>
      <c r="M3884" s="205"/>
    </row>
    <row r="3885" spans="2:13" ht="15.75">
      <c r="B3885" s="79"/>
      <c r="D3885"/>
      <c r="E3885" s="188"/>
      <c r="H3885"/>
      <c r="I3885" s="202"/>
      <c r="J3885"/>
      <c r="K3885" s="205"/>
      <c r="L3885" s="205"/>
      <c r="M3885" s="205"/>
    </row>
    <row r="3886" spans="2:13" ht="15.75">
      <c r="B3886" s="79"/>
      <c r="D3886"/>
      <c r="E3886" s="188"/>
      <c r="H3886"/>
      <c r="I3886" s="202"/>
      <c r="J3886"/>
      <c r="K3886" s="205"/>
      <c r="L3886" s="205"/>
      <c r="M3886" s="205"/>
    </row>
    <row r="3887" spans="2:13" ht="15.75">
      <c r="B3887" s="79"/>
      <c r="D3887"/>
      <c r="E3887" s="188"/>
      <c r="H3887"/>
      <c r="I3887" s="202"/>
      <c r="J3887"/>
      <c r="K3887" s="205"/>
      <c r="L3887" s="205"/>
      <c r="M3887" s="205"/>
    </row>
    <row r="3888" spans="2:13" ht="15.75">
      <c r="B3888" s="79"/>
      <c r="D3888"/>
      <c r="E3888" s="188"/>
      <c r="H3888"/>
      <c r="I3888" s="202"/>
      <c r="J3888"/>
      <c r="K3888" s="205"/>
      <c r="L3888" s="205"/>
      <c r="M3888" s="205"/>
    </row>
    <row r="3889" spans="2:13" ht="15.75">
      <c r="B3889" s="79"/>
      <c r="D3889"/>
      <c r="E3889" s="188"/>
      <c r="H3889"/>
      <c r="I3889" s="202"/>
      <c r="J3889"/>
      <c r="K3889" s="205"/>
      <c r="L3889" s="205"/>
      <c r="M3889" s="205"/>
    </row>
    <row r="3890" spans="2:13" ht="15.75">
      <c r="B3890" s="79"/>
      <c r="D3890"/>
      <c r="E3890" s="188"/>
      <c r="H3890"/>
      <c r="I3890" s="202"/>
      <c r="J3890"/>
      <c r="K3890" s="205"/>
      <c r="L3890" s="205"/>
      <c r="M3890" s="205"/>
    </row>
    <row r="3891" spans="2:13" ht="15.75">
      <c r="B3891" s="79"/>
      <c r="D3891"/>
      <c r="E3891" s="188"/>
      <c r="H3891"/>
      <c r="I3891" s="202"/>
      <c r="J3891"/>
      <c r="K3891" s="205"/>
      <c r="L3891" s="205"/>
      <c r="M3891" s="205"/>
    </row>
    <row r="3892" spans="2:13" ht="15.75">
      <c r="B3892" s="79"/>
      <c r="D3892"/>
      <c r="E3892" s="188"/>
      <c r="H3892"/>
      <c r="I3892" s="202"/>
      <c r="J3892"/>
      <c r="K3892" s="205"/>
      <c r="L3892" s="205"/>
      <c r="M3892" s="205"/>
    </row>
    <row r="3893" spans="2:13" ht="15.75">
      <c r="B3893" s="79"/>
      <c r="D3893"/>
      <c r="E3893" s="188"/>
      <c r="H3893"/>
      <c r="I3893" s="202"/>
      <c r="J3893"/>
      <c r="K3893" s="205"/>
      <c r="L3893" s="205"/>
      <c r="M3893" s="205"/>
    </row>
    <row r="3894" spans="2:13" ht="15.75">
      <c r="B3894" s="79"/>
      <c r="D3894"/>
      <c r="E3894" s="188"/>
      <c r="H3894"/>
      <c r="I3894" s="202"/>
      <c r="J3894"/>
      <c r="K3894" s="205"/>
      <c r="L3894" s="205"/>
      <c r="M3894" s="205"/>
    </row>
    <row r="3895" spans="2:13" ht="15.75">
      <c r="B3895" s="79"/>
      <c r="D3895"/>
      <c r="E3895" s="188"/>
      <c r="H3895"/>
      <c r="I3895" s="202"/>
      <c r="J3895"/>
      <c r="K3895" s="205"/>
      <c r="L3895" s="205"/>
      <c r="M3895" s="205"/>
    </row>
    <row r="3896" spans="2:13" ht="15.75">
      <c r="B3896" s="79"/>
      <c r="D3896"/>
      <c r="E3896" s="188"/>
      <c r="H3896"/>
      <c r="I3896" s="202"/>
      <c r="J3896"/>
      <c r="K3896" s="205"/>
      <c r="L3896" s="205"/>
      <c r="M3896" s="205"/>
    </row>
    <row r="3897" spans="2:13" ht="15.75">
      <c r="B3897" s="79"/>
      <c r="D3897"/>
      <c r="E3897" s="188"/>
      <c r="H3897"/>
      <c r="I3897" s="202"/>
      <c r="J3897"/>
      <c r="K3897" s="205"/>
      <c r="L3897" s="205"/>
      <c r="M3897" s="205"/>
    </row>
    <row r="3898" spans="2:13" ht="15.75">
      <c r="B3898" s="79"/>
      <c r="D3898"/>
      <c r="E3898" s="188"/>
      <c r="H3898"/>
      <c r="I3898" s="202"/>
      <c r="J3898"/>
      <c r="K3898" s="205"/>
      <c r="L3898" s="205"/>
      <c r="M3898" s="205"/>
    </row>
    <row r="3899" spans="2:13" ht="15.75">
      <c r="B3899" s="79"/>
      <c r="D3899"/>
      <c r="E3899" s="188"/>
      <c r="H3899"/>
      <c r="I3899" s="202"/>
      <c r="J3899"/>
      <c r="K3899" s="205"/>
      <c r="L3899" s="205"/>
      <c r="M3899" s="205"/>
    </row>
    <row r="3900" spans="2:13" ht="15.75">
      <c r="B3900" s="79"/>
      <c r="D3900"/>
      <c r="E3900" s="188"/>
      <c r="H3900"/>
      <c r="I3900" s="202"/>
      <c r="J3900"/>
      <c r="K3900" s="205"/>
      <c r="L3900" s="205"/>
      <c r="M3900" s="205"/>
    </row>
    <row r="3901" spans="2:13" ht="15.75">
      <c r="B3901" s="79"/>
      <c r="D3901"/>
      <c r="E3901" s="188"/>
      <c r="H3901"/>
      <c r="I3901" s="202"/>
      <c r="J3901"/>
      <c r="K3901" s="205"/>
      <c r="L3901" s="205"/>
      <c r="M3901" s="205"/>
    </row>
    <row r="3902" spans="2:13" ht="15.75">
      <c r="B3902" s="79"/>
      <c r="D3902"/>
      <c r="E3902" s="188"/>
      <c r="H3902"/>
      <c r="I3902" s="202"/>
      <c r="J3902"/>
      <c r="K3902" s="205"/>
      <c r="L3902" s="205"/>
      <c r="M3902" s="205"/>
    </row>
    <row r="3903" spans="2:13" ht="15.75">
      <c r="B3903" s="79"/>
      <c r="D3903"/>
      <c r="E3903" s="188"/>
      <c r="H3903"/>
      <c r="I3903" s="202"/>
      <c r="J3903"/>
      <c r="K3903" s="205"/>
      <c r="L3903" s="205"/>
      <c r="M3903" s="205"/>
    </row>
    <row r="3904" spans="2:13" ht="15.75">
      <c r="B3904" s="79"/>
      <c r="D3904"/>
      <c r="E3904" s="188"/>
      <c r="H3904"/>
      <c r="I3904" s="202"/>
      <c r="J3904"/>
      <c r="K3904" s="205"/>
      <c r="L3904" s="205"/>
      <c r="M3904" s="205"/>
    </row>
    <row r="3905" spans="2:13" ht="15.75">
      <c r="B3905" s="79"/>
      <c r="D3905"/>
      <c r="E3905" s="188"/>
      <c r="H3905"/>
      <c r="I3905" s="202"/>
      <c r="J3905"/>
      <c r="K3905" s="205"/>
      <c r="L3905" s="205"/>
      <c r="M3905" s="205"/>
    </row>
    <row r="3906" spans="2:13" ht="15.75">
      <c r="B3906" s="79"/>
      <c r="D3906"/>
      <c r="E3906" s="188"/>
      <c r="H3906"/>
      <c r="I3906" s="202"/>
      <c r="J3906"/>
      <c r="K3906" s="205"/>
      <c r="L3906" s="205"/>
      <c r="M3906" s="205"/>
    </row>
    <row r="3907" spans="2:13" ht="15.75">
      <c r="B3907" s="79"/>
      <c r="D3907"/>
      <c r="E3907" s="188"/>
      <c r="H3907"/>
      <c r="I3907" s="202"/>
      <c r="J3907"/>
      <c r="K3907" s="205"/>
      <c r="L3907" s="205"/>
      <c r="M3907" s="205"/>
    </row>
    <row r="3908" spans="2:13" ht="15.75">
      <c r="B3908" s="79"/>
      <c r="D3908"/>
      <c r="E3908" s="188"/>
      <c r="H3908"/>
      <c r="I3908" s="202"/>
      <c r="J3908"/>
      <c r="K3908" s="205"/>
      <c r="L3908" s="205"/>
      <c r="M3908" s="205"/>
    </row>
    <row r="3909" spans="2:13" ht="15.75">
      <c r="B3909" s="79"/>
      <c r="D3909"/>
      <c r="E3909" s="188"/>
      <c r="H3909"/>
      <c r="I3909" s="202"/>
      <c r="J3909"/>
      <c r="K3909" s="205"/>
      <c r="L3909" s="205"/>
      <c r="M3909" s="205"/>
    </row>
    <row r="3910" spans="2:13" ht="15.75">
      <c r="B3910" s="79"/>
      <c r="D3910"/>
      <c r="E3910" s="188"/>
      <c r="H3910"/>
      <c r="I3910" s="202"/>
      <c r="J3910"/>
      <c r="K3910" s="205"/>
      <c r="L3910" s="205"/>
      <c r="M3910" s="205"/>
    </row>
    <row r="3911" spans="2:13" ht="15.75">
      <c r="B3911" s="79"/>
      <c r="D3911"/>
      <c r="E3911" s="188"/>
      <c r="H3911"/>
      <c r="I3911" s="202"/>
      <c r="J3911"/>
      <c r="K3911" s="205"/>
      <c r="L3911" s="205"/>
      <c r="M3911" s="205"/>
    </row>
    <row r="3912" spans="2:13" ht="15.75">
      <c r="B3912" s="79"/>
      <c r="D3912"/>
      <c r="E3912" s="188"/>
      <c r="H3912"/>
      <c r="I3912" s="202"/>
      <c r="J3912"/>
      <c r="K3912" s="205"/>
      <c r="L3912" s="205"/>
      <c r="M3912" s="205"/>
    </row>
    <row r="3913" spans="2:13" ht="15.75">
      <c r="B3913" s="79"/>
      <c r="D3913"/>
      <c r="E3913" s="188"/>
      <c r="H3913"/>
      <c r="I3913" s="202"/>
      <c r="J3913"/>
      <c r="K3913" s="205"/>
      <c r="L3913" s="205"/>
      <c r="M3913" s="205"/>
    </row>
    <row r="3914" spans="2:13" ht="15.75">
      <c r="B3914" s="79"/>
      <c r="D3914"/>
      <c r="E3914" s="188"/>
      <c r="H3914"/>
      <c r="I3914" s="202"/>
      <c r="J3914"/>
      <c r="K3914" s="205"/>
      <c r="L3914" s="205"/>
      <c r="M3914" s="205"/>
    </row>
    <row r="3915" spans="2:13" ht="15.75">
      <c r="B3915" s="79"/>
      <c r="D3915"/>
      <c r="E3915" s="188"/>
      <c r="H3915"/>
      <c r="I3915" s="202"/>
      <c r="J3915"/>
      <c r="K3915" s="205"/>
      <c r="L3915" s="205"/>
      <c r="M3915" s="205"/>
    </row>
    <row r="3916" spans="2:13" ht="15.75">
      <c r="B3916" s="79"/>
      <c r="D3916"/>
      <c r="E3916" s="188"/>
      <c r="H3916"/>
      <c r="I3916" s="202"/>
      <c r="J3916"/>
      <c r="K3916" s="205"/>
      <c r="L3916" s="205"/>
      <c r="M3916" s="205"/>
    </row>
    <row r="3917" spans="2:13" ht="15.75">
      <c r="B3917" s="79"/>
      <c r="D3917"/>
      <c r="E3917" s="188"/>
      <c r="H3917"/>
      <c r="I3917" s="202"/>
      <c r="J3917"/>
      <c r="K3917" s="205"/>
      <c r="L3917" s="205"/>
      <c r="M3917" s="205"/>
    </row>
    <row r="3918" spans="2:13" ht="15.75">
      <c r="B3918" s="79"/>
      <c r="D3918"/>
      <c r="E3918" s="188"/>
      <c r="H3918"/>
      <c r="I3918" s="202"/>
      <c r="J3918"/>
      <c r="K3918" s="205"/>
      <c r="L3918" s="205"/>
      <c r="M3918" s="205"/>
    </row>
    <row r="3919" spans="2:13" ht="15.75">
      <c r="B3919" s="79"/>
      <c r="D3919"/>
      <c r="E3919" s="188"/>
      <c r="H3919"/>
      <c r="I3919" s="202"/>
      <c r="J3919"/>
      <c r="K3919" s="205"/>
      <c r="L3919" s="205"/>
      <c r="M3919" s="205"/>
    </row>
    <row r="3920" spans="2:13" ht="15.75">
      <c r="B3920" s="79"/>
      <c r="D3920"/>
      <c r="E3920" s="188"/>
      <c r="H3920"/>
      <c r="I3920" s="202"/>
      <c r="J3920"/>
      <c r="K3920" s="205"/>
      <c r="L3920" s="205"/>
      <c r="M3920" s="205"/>
    </row>
    <row r="3921" spans="2:13" ht="15.75">
      <c r="B3921" s="79"/>
      <c r="D3921"/>
      <c r="E3921" s="188"/>
      <c r="H3921"/>
      <c r="I3921" s="202"/>
      <c r="J3921"/>
      <c r="K3921" s="205"/>
      <c r="L3921" s="205"/>
      <c r="M3921" s="205"/>
    </row>
    <row r="3922" spans="2:13" ht="15.75">
      <c r="B3922" s="79"/>
      <c r="D3922"/>
      <c r="E3922" s="188"/>
      <c r="H3922"/>
      <c r="I3922" s="202"/>
      <c r="J3922"/>
      <c r="K3922" s="205"/>
      <c r="L3922" s="205"/>
      <c r="M3922" s="205"/>
    </row>
    <row r="3923" spans="2:13" ht="15.75">
      <c r="B3923" s="79"/>
      <c r="D3923"/>
      <c r="E3923" s="188"/>
      <c r="H3923"/>
      <c r="I3923" s="202"/>
      <c r="J3923"/>
      <c r="K3923" s="205"/>
      <c r="L3923" s="205"/>
      <c r="M3923" s="205"/>
    </row>
    <row r="3924" spans="2:13" ht="15.75">
      <c r="B3924" s="79"/>
      <c r="D3924"/>
      <c r="E3924" s="188"/>
      <c r="H3924"/>
      <c r="I3924" s="202"/>
      <c r="J3924"/>
      <c r="K3924" s="205"/>
      <c r="L3924" s="205"/>
      <c r="M3924" s="205"/>
    </row>
    <row r="3925" spans="2:13" ht="15.75">
      <c r="B3925" s="79"/>
      <c r="D3925"/>
      <c r="E3925" s="188"/>
      <c r="H3925"/>
      <c r="I3925" s="202"/>
      <c r="J3925"/>
      <c r="K3925" s="205"/>
      <c r="L3925" s="205"/>
      <c r="M3925" s="205"/>
    </row>
    <row r="3926" spans="2:13" ht="15.75">
      <c r="B3926" s="79"/>
      <c r="D3926"/>
      <c r="E3926" s="188"/>
      <c r="H3926"/>
      <c r="I3926" s="202"/>
      <c r="J3926"/>
      <c r="K3926" s="205"/>
      <c r="L3926" s="205"/>
      <c r="M3926" s="205"/>
    </row>
    <row r="3927" spans="2:13" ht="15.75">
      <c r="B3927" s="79"/>
      <c r="D3927"/>
      <c r="E3927" s="188"/>
      <c r="H3927"/>
      <c r="I3927" s="202"/>
      <c r="J3927"/>
      <c r="K3927" s="205"/>
      <c r="L3927" s="205"/>
      <c r="M3927" s="205"/>
    </row>
    <row r="3928" spans="2:13" ht="15.75">
      <c r="B3928" s="79"/>
      <c r="D3928"/>
      <c r="E3928" s="188"/>
      <c r="H3928"/>
      <c r="I3928" s="202"/>
      <c r="J3928"/>
      <c r="K3928" s="205"/>
      <c r="L3928" s="205"/>
      <c r="M3928" s="205"/>
    </row>
    <row r="3929" spans="2:13" ht="15.75">
      <c r="B3929" s="79"/>
      <c r="D3929"/>
      <c r="E3929" s="188"/>
      <c r="H3929"/>
      <c r="I3929" s="202"/>
      <c r="J3929"/>
      <c r="K3929" s="205"/>
      <c r="L3929" s="205"/>
      <c r="M3929" s="205"/>
    </row>
    <row r="3930" spans="2:13" ht="15.75">
      <c r="B3930" s="79"/>
      <c r="D3930"/>
      <c r="E3930" s="188"/>
      <c r="H3930"/>
      <c r="I3930" s="202"/>
      <c r="J3930"/>
      <c r="K3930" s="205"/>
      <c r="L3930" s="205"/>
      <c r="M3930" s="205"/>
    </row>
    <row r="3931" spans="2:13" ht="15.75">
      <c r="B3931" s="79"/>
      <c r="D3931"/>
      <c r="E3931" s="188"/>
      <c r="H3931"/>
      <c r="I3931" s="202"/>
      <c r="J3931"/>
      <c r="K3931" s="205"/>
      <c r="L3931" s="205"/>
      <c r="M3931" s="205"/>
    </row>
    <row r="3932" spans="2:13" ht="15.75">
      <c r="B3932" s="79"/>
      <c r="D3932"/>
      <c r="E3932" s="188"/>
      <c r="H3932"/>
      <c r="I3932" s="202"/>
      <c r="J3932"/>
      <c r="K3932" s="205"/>
      <c r="L3932" s="205"/>
      <c r="M3932" s="205"/>
    </row>
    <row r="3933" spans="2:13" ht="15.75">
      <c r="B3933" s="79"/>
      <c r="D3933"/>
      <c r="E3933" s="188"/>
      <c r="H3933"/>
      <c r="I3933" s="202"/>
      <c r="J3933"/>
      <c r="K3933" s="205"/>
      <c r="L3933" s="205"/>
      <c r="M3933" s="205"/>
    </row>
    <row r="3934" spans="2:13" ht="15.75">
      <c r="B3934" s="79"/>
      <c r="D3934"/>
      <c r="E3934" s="188"/>
      <c r="H3934"/>
      <c r="I3934" s="202"/>
      <c r="J3934"/>
      <c r="K3934" s="205"/>
      <c r="L3934" s="205"/>
      <c r="M3934" s="205"/>
    </row>
    <row r="3935" spans="2:13" ht="15.75">
      <c r="B3935" s="79"/>
      <c r="D3935"/>
      <c r="E3935" s="188"/>
      <c r="H3935"/>
      <c r="I3935" s="202"/>
      <c r="J3935"/>
      <c r="K3935" s="205"/>
      <c r="L3935" s="205"/>
      <c r="M3935" s="205"/>
    </row>
    <row r="3936" spans="2:13" ht="15.75">
      <c r="B3936" s="79"/>
      <c r="D3936"/>
      <c r="E3936" s="188"/>
      <c r="H3936"/>
      <c r="I3936" s="202"/>
      <c r="J3936"/>
      <c r="K3936" s="205"/>
      <c r="L3936" s="205"/>
      <c r="M3936" s="205"/>
    </row>
    <row r="3937" spans="2:13" ht="15.75">
      <c r="B3937" s="79"/>
      <c r="D3937"/>
      <c r="E3937" s="188"/>
      <c r="H3937"/>
      <c r="I3937" s="202"/>
      <c r="J3937"/>
      <c r="K3937" s="205"/>
      <c r="L3937" s="205"/>
      <c r="M3937" s="205"/>
    </row>
    <row r="3938" spans="2:13" ht="15.75">
      <c r="B3938" s="79"/>
      <c r="D3938"/>
      <c r="E3938" s="188"/>
      <c r="H3938"/>
      <c r="I3938" s="202"/>
      <c r="J3938"/>
      <c r="K3938" s="205"/>
      <c r="L3938" s="205"/>
      <c r="M3938" s="205"/>
    </row>
    <row r="3939" spans="2:13" ht="15.75">
      <c r="B3939" s="79"/>
      <c r="D3939"/>
      <c r="E3939" s="188"/>
      <c r="H3939"/>
      <c r="I3939" s="202"/>
      <c r="J3939"/>
      <c r="K3939" s="205"/>
      <c r="L3939" s="205"/>
      <c r="M3939" s="205"/>
    </row>
    <row r="3940" spans="2:13" ht="15.75">
      <c r="B3940" s="79"/>
      <c r="D3940"/>
      <c r="E3940" s="188"/>
      <c r="H3940"/>
      <c r="I3940" s="202"/>
      <c r="J3940"/>
      <c r="K3940" s="205"/>
      <c r="L3940" s="205"/>
      <c r="M3940" s="205"/>
    </row>
    <row r="3941" spans="2:13" ht="15.75">
      <c r="B3941" s="79"/>
      <c r="D3941"/>
      <c r="E3941" s="188"/>
      <c r="H3941"/>
      <c r="I3941" s="202"/>
      <c r="J3941"/>
      <c r="K3941" s="205"/>
      <c r="L3941" s="205"/>
      <c r="M3941" s="205"/>
    </row>
    <row r="3942" spans="2:13" ht="15.75">
      <c r="B3942" s="79"/>
      <c r="D3942"/>
      <c r="E3942" s="188"/>
      <c r="H3942"/>
      <c r="I3942" s="202"/>
      <c r="J3942"/>
      <c r="K3942" s="205"/>
      <c r="L3942" s="205"/>
      <c r="M3942" s="205"/>
    </row>
    <row r="3943" spans="2:13" ht="15.75">
      <c r="B3943" s="79"/>
      <c r="D3943"/>
      <c r="E3943" s="188"/>
      <c r="H3943"/>
      <c r="I3943" s="202"/>
      <c r="J3943"/>
      <c r="K3943" s="205"/>
      <c r="L3943" s="205"/>
      <c r="M3943" s="205"/>
    </row>
    <row r="3944" spans="2:13" ht="15.75">
      <c r="B3944" s="79"/>
      <c r="D3944"/>
      <c r="E3944" s="188"/>
      <c r="H3944"/>
      <c r="I3944" s="202"/>
      <c r="J3944"/>
      <c r="K3944" s="205"/>
      <c r="L3944" s="205"/>
      <c r="M3944" s="205"/>
    </row>
    <row r="3945" spans="2:13" ht="15.75">
      <c r="B3945" s="79"/>
      <c r="D3945"/>
      <c r="E3945" s="188"/>
      <c r="H3945"/>
      <c r="I3945" s="202"/>
      <c r="J3945"/>
      <c r="K3945" s="205"/>
      <c r="L3945" s="205"/>
      <c r="M3945" s="205"/>
    </row>
    <row r="3946" spans="2:13" ht="15.75">
      <c r="B3946" s="79"/>
      <c r="D3946"/>
      <c r="E3946" s="188"/>
      <c r="H3946"/>
      <c r="I3946" s="202"/>
      <c r="J3946"/>
      <c r="K3946" s="205"/>
      <c r="L3946" s="205"/>
      <c r="M3946" s="205"/>
    </row>
    <row r="3947" spans="2:13" ht="15.75">
      <c r="B3947" s="79"/>
      <c r="D3947"/>
      <c r="E3947" s="188"/>
      <c r="H3947"/>
      <c r="I3947" s="202"/>
      <c r="J3947"/>
      <c r="K3947" s="205"/>
      <c r="L3947" s="205"/>
      <c r="M3947" s="205"/>
    </row>
    <row r="3948" spans="2:13" ht="15.75">
      <c r="B3948" s="79"/>
      <c r="D3948"/>
      <c r="E3948" s="188"/>
      <c r="H3948"/>
      <c r="I3948" s="202"/>
      <c r="J3948"/>
      <c r="K3948" s="205"/>
      <c r="L3948" s="205"/>
      <c r="M3948" s="205"/>
    </row>
    <row r="3949" spans="2:13" ht="15.75">
      <c r="B3949" s="79"/>
      <c r="D3949"/>
      <c r="E3949" s="188"/>
      <c r="H3949"/>
      <c r="I3949" s="202"/>
      <c r="J3949"/>
      <c r="K3949" s="205"/>
      <c r="L3949" s="205"/>
      <c r="M3949" s="205"/>
    </row>
    <row r="3950" spans="2:13" ht="15.75">
      <c r="B3950" s="79"/>
      <c r="D3950"/>
      <c r="E3950" s="188"/>
      <c r="H3950"/>
      <c r="I3950" s="202"/>
      <c r="J3950"/>
      <c r="K3950" s="205"/>
      <c r="L3950" s="205"/>
      <c r="M3950" s="205"/>
    </row>
    <row r="3951" spans="2:13" ht="15.75">
      <c r="B3951" s="79"/>
      <c r="D3951"/>
      <c r="E3951" s="188"/>
      <c r="H3951"/>
      <c r="I3951" s="202"/>
      <c r="J3951"/>
      <c r="K3951" s="205"/>
      <c r="L3951" s="205"/>
      <c r="M3951" s="205"/>
    </row>
    <row r="3952" spans="2:13" ht="15.75">
      <c r="B3952" s="79"/>
      <c r="D3952"/>
      <c r="E3952" s="188"/>
      <c r="H3952"/>
      <c r="I3952" s="202"/>
      <c r="J3952"/>
      <c r="K3952" s="205"/>
      <c r="L3952" s="205"/>
      <c r="M3952" s="205"/>
    </row>
    <row r="3953" spans="2:13" ht="15.75">
      <c r="B3953" s="79"/>
      <c r="D3953"/>
      <c r="E3953" s="188"/>
      <c r="H3953"/>
      <c r="I3953" s="202"/>
      <c r="J3953"/>
      <c r="K3953" s="205"/>
      <c r="L3953" s="205"/>
      <c r="M3953" s="205"/>
    </row>
    <row r="3954" spans="2:13" ht="15.75">
      <c r="B3954" s="79"/>
      <c r="D3954"/>
      <c r="E3954" s="188"/>
      <c r="H3954"/>
      <c r="I3954" s="202"/>
      <c r="J3954"/>
      <c r="K3954" s="205"/>
      <c r="L3954" s="205"/>
      <c r="M3954" s="205"/>
    </row>
    <row r="3955" spans="2:13" ht="15.75">
      <c r="B3955" s="79"/>
      <c r="D3955"/>
      <c r="E3955" s="188"/>
      <c r="H3955"/>
      <c r="I3955" s="202"/>
      <c r="J3955"/>
      <c r="K3955" s="205"/>
      <c r="L3955" s="205"/>
      <c r="M3955" s="205"/>
    </row>
    <row r="3956" spans="2:13" ht="15.75">
      <c r="B3956" s="79"/>
      <c r="D3956"/>
      <c r="E3956" s="188"/>
      <c r="H3956"/>
      <c r="I3956" s="202"/>
      <c r="J3956"/>
      <c r="K3956" s="205"/>
      <c r="L3956" s="205"/>
      <c r="M3956" s="205"/>
    </row>
    <row r="3957" spans="2:13" ht="15.75">
      <c r="B3957" s="79"/>
      <c r="D3957"/>
      <c r="E3957" s="188"/>
      <c r="H3957"/>
      <c r="I3957" s="202"/>
      <c r="J3957"/>
      <c r="K3957" s="205"/>
      <c r="L3957" s="205"/>
      <c r="M3957" s="205"/>
    </row>
    <row r="3958" spans="2:13" ht="15.75">
      <c r="B3958" s="79"/>
      <c r="D3958"/>
      <c r="E3958" s="188"/>
      <c r="H3958"/>
      <c r="I3958" s="202"/>
      <c r="J3958"/>
      <c r="K3958" s="205"/>
      <c r="L3958" s="205"/>
      <c r="M3958" s="205"/>
    </row>
    <row r="3959" spans="2:13" ht="15.75">
      <c r="B3959" s="79"/>
      <c r="D3959"/>
      <c r="E3959" s="188"/>
      <c r="H3959"/>
      <c r="I3959" s="202"/>
      <c r="J3959"/>
      <c r="K3959" s="205"/>
      <c r="L3959" s="205"/>
      <c r="M3959" s="205"/>
    </row>
    <row r="3960" spans="2:13" ht="15.75">
      <c r="B3960" s="79"/>
      <c r="D3960"/>
      <c r="E3960" s="188"/>
      <c r="H3960"/>
      <c r="I3960" s="202"/>
      <c r="J3960"/>
      <c r="K3960" s="205"/>
      <c r="L3960" s="205"/>
      <c r="M3960" s="205"/>
    </row>
    <row r="3961" spans="2:13" ht="15.75">
      <c r="B3961" s="79"/>
      <c r="D3961"/>
      <c r="E3961" s="188"/>
      <c r="H3961"/>
      <c r="I3961" s="202"/>
      <c r="J3961"/>
      <c r="K3961" s="205"/>
      <c r="L3961" s="205"/>
      <c r="M3961" s="205"/>
    </row>
    <row r="3962" spans="2:13" ht="15.75">
      <c r="B3962" s="79"/>
      <c r="D3962"/>
      <c r="E3962" s="188"/>
      <c r="H3962"/>
      <c r="I3962" s="202"/>
      <c r="J3962"/>
      <c r="K3962" s="205"/>
      <c r="L3962" s="205"/>
      <c r="M3962" s="205"/>
    </row>
    <row r="3963" spans="2:13" ht="15.75">
      <c r="B3963" s="79"/>
      <c r="D3963"/>
      <c r="E3963" s="188"/>
      <c r="H3963"/>
      <c r="I3963" s="202"/>
      <c r="J3963"/>
      <c r="K3963" s="205"/>
      <c r="L3963" s="205"/>
      <c r="M3963" s="205"/>
    </row>
    <row r="3964" spans="2:13" ht="15.75">
      <c r="B3964" s="79"/>
      <c r="D3964"/>
      <c r="E3964" s="188"/>
      <c r="H3964"/>
      <c r="I3964" s="202"/>
      <c r="J3964"/>
      <c r="K3964" s="205"/>
      <c r="L3964" s="205"/>
      <c r="M3964" s="205"/>
    </row>
    <row r="3965" spans="2:13" ht="15.75">
      <c r="B3965" s="79"/>
      <c r="D3965"/>
      <c r="E3965" s="188"/>
      <c r="H3965"/>
      <c r="I3965" s="202"/>
      <c r="J3965"/>
      <c r="K3965" s="205"/>
      <c r="L3965" s="205"/>
      <c r="M3965" s="205"/>
    </row>
    <row r="3966" spans="2:13" ht="15.75">
      <c r="B3966" s="79"/>
      <c r="D3966"/>
      <c r="E3966" s="188"/>
      <c r="H3966"/>
      <c r="I3966" s="202"/>
      <c r="J3966"/>
      <c r="K3966" s="205"/>
      <c r="L3966" s="205"/>
      <c r="M3966" s="205"/>
    </row>
    <row r="3967" spans="2:13" ht="15.75">
      <c r="B3967" s="79"/>
      <c r="D3967"/>
      <c r="E3967" s="188"/>
      <c r="H3967"/>
      <c r="I3967" s="202"/>
      <c r="J3967"/>
      <c r="K3967" s="205"/>
      <c r="L3967" s="205"/>
      <c r="M3967" s="205"/>
    </row>
    <row r="3968" spans="2:13" ht="15.75">
      <c r="B3968" s="79"/>
      <c r="D3968"/>
      <c r="E3968" s="188"/>
      <c r="H3968"/>
      <c r="I3968" s="202"/>
      <c r="J3968"/>
      <c r="K3968" s="205"/>
      <c r="L3968" s="205"/>
      <c r="M3968" s="205"/>
    </row>
    <row r="3969" spans="2:13" ht="15.75">
      <c r="B3969" s="79"/>
      <c r="D3969"/>
      <c r="E3969" s="188"/>
      <c r="H3969"/>
      <c r="I3969" s="202"/>
      <c r="J3969"/>
      <c r="K3969" s="205"/>
      <c r="L3969" s="205"/>
      <c r="M3969" s="205"/>
    </row>
    <row r="3970" spans="2:13" ht="15.75">
      <c r="B3970" s="79"/>
      <c r="D3970"/>
      <c r="E3970" s="188"/>
      <c r="H3970"/>
      <c r="I3970" s="202"/>
      <c r="J3970"/>
      <c r="K3970" s="205"/>
      <c r="L3970" s="205"/>
      <c r="M3970" s="205"/>
    </row>
    <row r="3971" spans="2:13" ht="15.75">
      <c r="B3971" s="79"/>
      <c r="D3971"/>
      <c r="E3971" s="188"/>
      <c r="H3971"/>
      <c r="I3971" s="202"/>
      <c r="J3971"/>
      <c r="K3971" s="205"/>
      <c r="L3971" s="205"/>
      <c r="M3971" s="205"/>
    </row>
    <row r="3972" spans="2:13" ht="15.75">
      <c r="B3972" s="79"/>
      <c r="D3972"/>
      <c r="E3972" s="188"/>
      <c r="H3972"/>
      <c r="I3972" s="202"/>
      <c r="J3972"/>
      <c r="K3972" s="205"/>
      <c r="L3972" s="205"/>
      <c r="M3972" s="205"/>
    </row>
    <row r="3973" spans="2:13" ht="15.75">
      <c r="B3973" s="79"/>
      <c r="D3973"/>
      <c r="E3973" s="188"/>
      <c r="H3973"/>
      <c r="I3973" s="202"/>
      <c r="J3973"/>
      <c r="K3973" s="205"/>
      <c r="L3973" s="205"/>
      <c r="M3973" s="205"/>
    </row>
    <row r="3974" spans="2:13" ht="15.75">
      <c r="B3974" s="79"/>
      <c r="D3974"/>
      <c r="E3974" s="188"/>
      <c r="H3974"/>
      <c r="I3974" s="202"/>
      <c r="J3974"/>
      <c r="K3974" s="205"/>
      <c r="L3974" s="205"/>
      <c r="M3974" s="205"/>
    </row>
    <row r="3975" spans="2:13" ht="15.75">
      <c r="B3975" s="79"/>
      <c r="D3975"/>
      <c r="E3975" s="188"/>
      <c r="H3975"/>
      <c r="I3975" s="202"/>
      <c r="J3975"/>
      <c r="K3975" s="205"/>
      <c r="L3975" s="205"/>
      <c r="M3975" s="205"/>
    </row>
    <row r="3976" spans="2:13" ht="15.75">
      <c r="B3976" s="79"/>
      <c r="D3976"/>
      <c r="E3976" s="188"/>
      <c r="H3976"/>
      <c r="I3976" s="202"/>
      <c r="J3976"/>
      <c r="K3976" s="205"/>
      <c r="L3976" s="205"/>
      <c r="M3976" s="205"/>
    </row>
    <row r="3977" spans="2:13" ht="15.75">
      <c r="B3977" s="79"/>
      <c r="D3977"/>
      <c r="E3977" s="188"/>
      <c r="H3977"/>
      <c r="I3977" s="202"/>
      <c r="J3977"/>
      <c r="K3977" s="205"/>
      <c r="L3977" s="205"/>
      <c r="M3977" s="205"/>
    </row>
    <row r="3978" spans="2:13" ht="15.75">
      <c r="B3978" s="79"/>
      <c r="D3978"/>
      <c r="E3978" s="188"/>
      <c r="H3978"/>
      <c r="I3978" s="202"/>
      <c r="J3978"/>
      <c r="K3978" s="205"/>
      <c r="L3978" s="205"/>
      <c r="M3978" s="205"/>
    </row>
    <row r="3979" spans="2:13" ht="15.75">
      <c r="B3979" s="79"/>
      <c r="D3979"/>
      <c r="E3979" s="188"/>
      <c r="H3979"/>
      <c r="I3979" s="202"/>
      <c r="J3979"/>
      <c r="K3979" s="205"/>
      <c r="L3979" s="205"/>
      <c r="M3979" s="205"/>
    </row>
    <row r="3980" spans="2:13" ht="15.75">
      <c r="B3980" s="79"/>
      <c r="D3980"/>
      <c r="E3980" s="188"/>
      <c r="H3980"/>
      <c r="I3980" s="202"/>
      <c r="J3980"/>
      <c r="K3980" s="205"/>
      <c r="L3980" s="205"/>
      <c r="M3980" s="205"/>
    </row>
    <row r="3981" spans="2:13" ht="15.75">
      <c r="B3981" s="79"/>
      <c r="D3981"/>
      <c r="E3981" s="188"/>
      <c r="H3981"/>
      <c r="I3981" s="202"/>
      <c r="J3981"/>
      <c r="K3981" s="205"/>
      <c r="L3981" s="205"/>
      <c r="M3981" s="205"/>
    </row>
    <row r="3982" spans="2:13" ht="15.75">
      <c r="B3982" s="79"/>
      <c r="D3982"/>
      <c r="E3982" s="188"/>
      <c r="H3982"/>
      <c r="I3982" s="202"/>
      <c r="J3982"/>
      <c r="K3982" s="205"/>
      <c r="L3982" s="205"/>
      <c r="M3982" s="205"/>
    </row>
    <row r="3983" spans="2:13" ht="15.75">
      <c r="B3983" s="79"/>
      <c r="D3983"/>
      <c r="E3983" s="188"/>
      <c r="H3983"/>
      <c r="I3983" s="202"/>
      <c r="J3983"/>
      <c r="K3983" s="205"/>
      <c r="L3983" s="205"/>
      <c r="M3983" s="205"/>
    </row>
    <row r="3984" spans="2:13" ht="15.75">
      <c r="B3984" s="79"/>
      <c r="D3984"/>
      <c r="E3984" s="188"/>
      <c r="H3984"/>
      <c r="I3984" s="202"/>
      <c r="J3984"/>
      <c r="K3984" s="205"/>
      <c r="L3984" s="205"/>
      <c r="M3984" s="205"/>
    </row>
    <row r="3985" spans="2:13" ht="15.75">
      <c r="B3985" s="79"/>
      <c r="D3985"/>
      <c r="E3985" s="188"/>
      <c r="H3985"/>
      <c r="I3985" s="202"/>
      <c r="J3985"/>
      <c r="K3985" s="205"/>
      <c r="L3985" s="205"/>
      <c r="M3985" s="205"/>
    </row>
    <row r="3986" spans="2:13" ht="15.75">
      <c r="B3986" s="79"/>
      <c r="D3986"/>
      <c r="E3986" s="188"/>
      <c r="H3986"/>
      <c r="I3986" s="202"/>
      <c r="J3986"/>
      <c r="K3986" s="205"/>
      <c r="L3986" s="205"/>
      <c r="M3986" s="205"/>
    </row>
    <row r="3987" spans="2:13" ht="15.75">
      <c r="B3987" s="79"/>
      <c r="D3987"/>
      <c r="E3987" s="188"/>
      <c r="H3987"/>
      <c r="I3987" s="202"/>
      <c r="J3987"/>
      <c r="K3987" s="205"/>
      <c r="L3987" s="205"/>
      <c r="M3987" s="205"/>
    </row>
    <row r="3988" spans="2:13" ht="15.75">
      <c r="B3988" s="79"/>
      <c r="D3988"/>
      <c r="E3988" s="188"/>
      <c r="H3988"/>
      <c r="I3988" s="202"/>
      <c r="J3988"/>
      <c r="K3988" s="205"/>
      <c r="L3988" s="205"/>
      <c r="M3988" s="205"/>
    </row>
    <row r="3989" spans="2:13" ht="15.75">
      <c r="B3989" s="79"/>
      <c r="D3989"/>
      <c r="E3989" s="188"/>
      <c r="H3989"/>
      <c r="I3989" s="202"/>
      <c r="J3989"/>
      <c r="K3989" s="205"/>
      <c r="L3989" s="205"/>
      <c r="M3989" s="205"/>
    </row>
    <row r="3990" spans="2:13" ht="15.75">
      <c r="B3990" s="79"/>
      <c r="D3990"/>
      <c r="E3990" s="188"/>
      <c r="H3990"/>
      <c r="I3990" s="202"/>
      <c r="J3990"/>
      <c r="K3990" s="205"/>
      <c r="L3990" s="205"/>
      <c r="M3990" s="205"/>
    </row>
    <row r="3991" spans="2:13" ht="15.75">
      <c r="B3991" s="79"/>
      <c r="D3991"/>
      <c r="E3991" s="188"/>
      <c r="H3991"/>
      <c r="I3991" s="202"/>
      <c r="J3991"/>
      <c r="K3991" s="205"/>
      <c r="L3991" s="205"/>
      <c r="M3991" s="205"/>
    </row>
    <row r="3992" spans="2:13" ht="15.75">
      <c r="B3992" s="79"/>
      <c r="D3992"/>
      <c r="E3992" s="188"/>
      <c r="H3992"/>
      <c r="I3992" s="202"/>
      <c r="J3992"/>
      <c r="K3992" s="205"/>
      <c r="L3992" s="205"/>
      <c r="M3992" s="205"/>
    </row>
    <row r="3993" spans="2:13" ht="15.75">
      <c r="B3993" s="79"/>
      <c r="D3993"/>
      <c r="E3993" s="188"/>
      <c r="H3993"/>
      <c r="I3993" s="202"/>
      <c r="J3993"/>
      <c r="K3993" s="205"/>
      <c r="L3993" s="205"/>
      <c r="M3993" s="205"/>
    </row>
    <row r="3994" spans="2:13" ht="15.75">
      <c r="B3994" s="79"/>
      <c r="D3994"/>
      <c r="E3994" s="188"/>
      <c r="H3994"/>
      <c r="I3994" s="202"/>
      <c r="J3994"/>
      <c r="K3994" s="205"/>
      <c r="L3994" s="205"/>
      <c r="M3994" s="205"/>
    </row>
    <row r="3995" spans="2:13" ht="15.75">
      <c r="B3995" s="79"/>
      <c r="D3995"/>
      <c r="E3995" s="188"/>
      <c r="H3995"/>
      <c r="I3995" s="202"/>
      <c r="J3995"/>
      <c r="K3995" s="205"/>
      <c r="L3995" s="205"/>
      <c r="M3995" s="205"/>
    </row>
    <row r="3996" spans="2:13" ht="15.75">
      <c r="B3996" s="79"/>
      <c r="D3996"/>
      <c r="E3996" s="188"/>
      <c r="H3996"/>
      <c r="I3996" s="202"/>
      <c r="J3996"/>
      <c r="K3996" s="205"/>
      <c r="L3996" s="205"/>
      <c r="M3996" s="205"/>
    </row>
    <row r="3997" spans="2:13" ht="15.75">
      <c r="B3997" s="79"/>
      <c r="D3997"/>
      <c r="E3997" s="188"/>
      <c r="H3997"/>
      <c r="I3997" s="202"/>
      <c r="J3997"/>
      <c r="K3997" s="205"/>
      <c r="L3997" s="205"/>
      <c r="M3997" s="205"/>
    </row>
    <row r="3998" spans="2:13" ht="15.75">
      <c r="B3998" s="79"/>
      <c r="D3998"/>
      <c r="E3998" s="188"/>
      <c r="H3998"/>
      <c r="I3998" s="202"/>
      <c r="J3998"/>
      <c r="K3998" s="205"/>
      <c r="L3998" s="205"/>
      <c r="M3998" s="205"/>
    </row>
    <row r="3999" spans="2:13" ht="15.75">
      <c r="B3999" s="79"/>
      <c r="D3999"/>
      <c r="E3999" s="188"/>
      <c r="H3999"/>
      <c r="I3999" s="202"/>
      <c r="J3999"/>
      <c r="K3999" s="205"/>
      <c r="L3999" s="205"/>
      <c r="M3999" s="205"/>
    </row>
    <row r="4000" spans="2:13" ht="15.75">
      <c r="B4000" s="79"/>
      <c r="D4000"/>
      <c r="E4000" s="188"/>
      <c r="H4000"/>
      <c r="I4000" s="202"/>
      <c r="J4000"/>
      <c r="K4000" s="205"/>
      <c r="L4000" s="205"/>
      <c r="M4000" s="205"/>
    </row>
    <row r="4001" spans="2:13" ht="15.75">
      <c r="B4001" s="79"/>
      <c r="D4001"/>
      <c r="E4001" s="188"/>
      <c r="H4001"/>
      <c r="I4001" s="202"/>
      <c r="J4001"/>
      <c r="K4001" s="205"/>
      <c r="L4001" s="205"/>
      <c r="M4001" s="205"/>
    </row>
    <row r="4002" spans="2:13" ht="15.75">
      <c r="B4002" s="79"/>
      <c r="D4002"/>
      <c r="E4002" s="188"/>
      <c r="H4002"/>
      <c r="I4002" s="202"/>
      <c r="J4002"/>
      <c r="K4002" s="205"/>
      <c r="L4002" s="205"/>
      <c r="M4002" s="205"/>
    </row>
    <row r="4003" spans="2:13" ht="15.75">
      <c r="B4003" s="79"/>
      <c r="D4003"/>
      <c r="E4003" s="188"/>
      <c r="H4003"/>
      <c r="I4003" s="202"/>
      <c r="J4003"/>
      <c r="K4003" s="205"/>
      <c r="L4003" s="205"/>
      <c r="M4003" s="205"/>
    </row>
    <row r="4004" spans="2:13" ht="15.75">
      <c r="B4004" s="79"/>
      <c r="D4004"/>
      <c r="E4004" s="188"/>
      <c r="H4004"/>
      <c r="I4004" s="202"/>
      <c r="J4004"/>
      <c r="K4004" s="205"/>
      <c r="L4004" s="205"/>
      <c r="M4004" s="205"/>
    </row>
    <row r="4005" spans="2:13" ht="15.75">
      <c r="B4005" s="79"/>
      <c r="D4005"/>
      <c r="E4005" s="188"/>
      <c r="H4005"/>
      <c r="I4005" s="202"/>
      <c r="J4005"/>
      <c r="K4005" s="205"/>
      <c r="L4005" s="205"/>
      <c r="M4005" s="205"/>
    </row>
    <row r="4006" spans="2:13" ht="15.75">
      <c r="B4006" s="79"/>
      <c r="D4006"/>
      <c r="E4006" s="188"/>
      <c r="H4006"/>
      <c r="I4006" s="202"/>
      <c r="J4006"/>
      <c r="K4006" s="205"/>
      <c r="L4006" s="205"/>
      <c r="M4006" s="205"/>
    </row>
    <row r="4007" spans="2:13" ht="15.75">
      <c r="B4007" s="79"/>
      <c r="D4007"/>
      <c r="E4007" s="188"/>
      <c r="H4007"/>
      <c r="I4007" s="202"/>
      <c r="J4007"/>
      <c r="K4007" s="205"/>
      <c r="L4007" s="205"/>
      <c r="M4007" s="205"/>
    </row>
    <row r="4008" spans="2:13" ht="15.75">
      <c r="B4008" s="79"/>
      <c r="D4008"/>
      <c r="E4008" s="188"/>
      <c r="H4008"/>
      <c r="I4008" s="202"/>
      <c r="J4008"/>
      <c r="K4008" s="205"/>
      <c r="L4008" s="205"/>
      <c r="M4008" s="205"/>
    </row>
    <row r="4009" spans="2:13" ht="15.75">
      <c r="B4009" s="79"/>
      <c r="D4009"/>
      <c r="E4009" s="188"/>
      <c r="H4009"/>
      <c r="I4009" s="202"/>
      <c r="J4009"/>
      <c r="K4009" s="205"/>
      <c r="L4009" s="205"/>
      <c r="M4009" s="205"/>
    </row>
    <row r="4010" spans="2:13" ht="15.75">
      <c r="B4010" s="79"/>
      <c r="D4010"/>
      <c r="E4010" s="188"/>
      <c r="H4010"/>
      <c r="I4010" s="202"/>
      <c r="J4010"/>
      <c r="K4010" s="205"/>
      <c r="L4010" s="205"/>
      <c r="M4010" s="205"/>
    </row>
    <row r="4011" spans="2:13" ht="15.75">
      <c r="B4011" s="79"/>
      <c r="D4011"/>
      <c r="E4011" s="188"/>
      <c r="H4011"/>
      <c r="I4011" s="202"/>
      <c r="J4011"/>
      <c r="K4011" s="205"/>
      <c r="L4011" s="205"/>
      <c r="M4011" s="205"/>
    </row>
    <row r="4012" spans="2:13" ht="15.75">
      <c r="B4012" s="79"/>
      <c r="D4012"/>
      <c r="E4012" s="188"/>
      <c r="H4012"/>
      <c r="I4012" s="202"/>
      <c r="J4012"/>
      <c r="K4012" s="205"/>
      <c r="L4012" s="205"/>
      <c r="M4012" s="205"/>
    </row>
    <row r="4013" spans="2:13" ht="15.75">
      <c r="B4013" s="79"/>
      <c r="D4013"/>
      <c r="E4013" s="188"/>
      <c r="H4013"/>
      <c r="I4013" s="202"/>
      <c r="J4013"/>
      <c r="K4013" s="205"/>
      <c r="L4013" s="205"/>
      <c r="M4013" s="205"/>
    </row>
    <row r="4014" spans="2:13" ht="15.75">
      <c r="B4014" s="79"/>
      <c r="D4014"/>
      <c r="E4014" s="188"/>
      <c r="H4014"/>
      <c r="I4014" s="202"/>
      <c r="J4014"/>
      <c r="K4014" s="205"/>
      <c r="L4014" s="205"/>
      <c r="M4014" s="205"/>
    </row>
    <row r="4015" spans="2:13" ht="15.75">
      <c r="B4015" s="79"/>
      <c r="D4015"/>
      <c r="E4015" s="188"/>
      <c r="H4015"/>
      <c r="I4015" s="202"/>
      <c r="J4015"/>
      <c r="K4015" s="205"/>
      <c r="L4015" s="205"/>
      <c r="M4015" s="205"/>
    </row>
    <row r="4016" spans="2:13" ht="15.75">
      <c r="B4016" s="79"/>
      <c r="D4016"/>
      <c r="E4016" s="188"/>
      <c r="H4016"/>
      <c r="I4016" s="202"/>
      <c r="J4016"/>
      <c r="K4016" s="205"/>
      <c r="L4016" s="205"/>
      <c r="M4016" s="205"/>
    </row>
    <row r="4017" spans="2:13" ht="15.75">
      <c r="B4017" s="79"/>
      <c r="D4017"/>
      <c r="E4017" s="188"/>
      <c r="H4017"/>
      <c r="I4017" s="202"/>
      <c r="J4017"/>
      <c r="K4017" s="205"/>
      <c r="L4017" s="205"/>
      <c r="M4017" s="205"/>
    </row>
    <row r="4018" spans="2:13" ht="15.75">
      <c r="B4018" s="79"/>
      <c r="D4018"/>
      <c r="E4018" s="188"/>
      <c r="H4018"/>
      <c r="I4018" s="202"/>
      <c r="J4018"/>
      <c r="K4018" s="205"/>
      <c r="L4018" s="205"/>
      <c r="M4018" s="205"/>
    </row>
    <row r="4019" spans="2:13" ht="15.75">
      <c r="B4019" s="79"/>
      <c r="D4019"/>
      <c r="E4019" s="188"/>
      <c r="H4019"/>
      <c r="I4019" s="202"/>
      <c r="J4019"/>
      <c r="K4019" s="205"/>
      <c r="L4019" s="205"/>
      <c r="M4019" s="205"/>
    </row>
    <row r="4020" spans="2:13" ht="15.75">
      <c r="B4020" s="79"/>
      <c r="D4020"/>
      <c r="E4020" s="188"/>
      <c r="H4020"/>
      <c r="I4020" s="202"/>
      <c r="J4020"/>
      <c r="K4020" s="205"/>
      <c r="L4020" s="205"/>
      <c r="M4020" s="205"/>
    </row>
    <row r="4021" spans="2:13" ht="15.75">
      <c r="B4021" s="79"/>
      <c r="D4021"/>
      <c r="E4021" s="188"/>
      <c r="H4021"/>
      <c r="I4021" s="202"/>
      <c r="J4021"/>
      <c r="K4021" s="205"/>
      <c r="L4021" s="205"/>
      <c r="M4021" s="205"/>
    </row>
    <row r="4022" spans="2:13" ht="15.75">
      <c r="B4022" s="79"/>
      <c r="D4022"/>
      <c r="E4022" s="188"/>
      <c r="H4022"/>
      <c r="I4022" s="202"/>
      <c r="J4022"/>
      <c r="K4022" s="205"/>
      <c r="L4022" s="205"/>
      <c r="M4022" s="205"/>
    </row>
    <row r="4023" spans="2:13" ht="15.75">
      <c r="B4023" s="79"/>
      <c r="D4023"/>
      <c r="E4023" s="188"/>
      <c r="H4023"/>
      <c r="I4023" s="202"/>
      <c r="J4023"/>
      <c r="K4023" s="205"/>
      <c r="L4023" s="205"/>
      <c r="M4023" s="205"/>
    </row>
    <row r="4024" spans="2:13" ht="15.75">
      <c r="B4024" s="79"/>
      <c r="D4024"/>
      <c r="E4024" s="188"/>
      <c r="H4024"/>
      <c r="I4024" s="202"/>
      <c r="J4024"/>
      <c r="K4024" s="205"/>
      <c r="L4024" s="205"/>
      <c r="M4024" s="205"/>
    </row>
    <row r="4025" spans="2:13" ht="15.75">
      <c r="B4025" s="79"/>
      <c r="D4025"/>
      <c r="E4025" s="188"/>
      <c r="H4025"/>
      <c r="I4025" s="202"/>
      <c r="J4025"/>
      <c r="K4025" s="205"/>
      <c r="L4025" s="205"/>
      <c r="M4025" s="205"/>
    </row>
    <row r="4026" spans="2:13" ht="15.75">
      <c r="B4026" s="79"/>
      <c r="D4026"/>
      <c r="E4026" s="188"/>
      <c r="H4026"/>
      <c r="I4026" s="202"/>
      <c r="J4026"/>
      <c r="K4026" s="205"/>
      <c r="L4026" s="205"/>
      <c r="M4026" s="205"/>
    </row>
    <row r="4027" spans="2:13" ht="15.75">
      <c r="B4027" s="79"/>
      <c r="D4027"/>
      <c r="E4027" s="188"/>
      <c r="H4027"/>
      <c r="I4027" s="202"/>
      <c r="J4027"/>
      <c r="K4027" s="205"/>
      <c r="L4027" s="205"/>
      <c r="M4027" s="205"/>
    </row>
    <row r="4028" spans="2:13" ht="15.75">
      <c r="B4028" s="79"/>
      <c r="D4028"/>
      <c r="E4028" s="188"/>
      <c r="H4028"/>
      <c r="I4028" s="202"/>
      <c r="J4028"/>
      <c r="K4028" s="205"/>
      <c r="L4028" s="205"/>
      <c r="M4028" s="205"/>
    </row>
    <row r="4029" spans="2:13" ht="15.75">
      <c r="B4029" s="79"/>
      <c r="D4029"/>
      <c r="E4029" s="188"/>
      <c r="H4029"/>
      <c r="I4029" s="202"/>
      <c r="J4029"/>
      <c r="K4029" s="205"/>
      <c r="L4029" s="205"/>
      <c r="M4029" s="205"/>
    </row>
    <row r="4030" spans="2:13" ht="15.75">
      <c r="B4030" s="79"/>
      <c r="D4030"/>
      <c r="E4030" s="188"/>
      <c r="H4030"/>
      <c r="I4030" s="202"/>
      <c r="J4030"/>
      <c r="K4030" s="205"/>
      <c r="L4030" s="205"/>
      <c r="M4030" s="205"/>
    </row>
    <row r="4031" spans="2:13" ht="15.75">
      <c r="B4031" s="79"/>
      <c r="D4031"/>
      <c r="E4031" s="188"/>
      <c r="H4031"/>
      <c r="I4031" s="202"/>
      <c r="J4031"/>
      <c r="K4031" s="205"/>
      <c r="L4031" s="205"/>
      <c r="M4031" s="205"/>
    </row>
    <row r="4032" spans="2:13" ht="15.75">
      <c r="B4032" s="79"/>
      <c r="D4032"/>
      <c r="E4032" s="188"/>
      <c r="H4032"/>
      <c r="I4032" s="202"/>
      <c r="J4032"/>
      <c r="K4032" s="205"/>
      <c r="L4032" s="205"/>
      <c r="M4032" s="205"/>
    </row>
    <row r="4033" spans="2:13" ht="15.75">
      <c r="B4033" s="79"/>
      <c r="D4033"/>
      <c r="E4033" s="188"/>
      <c r="H4033"/>
      <c r="I4033" s="202"/>
      <c r="J4033"/>
      <c r="K4033" s="205"/>
      <c r="L4033" s="205"/>
      <c r="M4033" s="205"/>
    </row>
    <row r="4034" spans="2:13" ht="15.75">
      <c r="B4034" s="79"/>
      <c r="D4034"/>
      <c r="E4034" s="188"/>
      <c r="H4034"/>
      <c r="I4034" s="202"/>
      <c r="J4034"/>
      <c r="K4034" s="205"/>
      <c r="L4034" s="205"/>
      <c r="M4034" s="205"/>
    </row>
    <row r="4035" spans="2:13" ht="15.75">
      <c r="B4035" s="79"/>
      <c r="D4035"/>
      <c r="E4035" s="188"/>
      <c r="H4035"/>
      <c r="I4035" s="202"/>
      <c r="J4035"/>
      <c r="K4035" s="205"/>
      <c r="L4035" s="205"/>
      <c r="M4035" s="205"/>
    </row>
    <row r="4036" spans="2:13" ht="15.75">
      <c r="B4036" s="79"/>
      <c r="D4036"/>
      <c r="E4036" s="188"/>
      <c r="H4036"/>
      <c r="I4036" s="202"/>
      <c r="J4036"/>
      <c r="K4036" s="205"/>
      <c r="L4036" s="205"/>
      <c r="M4036" s="205"/>
    </row>
    <row r="4037" spans="2:13" ht="15.75">
      <c r="B4037" s="79"/>
      <c r="D4037"/>
      <c r="E4037" s="188"/>
      <c r="H4037"/>
      <c r="I4037" s="202"/>
      <c r="J4037"/>
      <c r="K4037" s="205"/>
      <c r="L4037" s="205"/>
      <c r="M4037" s="205"/>
    </row>
    <row r="4038" spans="2:13" ht="15.75">
      <c r="B4038" s="79"/>
      <c r="D4038"/>
      <c r="E4038" s="188"/>
      <c r="H4038"/>
      <c r="I4038" s="202"/>
      <c r="J4038"/>
      <c r="K4038" s="205"/>
      <c r="L4038" s="205"/>
      <c r="M4038" s="205"/>
    </row>
    <row r="4039" spans="2:13" ht="15.75">
      <c r="B4039" s="79"/>
      <c r="D4039"/>
      <c r="E4039" s="188"/>
      <c r="H4039"/>
      <c r="I4039" s="202"/>
      <c r="J4039"/>
      <c r="K4039" s="205"/>
      <c r="L4039" s="205"/>
      <c r="M4039" s="205"/>
    </row>
    <row r="4040" spans="2:13" ht="15.75">
      <c r="B4040" s="79"/>
      <c r="D4040"/>
      <c r="E4040" s="188"/>
      <c r="H4040"/>
      <c r="I4040" s="202"/>
      <c r="J4040"/>
      <c r="K4040" s="205"/>
      <c r="L4040" s="205"/>
      <c r="M4040" s="205"/>
    </row>
    <row r="4041" spans="2:13" ht="15.75">
      <c r="B4041" s="79"/>
      <c r="D4041"/>
      <c r="E4041" s="188"/>
      <c r="H4041"/>
      <c r="I4041" s="202"/>
      <c r="J4041"/>
      <c r="K4041" s="205"/>
      <c r="L4041" s="205"/>
      <c r="M4041" s="205"/>
    </row>
    <row r="4042" spans="2:13" ht="15.75">
      <c r="B4042" s="79"/>
      <c r="D4042"/>
      <c r="E4042" s="188"/>
      <c r="H4042"/>
      <c r="I4042" s="202"/>
      <c r="J4042"/>
      <c r="K4042" s="205"/>
      <c r="L4042" s="205"/>
      <c r="M4042" s="205"/>
    </row>
    <row r="4043" spans="2:13" ht="15.75">
      <c r="B4043" s="79"/>
      <c r="D4043"/>
      <c r="E4043" s="188"/>
      <c r="H4043"/>
      <c r="I4043" s="202"/>
      <c r="J4043"/>
      <c r="K4043" s="205"/>
      <c r="L4043" s="205"/>
      <c r="M4043" s="205"/>
    </row>
    <row r="4044" spans="2:13" ht="15.75">
      <c r="B4044" s="79"/>
      <c r="D4044"/>
      <c r="E4044" s="188"/>
      <c r="H4044"/>
      <c r="I4044" s="202"/>
      <c r="J4044"/>
      <c r="K4044" s="205"/>
      <c r="L4044" s="205"/>
      <c r="M4044" s="205"/>
    </row>
    <row r="4045" spans="2:13" ht="15.75">
      <c r="B4045" s="79"/>
      <c r="D4045"/>
      <c r="E4045" s="188"/>
      <c r="H4045"/>
      <c r="I4045" s="202"/>
      <c r="J4045"/>
      <c r="K4045" s="205"/>
      <c r="L4045" s="205"/>
      <c r="M4045" s="205"/>
    </row>
    <row r="4046" spans="2:13" ht="15.75">
      <c r="B4046" s="79"/>
      <c r="D4046"/>
      <c r="E4046" s="188"/>
      <c r="H4046"/>
      <c r="I4046" s="202"/>
      <c r="J4046"/>
      <c r="K4046" s="205"/>
      <c r="L4046" s="205"/>
      <c r="M4046" s="205"/>
    </row>
    <row r="4047" spans="2:13" ht="15.75">
      <c r="B4047" s="79"/>
      <c r="D4047"/>
      <c r="E4047" s="188"/>
      <c r="H4047"/>
      <c r="I4047" s="202"/>
      <c r="J4047"/>
      <c r="K4047" s="205"/>
      <c r="L4047" s="205"/>
      <c r="M4047" s="205"/>
    </row>
    <row r="4048" spans="2:13" ht="15.75">
      <c r="B4048" s="79"/>
      <c r="D4048"/>
      <c r="E4048" s="188"/>
      <c r="H4048"/>
      <c r="I4048" s="202"/>
      <c r="J4048"/>
      <c r="K4048" s="205"/>
      <c r="L4048" s="205"/>
      <c r="M4048" s="205"/>
    </row>
    <row r="4049" spans="2:13" ht="15.75">
      <c r="B4049" s="79"/>
      <c r="D4049"/>
      <c r="E4049" s="188"/>
      <c r="H4049"/>
      <c r="I4049" s="202"/>
      <c r="J4049"/>
      <c r="K4049" s="205"/>
      <c r="L4049" s="205"/>
      <c r="M4049" s="205"/>
    </row>
    <row r="4050" spans="2:13" ht="15.75">
      <c r="B4050" s="79"/>
      <c r="D4050"/>
      <c r="E4050" s="188"/>
      <c r="H4050"/>
      <c r="I4050" s="202"/>
      <c r="J4050"/>
      <c r="K4050" s="205"/>
      <c r="L4050" s="205"/>
      <c r="M4050" s="205"/>
    </row>
    <row r="4051" spans="2:13" ht="15.75">
      <c r="B4051" s="79"/>
      <c r="D4051"/>
      <c r="E4051" s="188"/>
      <c r="H4051"/>
      <c r="I4051" s="202"/>
      <c r="J4051"/>
      <c r="K4051" s="205"/>
      <c r="L4051" s="205"/>
      <c r="M4051" s="205"/>
    </row>
    <row r="4052" spans="2:13" ht="15.75">
      <c r="B4052" s="79"/>
      <c r="D4052"/>
      <c r="E4052" s="188"/>
      <c r="H4052"/>
      <c r="I4052" s="202"/>
      <c r="J4052"/>
      <c r="K4052" s="205"/>
      <c r="L4052" s="205"/>
      <c r="M4052" s="205"/>
    </row>
    <row r="4053" spans="2:13" ht="15.75">
      <c r="B4053" s="79"/>
      <c r="D4053"/>
      <c r="E4053" s="188"/>
      <c r="H4053"/>
      <c r="I4053" s="202"/>
      <c r="J4053"/>
      <c r="K4053" s="205"/>
      <c r="L4053" s="205"/>
      <c r="M4053" s="205"/>
    </row>
    <row r="4054" spans="2:13" ht="15.75">
      <c r="B4054" s="79"/>
      <c r="D4054"/>
      <c r="E4054" s="188"/>
      <c r="H4054"/>
      <c r="I4054" s="202"/>
      <c r="J4054"/>
      <c r="K4054" s="205"/>
      <c r="L4054" s="205"/>
      <c r="M4054" s="205"/>
    </row>
    <row r="4055" spans="2:13" ht="15.75">
      <c r="B4055" s="79"/>
      <c r="D4055"/>
      <c r="E4055" s="188"/>
      <c r="H4055"/>
      <c r="I4055" s="202"/>
      <c r="J4055"/>
      <c r="K4055" s="205"/>
      <c r="L4055" s="205"/>
      <c r="M4055" s="205"/>
    </row>
    <row r="4056" spans="2:13" ht="15.75">
      <c r="B4056" s="79"/>
      <c r="D4056"/>
      <c r="E4056" s="188"/>
      <c r="H4056"/>
      <c r="I4056" s="202"/>
      <c r="J4056"/>
      <c r="K4056" s="205"/>
      <c r="L4056" s="205"/>
      <c r="M4056" s="205"/>
    </row>
    <row r="4057" spans="2:13" ht="15.75">
      <c r="B4057" s="79"/>
      <c r="D4057"/>
      <c r="E4057" s="188"/>
      <c r="H4057"/>
      <c r="I4057" s="202"/>
      <c r="J4057"/>
      <c r="K4057" s="205"/>
      <c r="L4057" s="205"/>
      <c r="M4057" s="205"/>
    </row>
    <row r="4058" spans="2:13" ht="15.75">
      <c r="B4058" s="79"/>
      <c r="D4058"/>
      <c r="E4058" s="188"/>
      <c r="H4058"/>
      <c r="I4058" s="202"/>
      <c r="J4058"/>
      <c r="K4058" s="205"/>
      <c r="L4058" s="205"/>
      <c r="M4058" s="205"/>
    </row>
    <row r="4059" spans="2:13" ht="15.75">
      <c r="B4059" s="79"/>
      <c r="D4059"/>
      <c r="E4059" s="188"/>
      <c r="H4059"/>
      <c r="I4059" s="202"/>
      <c r="J4059"/>
      <c r="K4059" s="205"/>
      <c r="L4059" s="205"/>
      <c r="M4059" s="205"/>
    </row>
    <row r="4060" spans="2:13" ht="15.75">
      <c r="B4060" s="79"/>
      <c r="D4060"/>
      <c r="E4060" s="188"/>
      <c r="H4060"/>
      <c r="I4060" s="202"/>
      <c r="J4060"/>
      <c r="K4060" s="205"/>
      <c r="L4060" s="205"/>
      <c r="M4060" s="205"/>
    </row>
    <row r="4061" spans="2:13" ht="15.75">
      <c r="B4061" s="79"/>
      <c r="D4061"/>
      <c r="E4061" s="188"/>
      <c r="H4061"/>
      <c r="I4061" s="202"/>
      <c r="J4061"/>
      <c r="K4061" s="205"/>
      <c r="L4061" s="205"/>
      <c r="M4061" s="205"/>
    </row>
    <row r="4062" spans="2:13" ht="15.75">
      <c r="B4062" s="79"/>
      <c r="D4062"/>
      <c r="E4062" s="188"/>
      <c r="H4062"/>
      <c r="I4062" s="202"/>
      <c r="J4062"/>
      <c r="K4062" s="205"/>
      <c r="L4062" s="205"/>
      <c r="M4062" s="205"/>
    </row>
    <row r="4063" spans="2:13" ht="15.75">
      <c r="B4063" s="79"/>
      <c r="D4063"/>
      <c r="E4063" s="188"/>
      <c r="H4063"/>
      <c r="I4063" s="202"/>
      <c r="J4063"/>
      <c r="K4063" s="205"/>
      <c r="L4063" s="205"/>
      <c r="M4063" s="205"/>
    </row>
    <row r="4064" spans="2:13" ht="15.75">
      <c r="B4064" s="79"/>
      <c r="D4064"/>
      <c r="E4064" s="188"/>
      <c r="H4064"/>
      <c r="I4064" s="202"/>
      <c r="J4064"/>
      <c r="K4064" s="205"/>
      <c r="L4064" s="205"/>
      <c r="M4064" s="205"/>
    </row>
    <row r="4065" spans="2:13" ht="15.75">
      <c r="B4065" s="79"/>
      <c r="D4065"/>
      <c r="E4065" s="188"/>
      <c r="H4065"/>
      <c r="I4065" s="202"/>
      <c r="J4065"/>
      <c r="K4065" s="205"/>
      <c r="L4065" s="205"/>
      <c r="M4065" s="205"/>
    </row>
    <row r="4066" spans="2:13" ht="15.75">
      <c r="B4066" s="79"/>
      <c r="D4066"/>
      <c r="E4066" s="188"/>
      <c r="H4066"/>
      <c r="I4066" s="202"/>
      <c r="J4066"/>
      <c r="K4066" s="205"/>
      <c r="L4066" s="205"/>
      <c r="M4066" s="205"/>
    </row>
    <row r="4067" spans="2:13" ht="15.75">
      <c r="B4067" s="79"/>
      <c r="D4067"/>
      <c r="E4067" s="188"/>
      <c r="H4067"/>
      <c r="I4067" s="202"/>
      <c r="J4067"/>
      <c r="K4067" s="205"/>
      <c r="L4067" s="205"/>
      <c r="M4067" s="205"/>
    </row>
    <row r="4068" spans="2:13" ht="15.75">
      <c r="B4068" s="79"/>
      <c r="D4068"/>
      <c r="E4068" s="188"/>
      <c r="H4068"/>
      <c r="I4068" s="202"/>
      <c r="J4068"/>
      <c r="K4068" s="205"/>
      <c r="L4068" s="205"/>
      <c r="M4068" s="205"/>
    </row>
    <row r="4069" spans="2:13" ht="15.75">
      <c r="B4069" s="79"/>
      <c r="D4069"/>
      <c r="E4069" s="188"/>
      <c r="H4069"/>
      <c r="I4069" s="202"/>
      <c r="J4069"/>
      <c r="K4069" s="205"/>
      <c r="L4069" s="205"/>
      <c r="M4069" s="205"/>
    </row>
    <row r="4070" spans="2:13" ht="15.75">
      <c r="B4070" s="79"/>
      <c r="D4070"/>
      <c r="E4070" s="188"/>
      <c r="H4070"/>
      <c r="I4070" s="202"/>
      <c r="J4070"/>
      <c r="K4070" s="205"/>
      <c r="L4070" s="205"/>
      <c r="M4070" s="205"/>
    </row>
    <row r="4071" spans="2:13" ht="15.75">
      <c r="B4071" s="79"/>
      <c r="D4071"/>
      <c r="E4071" s="188"/>
      <c r="H4071"/>
      <c r="I4071" s="202"/>
      <c r="J4071"/>
      <c r="K4071" s="205"/>
      <c r="L4071" s="205"/>
      <c r="M4071" s="205"/>
    </row>
    <row r="4072" spans="2:13" ht="15.75">
      <c r="B4072" s="79"/>
      <c r="D4072"/>
      <c r="E4072" s="188"/>
      <c r="H4072"/>
      <c r="I4072" s="202"/>
      <c r="J4072"/>
      <c r="K4072" s="205"/>
      <c r="L4072" s="205"/>
      <c r="M4072" s="205"/>
    </row>
    <row r="4073" spans="2:13" ht="15.75">
      <c r="B4073" s="79"/>
      <c r="D4073"/>
      <c r="E4073" s="188"/>
      <c r="H4073"/>
      <c r="I4073" s="202"/>
      <c r="J4073"/>
      <c r="K4073" s="205"/>
      <c r="L4073" s="205"/>
      <c r="M4073" s="205"/>
    </row>
    <row r="4074" spans="2:13" ht="15.75">
      <c r="B4074" s="79"/>
      <c r="D4074"/>
      <c r="E4074" s="188"/>
      <c r="H4074"/>
      <c r="I4074" s="202"/>
      <c r="J4074"/>
      <c r="K4074" s="205"/>
      <c r="L4074" s="205"/>
      <c r="M4074" s="205"/>
    </row>
    <row r="4075" spans="2:13" ht="15.75">
      <c r="B4075" s="79"/>
      <c r="D4075"/>
      <c r="E4075" s="188"/>
      <c r="H4075"/>
      <c r="I4075" s="202"/>
      <c r="J4075"/>
      <c r="K4075" s="205"/>
      <c r="L4075" s="205"/>
      <c r="M4075" s="205"/>
    </row>
    <row r="4076" spans="2:13" ht="15.75">
      <c r="B4076" s="79"/>
      <c r="D4076"/>
      <c r="E4076" s="188"/>
      <c r="H4076"/>
      <c r="I4076" s="202"/>
      <c r="J4076"/>
      <c r="K4076" s="205"/>
      <c r="L4076" s="205"/>
      <c r="M4076" s="205"/>
    </row>
    <row r="4077" spans="2:13" ht="15.75">
      <c r="B4077" s="79"/>
      <c r="D4077"/>
      <c r="E4077" s="188"/>
      <c r="H4077"/>
      <c r="I4077" s="202"/>
      <c r="J4077"/>
      <c r="K4077" s="205"/>
      <c r="L4077" s="205"/>
      <c r="M4077" s="205"/>
    </row>
    <row r="4078" spans="2:13" ht="15.75">
      <c r="B4078" s="79"/>
      <c r="D4078"/>
      <c r="E4078" s="188"/>
      <c r="H4078"/>
      <c r="I4078" s="202"/>
      <c r="J4078"/>
      <c r="K4078" s="205"/>
      <c r="L4078" s="205"/>
      <c r="M4078" s="205"/>
    </row>
    <row r="4079" spans="2:13" ht="15.75">
      <c r="B4079" s="79"/>
      <c r="D4079"/>
      <c r="E4079" s="188"/>
      <c r="H4079"/>
      <c r="I4079" s="202"/>
      <c r="J4079"/>
      <c r="K4079" s="205"/>
      <c r="L4079" s="205"/>
      <c r="M4079" s="205"/>
    </row>
    <row r="4080" spans="2:13" ht="15.75">
      <c r="B4080" s="79"/>
      <c r="D4080"/>
      <c r="E4080" s="188"/>
      <c r="H4080"/>
      <c r="I4080" s="202"/>
      <c r="J4080"/>
      <c r="K4080" s="205"/>
      <c r="L4080" s="205"/>
      <c r="M4080" s="205"/>
    </row>
    <row r="4081" spans="2:13" ht="15.75">
      <c r="B4081" s="79"/>
      <c r="D4081"/>
      <c r="E4081" s="188"/>
      <c r="H4081"/>
      <c r="I4081" s="202"/>
      <c r="J4081"/>
      <c r="K4081" s="205"/>
      <c r="L4081" s="205"/>
      <c r="M4081" s="205"/>
    </row>
    <row r="4082" spans="2:13" ht="15.75">
      <c r="B4082" s="79"/>
      <c r="D4082"/>
      <c r="E4082" s="188"/>
      <c r="H4082"/>
      <c r="I4082" s="202"/>
      <c r="J4082"/>
      <c r="K4082" s="205"/>
      <c r="L4082" s="205"/>
      <c r="M4082" s="205"/>
    </row>
    <row r="4083" spans="2:13" ht="15.75">
      <c r="B4083" s="79"/>
      <c r="D4083"/>
      <c r="E4083" s="188"/>
      <c r="H4083"/>
      <c r="I4083" s="202"/>
      <c r="J4083"/>
      <c r="K4083" s="205"/>
      <c r="L4083" s="205"/>
      <c r="M4083" s="205"/>
    </row>
    <row r="4084" spans="2:13" ht="15.75">
      <c r="B4084" s="79"/>
      <c r="D4084"/>
      <c r="E4084" s="188"/>
      <c r="H4084"/>
      <c r="I4084" s="202"/>
      <c r="J4084"/>
      <c r="K4084" s="205"/>
      <c r="L4084" s="205"/>
      <c r="M4084" s="205"/>
    </row>
    <row r="4085" spans="2:13" ht="15.75">
      <c r="B4085" s="79"/>
      <c r="D4085"/>
      <c r="E4085" s="188"/>
      <c r="H4085"/>
      <c r="I4085" s="202"/>
      <c r="J4085"/>
      <c r="K4085" s="205"/>
      <c r="L4085" s="205"/>
      <c r="M4085" s="205"/>
    </row>
    <row r="4086" spans="2:13" ht="15.75">
      <c r="B4086" s="79"/>
      <c r="D4086"/>
      <c r="E4086" s="188"/>
      <c r="H4086"/>
      <c r="I4086" s="202"/>
      <c r="J4086"/>
      <c r="K4086" s="205"/>
      <c r="L4086" s="205"/>
      <c r="M4086" s="205"/>
    </row>
    <row r="4087" spans="2:13" ht="15.75">
      <c r="B4087" s="79"/>
      <c r="D4087"/>
      <c r="E4087" s="188"/>
      <c r="H4087"/>
      <c r="I4087" s="202"/>
      <c r="J4087"/>
      <c r="K4087" s="205"/>
      <c r="L4087" s="205"/>
      <c r="M4087" s="205"/>
    </row>
    <row r="4088" spans="2:13" ht="15.75">
      <c r="B4088" s="79"/>
      <c r="D4088"/>
      <c r="E4088" s="188"/>
      <c r="H4088"/>
      <c r="I4088" s="202"/>
      <c r="J4088"/>
      <c r="K4088" s="205"/>
      <c r="L4088" s="205"/>
      <c r="M4088" s="205"/>
    </row>
    <row r="4089" spans="2:13" ht="15.75">
      <c r="B4089" s="79"/>
      <c r="D4089"/>
      <c r="E4089" s="188"/>
      <c r="H4089"/>
      <c r="I4089" s="202"/>
      <c r="J4089"/>
      <c r="K4089" s="205"/>
      <c r="L4089" s="205"/>
      <c r="M4089" s="205"/>
    </row>
    <row r="4090" spans="2:13" ht="15.75">
      <c r="B4090" s="79"/>
      <c r="D4090"/>
      <c r="E4090" s="188"/>
      <c r="H4090"/>
      <c r="I4090" s="202"/>
      <c r="J4090"/>
      <c r="K4090" s="205"/>
      <c r="L4090" s="205"/>
      <c r="M4090" s="205"/>
    </row>
    <row r="4091" spans="2:13" ht="15.75">
      <c r="B4091" s="79"/>
      <c r="D4091"/>
      <c r="E4091" s="188"/>
      <c r="H4091"/>
      <c r="I4091" s="202"/>
      <c r="J4091"/>
      <c r="K4091" s="205"/>
      <c r="L4091" s="205"/>
      <c r="M4091" s="205"/>
    </row>
    <row r="4092" spans="2:13" ht="15.75">
      <c r="B4092" s="79"/>
      <c r="D4092"/>
      <c r="E4092" s="188"/>
      <c r="H4092"/>
      <c r="I4092" s="202"/>
      <c r="J4092"/>
      <c r="K4092" s="205"/>
      <c r="L4092" s="205"/>
      <c r="M4092" s="205"/>
    </row>
    <row r="4093" spans="2:13" ht="15.75">
      <c r="B4093" s="79"/>
      <c r="D4093"/>
      <c r="E4093" s="188"/>
      <c r="H4093"/>
      <c r="I4093" s="202"/>
      <c r="J4093"/>
      <c r="K4093" s="205"/>
      <c r="L4093" s="205"/>
      <c r="M4093" s="205"/>
    </row>
    <row r="4094" spans="2:13" ht="15.75">
      <c r="B4094" s="79"/>
      <c r="D4094"/>
      <c r="E4094" s="188"/>
      <c r="H4094"/>
      <c r="I4094" s="202"/>
      <c r="J4094"/>
      <c r="K4094" s="205"/>
      <c r="L4094" s="205"/>
      <c r="M4094" s="205"/>
    </row>
    <row r="4095" spans="2:13" ht="15.75">
      <c r="B4095" s="79"/>
      <c r="D4095"/>
      <c r="E4095" s="188"/>
      <c r="H4095"/>
      <c r="I4095" s="202"/>
      <c r="J4095"/>
      <c r="K4095" s="205"/>
      <c r="L4095" s="205"/>
      <c r="M4095" s="205"/>
    </row>
    <row r="4096" spans="2:13" ht="15.75">
      <c r="B4096" s="79"/>
      <c r="D4096"/>
      <c r="E4096" s="188"/>
      <c r="H4096"/>
      <c r="I4096" s="202"/>
      <c r="J4096"/>
      <c r="K4096" s="205"/>
      <c r="L4096" s="205"/>
      <c r="M4096" s="205"/>
    </row>
    <row r="4097" spans="2:13" ht="15.75">
      <c r="B4097" s="79"/>
      <c r="D4097"/>
      <c r="E4097" s="188"/>
      <c r="H4097"/>
      <c r="I4097" s="202"/>
      <c r="J4097"/>
      <c r="K4097" s="205"/>
      <c r="L4097" s="205"/>
      <c r="M4097" s="205"/>
    </row>
    <row r="4098" spans="2:13" ht="15.75">
      <c r="B4098" s="79"/>
      <c r="D4098"/>
      <c r="E4098" s="188"/>
      <c r="H4098"/>
      <c r="I4098" s="202"/>
      <c r="J4098"/>
      <c r="K4098" s="205"/>
      <c r="L4098" s="205"/>
      <c r="M4098" s="205"/>
    </row>
    <row r="4099" spans="2:13" ht="15.75">
      <c r="B4099" s="79"/>
      <c r="D4099"/>
      <c r="E4099" s="188"/>
      <c r="H4099"/>
      <c r="I4099" s="202"/>
      <c r="J4099"/>
      <c r="K4099" s="205"/>
      <c r="L4099" s="205"/>
      <c r="M4099" s="205"/>
    </row>
    <row r="4100" spans="2:13" ht="15.75">
      <c r="B4100" s="79"/>
      <c r="D4100"/>
      <c r="E4100" s="188"/>
      <c r="H4100"/>
      <c r="I4100" s="202"/>
      <c r="J4100"/>
      <c r="K4100" s="205"/>
      <c r="L4100" s="205"/>
      <c r="M4100" s="205"/>
    </row>
    <row r="4101" spans="2:13" ht="15.75">
      <c r="B4101" s="79"/>
      <c r="D4101"/>
      <c r="E4101" s="188"/>
      <c r="H4101"/>
      <c r="I4101" s="202"/>
      <c r="J4101"/>
      <c r="K4101" s="205"/>
      <c r="L4101" s="205"/>
      <c r="M4101" s="205"/>
    </row>
    <row r="4102" spans="2:13" ht="15.75">
      <c r="B4102" s="79"/>
      <c r="D4102"/>
      <c r="E4102" s="188"/>
      <c r="H4102"/>
      <c r="I4102" s="202"/>
      <c r="J4102"/>
      <c r="K4102" s="205"/>
      <c r="L4102" s="205"/>
      <c r="M4102" s="205"/>
    </row>
    <row r="4103" spans="2:13" ht="15.75">
      <c r="B4103" s="79"/>
      <c r="D4103"/>
      <c r="E4103" s="188"/>
      <c r="H4103"/>
      <c r="I4103" s="202"/>
      <c r="J4103"/>
      <c r="K4103" s="205"/>
      <c r="L4103" s="205"/>
      <c r="M4103" s="205"/>
    </row>
    <row r="4104" spans="2:13" ht="15.75">
      <c r="B4104" s="79"/>
      <c r="D4104"/>
      <c r="E4104" s="188"/>
      <c r="H4104"/>
      <c r="I4104" s="202"/>
      <c r="J4104"/>
      <c r="K4104" s="205"/>
      <c r="L4104" s="205"/>
      <c r="M4104" s="205"/>
    </row>
    <row r="4105" spans="2:13" ht="15.75">
      <c r="B4105" s="79"/>
      <c r="D4105"/>
      <c r="E4105" s="188"/>
      <c r="H4105"/>
      <c r="I4105" s="202"/>
      <c r="J4105"/>
      <c r="K4105" s="205"/>
      <c r="L4105" s="205"/>
      <c r="M4105" s="205"/>
    </row>
    <row r="4106" spans="2:13" ht="15.75">
      <c r="B4106" s="79"/>
      <c r="D4106"/>
      <c r="E4106" s="188"/>
      <c r="H4106"/>
      <c r="I4106" s="202"/>
      <c r="J4106"/>
      <c r="K4106" s="205"/>
      <c r="L4106" s="205"/>
      <c r="M4106" s="205"/>
    </row>
    <row r="4107" spans="2:13" ht="15.75">
      <c r="B4107" s="79"/>
      <c r="D4107"/>
      <c r="E4107" s="188"/>
      <c r="H4107"/>
      <c r="I4107" s="202"/>
      <c r="J4107"/>
      <c r="K4107" s="205"/>
      <c r="L4107" s="205"/>
      <c r="M4107" s="205"/>
    </row>
    <row r="4108" spans="2:13" ht="15.75">
      <c r="B4108" s="79"/>
      <c r="D4108"/>
      <c r="E4108" s="188"/>
      <c r="H4108"/>
      <c r="I4108" s="202"/>
      <c r="J4108"/>
      <c r="K4108" s="205"/>
      <c r="L4108" s="205"/>
      <c r="M4108" s="205"/>
    </row>
    <row r="4109" spans="2:13" ht="15.75">
      <c r="B4109" s="79"/>
      <c r="D4109"/>
      <c r="E4109" s="188"/>
      <c r="H4109"/>
      <c r="I4109" s="202"/>
      <c r="J4109"/>
      <c r="K4109" s="205"/>
      <c r="L4109" s="205"/>
      <c r="M4109" s="205"/>
    </row>
    <row r="4110" spans="2:13" ht="15.75">
      <c r="B4110" s="79"/>
      <c r="D4110"/>
      <c r="E4110" s="188"/>
      <c r="H4110"/>
      <c r="I4110" s="202"/>
      <c r="J4110"/>
      <c r="K4110" s="205"/>
      <c r="L4110" s="205"/>
      <c r="M4110" s="205"/>
    </row>
    <row r="4111" spans="2:13" ht="15.75">
      <c r="B4111" s="79"/>
      <c r="D4111"/>
      <c r="E4111" s="188"/>
      <c r="H4111"/>
      <c r="I4111" s="202"/>
      <c r="J4111"/>
      <c r="K4111" s="205"/>
      <c r="L4111" s="205"/>
      <c r="M4111" s="205"/>
    </row>
    <row r="4112" spans="2:13" ht="15.75">
      <c r="B4112" s="79"/>
      <c r="D4112"/>
      <c r="E4112" s="188"/>
      <c r="H4112"/>
      <c r="I4112" s="202"/>
      <c r="J4112"/>
      <c r="K4112" s="205"/>
      <c r="L4112" s="205"/>
      <c r="M4112" s="205"/>
    </row>
    <row r="4113" spans="2:13" ht="15.75">
      <c r="B4113" s="79"/>
      <c r="D4113"/>
      <c r="E4113" s="188"/>
      <c r="H4113"/>
      <c r="I4113" s="202"/>
      <c r="J4113"/>
      <c r="K4113" s="205"/>
      <c r="L4113" s="205"/>
      <c r="M4113" s="205"/>
    </row>
    <row r="4114" spans="2:13" ht="15.75">
      <c r="B4114" s="79"/>
      <c r="D4114"/>
      <c r="E4114" s="188"/>
      <c r="H4114"/>
      <c r="I4114" s="202"/>
      <c r="J4114"/>
      <c r="K4114" s="205"/>
      <c r="L4114" s="205"/>
      <c r="M4114" s="205"/>
    </row>
    <row r="4115" spans="2:13" ht="15.75">
      <c r="B4115" s="79"/>
      <c r="D4115"/>
      <c r="E4115" s="188"/>
      <c r="H4115"/>
      <c r="I4115" s="202"/>
      <c r="J4115"/>
      <c r="K4115" s="205"/>
      <c r="L4115" s="205"/>
      <c r="M4115" s="205"/>
    </row>
    <row r="4116" spans="2:13" ht="15.75">
      <c r="B4116" s="79"/>
      <c r="D4116"/>
      <c r="E4116" s="188"/>
      <c r="H4116"/>
      <c r="I4116" s="202"/>
      <c r="J4116"/>
      <c r="K4116" s="205"/>
      <c r="L4116" s="205"/>
      <c r="M4116" s="205"/>
    </row>
    <row r="4117" spans="2:13" ht="15.75">
      <c r="B4117" s="79"/>
      <c r="D4117"/>
      <c r="E4117" s="188"/>
      <c r="H4117"/>
      <c r="I4117" s="202"/>
      <c r="J4117"/>
      <c r="K4117" s="205"/>
      <c r="L4117" s="205"/>
      <c r="M4117" s="205"/>
    </row>
    <row r="4118" spans="2:13" ht="15.75">
      <c r="B4118" s="79"/>
      <c r="D4118"/>
      <c r="E4118" s="188"/>
      <c r="H4118"/>
      <c r="I4118" s="202"/>
      <c r="J4118"/>
      <c r="K4118" s="205"/>
      <c r="L4118" s="205"/>
      <c r="M4118" s="205"/>
    </row>
    <row r="4119" spans="2:13" ht="15.75">
      <c r="B4119" s="79"/>
      <c r="D4119"/>
      <c r="E4119" s="188"/>
      <c r="H4119"/>
      <c r="I4119" s="202"/>
      <c r="J4119"/>
      <c r="K4119" s="205"/>
      <c r="L4119" s="205"/>
      <c r="M4119" s="205"/>
    </row>
    <row r="4120" spans="2:13" ht="15.75">
      <c r="B4120" s="79"/>
      <c r="D4120"/>
      <c r="E4120" s="188"/>
      <c r="H4120"/>
      <c r="I4120" s="202"/>
      <c r="J4120"/>
      <c r="K4120" s="205"/>
      <c r="L4120" s="205"/>
      <c r="M4120" s="205"/>
    </row>
    <row r="4121" spans="2:13" ht="15.75">
      <c r="B4121" s="79"/>
      <c r="D4121"/>
      <c r="E4121" s="188"/>
      <c r="H4121"/>
      <c r="I4121" s="202"/>
      <c r="J4121"/>
      <c r="K4121" s="205"/>
      <c r="L4121" s="205"/>
      <c r="M4121" s="205"/>
    </row>
    <row r="4122" spans="2:13" ht="15.75">
      <c r="B4122" s="79"/>
      <c r="D4122"/>
      <c r="E4122" s="188"/>
      <c r="H4122"/>
      <c r="I4122" s="202"/>
      <c r="J4122"/>
      <c r="K4122" s="205"/>
      <c r="L4122" s="205"/>
      <c r="M4122" s="205"/>
    </row>
    <row r="4123" spans="2:13" ht="15.75">
      <c r="B4123" s="79"/>
      <c r="D4123"/>
      <c r="E4123" s="188"/>
      <c r="H4123"/>
      <c r="I4123" s="202"/>
      <c r="J4123"/>
      <c r="K4123" s="205"/>
      <c r="L4123" s="205"/>
      <c r="M4123" s="205"/>
    </row>
    <row r="4124" spans="2:13" ht="15.75">
      <c r="B4124" s="79"/>
      <c r="D4124"/>
      <c r="E4124" s="188"/>
      <c r="H4124"/>
      <c r="I4124" s="202"/>
      <c r="J4124"/>
      <c r="K4124" s="205"/>
      <c r="L4124" s="205"/>
      <c r="M4124" s="205"/>
    </row>
    <row r="4125" spans="2:13" ht="15.75">
      <c r="B4125" s="79"/>
      <c r="D4125"/>
      <c r="E4125" s="188"/>
      <c r="H4125"/>
      <c r="I4125" s="202"/>
      <c r="J4125"/>
      <c r="K4125" s="205"/>
      <c r="L4125" s="205"/>
      <c r="M4125" s="205"/>
    </row>
    <row r="4126" spans="2:13" ht="15.75">
      <c r="B4126" s="79"/>
      <c r="D4126"/>
      <c r="E4126" s="188"/>
      <c r="H4126"/>
      <c r="I4126" s="202"/>
      <c r="J4126"/>
      <c r="K4126" s="205"/>
      <c r="L4126" s="205"/>
      <c r="M4126" s="205"/>
    </row>
    <row r="4127" spans="2:13" ht="15.75">
      <c r="B4127" s="79"/>
      <c r="D4127"/>
      <c r="E4127" s="188"/>
      <c r="H4127"/>
      <c r="I4127" s="202"/>
      <c r="J4127"/>
      <c r="K4127" s="205"/>
      <c r="L4127" s="205"/>
      <c r="M4127" s="205"/>
    </row>
    <row r="4128" spans="2:13" ht="15.75">
      <c r="B4128" s="79"/>
      <c r="D4128"/>
      <c r="E4128" s="188"/>
      <c r="H4128"/>
      <c r="I4128" s="202"/>
      <c r="J4128"/>
      <c r="K4128" s="205"/>
      <c r="L4128" s="205"/>
      <c r="M4128" s="205"/>
    </row>
    <row r="4129" spans="2:13" ht="15.75">
      <c r="B4129" s="79"/>
      <c r="D4129"/>
      <c r="E4129" s="188"/>
      <c r="H4129"/>
      <c r="I4129" s="202"/>
      <c r="J4129"/>
      <c r="K4129" s="205"/>
      <c r="L4129" s="205"/>
      <c r="M4129" s="205"/>
    </row>
    <row r="4130" spans="2:13" ht="15.75">
      <c r="B4130" s="79"/>
      <c r="D4130"/>
      <c r="E4130" s="188"/>
      <c r="H4130"/>
      <c r="I4130" s="202"/>
      <c r="J4130"/>
      <c r="K4130" s="205"/>
      <c r="L4130" s="205"/>
      <c r="M4130" s="205"/>
    </row>
    <row r="4131" spans="2:13" ht="15.75">
      <c r="B4131" s="79"/>
      <c r="D4131"/>
      <c r="E4131" s="188"/>
      <c r="H4131"/>
      <c r="I4131" s="202"/>
      <c r="J4131"/>
      <c r="K4131" s="205"/>
      <c r="L4131" s="205"/>
      <c r="M4131" s="205"/>
    </row>
    <row r="4132" spans="2:13" ht="15.75">
      <c r="B4132" s="79"/>
      <c r="D4132"/>
      <c r="E4132" s="188"/>
      <c r="H4132"/>
      <c r="I4132" s="202"/>
      <c r="J4132"/>
      <c r="K4132" s="205"/>
      <c r="L4132" s="205"/>
      <c r="M4132" s="205"/>
    </row>
    <row r="4133" spans="2:13" ht="15.75">
      <c r="B4133" s="79"/>
      <c r="D4133"/>
      <c r="E4133" s="188"/>
      <c r="H4133"/>
      <c r="I4133" s="202"/>
      <c r="J4133"/>
      <c r="K4133" s="205"/>
      <c r="L4133" s="205"/>
      <c r="M4133" s="205"/>
    </row>
    <row r="4134" spans="2:13" ht="15.75">
      <c r="B4134" s="79"/>
      <c r="D4134"/>
      <c r="E4134" s="188"/>
      <c r="H4134"/>
      <c r="I4134" s="202"/>
      <c r="J4134"/>
      <c r="K4134" s="205"/>
      <c r="L4134" s="205"/>
      <c r="M4134" s="205"/>
    </row>
    <row r="4135" spans="2:13" ht="15.75">
      <c r="B4135" s="79"/>
      <c r="D4135"/>
      <c r="E4135" s="188"/>
      <c r="H4135"/>
      <c r="I4135" s="202"/>
      <c r="J4135"/>
      <c r="K4135" s="205"/>
      <c r="L4135" s="205"/>
      <c r="M4135" s="205"/>
    </row>
    <row r="4136" spans="2:13" ht="15.75">
      <c r="B4136" s="79"/>
      <c r="D4136"/>
      <c r="E4136" s="188"/>
      <c r="H4136"/>
      <c r="I4136" s="202"/>
      <c r="J4136"/>
      <c r="K4136" s="205"/>
      <c r="L4136" s="205"/>
      <c r="M4136" s="205"/>
    </row>
    <row r="4137" spans="2:13" ht="15.75">
      <c r="B4137" s="79"/>
      <c r="D4137"/>
      <c r="E4137" s="188"/>
      <c r="H4137"/>
      <c r="I4137" s="202"/>
      <c r="J4137"/>
      <c r="K4137" s="205"/>
      <c r="L4137" s="205"/>
      <c r="M4137" s="205"/>
    </row>
    <row r="4138" spans="2:13" ht="15.75">
      <c r="B4138" s="79"/>
      <c r="D4138"/>
      <c r="E4138" s="188"/>
      <c r="H4138"/>
      <c r="I4138" s="202"/>
      <c r="J4138"/>
      <c r="K4138" s="205"/>
      <c r="L4138" s="205"/>
      <c r="M4138" s="205"/>
    </row>
    <row r="4139" spans="2:13" ht="15.75">
      <c r="B4139" s="79"/>
      <c r="D4139"/>
      <c r="E4139" s="188"/>
      <c r="H4139"/>
      <c r="I4139" s="202"/>
      <c r="J4139"/>
      <c r="K4139" s="205"/>
      <c r="L4139" s="205"/>
      <c r="M4139" s="205"/>
    </row>
    <row r="4140" spans="2:13" ht="15.75">
      <c r="B4140" s="79"/>
      <c r="D4140"/>
      <c r="E4140" s="188"/>
      <c r="H4140"/>
      <c r="I4140" s="202"/>
      <c r="J4140"/>
      <c r="K4140" s="205"/>
      <c r="L4140" s="205"/>
      <c r="M4140" s="205"/>
    </row>
    <row r="4141" spans="2:13" ht="15.75">
      <c r="B4141" s="79"/>
      <c r="D4141"/>
      <c r="E4141" s="188"/>
      <c r="H4141"/>
      <c r="I4141" s="202"/>
      <c r="J4141"/>
      <c r="K4141" s="205"/>
      <c r="L4141" s="205"/>
      <c r="M4141" s="205"/>
    </row>
    <row r="4142" spans="2:13" ht="15.75">
      <c r="B4142" s="79"/>
      <c r="D4142"/>
      <c r="E4142" s="188"/>
      <c r="H4142"/>
      <c r="I4142" s="202"/>
      <c r="J4142"/>
      <c r="K4142" s="205"/>
      <c r="L4142" s="205"/>
      <c r="M4142" s="205"/>
    </row>
    <row r="4143" spans="2:13" ht="15.75">
      <c r="B4143" s="79"/>
      <c r="D4143"/>
      <c r="E4143" s="188"/>
      <c r="H4143"/>
      <c r="I4143" s="202"/>
      <c r="J4143"/>
      <c r="K4143" s="205"/>
      <c r="L4143" s="205"/>
      <c r="M4143" s="205"/>
    </row>
    <row r="4144" spans="2:13" ht="15.75">
      <c r="B4144" s="79"/>
      <c r="D4144"/>
      <c r="E4144" s="188"/>
      <c r="H4144"/>
      <c r="I4144" s="202"/>
      <c r="J4144"/>
      <c r="K4144" s="205"/>
      <c r="L4144" s="205"/>
      <c r="M4144" s="205"/>
    </row>
    <row r="4145" spans="2:13" ht="15.75">
      <c r="B4145" s="79"/>
      <c r="D4145"/>
      <c r="E4145" s="188"/>
      <c r="H4145"/>
      <c r="I4145" s="202"/>
      <c r="J4145"/>
      <c r="K4145" s="205"/>
      <c r="L4145" s="205"/>
      <c r="M4145" s="205"/>
    </row>
    <row r="4146" spans="2:13" ht="15.75">
      <c r="B4146" s="79"/>
      <c r="D4146"/>
      <c r="E4146" s="188"/>
      <c r="H4146"/>
      <c r="I4146" s="202"/>
      <c r="J4146"/>
      <c r="K4146" s="205"/>
      <c r="L4146" s="205"/>
      <c r="M4146" s="205"/>
    </row>
    <row r="4147" spans="2:13" ht="15.75">
      <c r="B4147" s="79"/>
      <c r="D4147"/>
      <c r="E4147" s="188"/>
      <c r="H4147"/>
      <c r="I4147" s="202"/>
      <c r="J4147"/>
      <c r="K4147" s="205"/>
      <c r="L4147" s="205"/>
      <c r="M4147" s="205"/>
    </row>
    <row r="4148" spans="2:13" ht="15.75">
      <c r="B4148" s="79"/>
      <c r="D4148"/>
      <c r="E4148" s="188"/>
      <c r="H4148"/>
      <c r="I4148" s="202"/>
      <c r="J4148"/>
      <c r="K4148" s="205"/>
      <c r="L4148" s="205"/>
      <c r="M4148" s="205"/>
    </row>
    <row r="4149" spans="2:13" ht="15.75">
      <c r="B4149" s="79"/>
      <c r="D4149"/>
      <c r="E4149" s="188"/>
      <c r="H4149"/>
      <c r="I4149" s="202"/>
      <c r="J4149"/>
      <c r="K4149" s="205"/>
      <c r="L4149" s="205"/>
      <c r="M4149" s="205"/>
    </row>
    <row r="4150" spans="2:13" ht="15.75">
      <c r="B4150" s="79"/>
      <c r="D4150"/>
      <c r="E4150" s="188"/>
      <c r="H4150"/>
      <c r="I4150" s="202"/>
      <c r="J4150"/>
      <c r="K4150" s="205"/>
      <c r="L4150" s="205"/>
      <c r="M4150" s="205"/>
    </row>
    <row r="4151" spans="2:13" ht="15.75">
      <c r="B4151" s="79"/>
      <c r="D4151"/>
      <c r="E4151" s="188"/>
      <c r="H4151"/>
      <c r="I4151" s="202"/>
      <c r="J4151"/>
      <c r="K4151" s="205"/>
      <c r="L4151" s="205"/>
      <c r="M4151" s="205"/>
    </row>
    <row r="4152" spans="2:13" ht="15.75">
      <c r="B4152" s="79"/>
      <c r="D4152"/>
      <c r="E4152" s="188"/>
      <c r="H4152"/>
      <c r="I4152" s="202"/>
      <c r="J4152"/>
      <c r="K4152" s="205"/>
      <c r="L4152" s="205"/>
      <c r="M4152" s="205"/>
    </row>
    <row r="4153" spans="2:13" ht="15.75">
      <c r="B4153" s="79"/>
      <c r="D4153"/>
      <c r="E4153" s="188"/>
      <c r="H4153"/>
      <c r="I4153" s="202"/>
      <c r="J4153"/>
      <c r="K4153" s="205"/>
      <c r="L4153" s="205"/>
      <c r="M4153" s="205"/>
    </row>
    <row r="4154" spans="2:13" ht="15.75">
      <c r="B4154" s="79"/>
      <c r="D4154"/>
      <c r="E4154" s="188"/>
      <c r="H4154"/>
      <c r="I4154" s="202"/>
      <c r="J4154"/>
      <c r="K4154" s="205"/>
      <c r="L4154" s="205"/>
      <c r="M4154" s="205"/>
    </row>
    <row r="4155" spans="2:13" ht="15.75">
      <c r="B4155" s="79"/>
      <c r="D4155"/>
      <c r="E4155" s="188"/>
      <c r="H4155"/>
      <c r="I4155" s="202"/>
      <c r="J4155"/>
      <c r="K4155" s="205"/>
      <c r="L4155" s="205"/>
      <c r="M4155" s="205"/>
    </row>
    <row r="4156" spans="2:13" ht="15.75">
      <c r="B4156" s="79"/>
      <c r="D4156"/>
      <c r="E4156" s="188"/>
      <c r="H4156"/>
      <c r="I4156" s="202"/>
      <c r="J4156"/>
      <c r="K4156" s="205"/>
      <c r="L4156" s="205"/>
      <c r="M4156" s="205"/>
    </row>
    <row r="4157" spans="2:13" ht="15.75">
      <c r="B4157" s="79"/>
      <c r="D4157"/>
      <c r="E4157" s="188"/>
      <c r="H4157"/>
      <c r="I4157" s="202"/>
      <c r="J4157"/>
      <c r="K4157" s="205"/>
      <c r="L4157" s="205"/>
      <c r="M4157" s="205"/>
    </row>
    <row r="4158" spans="2:13" ht="15.75">
      <c r="B4158" s="79"/>
      <c r="D4158"/>
      <c r="E4158" s="188"/>
      <c r="H4158"/>
      <c r="I4158" s="202"/>
      <c r="J4158"/>
      <c r="K4158" s="205"/>
      <c r="L4158" s="205"/>
      <c r="M4158" s="205"/>
    </row>
    <row r="4159" spans="2:13" ht="15.75">
      <c r="B4159" s="79"/>
      <c r="D4159"/>
      <c r="E4159" s="188"/>
      <c r="H4159"/>
      <c r="I4159" s="202"/>
      <c r="J4159"/>
      <c r="K4159" s="205"/>
      <c r="L4159" s="205"/>
      <c r="M4159" s="205"/>
    </row>
    <row r="4160" spans="2:13" ht="15.75">
      <c r="B4160" s="79"/>
      <c r="D4160"/>
      <c r="E4160" s="188"/>
      <c r="H4160"/>
      <c r="I4160" s="202"/>
      <c r="J4160"/>
      <c r="K4160" s="205"/>
      <c r="L4160" s="205"/>
      <c r="M4160" s="205"/>
    </row>
    <row r="4161" spans="2:13" ht="15.75">
      <c r="B4161" s="79"/>
      <c r="D4161"/>
      <c r="E4161" s="188"/>
      <c r="H4161"/>
      <c r="I4161" s="202"/>
      <c r="J4161"/>
      <c r="K4161" s="205"/>
      <c r="L4161" s="205"/>
      <c r="M4161" s="205"/>
    </row>
    <row r="4162" spans="2:13" ht="15.75">
      <c r="B4162" s="79"/>
      <c r="D4162"/>
      <c r="E4162" s="188"/>
      <c r="H4162"/>
      <c r="I4162" s="202"/>
      <c r="J4162"/>
      <c r="K4162" s="205"/>
      <c r="L4162" s="205"/>
      <c r="M4162" s="205"/>
    </row>
    <row r="4163" spans="2:13" ht="15.75">
      <c r="B4163" s="79"/>
      <c r="D4163"/>
      <c r="E4163" s="188"/>
      <c r="H4163"/>
      <c r="I4163" s="202"/>
      <c r="J4163"/>
      <c r="K4163" s="205"/>
      <c r="L4163" s="205"/>
      <c r="M4163" s="205"/>
    </row>
    <row r="4164" spans="2:13" ht="15.75">
      <c r="B4164" s="79"/>
      <c r="D4164"/>
      <c r="E4164" s="188"/>
      <c r="H4164"/>
      <c r="I4164" s="202"/>
      <c r="J4164"/>
      <c r="K4164" s="205"/>
      <c r="L4164" s="205"/>
      <c r="M4164" s="205"/>
    </row>
    <row r="4165" spans="2:13" ht="15.75">
      <c r="B4165" s="79"/>
      <c r="D4165"/>
      <c r="E4165" s="188"/>
      <c r="H4165"/>
      <c r="I4165" s="202"/>
      <c r="J4165"/>
      <c r="K4165" s="205"/>
      <c r="L4165" s="205"/>
      <c r="M4165" s="205"/>
    </row>
    <row r="4166" spans="2:13" ht="15.75">
      <c r="B4166" s="79"/>
      <c r="D4166"/>
      <c r="E4166" s="188"/>
      <c r="H4166"/>
      <c r="I4166" s="202"/>
      <c r="J4166"/>
      <c r="K4166" s="205"/>
      <c r="L4166" s="205"/>
      <c r="M4166" s="205"/>
    </row>
    <row r="4167" spans="2:13" ht="15.75">
      <c r="B4167" s="79"/>
      <c r="D4167"/>
      <c r="E4167" s="188"/>
      <c r="H4167"/>
      <c r="I4167" s="202"/>
      <c r="J4167"/>
      <c r="K4167" s="205"/>
      <c r="L4167" s="205"/>
      <c r="M4167" s="205"/>
    </row>
    <row r="4168" spans="2:13" ht="15.75">
      <c r="B4168" s="79"/>
      <c r="D4168"/>
      <c r="E4168" s="188"/>
      <c r="H4168"/>
      <c r="I4168" s="202"/>
      <c r="J4168"/>
      <c r="K4168" s="205"/>
      <c r="L4168" s="205"/>
      <c r="M4168" s="205"/>
    </row>
    <row r="4169" spans="2:13" ht="15.75">
      <c r="B4169" s="79"/>
      <c r="D4169"/>
      <c r="E4169" s="188"/>
      <c r="H4169"/>
      <c r="I4169" s="202"/>
      <c r="J4169"/>
      <c r="K4169" s="205"/>
      <c r="L4169" s="205"/>
      <c r="M4169" s="205"/>
    </row>
    <row r="4170" spans="2:13" ht="15.75">
      <c r="B4170" s="79"/>
      <c r="D4170"/>
      <c r="E4170" s="188"/>
      <c r="H4170"/>
      <c r="I4170" s="202"/>
      <c r="J4170"/>
      <c r="K4170" s="205"/>
      <c r="L4170" s="205"/>
      <c r="M4170" s="205"/>
    </row>
    <row r="4171" spans="2:13" ht="15.75">
      <c r="B4171" s="79"/>
      <c r="D4171"/>
      <c r="E4171" s="188"/>
      <c r="H4171"/>
      <c r="I4171" s="202"/>
      <c r="J4171"/>
      <c r="K4171" s="205"/>
      <c r="L4171" s="205"/>
      <c r="M4171" s="205"/>
    </row>
    <row r="4172" spans="2:13" ht="15.75">
      <c r="B4172" s="79"/>
      <c r="D4172"/>
      <c r="E4172" s="188"/>
      <c r="H4172"/>
      <c r="I4172" s="202"/>
      <c r="J4172"/>
      <c r="K4172" s="205"/>
      <c r="L4172" s="205"/>
      <c r="M4172" s="205"/>
    </row>
    <row r="4173" spans="2:13" ht="15.75">
      <c r="B4173" s="79"/>
      <c r="D4173"/>
      <c r="E4173" s="188"/>
      <c r="H4173"/>
      <c r="I4173" s="202"/>
      <c r="J4173"/>
      <c r="K4173" s="205"/>
      <c r="L4173" s="205"/>
      <c r="M4173" s="205"/>
    </row>
    <row r="4174" spans="2:13" ht="15.75">
      <c r="B4174" s="79"/>
      <c r="D4174"/>
      <c r="E4174" s="188"/>
      <c r="H4174"/>
      <c r="I4174" s="202"/>
      <c r="J4174"/>
      <c r="K4174" s="205"/>
      <c r="L4174" s="205"/>
      <c r="M4174" s="205"/>
    </row>
    <row r="4175" spans="2:13" ht="15.75">
      <c r="B4175" s="79"/>
      <c r="D4175"/>
      <c r="E4175" s="188"/>
      <c r="H4175"/>
      <c r="I4175" s="202"/>
      <c r="J4175"/>
      <c r="K4175" s="205"/>
      <c r="L4175" s="205"/>
      <c r="M4175" s="205"/>
    </row>
    <row r="4176" spans="2:13" ht="15.75">
      <c r="B4176" s="79"/>
      <c r="D4176"/>
      <c r="E4176" s="188"/>
      <c r="H4176"/>
      <c r="I4176" s="202"/>
      <c r="J4176"/>
      <c r="K4176" s="205"/>
      <c r="L4176" s="205"/>
      <c r="M4176" s="205"/>
    </row>
    <row r="4177" spans="2:13" ht="15.75">
      <c r="B4177" s="79"/>
      <c r="D4177"/>
      <c r="E4177" s="188"/>
      <c r="H4177"/>
      <c r="I4177" s="202"/>
      <c r="J4177"/>
      <c r="K4177" s="205"/>
      <c r="L4177" s="205"/>
      <c r="M4177" s="205"/>
    </row>
    <row r="4178" spans="2:13" ht="15.75">
      <c r="B4178" s="79"/>
      <c r="D4178"/>
      <c r="E4178" s="188"/>
      <c r="H4178"/>
      <c r="I4178" s="202"/>
      <c r="J4178"/>
      <c r="K4178" s="205"/>
      <c r="L4178" s="205"/>
      <c r="M4178" s="205"/>
    </row>
    <row r="4179" spans="2:13" ht="15.75">
      <c r="B4179" s="79"/>
      <c r="D4179"/>
      <c r="E4179" s="188"/>
      <c r="H4179"/>
      <c r="I4179" s="202"/>
      <c r="J4179"/>
      <c r="K4179" s="205"/>
      <c r="L4179" s="205"/>
      <c r="M4179" s="205"/>
    </row>
    <row r="4180" spans="2:13" ht="15.75">
      <c r="B4180" s="79"/>
      <c r="D4180"/>
      <c r="E4180" s="188"/>
      <c r="H4180"/>
      <c r="I4180" s="202"/>
      <c r="J4180"/>
      <c r="K4180" s="205"/>
      <c r="L4180" s="205"/>
      <c r="M4180" s="205"/>
    </row>
    <row r="4181" spans="2:13" ht="15.75">
      <c r="B4181" s="79"/>
      <c r="D4181"/>
      <c r="E4181" s="188"/>
      <c r="H4181"/>
      <c r="I4181" s="202"/>
      <c r="J4181"/>
      <c r="K4181" s="205"/>
      <c r="L4181" s="205"/>
      <c r="M4181" s="205"/>
    </row>
    <row r="4182" spans="2:13" ht="15.75">
      <c r="B4182" s="79"/>
      <c r="D4182"/>
      <c r="E4182" s="188"/>
      <c r="H4182"/>
      <c r="I4182" s="202"/>
      <c r="J4182"/>
      <c r="K4182" s="205"/>
      <c r="L4182" s="205"/>
      <c r="M4182" s="205"/>
    </row>
    <row r="4183" spans="2:13" ht="15.75">
      <c r="B4183" s="79"/>
      <c r="D4183"/>
      <c r="E4183" s="188"/>
      <c r="H4183"/>
      <c r="I4183" s="202"/>
      <c r="J4183"/>
      <c r="K4183" s="205"/>
      <c r="L4183" s="205"/>
      <c r="M4183" s="205"/>
    </row>
    <row r="4184" spans="2:13" ht="15.75">
      <c r="B4184" s="79"/>
      <c r="D4184"/>
      <c r="E4184" s="188"/>
      <c r="H4184"/>
      <c r="I4184" s="202"/>
      <c r="J4184"/>
      <c r="K4184" s="205"/>
      <c r="L4184" s="205"/>
      <c r="M4184" s="205"/>
    </row>
    <row r="4185" spans="2:13" ht="15.75">
      <c r="B4185" s="79"/>
      <c r="D4185"/>
      <c r="E4185" s="188"/>
      <c r="H4185"/>
      <c r="I4185" s="202"/>
      <c r="J4185"/>
      <c r="K4185" s="205"/>
      <c r="L4185" s="205"/>
      <c r="M4185" s="205"/>
    </row>
    <row r="4186" spans="2:13" ht="15.75">
      <c r="B4186" s="79"/>
      <c r="D4186"/>
      <c r="E4186" s="188"/>
      <c r="H4186"/>
      <c r="I4186" s="202"/>
      <c r="J4186"/>
      <c r="K4186" s="205"/>
      <c r="L4186" s="205"/>
      <c r="M4186" s="205"/>
    </row>
    <row r="4187" spans="2:13" ht="15.75">
      <c r="B4187" s="79"/>
      <c r="D4187"/>
      <c r="E4187" s="188"/>
      <c r="H4187"/>
      <c r="I4187" s="202"/>
      <c r="J4187"/>
      <c r="K4187" s="205"/>
      <c r="L4187" s="205"/>
      <c r="M4187" s="205"/>
    </row>
    <row r="4188" spans="2:13" ht="15.75">
      <c r="B4188" s="79"/>
      <c r="D4188"/>
      <c r="E4188" s="188"/>
      <c r="H4188"/>
      <c r="I4188" s="202"/>
      <c r="J4188"/>
      <c r="K4188" s="205"/>
      <c r="L4188" s="205"/>
      <c r="M4188" s="205"/>
    </row>
    <row r="4189" spans="2:13" ht="15.75">
      <c r="B4189" s="79"/>
      <c r="D4189"/>
      <c r="E4189" s="188"/>
      <c r="H4189"/>
      <c r="I4189" s="202"/>
      <c r="J4189"/>
      <c r="K4189" s="205"/>
      <c r="L4189" s="205"/>
      <c r="M4189" s="205"/>
    </row>
    <row r="4190" spans="2:13" ht="15.75">
      <c r="B4190" s="79"/>
      <c r="D4190"/>
      <c r="E4190" s="188"/>
      <c r="H4190"/>
      <c r="I4190" s="202"/>
      <c r="J4190"/>
      <c r="K4190" s="205"/>
      <c r="L4190" s="205"/>
      <c r="M4190" s="205"/>
    </row>
    <row r="4191" spans="2:13" ht="15.75">
      <c r="B4191" s="79"/>
      <c r="D4191"/>
      <c r="E4191" s="188"/>
      <c r="H4191"/>
      <c r="I4191" s="202"/>
      <c r="J4191"/>
      <c r="K4191" s="205"/>
      <c r="L4191" s="205"/>
      <c r="M4191" s="205"/>
    </row>
    <row r="4192" spans="2:13" ht="15.75">
      <c r="B4192" s="79"/>
      <c r="D4192"/>
      <c r="E4192" s="188"/>
      <c r="H4192"/>
      <c r="I4192" s="202"/>
      <c r="J4192"/>
      <c r="K4192" s="205"/>
      <c r="L4192" s="205"/>
      <c r="M4192" s="205"/>
    </row>
    <row r="4193" spans="2:13" ht="15.75">
      <c r="B4193" s="79"/>
      <c r="D4193"/>
      <c r="E4193" s="188"/>
      <c r="H4193"/>
      <c r="I4193" s="202"/>
      <c r="J4193"/>
      <c r="K4193" s="205"/>
      <c r="L4193" s="205"/>
      <c r="M4193" s="205"/>
    </row>
    <row r="4194" spans="2:13" ht="15.75">
      <c r="B4194" s="79"/>
      <c r="D4194"/>
      <c r="E4194" s="188"/>
      <c r="H4194"/>
      <c r="I4194" s="202"/>
      <c r="J4194"/>
      <c r="K4194" s="205"/>
      <c r="L4194" s="205"/>
      <c r="M4194" s="205"/>
    </row>
    <row r="4195" spans="2:13" ht="15.75">
      <c r="B4195" s="79"/>
      <c r="D4195"/>
      <c r="E4195" s="188"/>
      <c r="H4195"/>
      <c r="I4195" s="202"/>
      <c r="J4195"/>
      <c r="K4195" s="205"/>
      <c r="L4195" s="205"/>
      <c r="M4195" s="205"/>
    </row>
    <row r="4196" spans="2:13" ht="15.75">
      <c r="B4196" s="79"/>
      <c r="D4196"/>
      <c r="E4196" s="188"/>
      <c r="H4196"/>
      <c r="I4196" s="202"/>
      <c r="J4196"/>
      <c r="K4196" s="205"/>
      <c r="L4196" s="205"/>
      <c r="M4196" s="205"/>
    </row>
    <row r="4197" spans="2:13" ht="15.75">
      <c r="B4197" s="79"/>
      <c r="D4197"/>
      <c r="E4197" s="188"/>
      <c r="H4197"/>
      <c r="I4197" s="202"/>
      <c r="J4197"/>
      <c r="K4197" s="205"/>
      <c r="L4197" s="205"/>
      <c r="M4197" s="205"/>
    </row>
    <row r="4198" spans="2:13" ht="15.75">
      <c r="B4198" s="79"/>
      <c r="D4198"/>
      <c r="E4198" s="188"/>
      <c r="H4198"/>
      <c r="I4198" s="202"/>
      <c r="J4198"/>
      <c r="K4198" s="205"/>
      <c r="L4198" s="205"/>
      <c r="M4198" s="205"/>
    </row>
    <row r="4199" spans="2:13" ht="15.75">
      <c r="B4199" s="79"/>
      <c r="D4199"/>
      <c r="E4199" s="188"/>
      <c r="H4199"/>
      <c r="I4199" s="202"/>
      <c r="J4199"/>
      <c r="K4199" s="205"/>
      <c r="L4199" s="205"/>
      <c r="M4199" s="205"/>
    </row>
    <row r="4200" spans="2:13" ht="15.75">
      <c r="B4200" s="79"/>
      <c r="D4200"/>
      <c r="E4200" s="188"/>
      <c r="H4200"/>
      <c r="I4200" s="202"/>
      <c r="J4200"/>
      <c r="K4200" s="205"/>
      <c r="L4200" s="205"/>
      <c r="M4200" s="205"/>
    </row>
    <row r="4201" spans="2:13" ht="15.75">
      <c r="B4201" s="79"/>
      <c r="D4201"/>
      <c r="E4201" s="188"/>
      <c r="H4201"/>
      <c r="I4201" s="202"/>
      <c r="J4201"/>
      <c r="K4201" s="205"/>
      <c r="L4201" s="205"/>
      <c r="M4201" s="205"/>
    </row>
    <row r="4202" spans="2:13" ht="15.75">
      <c r="B4202" s="79"/>
      <c r="D4202"/>
      <c r="E4202" s="188"/>
      <c r="H4202"/>
      <c r="I4202" s="202"/>
      <c r="J4202"/>
      <c r="K4202" s="205"/>
      <c r="L4202" s="205"/>
      <c r="M4202" s="205"/>
    </row>
    <row r="4203" spans="2:13" ht="15.75">
      <c r="B4203" s="79"/>
      <c r="D4203"/>
      <c r="E4203" s="188"/>
      <c r="H4203"/>
      <c r="I4203" s="202"/>
      <c r="J4203"/>
      <c r="K4203" s="205"/>
      <c r="L4203" s="205"/>
      <c r="M4203" s="205"/>
    </row>
    <row r="4204" spans="2:13" ht="15.75">
      <c r="B4204" s="79"/>
      <c r="D4204"/>
      <c r="E4204" s="188"/>
      <c r="H4204"/>
      <c r="I4204" s="202"/>
      <c r="J4204"/>
      <c r="K4204" s="205"/>
      <c r="L4204" s="205"/>
      <c r="M4204" s="205"/>
    </row>
    <row r="4205" spans="2:13" ht="15.75">
      <c r="B4205" s="79"/>
      <c r="D4205"/>
      <c r="E4205" s="188"/>
      <c r="H4205"/>
      <c r="I4205" s="202"/>
      <c r="J4205"/>
      <c r="K4205" s="205"/>
      <c r="L4205" s="205"/>
      <c r="M4205" s="205"/>
    </row>
    <row r="4206" spans="2:13" ht="15.75">
      <c r="B4206" s="79"/>
      <c r="D4206"/>
      <c r="E4206" s="188"/>
      <c r="H4206"/>
      <c r="I4206" s="202"/>
      <c r="J4206"/>
      <c r="K4206" s="205"/>
      <c r="L4206" s="205"/>
      <c r="M4206" s="205"/>
    </row>
    <row r="4207" spans="2:13" ht="15.75">
      <c r="B4207" s="79"/>
      <c r="D4207"/>
      <c r="E4207" s="188"/>
      <c r="H4207"/>
      <c r="I4207" s="202"/>
      <c r="J4207"/>
      <c r="K4207" s="205"/>
      <c r="L4207" s="205"/>
      <c r="M4207" s="205"/>
    </row>
    <row r="4208" spans="2:13" ht="15.75">
      <c r="B4208" s="79"/>
      <c r="D4208"/>
      <c r="E4208" s="188"/>
      <c r="H4208"/>
      <c r="I4208" s="202"/>
      <c r="J4208"/>
      <c r="K4208" s="205"/>
      <c r="L4208" s="205"/>
      <c r="M4208" s="205"/>
    </row>
    <row r="4209" spans="2:13" ht="15.75">
      <c r="B4209" s="79"/>
      <c r="D4209"/>
      <c r="E4209" s="188"/>
      <c r="H4209"/>
      <c r="I4209" s="202"/>
      <c r="J4209"/>
      <c r="K4209" s="205"/>
      <c r="L4209" s="205"/>
      <c r="M4209" s="205"/>
    </row>
    <row r="4210" spans="2:13" ht="15.75">
      <c r="B4210" s="79"/>
      <c r="D4210"/>
      <c r="E4210" s="188"/>
      <c r="H4210"/>
      <c r="I4210" s="202"/>
      <c r="J4210"/>
      <c r="K4210" s="205"/>
      <c r="L4210" s="205"/>
      <c r="M4210" s="205"/>
    </row>
    <row r="4211" spans="2:13" ht="15.75">
      <c r="B4211" s="79"/>
      <c r="D4211"/>
      <c r="E4211" s="188"/>
      <c r="H4211"/>
      <c r="I4211" s="202"/>
      <c r="J4211"/>
      <c r="K4211" s="205"/>
      <c r="L4211" s="205"/>
      <c r="M4211" s="205"/>
    </row>
    <row r="4212" spans="2:13" ht="15.75">
      <c r="B4212" s="79"/>
      <c r="D4212"/>
      <c r="E4212" s="188"/>
      <c r="H4212"/>
      <c r="I4212" s="202"/>
      <c r="J4212"/>
      <c r="K4212" s="205"/>
      <c r="L4212" s="205"/>
      <c r="M4212" s="205"/>
    </row>
    <row r="4213" spans="2:13" ht="15.75">
      <c r="B4213" s="79"/>
      <c r="D4213"/>
      <c r="E4213" s="188"/>
      <c r="H4213"/>
      <c r="I4213" s="202"/>
      <c r="J4213"/>
      <c r="K4213" s="205"/>
      <c r="L4213" s="205"/>
      <c r="M4213" s="205"/>
    </row>
    <row r="4214" spans="2:13" ht="15.75">
      <c r="B4214" s="79"/>
      <c r="D4214"/>
      <c r="E4214" s="188"/>
      <c r="H4214"/>
      <c r="I4214" s="202"/>
      <c r="J4214"/>
      <c r="K4214" s="205"/>
      <c r="L4214" s="205"/>
      <c r="M4214" s="205"/>
    </row>
    <row r="4215" spans="2:13" ht="15.75">
      <c r="B4215" s="79"/>
      <c r="D4215"/>
      <c r="E4215" s="188"/>
      <c r="H4215"/>
      <c r="I4215" s="202"/>
      <c r="J4215"/>
      <c r="K4215" s="205"/>
      <c r="L4215" s="205"/>
      <c r="M4215" s="205"/>
    </row>
    <row r="4216" spans="2:13" ht="15.75">
      <c r="B4216" s="79"/>
      <c r="D4216"/>
      <c r="E4216" s="188"/>
      <c r="H4216"/>
      <c r="I4216" s="202"/>
      <c r="J4216"/>
      <c r="K4216" s="205"/>
      <c r="L4216" s="205"/>
      <c r="M4216" s="205"/>
    </row>
    <row r="4217" spans="2:13" ht="15.75">
      <c r="B4217" s="79"/>
      <c r="D4217"/>
      <c r="E4217" s="188"/>
      <c r="H4217"/>
      <c r="I4217" s="202"/>
      <c r="J4217"/>
      <c r="K4217" s="205"/>
      <c r="L4217" s="205"/>
      <c r="M4217" s="205"/>
    </row>
    <row r="4218" spans="2:13" ht="15.75">
      <c r="B4218" s="79"/>
      <c r="D4218"/>
      <c r="E4218" s="188"/>
      <c r="H4218"/>
      <c r="I4218" s="202"/>
      <c r="J4218"/>
      <c r="K4218" s="205"/>
      <c r="L4218" s="205"/>
      <c r="M4218" s="205"/>
    </row>
    <row r="4219" spans="2:13" ht="15.75">
      <c r="B4219" s="79"/>
      <c r="D4219"/>
      <c r="E4219" s="188"/>
      <c r="H4219"/>
      <c r="I4219" s="202"/>
      <c r="J4219"/>
      <c r="K4219" s="205"/>
      <c r="L4219" s="205"/>
      <c r="M4219" s="205"/>
    </row>
    <row r="4220" spans="2:13" ht="15.75">
      <c r="B4220" s="79"/>
      <c r="D4220"/>
      <c r="E4220" s="188"/>
      <c r="H4220"/>
      <c r="I4220" s="202"/>
      <c r="J4220"/>
      <c r="K4220" s="205"/>
      <c r="L4220" s="205"/>
      <c r="M4220" s="205"/>
    </row>
    <row r="4221" spans="2:13" ht="15.75">
      <c r="B4221" s="79"/>
      <c r="D4221"/>
      <c r="E4221" s="188"/>
      <c r="H4221"/>
      <c r="I4221" s="202"/>
      <c r="J4221"/>
      <c r="K4221" s="205"/>
      <c r="L4221" s="205"/>
      <c r="M4221" s="205"/>
    </row>
    <row r="4222" spans="2:13" ht="15.75">
      <c r="B4222" s="79"/>
      <c r="D4222"/>
      <c r="E4222" s="188"/>
      <c r="H4222"/>
      <c r="I4222" s="202"/>
      <c r="J4222"/>
      <c r="K4222" s="205"/>
      <c r="L4222" s="205"/>
      <c r="M4222" s="205"/>
    </row>
    <row r="4223" spans="2:13" ht="15.75">
      <c r="B4223" s="79"/>
      <c r="D4223"/>
      <c r="E4223" s="188"/>
      <c r="H4223"/>
      <c r="I4223" s="202"/>
      <c r="J4223"/>
      <c r="K4223" s="205"/>
      <c r="L4223" s="205"/>
      <c r="M4223" s="205"/>
    </row>
    <row r="4224" spans="2:13" ht="15.75">
      <c r="B4224" s="79"/>
      <c r="D4224"/>
      <c r="E4224" s="188"/>
      <c r="H4224"/>
      <c r="I4224" s="202"/>
      <c r="J4224"/>
      <c r="K4224" s="205"/>
      <c r="L4224" s="205"/>
      <c r="M4224" s="205"/>
    </row>
    <row r="4225" spans="2:13" ht="15.75">
      <c r="B4225" s="79"/>
      <c r="D4225"/>
      <c r="E4225" s="188"/>
      <c r="H4225"/>
      <c r="I4225" s="202"/>
      <c r="J4225"/>
      <c r="K4225" s="205"/>
      <c r="L4225" s="205"/>
      <c r="M4225" s="205"/>
    </row>
    <row r="4226" spans="2:13" ht="15.75">
      <c r="B4226" s="79"/>
      <c r="D4226"/>
      <c r="E4226" s="188"/>
      <c r="H4226"/>
      <c r="I4226" s="202"/>
      <c r="J4226"/>
      <c r="K4226" s="205"/>
      <c r="L4226" s="205"/>
      <c r="M4226" s="205"/>
    </row>
    <row r="4227" spans="2:13" ht="15.75">
      <c r="B4227" s="79"/>
      <c r="D4227"/>
      <c r="E4227" s="188"/>
      <c r="H4227"/>
      <c r="I4227" s="202"/>
      <c r="J4227"/>
      <c r="K4227" s="205"/>
      <c r="L4227" s="205"/>
      <c r="M4227" s="205"/>
    </row>
    <row r="4228" spans="2:13" ht="15.75">
      <c r="B4228" s="79"/>
      <c r="D4228"/>
      <c r="E4228" s="188"/>
      <c r="H4228"/>
      <c r="I4228" s="202"/>
      <c r="J4228"/>
      <c r="K4228" s="205"/>
      <c r="L4228" s="205"/>
      <c r="M4228" s="205"/>
    </row>
    <row r="4229" spans="2:13" ht="15.75">
      <c r="B4229" s="79"/>
      <c r="D4229"/>
      <c r="E4229" s="188"/>
      <c r="H4229"/>
      <c r="I4229" s="202"/>
      <c r="J4229"/>
      <c r="K4229" s="205"/>
      <c r="L4229" s="205"/>
      <c r="M4229" s="205"/>
    </row>
    <row r="4230" spans="2:13" ht="15.75">
      <c r="B4230" s="79"/>
      <c r="D4230"/>
      <c r="E4230" s="188"/>
      <c r="H4230"/>
      <c r="I4230" s="202"/>
      <c r="J4230"/>
      <c r="K4230" s="205"/>
      <c r="L4230" s="205"/>
      <c r="M4230" s="205"/>
    </row>
    <row r="4231" spans="2:13" ht="15.75">
      <c r="B4231" s="79"/>
      <c r="D4231"/>
      <c r="E4231" s="188"/>
      <c r="H4231"/>
      <c r="I4231" s="202"/>
      <c r="J4231"/>
      <c r="K4231" s="205"/>
      <c r="L4231" s="205"/>
      <c r="M4231" s="205"/>
    </row>
    <row r="4232" spans="2:13" ht="15.75">
      <c r="B4232" s="79"/>
      <c r="D4232"/>
      <c r="E4232" s="188"/>
      <c r="H4232"/>
      <c r="I4232" s="202"/>
      <c r="J4232"/>
      <c r="K4232" s="205"/>
      <c r="L4232" s="205"/>
      <c r="M4232" s="205"/>
    </row>
    <row r="4233" spans="2:13" ht="15.75">
      <c r="B4233" s="79"/>
      <c r="D4233"/>
      <c r="E4233" s="188"/>
      <c r="H4233"/>
      <c r="I4233" s="202"/>
      <c r="J4233"/>
      <c r="K4233" s="205"/>
      <c r="L4233" s="205"/>
      <c r="M4233" s="205"/>
    </row>
    <row r="4234" spans="2:13" ht="15.75">
      <c r="B4234" s="79"/>
      <c r="D4234"/>
      <c r="E4234" s="188"/>
      <c r="H4234"/>
      <c r="I4234" s="202"/>
      <c r="J4234"/>
      <c r="K4234" s="205"/>
      <c r="L4234" s="205"/>
      <c r="M4234" s="205"/>
    </row>
    <row r="4235" spans="2:13" ht="15.75">
      <c r="B4235" s="79"/>
      <c r="D4235"/>
      <c r="E4235" s="188"/>
      <c r="H4235"/>
      <c r="I4235" s="202"/>
      <c r="J4235"/>
      <c r="K4235" s="205"/>
      <c r="L4235" s="205"/>
      <c r="M4235" s="205"/>
    </row>
    <row r="4236" spans="2:13" ht="15.75">
      <c r="B4236" s="79"/>
      <c r="D4236"/>
      <c r="E4236" s="188"/>
      <c r="H4236"/>
      <c r="I4236" s="202"/>
      <c r="J4236"/>
      <c r="K4236" s="205"/>
      <c r="L4236" s="205"/>
      <c r="M4236" s="205"/>
    </row>
    <row r="4237" spans="2:13" ht="15.75">
      <c r="B4237" s="79"/>
      <c r="D4237"/>
      <c r="E4237" s="188"/>
      <c r="H4237"/>
      <c r="I4237" s="202"/>
      <c r="J4237"/>
      <c r="K4237" s="205"/>
      <c r="L4237" s="205"/>
      <c r="M4237" s="205"/>
    </row>
    <row r="4238" spans="2:13" ht="15.75">
      <c r="B4238" s="79"/>
      <c r="D4238"/>
      <c r="E4238" s="188"/>
      <c r="H4238"/>
      <c r="I4238" s="202"/>
      <c r="J4238"/>
      <c r="K4238" s="205"/>
      <c r="L4238" s="205"/>
      <c r="M4238" s="205"/>
    </row>
    <row r="4239" spans="2:13" ht="15.75">
      <c r="B4239" s="79"/>
      <c r="D4239"/>
      <c r="E4239" s="188"/>
      <c r="H4239"/>
      <c r="I4239" s="202"/>
      <c r="J4239"/>
      <c r="K4239" s="205"/>
      <c r="L4239" s="205"/>
      <c r="M4239" s="205"/>
    </row>
    <row r="4240" spans="2:13" ht="15.75">
      <c r="B4240" s="79"/>
      <c r="D4240"/>
      <c r="E4240" s="188"/>
      <c r="H4240"/>
      <c r="I4240" s="202"/>
      <c r="J4240"/>
      <c r="K4240" s="205"/>
      <c r="L4240" s="205"/>
      <c r="M4240" s="205"/>
    </row>
    <row r="4241" spans="2:13" ht="15.75">
      <c r="B4241" s="79"/>
      <c r="D4241"/>
      <c r="E4241" s="188"/>
      <c r="H4241"/>
      <c r="I4241" s="202"/>
      <c r="J4241"/>
      <c r="K4241" s="205"/>
      <c r="L4241" s="205"/>
      <c r="M4241" s="205"/>
    </row>
    <row r="4242" spans="2:13" ht="15.75">
      <c r="B4242" s="79"/>
      <c r="D4242"/>
      <c r="E4242" s="188"/>
      <c r="H4242"/>
      <c r="I4242" s="202"/>
      <c r="J4242"/>
      <c r="K4242" s="205"/>
      <c r="L4242" s="205"/>
      <c r="M4242" s="205"/>
    </row>
    <row r="4243" spans="2:13" ht="15.75">
      <c r="B4243" s="79"/>
      <c r="D4243"/>
      <c r="E4243" s="188"/>
      <c r="H4243"/>
      <c r="I4243" s="202"/>
      <c r="J4243"/>
      <c r="K4243" s="205"/>
      <c r="L4243" s="205"/>
      <c r="M4243" s="205"/>
    </row>
    <row r="4244" spans="2:13" ht="15.75">
      <c r="B4244" s="79"/>
      <c r="D4244"/>
      <c r="E4244" s="188"/>
      <c r="H4244"/>
      <c r="I4244" s="202"/>
      <c r="J4244"/>
      <c r="K4244" s="205"/>
      <c r="L4244" s="205"/>
      <c r="M4244" s="205"/>
    </row>
    <row r="4245" spans="2:13" ht="15.75">
      <c r="B4245" s="79"/>
      <c r="D4245"/>
      <c r="E4245" s="188"/>
      <c r="H4245"/>
      <c r="I4245" s="202"/>
      <c r="J4245"/>
      <c r="K4245" s="205"/>
      <c r="L4245" s="205"/>
      <c r="M4245" s="205"/>
    </row>
    <row r="4246" spans="2:13" ht="15.75">
      <c r="B4246" s="79"/>
      <c r="D4246"/>
      <c r="E4246" s="188"/>
      <c r="H4246"/>
      <c r="I4246" s="202"/>
      <c r="J4246"/>
      <c r="K4246" s="205"/>
      <c r="L4246" s="205"/>
      <c r="M4246" s="205"/>
    </row>
    <row r="4247" spans="2:13" ht="15.75">
      <c r="B4247" s="79"/>
      <c r="D4247"/>
      <c r="E4247" s="188"/>
      <c r="H4247"/>
      <c r="I4247" s="202"/>
      <c r="J4247"/>
      <c r="K4247" s="205"/>
      <c r="L4247" s="205"/>
      <c r="M4247" s="205"/>
    </row>
    <row r="4248" spans="2:13" ht="15.75">
      <c r="B4248" s="79"/>
      <c r="D4248"/>
      <c r="E4248" s="188"/>
      <c r="H4248"/>
      <c r="I4248" s="202"/>
      <c r="J4248"/>
      <c r="K4248" s="205"/>
      <c r="L4248" s="205"/>
      <c r="M4248" s="205"/>
    </row>
    <row r="4249" spans="2:13" ht="15.75">
      <c r="B4249" s="79"/>
      <c r="D4249"/>
      <c r="E4249" s="188"/>
      <c r="H4249"/>
      <c r="I4249" s="202"/>
      <c r="J4249"/>
      <c r="K4249" s="205"/>
      <c r="L4249" s="205"/>
      <c r="M4249" s="205"/>
    </row>
    <row r="4250" spans="2:13" ht="15.75">
      <c r="B4250" s="79"/>
      <c r="D4250"/>
      <c r="E4250" s="188"/>
      <c r="H4250"/>
      <c r="I4250" s="202"/>
      <c r="J4250"/>
      <c r="K4250" s="205"/>
      <c r="L4250" s="205"/>
      <c r="M4250" s="205"/>
    </row>
    <row r="4251" spans="2:13" ht="15.75">
      <c r="B4251" s="79"/>
      <c r="D4251"/>
      <c r="E4251" s="188"/>
      <c r="H4251"/>
      <c r="I4251" s="202"/>
      <c r="J4251"/>
      <c r="K4251" s="205"/>
      <c r="L4251" s="205"/>
      <c r="M4251" s="205"/>
    </row>
    <row r="4252" spans="2:13" ht="15.75">
      <c r="B4252" s="79"/>
      <c r="D4252"/>
      <c r="E4252" s="188"/>
      <c r="H4252"/>
      <c r="I4252" s="202"/>
      <c r="J4252"/>
      <c r="K4252" s="205"/>
      <c r="L4252" s="205"/>
      <c r="M4252" s="205"/>
    </row>
    <row r="4253" spans="2:13" ht="15.75">
      <c r="B4253" s="79"/>
      <c r="D4253"/>
      <c r="E4253" s="188"/>
      <c r="H4253"/>
      <c r="I4253" s="202"/>
      <c r="J4253"/>
      <c r="K4253" s="205"/>
      <c r="L4253" s="205"/>
      <c r="M4253" s="205"/>
    </row>
    <row r="4254" spans="2:13" ht="15.75">
      <c r="B4254" s="79"/>
      <c r="D4254"/>
      <c r="E4254" s="188"/>
      <c r="H4254"/>
      <c r="I4254" s="202"/>
      <c r="J4254"/>
      <c r="K4254" s="205"/>
      <c r="L4254" s="205"/>
      <c r="M4254" s="205"/>
    </row>
    <row r="4255" spans="2:13" ht="15.75">
      <c r="B4255" s="79"/>
      <c r="D4255"/>
      <c r="E4255" s="188"/>
      <c r="H4255"/>
      <c r="I4255" s="202"/>
      <c r="J4255"/>
      <c r="K4255" s="205"/>
      <c r="L4255" s="205"/>
      <c r="M4255" s="205"/>
    </row>
    <row r="4256" spans="2:13" ht="15.75">
      <c r="B4256" s="79"/>
      <c r="D4256"/>
      <c r="E4256" s="188"/>
      <c r="H4256"/>
      <c r="I4256" s="202"/>
      <c r="J4256"/>
      <c r="K4256" s="205"/>
      <c r="L4256" s="205"/>
      <c r="M4256" s="205"/>
    </row>
    <row r="4257" spans="2:13" ht="15.75">
      <c r="B4257" s="79"/>
      <c r="D4257"/>
      <c r="E4257" s="188"/>
      <c r="H4257"/>
      <c r="I4257" s="202"/>
      <c r="J4257"/>
      <c r="K4257" s="205"/>
      <c r="L4257" s="205"/>
      <c r="M4257" s="205"/>
    </row>
    <row r="4258" spans="2:13" ht="15.75">
      <c r="B4258" s="79"/>
      <c r="D4258"/>
      <c r="E4258" s="188"/>
      <c r="H4258"/>
      <c r="I4258" s="202"/>
      <c r="J4258"/>
      <c r="K4258" s="205"/>
      <c r="L4258" s="205"/>
      <c r="M4258" s="205"/>
    </row>
    <row r="4259" spans="2:13" ht="15.75">
      <c r="B4259" s="79"/>
      <c r="D4259"/>
      <c r="E4259" s="188"/>
      <c r="H4259"/>
      <c r="I4259" s="202"/>
      <c r="J4259"/>
      <c r="K4259" s="205"/>
      <c r="L4259" s="205"/>
      <c r="M4259" s="205"/>
    </row>
    <row r="4260" spans="2:13" ht="15.75">
      <c r="B4260" s="79"/>
      <c r="D4260"/>
      <c r="E4260" s="188"/>
      <c r="H4260"/>
      <c r="I4260" s="202"/>
      <c r="J4260"/>
      <c r="K4260" s="205"/>
      <c r="L4260" s="205"/>
      <c r="M4260" s="205"/>
    </row>
    <row r="4261" spans="2:13" ht="15.75">
      <c r="B4261" s="79"/>
      <c r="D4261"/>
      <c r="E4261" s="188"/>
      <c r="H4261"/>
      <c r="I4261" s="202"/>
      <c r="J4261"/>
      <c r="K4261" s="205"/>
      <c r="L4261" s="205"/>
      <c r="M4261" s="205"/>
    </row>
    <row r="4262" spans="2:13" ht="15.75">
      <c r="B4262" s="79"/>
      <c r="D4262"/>
      <c r="E4262" s="188"/>
      <c r="H4262"/>
      <c r="I4262" s="202"/>
      <c r="J4262"/>
      <c r="K4262" s="205"/>
      <c r="L4262" s="205"/>
      <c r="M4262" s="205"/>
    </row>
    <row r="4263" spans="2:13" ht="15.75">
      <c r="B4263" s="79"/>
      <c r="D4263"/>
      <c r="E4263" s="188"/>
      <c r="H4263"/>
      <c r="I4263" s="202"/>
      <c r="J4263"/>
      <c r="K4263" s="205"/>
      <c r="L4263" s="205"/>
      <c r="M4263" s="205"/>
    </row>
    <row r="4264" spans="2:13" ht="15.75">
      <c r="B4264" s="79"/>
      <c r="D4264"/>
      <c r="E4264" s="188"/>
      <c r="H4264"/>
      <c r="I4264" s="202"/>
      <c r="J4264"/>
      <c r="K4264" s="205"/>
      <c r="L4264" s="205"/>
      <c r="M4264" s="205"/>
    </row>
    <row r="4265" spans="2:13" ht="15.75">
      <c r="B4265" s="79"/>
      <c r="D4265"/>
      <c r="E4265" s="188"/>
      <c r="H4265"/>
      <c r="I4265" s="202"/>
      <c r="J4265"/>
      <c r="K4265" s="205"/>
      <c r="L4265" s="205"/>
      <c r="M4265" s="205"/>
    </row>
    <row r="4266" spans="2:13" ht="15.75">
      <c r="B4266" s="79"/>
      <c r="D4266"/>
      <c r="E4266" s="188"/>
      <c r="H4266"/>
      <c r="I4266" s="202"/>
      <c r="J4266"/>
      <c r="K4266" s="205"/>
      <c r="L4266" s="205"/>
      <c r="M4266" s="205"/>
    </row>
    <row r="4267" spans="2:13" ht="15.75">
      <c r="B4267" s="79"/>
      <c r="D4267"/>
      <c r="E4267" s="188"/>
      <c r="H4267"/>
      <c r="I4267" s="202"/>
      <c r="J4267"/>
      <c r="K4267" s="205"/>
      <c r="L4267" s="205"/>
      <c r="M4267" s="205"/>
    </row>
    <row r="4268" spans="2:13" ht="15.75">
      <c r="B4268" s="79"/>
      <c r="D4268"/>
      <c r="E4268" s="188"/>
      <c r="H4268"/>
      <c r="I4268" s="202"/>
      <c r="J4268"/>
      <c r="K4268" s="205"/>
      <c r="L4268" s="205"/>
      <c r="M4268" s="205"/>
    </row>
    <row r="4269" spans="2:13" ht="15.75">
      <c r="B4269" s="79"/>
      <c r="D4269"/>
      <c r="E4269" s="188"/>
      <c r="H4269"/>
      <c r="I4269" s="202"/>
      <c r="J4269"/>
      <c r="K4269" s="205"/>
      <c r="L4269" s="205"/>
      <c r="M4269" s="205"/>
    </row>
    <row r="4270" spans="2:13" ht="15.75">
      <c r="B4270" s="79"/>
      <c r="D4270"/>
      <c r="E4270" s="188"/>
      <c r="H4270"/>
      <c r="I4270" s="202"/>
      <c r="J4270"/>
      <c r="K4270" s="205"/>
      <c r="L4270" s="205"/>
      <c r="M4270" s="205"/>
    </row>
    <row r="4271" spans="2:13" ht="15.75">
      <c r="B4271" s="79"/>
      <c r="D4271"/>
      <c r="E4271" s="188"/>
      <c r="H4271"/>
      <c r="I4271" s="202"/>
      <c r="J4271"/>
      <c r="K4271" s="205"/>
      <c r="L4271" s="205"/>
      <c r="M4271" s="205"/>
    </row>
    <row r="4272" spans="2:13" ht="15.75">
      <c r="B4272" s="79"/>
      <c r="D4272"/>
      <c r="E4272" s="188"/>
      <c r="H4272"/>
      <c r="I4272" s="202"/>
      <c r="J4272"/>
      <c r="K4272" s="205"/>
      <c r="L4272" s="205"/>
      <c r="M4272" s="205"/>
    </row>
    <row r="4273" spans="2:13" ht="15.75">
      <c r="B4273" s="79"/>
      <c r="D4273"/>
      <c r="E4273" s="188"/>
      <c r="H4273"/>
      <c r="I4273" s="202"/>
      <c r="J4273"/>
      <c r="K4273" s="205"/>
      <c r="L4273" s="205"/>
      <c r="M4273" s="205"/>
    </row>
    <row r="4274" spans="2:13" ht="15.75">
      <c r="B4274" s="79"/>
      <c r="D4274"/>
      <c r="E4274" s="188"/>
      <c r="H4274"/>
      <c r="I4274" s="202"/>
      <c r="J4274"/>
      <c r="K4274" s="205"/>
      <c r="L4274" s="205"/>
      <c r="M4274" s="205"/>
    </row>
    <row r="4275" spans="2:13" ht="15.75">
      <c r="B4275" s="79"/>
      <c r="D4275"/>
      <c r="E4275" s="188"/>
      <c r="H4275"/>
      <c r="I4275" s="202"/>
      <c r="J4275"/>
      <c r="K4275" s="205"/>
      <c r="L4275" s="205"/>
      <c r="M4275" s="205"/>
    </row>
    <row r="4276" spans="2:13" ht="15.75">
      <c r="B4276" s="79"/>
      <c r="D4276"/>
      <c r="E4276" s="188"/>
      <c r="H4276"/>
      <c r="I4276" s="202"/>
      <c r="J4276"/>
      <c r="K4276" s="205"/>
      <c r="L4276" s="205"/>
      <c r="M4276" s="205"/>
    </row>
    <row r="4277" spans="2:13" ht="15.75">
      <c r="B4277" s="79"/>
      <c r="D4277"/>
      <c r="E4277" s="188"/>
      <c r="H4277"/>
      <c r="I4277" s="202"/>
      <c r="J4277"/>
      <c r="K4277" s="205"/>
      <c r="L4277" s="205"/>
      <c r="M4277" s="205"/>
    </row>
    <row r="4278" spans="2:13" ht="15.75">
      <c r="B4278" s="79"/>
      <c r="D4278"/>
      <c r="E4278" s="188"/>
      <c r="H4278"/>
      <c r="I4278" s="202"/>
      <c r="J4278"/>
      <c r="K4278" s="205"/>
      <c r="L4278" s="205"/>
      <c r="M4278" s="205"/>
    </row>
    <row r="4279" spans="2:13" ht="15.75">
      <c r="B4279" s="79"/>
      <c r="D4279"/>
      <c r="E4279" s="188"/>
      <c r="H4279"/>
      <c r="I4279" s="202"/>
      <c r="J4279"/>
      <c r="K4279" s="205"/>
      <c r="L4279" s="205"/>
      <c r="M4279" s="205"/>
    </row>
    <row r="4280" spans="2:13" ht="15.75">
      <c r="B4280" s="79"/>
      <c r="D4280"/>
      <c r="E4280" s="188"/>
      <c r="H4280"/>
      <c r="I4280" s="202"/>
      <c r="J4280"/>
      <c r="K4280" s="205"/>
      <c r="L4280" s="205"/>
      <c r="M4280" s="205"/>
    </row>
    <row r="4281" spans="2:13" ht="15.75">
      <c r="B4281" s="79"/>
      <c r="D4281"/>
      <c r="E4281" s="188"/>
      <c r="H4281"/>
      <c r="I4281" s="202"/>
      <c r="J4281"/>
      <c r="K4281" s="205"/>
      <c r="L4281" s="205"/>
      <c r="M4281" s="205"/>
    </row>
    <row r="4282" spans="2:13" ht="15.75">
      <c r="B4282" s="79"/>
      <c r="D4282"/>
      <c r="E4282" s="188"/>
      <c r="H4282"/>
      <c r="I4282" s="202"/>
      <c r="J4282"/>
      <c r="K4282" s="205"/>
      <c r="L4282" s="205"/>
      <c r="M4282" s="205"/>
    </row>
    <row r="4283" spans="2:13" ht="15.75">
      <c r="B4283" s="79"/>
      <c r="D4283"/>
      <c r="E4283" s="188"/>
      <c r="H4283"/>
      <c r="I4283" s="202"/>
      <c r="J4283"/>
      <c r="K4283" s="205"/>
      <c r="L4283" s="205"/>
      <c r="M4283" s="205"/>
    </row>
    <row r="4284" spans="2:13" ht="15.75">
      <c r="B4284" s="79"/>
      <c r="D4284"/>
      <c r="E4284" s="188"/>
      <c r="H4284"/>
      <c r="I4284" s="202"/>
      <c r="J4284"/>
      <c r="K4284" s="205"/>
      <c r="L4284" s="205"/>
      <c r="M4284" s="205"/>
    </row>
    <row r="4285" spans="2:13" ht="15.75">
      <c r="B4285" s="79"/>
      <c r="D4285"/>
      <c r="E4285" s="188"/>
      <c r="H4285"/>
      <c r="I4285" s="202"/>
      <c r="J4285"/>
      <c r="K4285" s="205"/>
      <c r="L4285" s="205"/>
      <c r="M4285" s="205"/>
    </row>
    <row r="4286" spans="2:13" ht="15.75">
      <c r="B4286" s="79"/>
      <c r="D4286"/>
      <c r="E4286" s="188"/>
      <c r="H4286"/>
      <c r="I4286" s="202"/>
      <c r="J4286"/>
      <c r="K4286" s="205"/>
      <c r="L4286" s="205"/>
      <c r="M4286" s="205"/>
    </row>
    <row r="4287" spans="2:13" ht="15.75">
      <c r="B4287" s="79"/>
      <c r="D4287"/>
      <c r="E4287" s="188"/>
      <c r="H4287"/>
      <c r="I4287" s="202"/>
      <c r="J4287"/>
      <c r="K4287" s="205"/>
      <c r="L4287" s="205"/>
      <c r="M4287" s="205"/>
    </row>
    <row r="4288" spans="2:13" ht="15.75">
      <c r="B4288" s="79"/>
      <c r="D4288"/>
      <c r="E4288" s="188"/>
      <c r="H4288"/>
      <c r="I4288" s="202"/>
      <c r="J4288"/>
      <c r="K4288" s="205"/>
      <c r="L4288" s="205"/>
      <c r="M4288" s="205"/>
    </row>
    <row r="4289" spans="2:13" ht="15.75">
      <c r="B4289" s="79"/>
      <c r="D4289"/>
      <c r="E4289" s="188"/>
      <c r="H4289"/>
      <c r="I4289" s="202"/>
      <c r="J4289"/>
      <c r="K4289" s="205"/>
      <c r="L4289" s="205"/>
      <c r="M4289" s="205"/>
    </row>
    <row r="4290" spans="2:13" ht="15.75">
      <c r="B4290" s="79"/>
      <c r="D4290"/>
      <c r="E4290" s="188"/>
      <c r="H4290"/>
      <c r="I4290" s="202"/>
      <c r="J4290"/>
      <c r="K4290" s="205"/>
      <c r="L4290" s="205"/>
      <c r="M4290" s="205"/>
    </row>
    <row r="4291" spans="2:13" ht="15.75">
      <c r="B4291" s="79"/>
      <c r="D4291"/>
      <c r="E4291" s="188"/>
      <c r="H4291"/>
      <c r="I4291" s="202"/>
      <c r="J4291"/>
      <c r="K4291" s="205"/>
      <c r="L4291" s="205"/>
      <c r="M4291" s="205"/>
    </row>
    <row r="4292" spans="2:13" ht="15.75">
      <c r="B4292" s="79"/>
      <c r="D4292"/>
      <c r="E4292" s="188"/>
      <c r="H4292"/>
      <c r="I4292" s="202"/>
      <c r="J4292"/>
      <c r="K4292" s="205"/>
      <c r="L4292" s="205"/>
      <c r="M4292" s="205"/>
    </row>
    <row r="4293" spans="2:13" ht="15.75">
      <c r="B4293" s="79"/>
      <c r="D4293"/>
      <c r="E4293" s="188"/>
      <c r="H4293"/>
      <c r="I4293" s="202"/>
      <c r="J4293"/>
      <c r="K4293" s="205"/>
      <c r="L4293" s="205"/>
      <c r="M4293" s="205"/>
    </row>
    <row r="4294" spans="2:13" ht="15.75">
      <c r="B4294" s="79"/>
      <c r="D4294"/>
      <c r="E4294" s="188"/>
      <c r="H4294"/>
      <c r="I4294" s="202"/>
      <c r="J4294"/>
      <c r="K4294" s="205"/>
      <c r="L4294" s="205"/>
      <c r="M4294" s="205"/>
    </row>
    <row r="4295" spans="2:13" ht="15.75">
      <c r="B4295" s="79"/>
      <c r="D4295"/>
      <c r="E4295" s="188"/>
      <c r="H4295"/>
      <c r="I4295" s="202"/>
      <c r="J4295"/>
      <c r="K4295" s="205"/>
      <c r="L4295" s="205"/>
      <c r="M4295" s="205"/>
    </row>
    <row r="4296" spans="2:13" ht="15.75">
      <c r="B4296" s="79"/>
      <c r="D4296"/>
      <c r="E4296" s="188"/>
      <c r="H4296"/>
      <c r="I4296" s="202"/>
      <c r="J4296"/>
      <c r="K4296" s="205"/>
      <c r="L4296" s="205"/>
      <c r="M4296" s="205"/>
    </row>
    <row r="4297" spans="2:13" ht="15.75">
      <c r="B4297" s="79"/>
      <c r="D4297"/>
      <c r="E4297" s="188"/>
      <c r="H4297"/>
      <c r="I4297" s="202"/>
      <c r="J4297"/>
      <c r="K4297" s="205"/>
      <c r="L4297" s="205"/>
      <c r="M4297" s="205"/>
    </row>
    <row r="4298" spans="2:13" ht="15.75">
      <c r="B4298" s="79"/>
      <c r="D4298"/>
      <c r="E4298" s="188"/>
      <c r="H4298"/>
      <c r="I4298" s="202"/>
      <c r="J4298"/>
      <c r="K4298" s="205"/>
      <c r="L4298" s="205"/>
      <c r="M4298" s="205"/>
    </row>
    <row r="4299" spans="2:13" ht="15.75">
      <c r="B4299" s="79"/>
      <c r="D4299"/>
      <c r="E4299" s="188"/>
      <c r="H4299"/>
      <c r="I4299" s="202"/>
      <c r="J4299"/>
      <c r="K4299" s="205"/>
      <c r="L4299" s="205"/>
      <c r="M4299" s="205"/>
    </row>
    <row r="4300" spans="2:13" ht="15.75">
      <c r="B4300" s="79"/>
      <c r="D4300"/>
      <c r="E4300" s="188"/>
      <c r="H4300"/>
      <c r="I4300" s="202"/>
      <c r="J4300"/>
      <c r="K4300" s="205"/>
      <c r="L4300" s="205"/>
      <c r="M4300" s="205"/>
    </row>
    <row r="4301" spans="2:13" ht="15.75">
      <c r="B4301" s="79"/>
      <c r="D4301"/>
      <c r="E4301" s="188"/>
      <c r="H4301"/>
      <c r="I4301" s="202"/>
      <c r="J4301"/>
      <c r="K4301" s="205"/>
      <c r="L4301" s="205"/>
      <c r="M4301" s="205"/>
    </row>
    <row r="4302" spans="2:13" ht="15.75">
      <c r="B4302" s="79"/>
      <c r="D4302"/>
      <c r="E4302" s="188"/>
      <c r="H4302"/>
      <c r="I4302" s="202"/>
      <c r="J4302"/>
      <c r="K4302" s="205"/>
      <c r="L4302" s="205"/>
      <c r="M4302" s="205"/>
    </row>
    <row r="4303" spans="2:13" ht="15.75">
      <c r="B4303" s="79"/>
      <c r="D4303"/>
      <c r="E4303" s="188"/>
      <c r="H4303"/>
      <c r="I4303" s="202"/>
      <c r="J4303"/>
      <c r="K4303" s="205"/>
      <c r="L4303" s="205"/>
      <c r="M4303" s="205"/>
    </row>
    <row r="4304" spans="2:13" ht="15.75">
      <c r="B4304" s="79"/>
      <c r="D4304"/>
      <c r="E4304" s="188"/>
      <c r="H4304"/>
      <c r="I4304" s="202"/>
      <c r="J4304"/>
      <c r="K4304" s="205"/>
      <c r="L4304" s="205"/>
      <c r="M4304" s="205"/>
    </row>
    <row r="4305" spans="2:13" ht="15.75">
      <c r="B4305" s="79"/>
      <c r="D4305"/>
      <c r="E4305" s="188"/>
      <c r="H4305"/>
      <c r="I4305" s="202"/>
      <c r="J4305"/>
      <c r="K4305" s="205"/>
      <c r="L4305" s="205"/>
      <c r="M4305" s="205"/>
    </row>
    <row r="4306" spans="2:13" ht="15.75">
      <c r="B4306" s="79"/>
      <c r="D4306"/>
      <c r="E4306" s="188"/>
      <c r="H4306"/>
      <c r="I4306" s="202"/>
      <c r="J4306"/>
      <c r="K4306" s="205"/>
      <c r="L4306" s="205"/>
      <c r="M4306" s="205"/>
    </row>
    <row r="4307" spans="2:13" ht="15.75">
      <c r="B4307" s="79"/>
      <c r="D4307"/>
      <c r="E4307" s="188"/>
      <c r="H4307"/>
      <c r="I4307" s="202"/>
      <c r="J4307"/>
      <c r="K4307" s="205"/>
      <c r="L4307" s="205"/>
      <c r="M4307" s="205"/>
    </row>
    <row r="4308" spans="2:13" ht="15.75">
      <c r="B4308" s="79"/>
      <c r="D4308"/>
      <c r="E4308" s="188"/>
      <c r="H4308"/>
      <c r="I4308" s="202"/>
      <c r="J4308"/>
      <c r="K4308" s="205"/>
      <c r="L4308" s="205"/>
      <c r="M4308" s="205"/>
    </row>
    <row r="4309" spans="2:13" ht="15.75">
      <c r="B4309" s="79"/>
      <c r="D4309"/>
      <c r="E4309" s="188"/>
      <c r="H4309"/>
      <c r="I4309" s="202"/>
      <c r="J4309"/>
      <c r="K4309" s="205"/>
      <c r="L4309" s="205"/>
      <c r="M4309" s="205"/>
    </row>
    <row r="4310" spans="2:13" ht="15.75">
      <c r="B4310" s="79"/>
      <c r="D4310"/>
      <c r="E4310" s="188"/>
      <c r="H4310"/>
      <c r="I4310" s="202"/>
      <c r="J4310"/>
      <c r="K4310" s="205"/>
      <c r="L4310" s="205"/>
      <c r="M4310" s="205"/>
    </row>
    <row r="4311" spans="2:13" ht="15.75">
      <c r="B4311" s="79"/>
      <c r="D4311"/>
      <c r="E4311" s="188"/>
      <c r="H4311"/>
      <c r="I4311" s="202"/>
      <c r="J4311"/>
      <c r="K4311" s="205"/>
      <c r="L4311" s="205"/>
      <c r="M4311" s="205"/>
    </row>
    <row r="4312" spans="2:13" ht="15.75">
      <c r="B4312" s="79"/>
      <c r="D4312"/>
      <c r="E4312" s="188"/>
      <c r="H4312"/>
      <c r="I4312" s="202"/>
      <c r="J4312"/>
      <c r="K4312" s="205"/>
      <c r="L4312" s="205"/>
      <c r="M4312" s="205"/>
    </row>
    <row r="4313" spans="2:13" ht="15.75">
      <c r="B4313" s="79"/>
      <c r="D4313"/>
      <c r="E4313" s="188"/>
      <c r="H4313"/>
      <c r="I4313" s="202"/>
      <c r="J4313"/>
      <c r="K4313" s="205"/>
      <c r="L4313" s="205"/>
      <c r="M4313" s="205"/>
    </row>
    <row r="4314" spans="2:13" ht="15.75">
      <c r="B4314" s="79"/>
      <c r="D4314"/>
      <c r="E4314" s="188"/>
      <c r="H4314"/>
      <c r="I4314" s="202"/>
      <c r="J4314"/>
      <c r="K4314" s="205"/>
      <c r="L4314" s="205"/>
      <c r="M4314" s="205"/>
    </row>
    <row r="4315" spans="2:13" ht="15.75">
      <c r="B4315" s="79"/>
      <c r="D4315"/>
      <c r="E4315" s="188"/>
      <c r="H4315"/>
      <c r="I4315" s="202"/>
      <c r="J4315"/>
      <c r="K4315" s="205"/>
      <c r="L4315" s="205"/>
      <c r="M4315" s="205"/>
    </row>
    <row r="4316" spans="2:13" ht="15.75">
      <c r="B4316" s="79"/>
      <c r="D4316"/>
      <c r="E4316" s="188"/>
      <c r="H4316"/>
      <c r="I4316" s="202"/>
      <c r="J4316"/>
      <c r="K4316" s="205"/>
      <c r="L4316" s="205"/>
      <c r="M4316" s="205"/>
    </row>
    <row r="4317" spans="2:13" ht="15.75">
      <c r="B4317" s="79"/>
      <c r="D4317"/>
      <c r="E4317" s="188"/>
      <c r="H4317"/>
      <c r="I4317" s="202"/>
      <c r="J4317"/>
      <c r="K4317" s="205"/>
      <c r="L4317" s="205"/>
      <c r="M4317" s="205"/>
    </row>
    <row r="4318" spans="2:13" ht="15.75">
      <c r="B4318" s="79"/>
      <c r="D4318"/>
      <c r="E4318" s="188"/>
      <c r="H4318"/>
      <c r="I4318" s="202"/>
      <c r="J4318"/>
      <c r="K4318" s="205"/>
      <c r="L4318" s="205"/>
      <c r="M4318" s="205"/>
    </row>
    <row r="4319" spans="2:13" ht="15.75">
      <c r="B4319" s="79"/>
      <c r="D4319"/>
      <c r="E4319" s="188"/>
      <c r="H4319"/>
      <c r="I4319" s="202"/>
      <c r="J4319"/>
      <c r="K4319" s="205"/>
      <c r="L4319" s="205"/>
      <c r="M4319" s="205"/>
    </row>
    <row r="4320" spans="2:13" ht="15.75">
      <c r="B4320" s="79"/>
      <c r="D4320"/>
      <c r="E4320" s="188"/>
      <c r="H4320"/>
      <c r="I4320" s="202"/>
      <c r="J4320"/>
      <c r="K4320" s="205"/>
      <c r="L4320" s="205"/>
      <c r="M4320" s="205"/>
    </row>
    <row r="4321" spans="2:13" ht="15.75">
      <c r="B4321" s="79"/>
      <c r="D4321"/>
      <c r="E4321" s="188"/>
      <c r="H4321"/>
      <c r="I4321" s="202"/>
      <c r="J4321"/>
      <c r="K4321" s="205"/>
      <c r="L4321" s="205"/>
      <c r="M4321" s="205"/>
    </row>
    <row r="4322" spans="2:13" ht="15.75">
      <c r="B4322" s="79"/>
      <c r="D4322"/>
      <c r="E4322" s="188"/>
      <c r="H4322"/>
      <c r="I4322" s="202"/>
      <c r="J4322"/>
      <c r="K4322" s="205"/>
      <c r="L4322" s="205"/>
      <c r="M4322" s="205"/>
    </row>
    <row r="4323" spans="2:13" ht="15.75">
      <c r="B4323" s="79"/>
      <c r="D4323"/>
      <c r="E4323" s="188"/>
      <c r="H4323"/>
      <c r="I4323" s="202"/>
      <c r="J4323"/>
      <c r="K4323" s="205"/>
      <c r="L4323" s="205"/>
      <c r="M4323" s="205"/>
    </row>
    <row r="4324" spans="2:13" ht="15.75">
      <c r="B4324" s="79"/>
      <c r="D4324"/>
      <c r="E4324" s="188"/>
      <c r="H4324"/>
      <c r="I4324" s="202"/>
      <c r="J4324"/>
      <c r="K4324" s="205"/>
      <c r="L4324" s="205"/>
      <c r="M4324" s="205"/>
    </row>
    <row r="4325" spans="2:13" ht="15.75">
      <c r="B4325" s="79"/>
      <c r="D4325"/>
      <c r="E4325" s="188"/>
      <c r="H4325"/>
      <c r="I4325" s="202"/>
      <c r="J4325"/>
      <c r="K4325" s="205"/>
      <c r="L4325" s="205"/>
      <c r="M4325" s="205"/>
    </row>
    <row r="4326" spans="2:13" ht="15.75">
      <c r="B4326" s="79"/>
      <c r="D4326"/>
      <c r="E4326" s="188"/>
      <c r="H4326"/>
      <c r="I4326" s="202"/>
      <c r="J4326"/>
      <c r="K4326" s="205"/>
      <c r="L4326" s="205"/>
      <c r="M4326" s="205"/>
    </row>
    <row r="4327" spans="2:13" ht="15.75">
      <c r="B4327" s="79"/>
      <c r="D4327"/>
      <c r="E4327" s="188"/>
      <c r="H4327"/>
      <c r="I4327" s="202"/>
      <c r="J4327"/>
      <c r="K4327" s="205"/>
      <c r="L4327" s="205"/>
      <c r="M4327" s="205"/>
    </row>
    <row r="4328" spans="2:13" ht="15.75">
      <c r="B4328" s="79"/>
      <c r="D4328"/>
      <c r="E4328" s="188"/>
      <c r="H4328"/>
      <c r="I4328" s="202"/>
      <c r="J4328"/>
      <c r="K4328" s="205"/>
      <c r="L4328" s="205"/>
      <c r="M4328" s="205"/>
    </row>
    <row r="4329" spans="2:13" ht="15.75">
      <c r="B4329" s="79"/>
      <c r="D4329"/>
      <c r="E4329" s="188"/>
      <c r="H4329"/>
      <c r="I4329" s="202"/>
      <c r="J4329"/>
      <c r="K4329" s="205"/>
      <c r="L4329" s="205"/>
      <c r="M4329" s="205"/>
    </row>
    <row r="4330" spans="2:13" ht="15.75">
      <c r="B4330" s="79"/>
      <c r="D4330"/>
      <c r="E4330" s="188"/>
      <c r="H4330"/>
      <c r="I4330" s="202"/>
      <c r="J4330"/>
      <c r="K4330" s="205"/>
      <c r="L4330" s="205"/>
      <c r="M4330" s="205"/>
    </row>
    <row r="4331" spans="2:13" ht="15.75">
      <c r="B4331" s="79"/>
      <c r="D4331"/>
      <c r="E4331" s="188"/>
      <c r="H4331"/>
      <c r="I4331" s="202"/>
      <c r="J4331"/>
      <c r="K4331" s="205"/>
      <c r="L4331" s="205"/>
      <c r="M4331" s="205"/>
    </row>
    <row r="4332" spans="2:13" ht="15.75">
      <c r="B4332" s="79"/>
      <c r="D4332"/>
      <c r="E4332" s="188"/>
      <c r="H4332"/>
      <c r="I4332" s="202"/>
      <c r="J4332"/>
      <c r="K4332" s="205"/>
      <c r="L4332" s="205"/>
      <c r="M4332" s="205"/>
    </row>
    <row r="4333" spans="2:13" ht="15.75">
      <c r="B4333" s="79"/>
      <c r="D4333"/>
      <c r="E4333" s="188"/>
      <c r="H4333"/>
      <c r="I4333" s="202"/>
      <c r="J4333"/>
      <c r="K4333" s="205"/>
      <c r="L4333" s="205"/>
      <c r="M4333" s="205"/>
    </row>
    <row r="4334" spans="2:13" ht="15.75">
      <c r="B4334" s="79"/>
      <c r="D4334"/>
      <c r="E4334" s="188"/>
      <c r="H4334"/>
      <c r="I4334" s="202"/>
      <c r="J4334"/>
      <c r="K4334" s="205"/>
      <c r="L4334" s="205"/>
      <c r="M4334" s="205"/>
    </row>
    <row r="4335" spans="2:13" ht="15.75">
      <c r="B4335" s="79"/>
      <c r="D4335"/>
      <c r="E4335" s="188"/>
      <c r="H4335"/>
      <c r="I4335" s="202"/>
      <c r="J4335"/>
      <c r="K4335" s="205"/>
      <c r="L4335" s="205"/>
      <c r="M4335" s="205"/>
    </row>
    <row r="4336" spans="2:13" ht="15.75">
      <c r="B4336" s="79"/>
      <c r="D4336"/>
      <c r="E4336" s="188"/>
      <c r="H4336"/>
      <c r="I4336" s="202"/>
      <c r="J4336"/>
      <c r="K4336" s="205"/>
      <c r="L4336" s="205"/>
      <c r="M4336" s="205"/>
    </row>
    <row r="4337" spans="2:13" ht="15.75">
      <c r="B4337" s="79"/>
      <c r="D4337"/>
      <c r="E4337" s="188"/>
      <c r="H4337"/>
      <c r="I4337" s="202"/>
      <c r="J4337"/>
      <c r="K4337" s="205"/>
      <c r="L4337" s="205"/>
      <c r="M4337" s="205"/>
    </row>
    <row r="4338" spans="2:13" ht="15.75">
      <c r="B4338" s="79"/>
      <c r="D4338"/>
      <c r="E4338" s="188"/>
      <c r="H4338"/>
      <c r="I4338" s="202"/>
      <c r="J4338"/>
      <c r="K4338" s="205"/>
      <c r="L4338" s="205"/>
      <c r="M4338" s="205"/>
    </row>
    <row r="4339" spans="2:13" ht="15.75">
      <c r="B4339" s="79"/>
      <c r="D4339"/>
      <c r="E4339" s="188"/>
      <c r="H4339"/>
      <c r="I4339" s="202"/>
      <c r="J4339"/>
      <c r="K4339" s="205"/>
      <c r="L4339" s="205"/>
      <c r="M4339" s="205"/>
    </row>
    <row r="4340" spans="2:13" ht="15.75">
      <c r="B4340" s="79"/>
      <c r="D4340"/>
      <c r="E4340" s="188"/>
      <c r="H4340"/>
      <c r="I4340" s="202"/>
      <c r="J4340"/>
      <c r="K4340" s="205"/>
      <c r="L4340" s="205"/>
      <c r="M4340" s="205"/>
    </row>
    <row r="4341" spans="2:13" ht="15.75">
      <c r="B4341" s="79"/>
      <c r="D4341"/>
      <c r="E4341" s="188"/>
      <c r="H4341"/>
      <c r="I4341" s="202"/>
      <c r="J4341"/>
      <c r="K4341" s="205"/>
      <c r="L4341" s="205"/>
      <c r="M4341" s="205"/>
    </row>
    <row r="4342" spans="2:13" ht="15.75">
      <c r="B4342" s="79"/>
      <c r="D4342"/>
      <c r="E4342" s="188"/>
      <c r="H4342"/>
      <c r="I4342" s="202"/>
      <c r="J4342"/>
      <c r="K4342" s="205"/>
      <c r="L4342" s="205"/>
      <c r="M4342" s="205"/>
    </row>
    <row r="4343" spans="2:13" ht="15.75">
      <c r="B4343" s="79"/>
      <c r="D4343"/>
      <c r="E4343" s="188"/>
      <c r="H4343"/>
      <c r="I4343" s="202"/>
      <c r="J4343"/>
      <c r="K4343" s="205"/>
      <c r="L4343" s="205"/>
      <c r="M4343" s="205"/>
    </row>
    <row r="4344" spans="2:13" ht="15.75">
      <c r="B4344" s="79"/>
      <c r="D4344"/>
      <c r="E4344" s="188"/>
      <c r="H4344"/>
      <c r="I4344" s="202"/>
      <c r="J4344"/>
      <c r="K4344" s="205"/>
      <c r="L4344" s="205"/>
      <c r="M4344" s="205"/>
    </row>
    <row r="4345" spans="2:13" ht="15.75">
      <c r="B4345" s="79"/>
      <c r="D4345"/>
      <c r="E4345" s="188"/>
      <c r="H4345"/>
      <c r="I4345" s="202"/>
      <c r="J4345"/>
      <c r="K4345" s="205"/>
      <c r="L4345" s="205"/>
      <c r="M4345" s="205"/>
    </row>
    <row r="4346" spans="2:13" ht="15.75">
      <c r="B4346" s="79"/>
      <c r="D4346"/>
      <c r="E4346" s="188"/>
      <c r="H4346"/>
      <c r="I4346" s="202"/>
      <c r="J4346"/>
      <c r="K4346" s="205"/>
      <c r="L4346" s="205"/>
      <c r="M4346" s="205"/>
    </row>
    <row r="4347" spans="2:13" ht="15.75">
      <c r="B4347" s="79"/>
      <c r="D4347"/>
      <c r="E4347" s="188"/>
      <c r="H4347"/>
      <c r="I4347" s="202"/>
      <c r="J4347"/>
      <c r="K4347" s="205"/>
      <c r="L4347" s="205"/>
      <c r="M4347" s="205"/>
    </row>
    <row r="4348" spans="2:13" ht="15.75">
      <c r="B4348" s="79"/>
      <c r="D4348"/>
      <c r="E4348" s="188"/>
      <c r="H4348"/>
      <c r="I4348" s="202"/>
      <c r="J4348"/>
      <c r="K4348" s="205"/>
      <c r="L4348" s="205"/>
      <c r="M4348" s="205"/>
    </row>
    <row r="4349" spans="2:13" ht="15.75">
      <c r="B4349" s="79"/>
      <c r="D4349"/>
      <c r="E4349" s="188"/>
      <c r="H4349"/>
      <c r="I4349" s="202"/>
      <c r="J4349"/>
      <c r="K4349" s="205"/>
      <c r="L4349" s="205"/>
      <c r="M4349" s="205"/>
    </row>
    <row r="4350" spans="2:13" ht="15.75">
      <c r="B4350" s="79"/>
      <c r="D4350"/>
      <c r="E4350" s="188"/>
      <c r="H4350"/>
      <c r="I4350" s="202"/>
      <c r="J4350"/>
      <c r="K4350" s="205"/>
      <c r="L4350" s="205"/>
      <c r="M4350" s="205"/>
    </row>
    <row r="4351" spans="2:13" ht="15.75">
      <c r="B4351" s="79"/>
      <c r="D4351"/>
      <c r="E4351" s="188"/>
      <c r="H4351"/>
      <c r="I4351" s="202"/>
      <c r="J4351"/>
      <c r="K4351" s="205"/>
      <c r="L4351" s="205"/>
      <c r="M4351" s="205"/>
    </row>
    <row r="4352" spans="2:13" ht="15.75">
      <c r="B4352" s="79"/>
      <c r="D4352"/>
      <c r="E4352" s="188"/>
      <c r="H4352"/>
      <c r="I4352" s="202"/>
      <c r="J4352"/>
      <c r="K4352" s="205"/>
      <c r="L4352" s="205"/>
      <c r="M4352" s="205"/>
    </row>
    <row r="4353" spans="2:13" ht="15.75">
      <c r="B4353" s="79"/>
      <c r="D4353"/>
      <c r="E4353" s="188"/>
      <c r="H4353"/>
      <c r="I4353" s="202"/>
      <c r="J4353"/>
      <c r="K4353" s="205"/>
      <c r="L4353" s="205"/>
      <c r="M4353" s="205"/>
    </row>
    <row r="4354" spans="2:13" ht="15.75">
      <c r="B4354" s="79"/>
      <c r="D4354"/>
      <c r="E4354" s="188"/>
      <c r="H4354"/>
      <c r="I4354" s="202"/>
      <c r="J4354"/>
      <c r="K4354" s="205"/>
      <c r="L4354" s="205"/>
      <c r="M4354" s="205"/>
    </row>
    <row r="4355" spans="2:13" ht="15.75">
      <c r="B4355" s="79"/>
      <c r="D4355"/>
      <c r="E4355" s="188"/>
      <c r="H4355"/>
      <c r="I4355" s="202"/>
      <c r="J4355"/>
      <c r="K4355" s="205"/>
      <c r="L4355" s="205"/>
      <c r="M4355" s="205"/>
    </row>
    <row r="4356" spans="2:13" ht="15.75">
      <c r="B4356" s="79"/>
      <c r="D4356"/>
      <c r="E4356" s="188"/>
      <c r="H4356"/>
      <c r="I4356" s="202"/>
      <c r="J4356"/>
      <c r="K4356" s="205"/>
      <c r="L4356" s="205"/>
      <c r="M4356" s="205"/>
    </row>
    <row r="4357" spans="2:13" ht="15.75">
      <c r="B4357" s="79"/>
      <c r="D4357"/>
      <c r="E4357" s="188"/>
      <c r="H4357"/>
      <c r="I4357" s="202"/>
      <c r="J4357"/>
      <c r="K4357" s="205"/>
      <c r="L4357" s="205"/>
      <c r="M4357" s="205"/>
    </row>
    <row r="4358" spans="2:13" ht="15.75">
      <c r="B4358" s="79"/>
      <c r="D4358"/>
      <c r="E4358" s="188"/>
      <c r="H4358"/>
      <c r="I4358" s="202"/>
      <c r="J4358"/>
      <c r="K4358" s="205"/>
      <c r="L4358" s="205"/>
      <c r="M4358" s="205"/>
    </row>
    <row r="4359" spans="2:13" ht="15.75">
      <c r="B4359" s="79"/>
      <c r="D4359"/>
      <c r="E4359" s="188"/>
      <c r="H4359"/>
      <c r="I4359" s="202"/>
      <c r="J4359"/>
      <c r="K4359" s="205"/>
      <c r="L4359" s="205"/>
      <c r="M4359" s="205"/>
    </row>
    <row r="4360" spans="2:13" ht="15.75">
      <c r="B4360" s="79"/>
      <c r="D4360"/>
      <c r="E4360" s="188"/>
      <c r="H4360"/>
      <c r="I4360" s="202"/>
      <c r="J4360"/>
      <c r="K4360" s="205"/>
      <c r="L4360" s="205"/>
      <c r="M4360" s="205"/>
    </row>
    <row r="4361" spans="2:13" ht="15.75">
      <c r="B4361" s="79"/>
      <c r="D4361"/>
      <c r="E4361" s="188"/>
      <c r="H4361"/>
      <c r="I4361" s="202"/>
      <c r="J4361"/>
      <c r="K4361" s="205"/>
      <c r="L4361" s="205"/>
      <c r="M4361" s="205"/>
    </row>
    <row r="4362" spans="2:13" ht="15.75">
      <c r="B4362" s="79"/>
      <c r="D4362"/>
      <c r="E4362" s="188"/>
      <c r="H4362"/>
      <c r="I4362" s="202"/>
      <c r="J4362"/>
      <c r="K4362" s="205"/>
      <c r="L4362" s="205"/>
      <c r="M4362" s="205"/>
    </row>
    <row r="4363" spans="2:13" ht="15.75">
      <c r="B4363" s="79"/>
      <c r="D4363"/>
      <c r="E4363" s="188"/>
      <c r="H4363"/>
      <c r="I4363" s="202"/>
      <c r="J4363"/>
      <c r="K4363" s="205"/>
      <c r="L4363" s="205"/>
      <c r="M4363" s="205"/>
    </row>
    <row r="4364" spans="2:13" ht="15.75">
      <c r="B4364" s="79"/>
      <c r="D4364"/>
      <c r="E4364" s="188"/>
      <c r="H4364"/>
      <c r="I4364" s="202"/>
      <c r="J4364"/>
      <c r="K4364" s="205"/>
      <c r="L4364" s="205"/>
      <c r="M4364" s="205"/>
    </row>
    <row r="4365" spans="2:13" ht="15.75">
      <c r="B4365" s="79"/>
      <c r="D4365"/>
      <c r="E4365" s="188"/>
      <c r="H4365"/>
      <c r="I4365" s="202"/>
      <c r="J4365"/>
      <c r="K4365" s="205"/>
      <c r="L4365" s="205"/>
      <c r="M4365" s="205"/>
    </row>
    <row r="4366" spans="2:13" ht="15.75">
      <c r="B4366" s="79"/>
      <c r="D4366"/>
      <c r="E4366" s="188"/>
      <c r="H4366"/>
      <c r="I4366" s="202"/>
      <c r="J4366"/>
      <c r="K4366" s="205"/>
      <c r="L4366" s="205"/>
      <c r="M4366" s="205"/>
    </row>
    <row r="4367" spans="2:13" ht="15.75">
      <c r="B4367" s="79"/>
      <c r="D4367"/>
      <c r="E4367" s="188"/>
      <c r="H4367"/>
      <c r="I4367" s="202"/>
      <c r="J4367"/>
      <c r="K4367" s="205"/>
      <c r="L4367" s="205"/>
      <c r="M4367" s="205"/>
    </row>
    <row r="4368" spans="2:13" ht="15.75">
      <c r="B4368" s="79"/>
      <c r="D4368"/>
      <c r="E4368" s="188"/>
      <c r="H4368"/>
      <c r="I4368" s="202"/>
      <c r="J4368"/>
      <c r="K4368" s="205"/>
      <c r="L4368" s="205"/>
      <c r="M4368" s="205"/>
    </row>
    <row r="4369" spans="2:13" ht="15.75">
      <c r="B4369" s="79"/>
      <c r="D4369"/>
      <c r="E4369" s="188"/>
      <c r="H4369"/>
      <c r="I4369" s="202"/>
      <c r="J4369"/>
      <c r="K4369" s="205"/>
      <c r="L4369" s="205"/>
      <c r="M4369" s="205"/>
    </row>
    <row r="4370" spans="2:13" ht="15.75">
      <c r="B4370" s="79"/>
      <c r="D4370"/>
      <c r="E4370" s="188"/>
      <c r="H4370"/>
      <c r="I4370" s="202"/>
      <c r="J4370"/>
      <c r="K4370" s="205"/>
      <c r="L4370" s="205"/>
      <c r="M4370" s="205"/>
    </row>
    <row r="4371" spans="2:13" ht="15.75">
      <c r="B4371" s="79"/>
      <c r="D4371"/>
      <c r="E4371" s="188"/>
      <c r="H4371"/>
      <c r="I4371" s="202"/>
      <c r="J4371"/>
      <c r="K4371" s="205"/>
      <c r="L4371" s="205"/>
      <c r="M4371" s="205"/>
    </row>
    <row r="4372" spans="2:13" ht="15.75">
      <c r="B4372" s="79"/>
      <c r="D4372"/>
      <c r="E4372" s="188"/>
      <c r="H4372"/>
      <c r="I4372" s="202"/>
      <c r="J4372"/>
      <c r="K4372" s="205"/>
      <c r="L4372" s="205"/>
      <c r="M4372" s="205"/>
    </row>
    <row r="4373" spans="2:13" ht="15.75">
      <c r="B4373" s="79"/>
      <c r="D4373"/>
      <c r="E4373" s="188"/>
      <c r="H4373"/>
      <c r="I4373" s="202"/>
      <c r="J4373"/>
      <c r="K4373" s="205"/>
      <c r="L4373" s="205"/>
      <c r="M4373" s="205"/>
    </row>
    <row r="4374" spans="2:13" ht="15.75">
      <c r="B4374" s="79"/>
      <c r="D4374"/>
      <c r="E4374" s="188"/>
      <c r="H4374"/>
      <c r="I4374" s="202"/>
      <c r="J4374"/>
      <c r="K4374" s="205"/>
      <c r="L4374" s="205"/>
      <c r="M4374" s="205"/>
    </row>
    <row r="4375" spans="2:13" ht="15.75">
      <c r="B4375" s="79"/>
      <c r="D4375"/>
      <c r="E4375" s="188"/>
      <c r="H4375"/>
      <c r="I4375" s="202"/>
      <c r="J4375"/>
      <c r="K4375" s="205"/>
      <c r="L4375" s="205"/>
      <c r="M4375" s="205"/>
    </row>
    <row r="4376" spans="2:13" ht="15.75">
      <c r="B4376" s="79"/>
      <c r="D4376"/>
      <c r="E4376" s="188"/>
      <c r="H4376"/>
      <c r="I4376" s="202"/>
      <c r="J4376"/>
      <c r="K4376" s="205"/>
      <c r="L4376" s="205"/>
      <c r="M4376" s="205"/>
    </row>
    <row r="4377" spans="2:13" ht="15.75">
      <c r="B4377" s="79"/>
      <c r="D4377"/>
      <c r="E4377" s="188"/>
      <c r="H4377"/>
      <c r="I4377" s="202"/>
      <c r="J4377"/>
      <c r="K4377" s="205"/>
      <c r="L4377" s="205"/>
      <c r="M4377" s="205"/>
    </row>
    <row r="4378" spans="2:13" ht="15.75">
      <c r="B4378" s="79"/>
      <c r="D4378"/>
      <c r="E4378" s="188"/>
      <c r="H4378"/>
      <c r="I4378" s="202"/>
      <c r="J4378"/>
      <c r="K4378" s="205"/>
      <c r="L4378" s="205"/>
      <c r="M4378" s="205"/>
    </row>
    <row r="4379" spans="2:13" ht="15.75">
      <c r="B4379" s="79"/>
      <c r="D4379"/>
      <c r="E4379" s="188"/>
      <c r="H4379"/>
      <c r="I4379" s="202"/>
      <c r="J4379"/>
      <c r="K4379" s="205"/>
      <c r="L4379" s="205"/>
      <c r="M4379" s="205"/>
    </row>
    <row r="4380" spans="2:13" ht="15.75">
      <c r="B4380" s="79"/>
      <c r="D4380"/>
      <c r="E4380" s="188"/>
      <c r="H4380"/>
      <c r="I4380" s="202"/>
      <c r="J4380"/>
      <c r="K4380" s="205"/>
      <c r="L4380" s="205"/>
      <c r="M4380" s="205"/>
    </row>
    <row r="4381" spans="2:13" ht="15.75">
      <c r="B4381" s="79"/>
      <c r="D4381"/>
      <c r="E4381" s="188"/>
      <c r="H4381"/>
      <c r="I4381" s="202"/>
      <c r="J4381"/>
      <c r="K4381" s="205"/>
      <c r="L4381" s="205"/>
      <c r="M4381" s="205"/>
    </row>
    <row r="4382" spans="2:13" ht="15.75">
      <c r="B4382" s="79"/>
      <c r="D4382"/>
      <c r="E4382" s="188"/>
      <c r="H4382"/>
      <c r="I4382" s="202"/>
      <c r="J4382"/>
      <c r="K4382" s="205"/>
      <c r="L4382" s="205"/>
      <c r="M4382" s="205"/>
    </row>
    <row r="4383" spans="2:13" ht="15.75">
      <c r="B4383" s="79"/>
      <c r="D4383"/>
      <c r="E4383" s="188"/>
      <c r="H4383"/>
      <c r="I4383" s="202"/>
      <c r="J4383"/>
      <c r="K4383" s="205"/>
      <c r="L4383" s="205"/>
      <c r="M4383" s="205"/>
    </row>
    <row r="4384" spans="2:13" ht="15.75">
      <c r="B4384" s="79"/>
      <c r="D4384"/>
      <c r="E4384" s="188"/>
      <c r="H4384"/>
      <c r="I4384" s="202"/>
      <c r="J4384"/>
      <c r="K4384" s="205"/>
      <c r="L4384" s="205"/>
      <c r="M4384" s="205"/>
    </row>
    <row r="4385" spans="2:13" ht="15.75">
      <c r="B4385" s="79"/>
      <c r="D4385"/>
      <c r="E4385" s="188"/>
      <c r="H4385"/>
      <c r="I4385" s="202"/>
      <c r="J4385"/>
      <c r="K4385" s="205"/>
      <c r="L4385" s="205"/>
      <c r="M4385" s="205"/>
    </row>
    <row r="4386" spans="2:13" ht="15.75">
      <c r="B4386" s="79"/>
      <c r="D4386"/>
      <c r="E4386" s="188"/>
      <c r="H4386"/>
      <c r="I4386" s="202"/>
      <c r="J4386"/>
      <c r="K4386" s="205"/>
      <c r="L4386" s="205"/>
      <c r="M4386" s="205"/>
    </row>
    <row r="4387" spans="2:13" ht="15.75">
      <c r="B4387" s="79"/>
      <c r="D4387"/>
      <c r="E4387" s="188"/>
      <c r="H4387"/>
      <c r="I4387" s="202"/>
      <c r="J4387"/>
      <c r="K4387" s="205"/>
      <c r="L4387" s="205"/>
      <c r="M4387" s="205"/>
    </row>
    <row r="4388" spans="2:13" ht="15.75">
      <c r="B4388" s="79"/>
      <c r="D4388"/>
      <c r="E4388" s="188"/>
      <c r="H4388"/>
      <c r="I4388" s="202"/>
      <c r="J4388"/>
      <c r="K4388" s="205"/>
      <c r="L4388" s="205"/>
      <c r="M4388" s="205"/>
    </row>
    <row r="4389" spans="2:13" ht="15.75">
      <c r="B4389" s="79"/>
      <c r="D4389"/>
      <c r="E4389" s="188"/>
      <c r="H4389"/>
      <c r="I4389" s="202"/>
      <c r="J4389"/>
      <c r="K4389" s="205"/>
      <c r="L4389" s="205"/>
      <c r="M4389" s="205"/>
    </row>
    <row r="4390" spans="2:13" ht="15.75">
      <c r="B4390" s="79"/>
      <c r="D4390"/>
      <c r="E4390" s="188"/>
      <c r="H4390"/>
      <c r="I4390" s="202"/>
      <c r="J4390"/>
      <c r="K4390" s="205"/>
      <c r="L4390" s="205"/>
      <c r="M4390" s="205"/>
    </row>
    <row r="4391" spans="2:13" ht="15.75">
      <c r="B4391" s="79"/>
      <c r="D4391"/>
      <c r="E4391" s="188"/>
      <c r="H4391"/>
      <c r="I4391" s="202"/>
      <c r="J4391"/>
      <c r="K4391" s="205"/>
      <c r="L4391" s="205"/>
      <c r="M4391" s="205"/>
    </row>
    <row r="4392" spans="2:13" ht="15.75">
      <c r="B4392" s="79"/>
      <c r="D4392"/>
      <c r="E4392" s="188"/>
      <c r="H4392"/>
      <c r="I4392" s="202"/>
      <c r="J4392"/>
      <c r="K4392" s="205"/>
      <c r="L4392" s="205"/>
      <c r="M4392" s="205"/>
    </row>
    <row r="4393" spans="2:13" ht="15.75">
      <c r="B4393" s="79"/>
      <c r="D4393"/>
      <c r="E4393" s="188"/>
      <c r="H4393"/>
      <c r="I4393" s="202"/>
      <c r="J4393"/>
      <c r="K4393" s="205"/>
      <c r="L4393" s="205"/>
      <c r="M4393" s="205"/>
    </row>
    <row r="4394" spans="2:13" ht="15.75">
      <c r="B4394" s="79"/>
      <c r="D4394"/>
      <c r="E4394" s="188"/>
      <c r="H4394"/>
      <c r="I4394" s="202"/>
      <c r="J4394"/>
      <c r="K4394" s="205"/>
      <c r="L4394" s="205"/>
      <c r="M4394" s="205"/>
    </row>
    <row r="4395" spans="2:13" ht="15.75">
      <c r="B4395" s="79"/>
      <c r="D4395"/>
      <c r="E4395" s="188"/>
      <c r="H4395"/>
      <c r="I4395" s="202"/>
      <c r="J4395"/>
      <c r="K4395" s="205"/>
      <c r="L4395" s="205"/>
      <c r="M4395" s="205"/>
    </row>
    <row r="4396" spans="2:13" ht="15.75">
      <c r="B4396" s="79"/>
      <c r="D4396"/>
      <c r="E4396" s="188"/>
      <c r="H4396"/>
      <c r="I4396" s="202"/>
      <c r="J4396"/>
      <c r="K4396" s="205"/>
      <c r="L4396" s="205"/>
      <c r="M4396" s="205"/>
    </row>
    <row r="4397" spans="2:13" ht="15.75">
      <c r="B4397" s="79"/>
      <c r="D4397"/>
      <c r="E4397" s="188"/>
      <c r="H4397"/>
      <c r="I4397" s="202"/>
      <c r="J4397"/>
      <c r="K4397" s="205"/>
      <c r="L4397" s="205"/>
      <c r="M4397" s="205"/>
    </row>
    <row r="4398" spans="2:13" ht="15.75">
      <c r="B4398" s="79"/>
      <c r="D4398"/>
      <c r="E4398" s="188"/>
      <c r="H4398"/>
      <c r="I4398" s="202"/>
      <c r="J4398"/>
      <c r="K4398" s="205"/>
      <c r="L4398" s="205"/>
      <c r="M4398" s="205"/>
    </row>
    <row r="4399" spans="2:13" ht="15.75">
      <c r="B4399" s="79"/>
      <c r="D4399"/>
      <c r="E4399" s="188"/>
      <c r="H4399"/>
      <c r="I4399" s="202"/>
      <c r="J4399"/>
      <c r="K4399" s="205"/>
      <c r="L4399" s="205"/>
      <c r="M4399" s="205"/>
    </row>
    <row r="4400" spans="2:13" ht="15.75">
      <c r="B4400" s="79"/>
      <c r="D4400"/>
      <c r="E4400" s="188"/>
      <c r="H4400"/>
      <c r="I4400" s="202"/>
      <c r="J4400"/>
      <c r="K4400" s="205"/>
      <c r="L4400" s="205"/>
      <c r="M4400" s="205"/>
    </row>
    <row r="4401" spans="2:13" ht="15.75">
      <c r="B4401" s="79"/>
      <c r="D4401"/>
      <c r="E4401" s="188"/>
      <c r="H4401"/>
      <c r="I4401" s="202"/>
      <c r="J4401"/>
      <c r="K4401" s="205"/>
      <c r="L4401" s="205"/>
      <c r="M4401" s="205"/>
    </row>
    <row r="4402" spans="2:13" ht="15.75">
      <c r="B4402" s="79"/>
      <c r="D4402"/>
      <c r="E4402" s="188"/>
      <c r="H4402"/>
      <c r="I4402" s="202"/>
      <c r="J4402"/>
      <c r="K4402" s="205"/>
      <c r="L4402" s="205"/>
      <c r="M4402" s="205"/>
    </row>
    <row r="4403" spans="2:13" ht="15.75">
      <c r="B4403" s="79"/>
      <c r="D4403"/>
      <c r="E4403" s="188"/>
      <c r="H4403"/>
      <c r="I4403" s="202"/>
      <c r="J4403"/>
      <c r="K4403" s="205"/>
      <c r="L4403" s="205"/>
      <c r="M4403" s="205"/>
    </row>
    <row r="4404" spans="2:13" ht="15.75">
      <c r="B4404" s="79"/>
      <c r="D4404"/>
      <c r="E4404" s="188"/>
      <c r="H4404"/>
      <c r="I4404" s="202"/>
      <c r="J4404"/>
      <c r="K4404" s="205"/>
      <c r="L4404" s="205"/>
      <c r="M4404" s="205"/>
    </row>
    <row r="4405" spans="2:13" ht="15.75">
      <c r="B4405" s="79"/>
      <c r="D4405"/>
      <c r="E4405" s="188"/>
      <c r="H4405"/>
      <c r="I4405" s="202"/>
      <c r="J4405"/>
      <c r="K4405" s="205"/>
      <c r="L4405" s="205"/>
      <c r="M4405" s="205"/>
    </row>
    <row r="4406" spans="2:13" ht="15.75">
      <c r="B4406" s="79"/>
      <c r="D4406"/>
      <c r="E4406" s="188"/>
      <c r="H4406"/>
      <c r="I4406" s="202"/>
      <c r="J4406"/>
      <c r="K4406" s="205"/>
      <c r="L4406" s="205"/>
      <c r="M4406" s="205"/>
    </row>
    <row r="4407" spans="2:13" ht="15.75">
      <c r="B4407" s="79"/>
      <c r="D4407"/>
      <c r="E4407" s="188"/>
      <c r="H4407"/>
      <c r="I4407" s="202"/>
      <c r="J4407"/>
      <c r="K4407" s="205"/>
      <c r="L4407" s="205"/>
      <c r="M4407" s="205"/>
    </row>
    <row r="4408" spans="2:13" ht="15.75">
      <c r="B4408" s="79"/>
      <c r="D4408"/>
      <c r="E4408" s="188"/>
      <c r="H4408"/>
      <c r="I4408" s="202"/>
      <c r="J4408"/>
      <c r="K4408" s="205"/>
      <c r="L4408" s="205"/>
      <c r="M4408" s="205"/>
    </row>
    <row r="4409" spans="2:13" ht="15.75">
      <c r="B4409" s="79"/>
      <c r="D4409"/>
      <c r="E4409" s="188"/>
      <c r="H4409"/>
      <c r="I4409" s="202"/>
      <c r="J4409"/>
      <c r="K4409" s="205"/>
      <c r="L4409" s="205"/>
      <c r="M4409" s="205"/>
    </row>
    <row r="4410" spans="2:13" ht="15.75">
      <c r="B4410" s="79"/>
      <c r="D4410"/>
      <c r="E4410" s="188"/>
      <c r="H4410"/>
      <c r="I4410" s="202"/>
      <c r="J4410"/>
      <c r="K4410" s="205"/>
      <c r="L4410" s="205"/>
      <c r="M4410" s="205"/>
    </row>
    <row r="4411" spans="2:13" ht="15.75">
      <c r="B4411" s="79"/>
      <c r="D4411"/>
      <c r="E4411" s="188"/>
      <c r="H4411"/>
      <c r="I4411" s="202"/>
      <c r="J4411"/>
      <c r="K4411" s="205"/>
      <c r="L4411" s="205"/>
      <c r="M4411" s="205"/>
    </row>
    <row r="4412" spans="2:13" ht="15.75">
      <c r="B4412" s="79"/>
      <c r="D4412"/>
      <c r="E4412" s="188"/>
      <c r="H4412"/>
      <c r="I4412" s="202"/>
      <c r="J4412"/>
      <c r="K4412" s="205"/>
      <c r="L4412" s="205"/>
      <c r="M4412" s="205"/>
    </row>
    <row r="4413" spans="2:13" ht="15.75">
      <c r="B4413" s="79"/>
      <c r="D4413"/>
      <c r="E4413" s="188"/>
      <c r="H4413"/>
      <c r="I4413" s="202"/>
      <c r="J4413"/>
      <c r="K4413" s="205"/>
      <c r="L4413" s="205"/>
      <c r="M4413" s="205"/>
    </row>
    <row r="4414" spans="2:13" ht="15.75">
      <c r="B4414" s="79"/>
      <c r="D4414"/>
      <c r="E4414" s="188"/>
      <c r="H4414"/>
      <c r="I4414" s="202"/>
      <c r="J4414"/>
      <c r="K4414" s="205"/>
      <c r="L4414" s="205"/>
      <c r="M4414" s="205"/>
    </row>
    <row r="4415" spans="2:13" ht="15.75">
      <c r="B4415" s="79"/>
      <c r="D4415"/>
      <c r="E4415" s="188"/>
      <c r="H4415"/>
      <c r="I4415" s="202"/>
      <c r="J4415"/>
      <c r="K4415" s="205"/>
      <c r="L4415" s="205"/>
      <c r="M4415" s="205"/>
    </row>
    <row r="4416" spans="2:13" ht="15.75">
      <c r="B4416" s="79"/>
      <c r="D4416"/>
      <c r="E4416" s="188"/>
      <c r="H4416"/>
      <c r="I4416" s="202"/>
      <c r="J4416"/>
      <c r="K4416" s="205"/>
      <c r="L4416" s="205"/>
      <c r="M4416" s="205"/>
    </row>
    <row r="4417" spans="2:13" ht="15.75">
      <c r="B4417" s="79"/>
      <c r="D4417"/>
      <c r="E4417" s="188"/>
      <c r="H4417"/>
      <c r="I4417" s="202"/>
      <c r="J4417"/>
      <c r="K4417" s="205"/>
      <c r="L4417" s="205"/>
      <c r="M4417" s="205"/>
    </row>
    <row r="4418" spans="2:13" ht="15.75">
      <c r="B4418" s="79"/>
      <c r="D4418"/>
      <c r="E4418" s="188"/>
      <c r="H4418"/>
      <c r="I4418" s="202"/>
      <c r="J4418"/>
      <c r="K4418" s="205"/>
      <c r="L4418" s="205"/>
      <c r="M4418" s="205"/>
    </row>
    <row r="4419" spans="2:13" ht="15.75">
      <c r="B4419" s="79"/>
      <c r="D4419"/>
      <c r="E4419" s="188"/>
      <c r="H4419"/>
      <c r="I4419" s="202"/>
      <c r="J4419"/>
      <c r="K4419" s="205"/>
      <c r="L4419" s="205"/>
      <c r="M4419" s="205"/>
    </row>
    <row r="4420" spans="2:13" ht="15.75">
      <c r="B4420" s="79"/>
      <c r="D4420"/>
      <c r="E4420" s="188"/>
      <c r="H4420"/>
      <c r="I4420" s="202"/>
      <c r="J4420"/>
      <c r="K4420" s="205"/>
      <c r="L4420" s="205"/>
      <c r="M4420" s="205"/>
    </row>
    <row r="4421" spans="2:13" ht="15.75">
      <c r="B4421" s="79"/>
      <c r="D4421"/>
      <c r="E4421" s="188"/>
      <c r="H4421"/>
      <c r="I4421" s="202"/>
      <c r="J4421"/>
      <c r="K4421" s="205"/>
      <c r="L4421" s="205"/>
      <c r="M4421" s="205"/>
    </row>
    <row r="4422" spans="2:13" ht="15.75">
      <c r="B4422" s="79"/>
      <c r="D4422"/>
      <c r="E4422" s="188"/>
      <c r="H4422"/>
      <c r="I4422" s="202"/>
      <c r="J4422"/>
      <c r="K4422" s="205"/>
      <c r="L4422" s="205"/>
      <c r="M4422" s="205"/>
    </row>
    <row r="4423" spans="2:13" ht="15.75">
      <c r="B4423" s="79"/>
      <c r="D4423"/>
      <c r="E4423" s="188"/>
      <c r="H4423"/>
      <c r="I4423" s="202"/>
      <c r="J4423"/>
      <c r="K4423" s="205"/>
      <c r="L4423" s="205"/>
      <c r="M4423" s="205"/>
    </row>
    <row r="4424" spans="2:13" ht="15.75">
      <c r="B4424" s="79"/>
      <c r="D4424"/>
      <c r="E4424" s="188"/>
      <c r="H4424"/>
      <c r="I4424" s="202"/>
      <c r="J4424"/>
      <c r="K4424" s="205"/>
      <c r="L4424" s="205"/>
      <c r="M4424" s="205"/>
    </row>
    <row r="4425" spans="2:13" ht="15.75">
      <c r="B4425" s="79"/>
      <c r="D4425"/>
      <c r="E4425" s="188"/>
      <c r="H4425"/>
      <c r="I4425" s="202"/>
      <c r="J4425"/>
      <c r="K4425" s="205"/>
      <c r="L4425" s="205"/>
      <c r="M4425" s="205"/>
    </row>
    <row r="4426" spans="2:13" ht="15.75">
      <c r="B4426" s="79"/>
      <c r="D4426"/>
      <c r="E4426" s="188"/>
      <c r="H4426"/>
      <c r="I4426" s="202"/>
      <c r="J4426"/>
      <c r="K4426" s="205"/>
      <c r="L4426" s="205"/>
      <c r="M4426" s="205"/>
    </row>
    <row r="4427" spans="2:13" ht="15.75">
      <c r="B4427" s="79"/>
      <c r="D4427"/>
      <c r="E4427" s="188"/>
      <c r="H4427"/>
      <c r="I4427" s="202"/>
      <c r="J4427"/>
      <c r="K4427" s="205"/>
      <c r="L4427" s="205"/>
      <c r="M4427" s="205"/>
    </row>
    <row r="4428" spans="2:13" ht="15.75">
      <c r="B4428" s="79"/>
      <c r="D4428"/>
      <c r="E4428" s="188"/>
      <c r="H4428"/>
      <c r="I4428" s="202"/>
      <c r="J4428"/>
      <c r="K4428" s="205"/>
      <c r="L4428" s="205"/>
      <c r="M4428" s="205"/>
    </row>
    <row r="4429" spans="2:13" ht="15.75">
      <c r="B4429" s="79"/>
      <c r="D4429"/>
      <c r="E4429" s="188"/>
      <c r="H4429"/>
      <c r="I4429" s="202"/>
      <c r="J4429"/>
      <c r="K4429" s="205"/>
      <c r="L4429" s="205"/>
      <c r="M4429" s="205"/>
    </row>
    <row r="4430" spans="2:13" ht="15.75">
      <c r="B4430" s="79"/>
      <c r="D4430"/>
      <c r="E4430" s="188"/>
      <c r="H4430"/>
      <c r="I4430" s="202"/>
      <c r="J4430"/>
      <c r="K4430" s="205"/>
      <c r="L4430" s="205"/>
      <c r="M4430" s="205"/>
    </row>
    <row r="4431" spans="2:13" ht="15.75">
      <c r="B4431" s="79"/>
      <c r="D4431"/>
      <c r="E4431" s="188"/>
      <c r="H4431"/>
      <c r="I4431" s="202"/>
      <c r="J4431"/>
      <c r="K4431" s="205"/>
      <c r="L4431" s="205"/>
      <c r="M4431" s="205"/>
    </row>
    <row r="4432" spans="2:13" ht="15.75">
      <c r="B4432" s="79"/>
      <c r="D4432"/>
      <c r="E4432" s="188"/>
      <c r="H4432"/>
      <c r="I4432" s="202"/>
      <c r="J4432"/>
      <c r="K4432" s="205"/>
      <c r="L4432" s="205"/>
      <c r="M4432" s="205"/>
    </row>
    <row r="4433" spans="2:13" ht="15.75">
      <c r="B4433" s="79"/>
      <c r="D4433"/>
      <c r="E4433" s="188"/>
      <c r="H4433"/>
      <c r="I4433" s="202"/>
      <c r="J4433"/>
      <c r="K4433" s="205"/>
      <c r="L4433" s="205"/>
      <c r="M4433" s="205"/>
    </row>
    <row r="4434" spans="2:13" ht="15.75">
      <c r="B4434" s="79"/>
      <c r="D4434"/>
      <c r="E4434" s="188"/>
      <c r="H4434"/>
      <c r="I4434" s="202"/>
      <c r="J4434"/>
      <c r="K4434" s="205"/>
      <c r="L4434" s="205"/>
      <c r="M4434" s="205"/>
    </row>
    <row r="4435" spans="2:13" ht="15.75">
      <c r="B4435" s="79"/>
      <c r="D4435"/>
      <c r="E4435" s="188"/>
      <c r="H4435"/>
      <c r="I4435" s="202"/>
      <c r="J4435"/>
      <c r="K4435" s="205"/>
      <c r="L4435" s="205"/>
      <c r="M4435" s="205"/>
    </row>
    <row r="4436" spans="2:13" ht="15.75">
      <c r="B4436" s="79"/>
      <c r="D4436"/>
      <c r="E4436" s="188"/>
      <c r="H4436"/>
      <c r="I4436" s="202"/>
      <c r="J4436"/>
      <c r="K4436" s="205"/>
      <c r="L4436" s="205"/>
      <c r="M4436" s="205"/>
    </row>
    <row r="4437" spans="2:13" ht="15.75">
      <c r="B4437" s="79"/>
      <c r="D4437"/>
      <c r="E4437" s="188"/>
      <c r="H4437"/>
      <c r="I4437" s="202"/>
      <c r="J4437"/>
      <c r="K4437" s="205"/>
      <c r="L4437" s="205"/>
      <c r="M4437" s="205"/>
    </row>
    <row r="4438" spans="2:13" ht="15.75">
      <c r="B4438" s="79"/>
      <c r="D4438"/>
      <c r="E4438" s="188"/>
      <c r="H4438"/>
      <c r="I4438" s="202"/>
      <c r="J4438"/>
      <c r="K4438" s="205"/>
      <c r="L4438" s="205"/>
      <c r="M4438" s="205"/>
    </row>
    <row r="4439" spans="2:13" ht="15.75">
      <c r="B4439" s="79"/>
      <c r="D4439"/>
      <c r="E4439" s="188"/>
      <c r="H4439"/>
      <c r="I4439" s="202"/>
      <c r="J4439"/>
      <c r="K4439" s="205"/>
      <c r="L4439" s="205"/>
      <c r="M4439" s="205"/>
    </row>
    <row r="4440" spans="2:13" ht="15.75">
      <c r="B4440" s="79"/>
      <c r="D4440"/>
      <c r="E4440" s="188"/>
      <c r="H4440"/>
      <c r="I4440" s="202"/>
      <c r="J4440"/>
      <c r="K4440" s="205"/>
      <c r="L4440" s="205"/>
      <c r="M4440" s="205"/>
    </row>
    <row r="4441" spans="2:13" ht="15.75">
      <c r="B4441" s="79"/>
      <c r="D4441"/>
      <c r="E4441" s="188"/>
      <c r="H4441"/>
      <c r="I4441" s="202"/>
      <c r="J4441"/>
      <c r="K4441" s="205"/>
      <c r="L4441" s="205"/>
      <c r="M4441" s="205"/>
    </row>
    <row r="4442" spans="2:13" ht="15.75">
      <c r="B4442" s="79"/>
      <c r="D4442"/>
      <c r="E4442" s="188"/>
      <c r="H4442"/>
      <c r="I4442" s="202"/>
      <c r="J4442"/>
      <c r="K4442" s="205"/>
      <c r="L4442" s="205"/>
      <c r="M4442" s="205"/>
    </row>
    <row r="4443" spans="2:13" ht="15.75">
      <c r="B4443" s="79"/>
      <c r="D4443"/>
      <c r="E4443" s="188"/>
      <c r="H4443"/>
      <c r="I4443" s="202"/>
      <c r="J4443"/>
      <c r="K4443" s="205"/>
      <c r="L4443" s="205"/>
      <c r="M4443" s="205"/>
    </row>
    <row r="4444" spans="2:13" ht="15.75">
      <c r="B4444" s="79"/>
      <c r="D4444"/>
      <c r="E4444" s="188"/>
      <c r="H4444"/>
      <c r="I4444" s="202"/>
      <c r="J4444"/>
      <c r="K4444" s="205"/>
      <c r="L4444" s="205"/>
      <c r="M4444" s="205"/>
    </row>
    <row r="4445" spans="2:13" ht="15.75">
      <c r="B4445" s="79"/>
      <c r="D4445"/>
      <c r="E4445" s="188"/>
      <c r="H4445"/>
      <c r="I4445" s="202"/>
      <c r="J4445"/>
      <c r="K4445" s="205"/>
      <c r="L4445" s="205"/>
      <c r="M4445" s="205"/>
    </row>
    <row r="4446" spans="2:13" ht="15.75">
      <c r="B4446" s="79"/>
      <c r="D4446"/>
      <c r="E4446" s="188"/>
      <c r="H4446"/>
      <c r="I4446" s="202"/>
      <c r="J4446"/>
      <c r="K4446" s="205"/>
      <c r="L4446" s="205"/>
      <c r="M4446" s="205"/>
    </row>
    <row r="4447" spans="2:13" ht="15.75">
      <c r="B4447" s="79"/>
      <c r="D4447"/>
      <c r="E4447" s="188"/>
      <c r="H4447"/>
      <c r="I4447" s="202"/>
      <c r="J4447"/>
      <c r="K4447" s="205"/>
      <c r="L4447" s="205"/>
      <c r="M4447" s="205"/>
    </row>
    <row r="4448" spans="2:13" ht="15.75">
      <c r="B4448" s="79"/>
      <c r="D4448"/>
      <c r="E4448" s="188"/>
      <c r="H4448"/>
      <c r="I4448" s="202"/>
      <c r="J4448"/>
      <c r="K4448" s="205"/>
      <c r="L4448" s="205"/>
      <c r="M4448" s="205"/>
    </row>
    <row r="4449" spans="2:13" ht="15.75">
      <c r="B4449" s="79"/>
      <c r="D4449"/>
      <c r="E4449" s="188"/>
      <c r="H4449"/>
      <c r="I4449" s="202"/>
      <c r="J4449"/>
      <c r="K4449" s="205"/>
      <c r="L4449" s="205"/>
      <c r="M4449" s="205"/>
    </row>
    <row r="4450" spans="2:13" ht="15.75">
      <c r="B4450" s="79"/>
      <c r="D4450"/>
      <c r="E4450" s="188"/>
      <c r="H4450"/>
      <c r="I4450" s="202"/>
      <c r="J4450"/>
      <c r="K4450" s="205"/>
      <c r="L4450" s="205"/>
      <c r="M4450" s="205"/>
    </row>
    <row r="4451" spans="2:13" ht="15.75">
      <c r="B4451" s="79"/>
      <c r="D4451"/>
      <c r="E4451" s="188"/>
      <c r="H4451"/>
      <c r="I4451" s="202"/>
      <c r="J4451"/>
      <c r="K4451" s="205"/>
      <c r="L4451" s="205"/>
      <c r="M4451" s="205"/>
    </row>
    <row r="4452" spans="2:13" ht="15.75">
      <c r="B4452" s="79"/>
      <c r="D4452"/>
      <c r="E4452" s="188"/>
      <c r="H4452"/>
      <c r="I4452" s="202"/>
      <c r="J4452"/>
      <c r="K4452" s="205"/>
      <c r="L4452" s="205"/>
      <c r="M4452" s="205"/>
    </row>
    <row r="4453" spans="2:13" ht="15.75">
      <c r="B4453" s="79"/>
      <c r="D4453"/>
      <c r="E4453" s="188"/>
      <c r="H4453"/>
      <c r="I4453" s="202"/>
      <c r="J4453"/>
      <c r="K4453" s="205"/>
      <c r="L4453" s="205"/>
      <c r="M4453" s="205"/>
    </row>
    <row r="4454" spans="2:13" ht="15.75">
      <c r="B4454" s="79"/>
      <c r="D4454"/>
      <c r="E4454" s="188"/>
      <c r="H4454"/>
      <c r="I4454" s="202"/>
      <c r="J4454"/>
      <c r="K4454" s="205"/>
      <c r="L4454" s="205"/>
      <c r="M4454" s="205"/>
    </row>
    <row r="4455" spans="2:13" ht="15.75">
      <c r="B4455" s="79"/>
      <c r="D4455"/>
      <c r="E4455" s="188"/>
      <c r="H4455"/>
      <c r="I4455" s="202"/>
      <c r="J4455"/>
      <c r="K4455" s="205"/>
      <c r="L4455" s="205"/>
      <c r="M4455" s="205"/>
    </row>
    <row r="4456" spans="2:13" ht="15.75">
      <c r="B4456" s="79"/>
      <c r="D4456"/>
      <c r="E4456" s="188"/>
      <c r="H4456"/>
      <c r="I4456" s="202"/>
      <c r="J4456"/>
      <c r="K4456" s="205"/>
      <c r="L4456" s="205"/>
      <c r="M4456" s="205"/>
    </row>
    <row r="4457" spans="2:13" ht="15.75">
      <c r="B4457" s="79"/>
      <c r="D4457"/>
      <c r="E4457" s="188"/>
      <c r="H4457"/>
      <c r="I4457" s="202"/>
      <c r="J4457"/>
      <c r="K4457" s="205"/>
      <c r="L4457" s="205"/>
      <c r="M4457" s="205"/>
    </row>
    <row r="4458" spans="2:13" ht="15.75">
      <c r="B4458" s="79"/>
      <c r="D4458"/>
      <c r="E4458" s="188"/>
      <c r="H4458"/>
      <c r="I4458" s="202"/>
      <c r="J4458"/>
      <c r="K4458" s="205"/>
      <c r="L4458" s="205"/>
      <c r="M4458" s="205"/>
    </row>
    <row r="4459" spans="2:13" ht="15.75">
      <c r="B4459" s="79"/>
      <c r="D4459"/>
      <c r="E4459" s="188"/>
      <c r="H4459"/>
      <c r="I4459" s="202"/>
      <c r="J4459"/>
      <c r="K4459" s="205"/>
      <c r="L4459" s="205"/>
      <c r="M4459" s="205"/>
    </row>
    <row r="4460" spans="2:13" ht="15.75">
      <c r="B4460" s="79"/>
      <c r="D4460"/>
      <c r="E4460" s="188"/>
      <c r="H4460"/>
      <c r="I4460" s="202"/>
      <c r="J4460"/>
      <c r="K4460" s="205"/>
      <c r="L4460" s="205"/>
      <c r="M4460" s="205"/>
    </row>
    <row r="4461" spans="2:13" ht="15.75">
      <c r="B4461" s="79"/>
      <c r="D4461"/>
      <c r="E4461" s="188"/>
      <c r="H4461"/>
      <c r="I4461" s="202"/>
      <c r="J4461"/>
      <c r="K4461" s="205"/>
      <c r="L4461" s="205"/>
      <c r="M4461" s="205"/>
    </row>
    <row r="4462" spans="2:13" ht="15.75">
      <c r="B4462" s="79"/>
      <c r="D4462"/>
      <c r="E4462" s="188"/>
      <c r="H4462"/>
      <c r="I4462" s="202"/>
      <c r="J4462"/>
      <c r="K4462" s="205"/>
      <c r="L4462" s="205"/>
      <c r="M4462" s="205"/>
    </row>
    <row r="4463" spans="2:13" ht="15.75">
      <c r="B4463" s="79"/>
      <c r="D4463"/>
      <c r="E4463" s="188"/>
      <c r="H4463"/>
      <c r="I4463" s="202"/>
      <c r="J4463"/>
      <c r="K4463" s="205"/>
      <c r="L4463" s="205"/>
      <c r="M4463" s="205"/>
    </row>
    <row r="4464" spans="2:13" ht="15.75">
      <c r="B4464" s="79"/>
      <c r="D4464"/>
      <c r="E4464" s="188"/>
      <c r="H4464"/>
      <c r="I4464" s="202"/>
      <c r="J4464"/>
      <c r="K4464" s="205"/>
      <c r="L4464" s="205"/>
      <c r="M4464" s="205"/>
    </row>
    <row r="4465" spans="2:13" ht="15.75">
      <c r="B4465" s="79"/>
      <c r="D4465"/>
      <c r="E4465" s="188"/>
      <c r="H4465"/>
      <c r="I4465" s="202"/>
      <c r="J4465"/>
      <c r="K4465" s="205"/>
      <c r="L4465" s="205"/>
      <c r="M4465" s="205"/>
    </row>
    <row r="4466" spans="2:13" ht="15.75">
      <c r="B4466" s="79"/>
      <c r="D4466"/>
      <c r="E4466" s="188"/>
      <c r="H4466"/>
      <c r="I4466" s="202"/>
      <c r="J4466"/>
      <c r="K4466" s="205"/>
      <c r="L4466" s="205"/>
      <c r="M4466" s="205"/>
    </row>
    <row r="4467" spans="2:13" ht="15.75">
      <c r="B4467" s="79"/>
      <c r="D4467"/>
      <c r="E4467" s="188"/>
      <c r="H4467"/>
      <c r="I4467" s="202"/>
      <c r="J4467"/>
      <c r="K4467" s="205"/>
      <c r="L4467" s="205"/>
      <c r="M4467" s="205"/>
    </row>
    <row r="4468" spans="2:13" ht="15.75">
      <c r="B4468" s="79"/>
      <c r="D4468"/>
      <c r="E4468" s="188"/>
      <c r="H4468"/>
      <c r="I4468" s="202"/>
      <c r="J4468"/>
      <c r="K4468" s="205"/>
      <c r="L4468" s="205"/>
      <c r="M4468" s="205"/>
    </row>
    <row r="4469" spans="2:13" ht="15.75">
      <c r="B4469" s="79"/>
      <c r="D4469"/>
      <c r="E4469" s="188"/>
      <c r="H4469"/>
      <c r="I4469" s="202"/>
      <c r="J4469"/>
      <c r="K4469" s="205"/>
      <c r="L4469" s="205"/>
      <c r="M4469" s="205"/>
    </row>
    <row r="4470" spans="2:13" ht="15.75">
      <c r="B4470" s="79"/>
      <c r="D4470"/>
      <c r="E4470" s="188"/>
      <c r="H4470"/>
      <c r="I4470" s="202"/>
      <c r="J4470"/>
      <c r="K4470" s="205"/>
      <c r="L4470" s="205"/>
      <c r="M4470" s="205"/>
    </row>
    <row r="4471" spans="2:13" ht="15.75">
      <c r="B4471" s="79"/>
      <c r="D4471"/>
      <c r="E4471" s="188"/>
      <c r="H4471"/>
      <c r="I4471" s="202"/>
      <c r="J4471"/>
      <c r="K4471" s="205"/>
      <c r="L4471" s="205"/>
      <c r="M4471" s="205"/>
    </row>
    <row r="4472" spans="2:13" ht="15.75">
      <c r="B4472" s="79"/>
      <c r="D4472"/>
      <c r="E4472" s="188"/>
      <c r="H4472"/>
      <c r="I4472" s="202"/>
      <c r="J4472"/>
      <c r="K4472" s="205"/>
      <c r="L4472" s="205"/>
      <c r="M4472" s="205"/>
    </row>
    <row r="4473" spans="2:13" ht="15.75">
      <c r="B4473" s="79"/>
      <c r="D4473"/>
      <c r="E4473" s="188"/>
      <c r="H4473"/>
      <c r="I4473" s="202"/>
      <c r="J4473"/>
      <c r="K4473" s="205"/>
      <c r="L4473" s="205"/>
      <c r="M4473" s="205"/>
    </row>
    <row r="4474" spans="2:13" ht="15.75">
      <c r="B4474" s="79"/>
      <c r="D4474"/>
      <c r="E4474" s="188"/>
      <c r="H4474"/>
      <c r="I4474" s="202"/>
      <c r="J4474"/>
      <c r="K4474" s="205"/>
      <c r="L4474" s="205"/>
      <c r="M4474" s="205"/>
    </row>
    <row r="4475" spans="2:13" ht="15.75">
      <c r="B4475" s="79"/>
      <c r="D4475"/>
      <c r="E4475" s="188"/>
      <c r="H4475"/>
      <c r="I4475" s="202"/>
      <c r="J4475"/>
      <c r="K4475" s="205"/>
      <c r="L4475" s="205"/>
      <c r="M4475" s="205"/>
    </row>
    <row r="4476" spans="2:13" ht="15.75">
      <c r="B4476" s="79"/>
      <c r="D4476"/>
      <c r="E4476" s="188"/>
      <c r="H4476"/>
      <c r="I4476" s="202"/>
      <c r="J4476"/>
      <c r="K4476" s="205"/>
      <c r="L4476" s="205"/>
      <c r="M4476" s="205"/>
    </row>
    <row r="4477" spans="2:13" ht="15.75">
      <c r="B4477" s="79"/>
      <c r="D4477"/>
      <c r="E4477" s="188"/>
      <c r="H4477"/>
      <c r="I4477" s="202"/>
      <c r="J4477"/>
      <c r="K4477" s="205"/>
      <c r="L4477" s="205"/>
      <c r="M4477" s="205"/>
    </row>
    <row r="4478" spans="2:13" ht="15.75">
      <c r="B4478" s="79"/>
      <c r="D4478"/>
      <c r="E4478" s="188"/>
      <c r="H4478"/>
      <c r="I4478" s="202"/>
      <c r="J4478"/>
      <c r="K4478" s="205"/>
      <c r="L4478" s="205"/>
      <c r="M4478" s="205"/>
    </row>
    <row r="4479" spans="2:13" ht="15.75">
      <c r="B4479" s="79"/>
      <c r="D4479"/>
      <c r="E4479" s="188"/>
      <c r="H4479"/>
      <c r="I4479" s="202"/>
      <c r="J4479"/>
      <c r="K4479" s="205"/>
      <c r="L4479" s="205"/>
      <c r="M4479" s="205"/>
    </row>
    <row r="4480" spans="2:13" ht="15.75">
      <c r="B4480" s="79"/>
      <c r="D4480"/>
      <c r="E4480" s="188"/>
      <c r="H4480"/>
      <c r="I4480" s="202"/>
      <c r="J4480"/>
      <c r="K4480" s="205"/>
      <c r="L4480" s="205"/>
      <c r="M4480" s="205"/>
    </row>
    <row r="4481" spans="2:13" ht="15.75">
      <c r="B4481" s="79"/>
      <c r="D4481"/>
      <c r="E4481" s="188"/>
      <c r="H4481"/>
      <c r="I4481" s="202"/>
      <c r="J4481"/>
      <c r="K4481" s="205"/>
      <c r="L4481" s="205"/>
      <c r="M4481" s="205"/>
    </row>
    <row r="4482" spans="2:13" ht="15.75">
      <c r="B4482" s="79"/>
      <c r="D4482"/>
      <c r="E4482" s="188"/>
      <c r="H4482"/>
      <c r="I4482" s="202"/>
      <c r="J4482"/>
      <c r="K4482" s="205"/>
      <c r="L4482" s="205"/>
      <c r="M4482" s="205"/>
    </row>
    <row r="4483" spans="2:13" ht="15.75">
      <c r="B4483" s="79"/>
      <c r="D4483"/>
      <c r="E4483" s="188"/>
      <c r="H4483"/>
      <c r="I4483" s="202"/>
      <c r="J4483"/>
      <c r="K4483" s="205"/>
      <c r="L4483" s="205"/>
      <c r="M4483" s="205"/>
    </row>
    <row r="4484" spans="2:13" ht="15.75">
      <c r="B4484" s="79"/>
      <c r="D4484"/>
      <c r="E4484" s="188"/>
      <c r="H4484"/>
      <c r="I4484" s="202"/>
      <c r="J4484"/>
      <c r="K4484" s="205"/>
      <c r="L4484" s="205"/>
      <c r="M4484" s="205"/>
    </row>
    <row r="4485" spans="2:13" ht="15.75">
      <c r="B4485" s="79"/>
      <c r="D4485"/>
      <c r="E4485" s="188"/>
      <c r="H4485"/>
      <c r="I4485" s="202"/>
      <c r="J4485"/>
      <c r="K4485" s="205"/>
      <c r="L4485" s="205"/>
      <c r="M4485" s="205"/>
    </row>
    <row r="4486" spans="2:13" ht="15.75">
      <c r="B4486" s="79"/>
      <c r="D4486"/>
      <c r="E4486" s="188"/>
      <c r="H4486"/>
      <c r="I4486" s="202"/>
      <c r="J4486"/>
      <c r="K4486" s="205"/>
      <c r="L4486" s="205"/>
      <c r="M4486" s="205"/>
    </row>
    <row r="4487" spans="2:13" ht="15.75">
      <c r="B4487" s="79"/>
      <c r="D4487"/>
      <c r="E4487" s="188"/>
      <c r="H4487"/>
      <c r="I4487" s="202"/>
      <c r="J4487"/>
      <c r="K4487"/>
      <c r="L4487"/>
      <c r="M4487"/>
    </row>
    <row r="4488" spans="2:13" ht="15.75">
      <c r="B4488" s="79"/>
      <c r="D4488"/>
      <c r="E4488" s="188"/>
      <c r="H4488"/>
      <c r="I4488" s="202"/>
      <c r="J4488"/>
      <c r="K4488"/>
      <c r="L4488"/>
      <c r="M4488"/>
    </row>
    <row r="4489" spans="2:13" ht="15.75">
      <c r="B4489" s="79"/>
      <c r="D4489"/>
      <c r="E4489" s="188"/>
      <c r="H4489"/>
      <c r="I4489" s="202"/>
      <c r="J4489"/>
      <c r="K4489"/>
      <c r="L4489"/>
      <c r="M4489"/>
    </row>
    <row r="4490" spans="2:13" ht="15.75">
      <c r="B4490" s="79"/>
      <c r="D4490"/>
      <c r="E4490" s="188"/>
      <c r="H4490"/>
      <c r="I4490" s="202"/>
      <c r="J4490"/>
      <c r="K4490"/>
      <c r="L4490"/>
      <c r="M4490"/>
    </row>
    <row r="4491" spans="2:13" ht="15.75">
      <c r="B4491" s="79"/>
      <c r="D4491"/>
      <c r="E4491" s="188"/>
      <c r="H4491"/>
      <c r="I4491" s="202"/>
      <c r="J4491"/>
      <c r="K4491"/>
      <c r="L4491"/>
      <c r="M4491"/>
    </row>
    <row r="4492" spans="2:13" ht="15.75">
      <c r="B4492" s="79"/>
      <c r="D4492"/>
      <c r="E4492" s="188"/>
      <c r="H4492"/>
      <c r="I4492" s="202"/>
      <c r="J4492"/>
      <c r="K4492"/>
      <c r="L4492"/>
      <c r="M4492"/>
    </row>
    <row r="4493" spans="2:13" ht="15.75">
      <c r="B4493" s="79"/>
      <c r="D4493"/>
      <c r="E4493" s="188"/>
      <c r="H4493"/>
      <c r="I4493" s="202"/>
      <c r="J4493"/>
      <c r="K4493"/>
      <c r="L4493"/>
      <c r="M4493"/>
    </row>
    <row r="4494" spans="2:13" ht="15.75">
      <c r="B4494" s="79"/>
      <c r="D4494"/>
      <c r="E4494" s="188"/>
      <c r="H4494"/>
      <c r="I4494" s="202"/>
      <c r="J4494"/>
      <c r="K4494"/>
      <c r="L4494"/>
      <c r="M4494"/>
    </row>
    <row r="4495" spans="2:13" ht="15.75">
      <c r="B4495" s="79"/>
      <c r="D4495"/>
      <c r="E4495" s="188"/>
      <c r="H4495"/>
      <c r="I4495" s="202"/>
      <c r="J4495"/>
      <c r="K4495"/>
      <c r="L4495"/>
      <c r="M4495"/>
    </row>
    <row r="4496" spans="2:13" ht="15.75">
      <c r="B4496" s="79"/>
      <c r="D4496"/>
      <c r="E4496" s="188"/>
      <c r="H4496"/>
      <c r="I4496" s="202"/>
      <c r="J4496"/>
      <c r="K4496"/>
      <c r="L4496"/>
      <c r="M4496"/>
    </row>
    <row r="4497" spans="2:13" ht="15.75">
      <c r="B4497" s="79"/>
      <c r="D4497"/>
      <c r="E4497" s="188"/>
      <c r="H4497"/>
      <c r="I4497" s="202"/>
      <c r="J4497"/>
      <c r="K4497"/>
      <c r="L4497"/>
      <c r="M4497"/>
    </row>
    <row r="4498" spans="2:13" ht="15.75">
      <c r="B4498" s="79"/>
      <c r="D4498"/>
      <c r="E4498" s="188"/>
      <c r="H4498"/>
      <c r="I4498" s="202"/>
      <c r="J4498"/>
      <c r="K4498"/>
      <c r="L4498"/>
      <c r="M4498"/>
    </row>
    <row r="4499" spans="2:13" ht="15.75">
      <c r="B4499" s="79"/>
      <c r="D4499"/>
      <c r="E4499" s="188"/>
      <c r="H4499"/>
      <c r="I4499" s="202"/>
      <c r="J4499"/>
      <c r="K4499"/>
      <c r="L4499"/>
      <c r="M4499"/>
    </row>
    <row r="4500" spans="2:13" ht="15.75">
      <c r="B4500" s="79"/>
      <c r="D4500"/>
      <c r="E4500" s="188"/>
      <c r="H4500"/>
      <c r="I4500" s="202"/>
      <c r="J4500"/>
      <c r="K4500"/>
      <c r="L4500"/>
      <c r="M4500"/>
    </row>
    <row r="4501" spans="2:13" ht="15.75">
      <c r="B4501" s="79"/>
      <c r="D4501"/>
      <c r="E4501" s="188"/>
      <c r="H4501"/>
      <c r="I4501" s="202"/>
      <c r="J4501"/>
      <c r="K4501"/>
      <c r="L4501"/>
      <c r="M4501"/>
    </row>
    <row r="4502" spans="2:13" ht="15.75">
      <c r="B4502" s="79"/>
      <c r="D4502"/>
      <c r="E4502" s="188"/>
      <c r="H4502"/>
      <c r="I4502" s="202"/>
      <c r="J4502"/>
      <c r="K4502"/>
      <c r="L4502"/>
      <c r="M4502"/>
    </row>
    <row r="4503" spans="2:13" ht="15.75">
      <c r="B4503" s="79"/>
      <c r="D4503"/>
      <c r="E4503" s="188"/>
      <c r="H4503"/>
      <c r="I4503" s="202"/>
      <c r="J4503"/>
      <c r="K4503"/>
      <c r="L4503"/>
      <c r="M4503"/>
    </row>
    <row r="4504" spans="2:13" ht="15.75">
      <c r="B4504" s="79"/>
      <c r="D4504"/>
      <c r="E4504" s="188"/>
      <c r="H4504"/>
      <c r="I4504" s="202"/>
      <c r="J4504"/>
      <c r="K4504"/>
      <c r="L4504"/>
      <c r="M4504"/>
    </row>
    <row r="4505" spans="2:13" ht="15.75">
      <c r="B4505" s="79"/>
      <c r="D4505"/>
      <c r="E4505" s="188"/>
      <c r="H4505"/>
      <c r="I4505" s="202"/>
      <c r="J4505"/>
      <c r="K4505"/>
      <c r="L4505"/>
      <c r="M4505"/>
    </row>
    <row r="4506" spans="2:13" ht="15.75">
      <c r="B4506" s="79"/>
      <c r="D4506"/>
      <c r="E4506" s="188"/>
      <c r="H4506"/>
      <c r="I4506" s="202"/>
      <c r="J4506"/>
      <c r="K4506"/>
      <c r="L4506"/>
      <c r="M4506"/>
    </row>
    <row r="4507" spans="2:13" ht="15.75">
      <c r="B4507" s="79"/>
      <c r="D4507"/>
      <c r="E4507" s="188"/>
      <c r="H4507"/>
      <c r="I4507" s="202"/>
      <c r="J4507"/>
      <c r="K4507"/>
      <c r="L4507"/>
      <c r="M4507"/>
    </row>
    <row r="4508" spans="2:13" ht="15.75">
      <c r="B4508" s="79"/>
      <c r="D4508"/>
      <c r="E4508" s="188"/>
      <c r="H4508"/>
      <c r="I4508" s="202"/>
      <c r="J4508"/>
      <c r="K4508"/>
      <c r="L4508"/>
      <c r="M4508"/>
    </row>
    <row r="4509" spans="2:13" ht="15.75">
      <c r="B4509" s="79"/>
      <c r="D4509"/>
      <c r="E4509" s="188"/>
      <c r="H4509"/>
      <c r="I4509" s="202"/>
      <c r="J4509"/>
      <c r="K4509"/>
      <c r="L4509"/>
      <c r="M4509"/>
    </row>
    <row r="4510" spans="2:13" ht="15.75">
      <c r="B4510" s="79"/>
      <c r="D4510"/>
      <c r="E4510" s="188"/>
      <c r="H4510"/>
      <c r="I4510" s="202"/>
      <c r="J4510"/>
      <c r="K4510"/>
      <c r="L4510"/>
      <c r="M4510"/>
    </row>
    <row r="4511" spans="2:13" ht="15.75">
      <c r="B4511" s="79"/>
      <c r="D4511"/>
      <c r="E4511" s="188"/>
      <c r="H4511"/>
      <c r="I4511" s="202"/>
      <c r="J4511"/>
      <c r="K4511"/>
      <c r="L4511"/>
      <c r="M4511"/>
    </row>
    <row r="4512" spans="2:13" ht="15.75">
      <c r="B4512" s="79"/>
      <c r="D4512"/>
      <c r="E4512" s="188"/>
      <c r="H4512"/>
      <c r="I4512" s="202"/>
      <c r="J4512"/>
      <c r="K4512"/>
      <c r="L4512"/>
      <c r="M4512"/>
    </row>
    <row r="4513" spans="2:13" ht="15.75">
      <c r="B4513" s="79"/>
      <c r="D4513"/>
      <c r="E4513" s="188"/>
      <c r="H4513"/>
      <c r="I4513" s="202"/>
      <c r="J4513"/>
      <c r="K4513"/>
      <c r="L4513"/>
      <c r="M4513"/>
    </row>
    <row r="4514" spans="2:13" ht="15.75">
      <c r="B4514" s="79"/>
      <c r="D4514"/>
      <c r="E4514" s="188"/>
      <c r="H4514"/>
      <c r="I4514" s="202"/>
      <c r="J4514"/>
      <c r="K4514"/>
      <c r="L4514"/>
      <c r="M4514"/>
    </row>
    <row r="4515" spans="2:13" ht="15.75">
      <c r="B4515" s="79"/>
      <c r="D4515"/>
      <c r="E4515" s="188"/>
      <c r="H4515"/>
      <c r="I4515" s="202"/>
      <c r="J4515"/>
      <c r="K4515"/>
      <c r="L4515"/>
      <c r="M4515"/>
    </row>
    <row r="4516" spans="2:13" ht="15.75">
      <c r="B4516" s="79"/>
      <c r="D4516"/>
      <c r="E4516" s="188"/>
      <c r="H4516"/>
      <c r="I4516" s="202"/>
      <c r="J4516"/>
      <c r="K4516"/>
      <c r="L4516"/>
      <c r="M4516"/>
    </row>
    <row r="4517" spans="2:13" ht="15.75">
      <c r="B4517" s="79"/>
      <c r="D4517"/>
      <c r="E4517" s="188"/>
      <c r="H4517"/>
      <c r="I4517" s="202"/>
      <c r="J4517"/>
      <c r="K4517"/>
      <c r="L4517"/>
      <c r="M4517"/>
    </row>
    <row r="4518" spans="2:13" ht="15.75">
      <c r="B4518" s="79"/>
      <c r="D4518"/>
      <c r="E4518" s="188"/>
      <c r="H4518"/>
      <c r="I4518" s="202"/>
      <c r="J4518"/>
      <c r="K4518"/>
      <c r="L4518"/>
      <c r="M4518"/>
    </row>
    <row r="4519" spans="2:13" ht="15.75">
      <c r="B4519" s="79"/>
      <c r="D4519"/>
      <c r="E4519" s="188"/>
      <c r="H4519"/>
      <c r="I4519" s="202"/>
      <c r="J4519"/>
      <c r="K4519"/>
      <c r="L4519"/>
      <c r="M4519"/>
    </row>
    <row r="4520" spans="2:13" ht="15.75">
      <c r="B4520" s="79"/>
      <c r="D4520"/>
      <c r="E4520" s="188"/>
      <c r="H4520"/>
      <c r="I4520" s="202"/>
      <c r="J4520"/>
      <c r="K4520"/>
      <c r="L4520"/>
      <c r="M4520"/>
    </row>
    <row r="4521" spans="2:13" ht="15.75">
      <c r="B4521" s="79"/>
      <c r="D4521"/>
      <c r="E4521" s="188"/>
      <c r="H4521"/>
      <c r="I4521" s="202"/>
      <c r="J4521"/>
      <c r="K4521"/>
      <c r="L4521"/>
      <c r="M4521"/>
    </row>
    <row r="4522" spans="2:13" ht="15.75">
      <c r="B4522" s="79"/>
      <c r="D4522"/>
      <c r="E4522" s="188"/>
      <c r="H4522"/>
      <c r="I4522" s="202"/>
      <c r="J4522"/>
      <c r="K4522"/>
      <c r="L4522"/>
      <c r="M4522"/>
    </row>
    <row r="4523" spans="2:13" ht="15.75">
      <c r="B4523" s="79"/>
      <c r="D4523"/>
      <c r="E4523" s="188"/>
      <c r="H4523"/>
      <c r="I4523" s="202"/>
      <c r="J4523"/>
      <c r="K4523"/>
      <c r="L4523"/>
      <c r="M4523"/>
    </row>
    <row r="4524" spans="2:13" ht="15.75">
      <c r="B4524" s="79"/>
      <c r="D4524"/>
      <c r="E4524" s="188"/>
      <c r="H4524"/>
      <c r="I4524" s="202"/>
      <c r="J4524"/>
      <c r="K4524"/>
      <c r="L4524"/>
      <c r="M4524"/>
    </row>
    <row r="4525" spans="2:13" ht="15.75">
      <c r="B4525" s="79"/>
      <c r="D4525"/>
      <c r="E4525" s="188"/>
      <c r="H4525"/>
      <c r="I4525" s="202"/>
      <c r="J4525"/>
      <c r="K4525"/>
      <c r="L4525"/>
      <c r="M4525"/>
    </row>
    <row r="4526" spans="2:13" ht="15.75">
      <c r="B4526" s="79"/>
      <c r="D4526"/>
      <c r="E4526" s="188"/>
      <c r="H4526"/>
      <c r="I4526" s="202"/>
      <c r="J4526"/>
      <c r="K4526"/>
      <c r="L4526"/>
      <c r="M4526"/>
    </row>
    <row r="4527" spans="2:13" ht="15.75">
      <c r="B4527" s="79"/>
      <c r="D4527"/>
      <c r="E4527" s="188"/>
      <c r="H4527"/>
      <c r="I4527" s="202"/>
      <c r="J4527"/>
      <c r="K4527"/>
      <c r="L4527"/>
      <c r="M4527"/>
    </row>
    <row r="4528" spans="2:13" ht="15.75">
      <c r="B4528" s="79"/>
      <c r="D4528"/>
      <c r="E4528" s="188"/>
      <c r="H4528"/>
      <c r="I4528" s="202"/>
      <c r="J4528"/>
      <c r="K4528"/>
      <c r="L4528"/>
      <c r="M4528"/>
    </row>
    <row r="4529" spans="2:13" ht="15.75">
      <c r="B4529" s="79"/>
      <c r="D4529"/>
      <c r="E4529" s="188"/>
      <c r="H4529"/>
      <c r="I4529" s="202"/>
      <c r="J4529"/>
      <c r="K4529"/>
      <c r="L4529"/>
      <c r="M4529"/>
    </row>
    <row r="4530" spans="2:13" ht="15.75">
      <c r="B4530" s="79"/>
      <c r="D4530"/>
      <c r="E4530" s="188"/>
      <c r="H4530"/>
      <c r="I4530" s="202"/>
      <c r="J4530"/>
      <c r="K4530"/>
      <c r="L4530"/>
      <c r="M4530"/>
    </row>
    <row r="4531" spans="2:13" ht="15.75">
      <c r="B4531" s="79"/>
      <c r="D4531"/>
      <c r="E4531" s="188"/>
      <c r="H4531"/>
      <c r="I4531" s="202"/>
      <c r="J4531"/>
      <c r="K4531"/>
      <c r="L4531"/>
      <c r="M4531"/>
    </row>
    <row r="4532" spans="2:13" ht="15.75">
      <c r="B4532" s="79"/>
      <c r="D4532"/>
      <c r="E4532" s="188"/>
      <c r="H4532"/>
      <c r="I4532" s="202"/>
      <c r="J4532"/>
      <c r="K4532"/>
      <c r="L4532"/>
      <c r="M4532"/>
    </row>
    <row r="4533" spans="2:13" ht="15.75">
      <c r="B4533" s="79"/>
      <c r="D4533"/>
      <c r="E4533" s="188"/>
      <c r="H4533"/>
      <c r="I4533" s="202"/>
      <c r="J4533"/>
      <c r="K4533"/>
      <c r="L4533"/>
      <c r="M4533"/>
    </row>
    <row r="4534" spans="2:13" ht="15.75">
      <c r="B4534" s="79"/>
      <c r="D4534"/>
      <c r="E4534" s="188"/>
      <c r="H4534"/>
      <c r="I4534" s="202"/>
      <c r="J4534"/>
      <c r="K4534"/>
      <c r="L4534"/>
      <c r="M4534"/>
    </row>
    <row r="4535" spans="2:13" ht="15.75">
      <c r="B4535" s="79"/>
      <c r="D4535"/>
      <c r="E4535" s="188"/>
      <c r="H4535"/>
      <c r="I4535" s="202"/>
      <c r="J4535"/>
      <c r="K4535"/>
      <c r="L4535"/>
      <c r="M4535"/>
    </row>
    <row r="4536" spans="2:13" ht="15.75">
      <c r="B4536" s="79"/>
      <c r="D4536"/>
      <c r="E4536" s="188"/>
      <c r="H4536"/>
      <c r="I4536" s="202"/>
      <c r="J4536"/>
      <c r="K4536"/>
      <c r="L4536"/>
      <c r="M4536"/>
    </row>
    <row r="4537" spans="2:13" ht="15.75">
      <c r="B4537" s="79"/>
      <c r="D4537"/>
      <c r="E4537" s="188"/>
      <c r="H4537"/>
      <c r="I4537" s="202"/>
      <c r="J4537"/>
      <c r="K4537"/>
      <c r="L4537"/>
      <c r="M4537"/>
    </row>
    <row r="4538" spans="2:13" ht="15.75">
      <c r="B4538" s="79"/>
      <c r="D4538"/>
      <c r="E4538" s="188"/>
      <c r="H4538"/>
      <c r="I4538" s="202"/>
      <c r="J4538"/>
      <c r="K4538"/>
      <c r="L4538"/>
      <c r="M4538"/>
    </row>
    <row r="4539" spans="2:13" ht="15.75">
      <c r="B4539" s="79"/>
      <c r="D4539"/>
      <c r="E4539" s="188"/>
      <c r="H4539"/>
      <c r="I4539" s="202"/>
      <c r="J4539"/>
      <c r="K4539"/>
      <c r="L4539"/>
      <c r="M4539"/>
    </row>
    <row r="4540" spans="2:13" ht="15.75">
      <c r="B4540" s="79"/>
      <c r="D4540"/>
      <c r="E4540" s="188"/>
      <c r="H4540"/>
      <c r="I4540" s="202"/>
      <c r="J4540"/>
      <c r="K4540"/>
      <c r="L4540"/>
      <c r="M4540"/>
    </row>
    <row r="4541" spans="2:13" ht="15.75">
      <c r="B4541" s="79"/>
      <c r="D4541"/>
      <c r="E4541" s="188"/>
      <c r="H4541"/>
      <c r="I4541" s="202"/>
      <c r="J4541"/>
      <c r="K4541"/>
      <c r="L4541"/>
      <c r="M4541"/>
    </row>
    <row r="4542" spans="2:13" ht="15.75">
      <c r="B4542" s="79"/>
      <c r="D4542"/>
      <c r="E4542" s="188"/>
      <c r="H4542"/>
      <c r="I4542" s="202"/>
      <c r="J4542"/>
      <c r="K4542"/>
      <c r="L4542"/>
      <c r="M4542"/>
    </row>
    <row r="4543" spans="2:13" ht="15.75">
      <c r="B4543" s="79"/>
      <c r="D4543"/>
      <c r="E4543" s="188"/>
      <c r="H4543"/>
      <c r="I4543" s="202"/>
      <c r="J4543"/>
      <c r="K4543"/>
      <c r="L4543"/>
      <c r="M4543"/>
    </row>
    <row r="4544" spans="2:13" ht="15.75">
      <c r="B4544" s="79"/>
      <c r="D4544"/>
      <c r="E4544" s="188"/>
      <c r="H4544"/>
      <c r="I4544" s="202"/>
      <c r="J4544"/>
      <c r="K4544"/>
      <c r="L4544"/>
      <c r="M4544"/>
    </row>
    <row r="4545" spans="2:13" ht="15.75">
      <c r="B4545" s="79"/>
      <c r="D4545"/>
      <c r="E4545" s="188"/>
      <c r="H4545"/>
      <c r="I4545" s="202"/>
      <c r="J4545"/>
      <c r="K4545"/>
      <c r="L4545"/>
      <c r="M4545"/>
    </row>
    <row r="4546" spans="2:13" ht="15.75">
      <c r="B4546" s="79"/>
      <c r="D4546"/>
      <c r="E4546" s="188"/>
      <c r="H4546"/>
      <c r="I4546" s="202"/>
      <c r="J4546"/>
      <c r="K4546"/>
      <c r="L4546"/>
      <c r="M4546"/>
    </row>
    <row r="4547" spans="2:13" ht="15.75">
      <c r="B4547" s="79"/>
      <c r="D4547"/>
      <c r="E4547" s="188"/>
      <c r="H4547"/>
      <c r="I4547" s="202"/>
      <c r="J4547"/>
      <c r="K4547"/>
      <c r="L4547"/>
      <c r="M4547"/>
    </row>
    <row r="4548" spans="2:13" ht="15.75">
      <c r="B4548" s="79"/>
      <c r="D4548"/>
      <c r="E4548" s="188"/>
      <c r="H4548"/>
      <c r="I4548" s="202"/>
      <c r="J4548"/>
      <c r="K4548"/>
      <c r="L4548"/>
      <c r="M4548"/>
    </row>
    <row r="4549" spans="2:13" ht="15.75">
      <c r="B4549" s="79"/>
      <c r="D4549"/>
      <c r="E4549" s="188"/>
      <c r="H4549"/>
      <c r="I4549" s="202"/>
      <c r="J4549"/>
      <c r="K4549"/>
      <c r="L4549"/>
      <c r="M4549"/>
    </row>
    <row r="4550" spans="2:13" ht="15.75">
      <c r="B4550" s="79"/>
      <c r="D4550"/>
      <c r="E4550" s="188"/>
      <c r="H4550"/>
      <c r="I4550" s="202"/>
      <c r="J4550"/>
      <c r="K4550"/>
      <c r="L4550"/>
      <c r="M4550"/>
    </row>
    <row r="4551" spans="2:13" ht="15.75">
      <c r="B4551" s="79"/>
      <c r="D4551"/>
      <c r="E4551" s="188"/>
      <c r="H4551"/>
      <c r="I4551" s="202"/>
      <c r="J4551"/>
      <c r="K4551"/>
      <c r="L4551"/>
      <c r="M4551"/>
    </row>
    <row r="4552" spans="2:13" ht="15.75">
      <c r="B4552" s="79"/>
      <c r="D4552"/>
      <c r="E4552" s="188"/>
      <c r="H4552"/>
      <c r="I4552" s="202"/>
      <c r="J4552"/>
      <c r="K4552"/>
      <c r="L4552"/>
      <c r="M4552"/>
    </row>
    <row r="4553" spans="2:13" ht="15.75">
      <c r="B4553" s="79"/>
      <c r="D4553"/>
      <c r="E4553" s="188"/>
      <c r="H4553"/>
      <c r="I4553" s="202"/>
      <c r="J4553"/>
      <c r="K4553"/>
      <c r="L4553"/>
      <c r="M4553"/>
    </row>
    <row r="4554" spans="2:13" ht="15.75">
      <c r="B4554" s="79"/>
      <c r="D4554"/>
      <c r="E4554" s="188"/>
      <c r="H4554"/>
      <c r="I4554" s="202"/>
      <c r="J4554"/>
      <c r="K4554"/>
      <c r="L4554"/>
      <c r="M4554"/>
    </row>
    <row r="4555" spans="2:13" ht="15.75">
      <c r="B4555" s="79"/>
      <c r="D4555"/>
      <c r="E4555" s="188"/>
      <c r="H4555"/>
      <c r="I4555" s="202"/>
      <c r="J4555"/>
      <c r="K4555"/>
      <c r="L4555"/>
      <c r="M4555"/>
    </row>
    <row r="4556" spans="2:13" ht="15.75">
      <c r="B4556" s="79"/>
      <c r="D4556"/>
      <c r="E4556" s="188"/>
      <c r="H4556"/>
      <c r="I4556" s="202"/>
      <c r="J4556"/>
      <c r="K4556"/>
      <c r="L4556"/>
      <c r="M4556"/>
    </row>
    <row r="4557" spans="2:13" ht="15.75">
      <c r="B4557" s="79"/>
      <c r="D4557"/>
      <c r="E4557" s="188"/>
      <c r="H4557"/>
      <c r="I4557" s="202"/>
      <c r="J4557"/>
      <c r="K4557"/>
      <c r="L4557"/>
      <c r="M4557"/>
    </row>
    <row r="4558" spans="2:13" ht="15.75">
      <c r="B4558" s="79"/>
      <c r="D4558"/>
      <c r="E4558" s="188"/>
      <c r="H4558"/>
      <c r="I4558" s="202"/>
      <c r="J4558"/>
      <c r="K4558"/>
      <c r="L4558"/>
      <c r="M4558"/>
    </row>
    <row r="4559" spans="2:13" ht="15.75">
      <c r="B4559" s="79"/>
      <c r="D4559"/>
      <c r="E4559" s="188"/>
      <c r="H4559"/>
      <c r="I4559" s="202"/>
      <c r="J4559"/>
      <c r="K4559"/>
      <c r="L4559"/>
      <c r="M4559"/>
    </row>
    <row r="4560" spans="2:13" ht="15.75">
      <c r="B4560" s="79"/>
      <c r="D4560"/>
      <c r="E4560" s="188"/>
      <c r="H4560"/>
      <c r="I4560" s="202"/>
      <c r="J4560"/>
      <c r="K4560"/>
      <c r="L4560"/>
      <c r="M4560"/>
    </row>
    <row r="4561" spans="2:13" ht="15.75">
      <c r="B4561" s="79"/>
      <c r="D4561"/>
      <c r="E4561" s="188"/>
      <c r="H4561"/>
      <c r="I4561" s="202"/>
      <c r="J4561"/>
      <c r="K4561"/>
      <c r="L4561"/>
      <c r="M4561"/>
    </row>
    <row r="4562" spans="2:13" ht="15.75">
      <c r="B4562" s="79"/>
      <c r="D4562"/>
      <c r="E4562" s="188"/>
      <c r="H4562"/>
      <c r="I4562" s="202"/>
      <c r="J4562"/>
      <c r="K4562"/>
      <c r="L4562"/>
      <c r="M4562"/>
    </row>
    <row r="4563" spans="2:13" ht="15.75">
      <c r="B4563" s="79"/>
      <c r="D4563"/>
      <c r="E4563" s="188"/>
      <c r="H4563"/>
      <c r="I4563" s="202"/>
      <c r="J4563"/>
      <c r="K4563"/>
      <c r="L4563"/>
      <c r="M4563"/>
    </row>
    <row r="4564" spans="2:13" ht="15.75">
      <c r="B4564" s="79"/>
      <c r="D4564"/>
      <c r="E4564" s="188"/>
      <c r="H4564"/>
      <c r="I4564" s="202"/>
      <c r="J4564"/>
      <c r="K4564"/>
      <c r="L4564"/>
      <c r="M4564"/>
    </row>
    <row r="4565" spans="2:13" ht="15.75">
      <c r="B4565" s="79"/>
      <c r="D4565"/>
      <c r="E4565" s="188"/>
      <c r="H4565"/>
      <c r="I4565" s="202"/>
      <c r="J4565"/>
      <c r="K4565"/>
      <c r="L4565"/>
      <c r="M4565"/>
    </row>
    <row r="4566" spans="2:13" ht="15.75">
      <c r="B4566" s="79"/>
      <c r="D4566"/>
      <c r="E4566" s="188"/>
      <c r="H4566"/>
      <c r="I4566" s="202"/>
      <c r="J4566"/>
      <c r="K4566"/>
      <c r="L4566"/>
      <c r="M4566"/>
    </row>
    <row r="4567" spans="2:13" ht="15.75">
      <c r="B4567" s="79"/>
      <c r="D4567"/>
      <c r="E4567" s="188"/>
      <c r="H4567"/>
      <c r="I4567" s="202"/>
      <c r="J4567"/>
      <c r="K4567"/>
      <c r="L4567"/>
      <c r="M4567"/>
    </row>
    <row r="4568" spans="2:13" ht="15.75">
      <c r="B4568" s="79"/>
      <c r="D4568"/>
      <c r="E4568" s="188"/>
      <c r="H4568"/>
      <c r="I4568" s="202"/>
      <c r="J4568"/>
      <c r="K4568"/>
      <c r="L4568"/>
      <c r="M4568"/>
    </row>
    <row r="4569" spans="2:13" ht="15.75">
      <c r="B4569" s="79"/>
      <c r="D4569"/>
      <c r="E4569" s="188"/>
      <c r="H4569"/>
      <c r="I4569" s="202"/>
      <c r="J4569"/>
      <c r="K4569"/>
      <c r="L4569"/>
      <c r="M4569"/>
    </row>
    <row r="4570" spans="2:13" ht="15.75">
      <c r="B4570" s="79"/>
      <c r="D4570"/>
      <c r="E4570" s="188"/>
      <c r="H4570"/>
      <c r="I4570" s="202"/>
      <c r="J4570"/>
      <c r="K4570"/>
      <c r="L4570"/>
      <c r="M4570"/>
    </row>
    <row r="4571" spans="2:13" ht="15.75">
      <c r="B4571" s="79"/>
      <c r="D4571"/>
      <c r="E4571" s="188"/>
      <c r="H4571"/>
      <c r="I4571" s="202"/>
      <c r="J4571"/>
      <c r="K4571"/>
      <c r="L4571"/>
      <c r="M4571"/>
    </row>
    <row r="4572" spans="2:13" ht="15.75">
      <c r="B4572" s="79"/>
      <c r="D4572"/>
      <c r="E4572" s="188"/>
      <c r="H4572"/>
      <c r="I4572" s="202"/>
      <c r="J4572"/>
      <c r="K4572"/>
      <c r="L4572"/>
      <c r="M4572"/>
    </row>
    <row r="4573" spans="2:13" ht="15.75">
      <c r="B4573" s="79"/>
      <c r="D4573"/>
      <c r="E4573" s="188"/>
      <c r="H4573"/>
      <c r="I4573" s="202"/>
      <c r="J4573"/>
      <c r="K4573"/>
      <c r="L4573"/>
      <c r="M4573"/>
    </row>
    <row r="4574" spans="2:13" ht="15.75">
      <c r="B4574" s="79"/>
      <c r="D4574"/>
      <c r="E4574" s="188"/>
      <c r="H4574"/>
      <c r="I4574" s="202"/>
      <c r="J4574"/>
      <c r="K4574"/>
      <c r="L4574"/>
      <c r="M4574"/>
    </row>
    <row r="4575" spans="2:13" ht="15.75">
      <c r="B4575" s="79"/>
      <c r="D4575"/>
      <c r="E4575" s="188"/>
      <c r="H4575"/>
      <c r="I4575" s="202"/>
      <c r="J4575"/>
      <c r="K4575"/>
      <c r="L4575"/>
      <c r="M4575"/>
    </row>
    <row r="4576" spans="2:13" ht="15.75">
      <c r="B4576" s="79"/>
      <c r="D4576"/>
      <c r="E4576" s="188"/>
      <c r="H4576"/>
      <c r="I4576" s="202"/>
      <c r="J4576"/>
      <c r="K4576"/>
      <c r="L4576"/>
      <c r="M4576"/>
    </row>
    <row r="4577" spans="2:13" ht="15.75">
      <c r="B4577" s="79"/>
      <c r="D4577"/>
      <c r="E4577" s="188"/>
      <c r="H4577"/>
      <c r="I4577" s="202"/>
      <c r="J4577"/>
      <c r="K4577"/>
      <c r="L4577"/>
      <c r="M4577"/>
    </row>
    <row r="4578" spans="2:13" ht="15.75">
      <c r="B4578" s="79"/>
      <c r="D4578"/>
      <c r="E4578" s="188"/>
      <c r="H4578"/>
      <c r="I4578" s="202"/>
      <c r="J4578"/>
      <c r="K4578"/>
      <c r="L4578"/>
      <c r="M4578"/>
    </row>
    <row r="4579" spans="2:13" ht="15.75">
      <c r="B4579" s="79"/>
      <c r="D4579"/>
      <c r="E4579" s="188"/>
      <c r="H4579"/>
      <c r="I4579" s="202"/>
      <c r="J4579"/>
      <c r="K4579"/>
      <c r="L4579"/>
      <c r="M4579"/>
    </row>
    <row r="4580" spans="2:13" ht="15.75">
      <c r="B4580" s="79"/>
      <c r="D4580"/>
      <c r="E4580" s="188"/>
      <c r="H4580"/>
      <c r="I4580" s="202"/>
      <c r="J4580"/>
      <c r="K4580"/>
      <c r="L4580"/>
      <c r="M4580"/>
    </row>
    <row r="4581" spans="2:13" ht="15.75">
      <c r="B4581" s="79"/>
      <c r="D4581"/>
      <c r="E4581" s="188"/>
      <c r="H4581"/>
      <c r="I4581" s="202"/>
      <c r="J4581"/>
      <c r="K4581"/>
      <c r="L4581"/>
      <c r="M4581"/>
    </row>
    <row r="4582" spans="2:13" ht="15.75">
      <c r="B4582" s="79"/>
      <c r="D4582"/>
      <c r="E4582" s="188"/>
      <c r="H4582"/>
      <c r="I4582" s="202"/>
      <c r="J4582"/>
      <c r="K4582"/>
      <c r="L4582"/>
      <c r="M4582"/>
    </row>
    <row r="4583" spans="2:13" ht="15.75">
      <c r="B4583" s="79"/>
      <c r="D4583"/>
      <c r="E4583" s="188"/>
      <c r="H4583"/>
      <c r="I4583" s="202"/>
      <c r="J4583"/>
      <c r="K4583"/>
      <c r="L4583"/>
      <c r="M4583"/>
    </row>
    <row r="4584" spans="2:13" ht="15.75">
      <c r="B4584" s="79"/>
      <c r="D4584"/>
      <c r="E4584" s="188"/>
      <c r="H4584"/>
      <c r="I4584" s="202"/>
      <c r="J4584"/>
      <c r="K4584"/>
      <c r="L4584"/>
      <c r="M4584"/>
    </row>
    <row r="4585" spans="2:13" ht="15.75">
      <c r="B4585" s="79"/>
      <c r="D4585"/>
      <c r="E4585" s="188"/>
      <c r="H4585"/>
      <c r="I4585" s="202"/>
      <c r="J4585"/>
      <c r="K4585"/>
      <c r="L4585"/>
      <c r="M4585"/>
    </row>
    <row r="4586" spans="2:13" ht="15.75">
      <c r="B4586" s="79"/>
      <c r="D4586"/>
      <c r="E4586" s="188"/>
      <c r="H4586"/>
      <c r="I4586" s="202"/>
      <c r="J4586"/>
      <c r="K4586"/>
      <c r="L4586"/>
      <c r="M4586"/>
    </row>
    <row r="4587" spans="2:13" ht="15.75">
      <c r="B4587" s="79"/>
      <c r="D4587"/>
      <c r="E4587" s="188"/>
      <c r="H4587"/>
      <c r="I4587" s="202"/>
      <c r="J4587"/>
      <c r="K4587"/>
      <c r="L4587"/>
      <c r="M4587"/>
    </row>
    <row r="4588" spans="2:13" ht="15.75">
      <c r="B4588" s="79"/>
      <c r="D4588"/>
      <c r="E4588" s="188"/>
      <c r="H4588"/>
      <c r="I4588" s="202"/>
      <c r="J4588"/>
      <c r="K4588"/>
      <c r="L4588"/>
      <c r="M4588"/>
    </row>
    <row r="4589" spans="2:13" ht="15.75">
      <c r="B4589" s="79"/>
      <c r="D4589"/>
      <c r="E4589" s="188"/>
      <c r="H4589"/>
      <c r="I4589" s="202"/>
      <c r="J4589"/>
      <c r="K4589"/>
      <c r="L4589"/>
      <c r="M4589"/>
    </row>
    <row r="4590" spans="2:13" ht="15.75">
      <c r="B4590" s="79"/>
      <c r="D4590"/>
      <c r="E4590" s="188"/>
      <c r="H4590"/>
      <c r="I4590" s="202"/>
      <c r="J4590"/>
      <c r="K4590"/>
      <c r="L4590"/>
      <c r="M4590"/>
    </row>
    <row r="4591" spans="2:13" ht="15.75">
      <c r="B4591" s="79"/>
      <c r="D4591"/>
      <c r="E4591" s="188"/>
      <c r="H4591"/>
      <c r="I4591" s="202"/>
      <c r="J4591"/>
      <c r="K4591"/>
      <c r="L4591"/>
      <c r="M4591"/>
    </row>
    <row r="4592" spans="2:13" ht="15.75">
      <c r="B4592" s="79"/>
      <c r="D4592"/>
      <c r="E4592" s="188"/>
      <c r="H4592"/>
      <c r="I4592" s="202"/>
      <c r="J4592"/>
      <c r="K4592"/>
      <c r="L4592"/>
      <c r="M4592"/>
    </row>
    <row r="4593" spans="2:13" ht="15.75">
      <c r="B4593" s="79"/>
      <c r="D4593"/>
      <c r="E4593" s="188"/>
      <c r="H4593"/>
      <c r="I4593" s="202"/>
      <c r="J4593"/>
      <c r="K4593"/>
      <c r="L4593"/>
      <c r="M4593"/>
    </row>
    <row r="4594" spans="2:13" ht="15.75">
      <c r="B4594" s="79"/>
      <c r="D4594"/>
      <c r="E4594" s="188"/>
      <c r="H4594"/>
      <c r="I4594" s="202"/>
      <c r="J4594"/>
      <c r="K4594"/>
      <c r="L4594"/>
      <c r="M4594"/>
    </row>
    <row r="4595" spans="2:13" ht="15.75">
      <c r="B4595" s="79"/>
      <c r="D4595"/>
      <c r="E4595" s="188"/>
      <c r="H4595"/>
      <c r="I4595" s="202"/>
      <c r="J4595"/>
      <c r="K4595"/>
      <c r="L4595"/>
      <c r="M4595"/>
    </row>
    <row r="4596" spans="2:13" ht="15.75">
      <c r="B4596" s="79"/>
      <c r="D4596"/>
      <c r="E4596" s="188"/>
      <c r="H4596"/>
      <c r="I4596" s="202"/>
      <c r="J4596"/>
      <c r="K4596"/>
      <c r="L4596"/>
      <c r="M4596"/>
    </row>
    <row r="4597" spans="2:13" ht="15.75">
      <c r="B4597" s="79"/>
      <c r="D4597"/>
      <c r="E4597" s="188"/>
      <c r="H4597"/>
      <c r="I4597" s="202"/>
      <c r="J4597"/>
      <c r="K4597"/>
      <c r="L4597"/>
      <c r="M4597"/>
    </row>
    <row r="4598" spans="2:13" ht="15.75">
      <c r="B4598" s="79"/>
      <c r="D4598"/>
      <c r="E4598" s="188"/>
      <c r="H4598"/>
      <c r="I4598" s="202"/>
      <c r="J4598"/>
      <c r="K4598"/>
      <c r="L4598"/>
      <c r="M4598"/>
    </row>
    <row r="4599" spans="2:13" ht="15.75">
      <c r="B4599" s="79"/>
      <c r="D4599"/>
      <c r="E4599" s="188"/>
      <c r="H4599"/>
      <c r="I4599" s="202"/>
      <c r="J4599"/>
      <c r="K4599"/>
      <c r="L4599"/>
      <c r="M4599"/>
    </row>
    <row r="4600" spans="2:13" ht="15.75">
      <c r="B4600" s="79"/>
      <c r="D4600"/>
      <c r="E4600" s="188"/>
      <c r="H4600"/>
      <c r="I4600" s="202"/>
      <c r="J4600"/>
      <c r="K4600"/>
      <c r="L4600"/>
      <c r="M4600"/>
    </row>
    <row r="4601" spans="2:13" ht="15.75">
      <c r="B4601" s="79"/>
      <c r="D4601"/>
      <c r="E4601" s="188"/>
      <c r="H4601"/>
      <c r="I4601" s="202"/>
      <c r="J4601"/>
      <c r="K4601"/>
      <c r="L4601"/>
      <c r="M4601"/>
    </row>
    <row r="4602" spans="2:13" ht="15.75">
      <c r="B4602" s="79"/>
      <c r="D4602"/>
      <c r="E4602" s="188"/>
      <c r="H4602"/>
      <c r="I4602" s="202"/>
      <c r="J4602"/>
      <c r="K4602"/>
      <c r="L4602"/>
      <c r="M4602"/>
    </row>
    <row r="4603" spans="2:13" ht="15.75">
      <c r="B4603" s="79"/>
      <c r="D4603"/>
      <c r="E4603" s="188"/>
      <c r="H4603"/>
      <c r="I4603" s="202"/>
      <c r="J4603"/>
      <c r="K4603"/>
      <c r="L4603"/>
      <c r="M4603"/>
    </row>
    <row r="4604" spans="2:13" ht="15.75">
      <c r="B4604" s="79"/>
      <c r="D4604"/>
      <c r="E4604" s="188"/>
      <c r="H4604"/>
      <c r="I4604" s="202"/>
      <c r="J4604"/>
      <c r="K4604"/>
      <c r="L4604"/>
      <c r="M4604"/>
    </row>
    <row r="4605" spans="2:13" ht="15.75">
      <c r="B4605" s="79"/>
      <c r="D4605"/>
      <c r="E4605" s="188"/>
      <c r="H4605"/>
      <c r="I4605" s="202"/>
      <c r="J4605"/>
      <c r="K4605"/>
      <c r="L4605"/>
      <c r="M4605"/>
    </row>
    <row r="4606" spans="2:13" ht="15.75">
      <c r="B4606" s="79"/>
      <c r="D4606"/>
      <c r="E4606" s="188"/>
      <c r="H4606"/>
      <c r="I4606" s="202"/>
      <c r="J4606"/>
      <c r="K4606"/>
      <c r="L4606"/>
      <c r="M4606"/>
    </row>
    <row r="4607" spans="2:13" ht="15.75">
      <c r="B4607" s="79"/>
      <c r="D4607"/>
      <c r="E4607" s="188"/>
      <c r="H4607"/>
      <c r="I4607" s="202"/>
      <c r="J4607"/>
      <c r="K4607"/>
      <c r="L4607"/>
      <c r="M4607"/>
    </row>
    <row r="4608" spans="2:13" ht="15.75">
      <c r="B4608" s="79"/>
      <c r="D4608"/>
      <c r="E4608" s="188"/>
      <c r="H4608"/>
      <c r="I4608" s="202"/>
      <c r="J4608"/>
      <c r="K4608"/>
      <c r="L4608"/>
      <c r="M4608"/>
    </row>
    <row r="4609" spans="2:13" ht="15.75">
      <c r="B4609" s="79"/>
      <c r="D4609"/>
      <c r="E4609" s="188"/>
      <c r="H4609"/>
      <c r="I4609" s="202"/>
      <c r="J4609"/>
      <c r="K4609"/>
      <c r="L4609"/>
      <c r="M4609"/>
    </row>
    <row r="4610" spans="2:13" ht="15.75">
      <c r="B4610" s="79"/>
      <c r="D4610"/>
      <c r="E4610" s="188"/>
      <c r="H4610"/>
      <c r="I4610" s="202"/>
      <c r="J4610"/>
      <c r="K4610"/>
      <c r="L4610"/>
      <c r="M4610"/>
    </row>
    <row r="4611" spans="2:13" ht="15.75">
      <c r="B4611" s="79"/>
      <c r="D4611"/>
      <c r="E4611" s="188"/>
      <c r="H4611"/>
      <c r="I4611" s="202"/>
      <c r="J4611"/>
      <c r="K4611"/>
      <c r="L4611"/>
      <c r="M4611"/>
    </row>
    <row r="4612" spans="2:13" ht="15.75">
      <c r="B4612" s="79"/>
      <c r="D4612"/>
      <c r="E4612" s="188"/>
      <c r="H4612"/>
      <c r="I4612" s="202"/>
      <c r="J4612"/>
      <c r="K4612"/>
      <c r="L4612"/>
      <c r="M4612"/>
    </row>
    <row r="4613" spans="2:13" ht="15.75">
      <c r="B4613" s="79"/>
      <c r="D4613"/>
      <c r="E4613" s="188"/>
      <c r="H4613"/>
      <c r="I4613" s="202"/>
      <c r="J4613"/>
      <c r="K4613"/>
      <c r="L4613"/>
      <c r="M4613"/>
    </row>
    <row r="4614" spans="2:13" ht="15.75">
      <c r="B4614" s="79"/>
      <c r="D4614"/>
      <c r="E4614" s="188"/>
      <c r="H4614"/>
      <c r="I4614" s="202"/>
      <c r="J4614"/>
      <c r="K4614"/>
      <c r="L4614"/>
      <c r="M4614"/>
    </row>
    <row r="4615" spans="2:13" ht="15.75">
      <c r="B4615" s="79"/>
      <c r="D4615"/>
      <c r="E4615" s="188"/>
      <c r="H4615"/>
      <c r="I4615" s="202"/>
      <c r="J4615"/>
      <c r="K4615"/>
      <c r="L4615"/>
      <c r="M4615"/>
    </row>
    <row r="4616" spans="2:13" ht="15.75">
      <c r="B4616" s="79"/>
      <c r="D4616"/>
      <c r="E4616" s="188"/>
      <c r="H4616"/>
      <c r="I4616" s="202"/>
      <c r="J4616"/>
      <c r="K4616"/>
      <c r="L4616"/>
      <c r="M4616"/>
    </row>
    <row r="4617" spans="2:13" ht="15.75">
      <c r="B4617" s="79"/>
      <c r="D4617"/>
      <c r="E4617" s="188"/>
      <c r="H4617"/>
      <c r="I4617" s="202"/>
      <c r="J4617"/>
      <c r="K4617"/>
      <c r="L4617"/>
      <c r="M4617"/>
    </row>
    <row r="4618" spans="2:13" ht="15.75">
      <c r="B4618" s="79"/>
      <c r="D4618"/>
      <c r="E4618" s="188"/>
      <c r="H4618"/>
      <c r="I4618" s="202"/>
      <c r="J4618"/>
      <c r="K4618"/>
      <c r="L4618"/>
      <c r="M4618"/>
    </row>
    <row r="4619" spans="2:13" ht="15.75">
      <c r="B4619" s="79"/>
      <c r="D4619"/>
      <c r="E4619" s="188"/>
      <c r="H4619"/>
      <c r="I4619" s="202"/>
      <c r="J4619"/>
      <c r="K4619"/>
      <c r="L4619"/>
      <c r="M4619"/>
    </row>
    <row r="4620" spans="2:13" ht="15.75">
      <c r="B4620" s="79"/>
      <c r="D4620"/>
      <c r="E4620" s="188"/>
      <c r="H4620"/>
      <c r="I4620" s="202"/>
      <c r="J4620"/>
      <c r="K4620"/>
      <c r="L4620"/>
      <c r="M4620"/>
    </row>
    <row r="4621" spans="2:13" ht="15.75">
      <c r="B4621" s="79"/>
      <c r="D4621"/>
      <c r="E4621" s="188"/>
      <c r="H4621"/>
      <c r="I4621" s="202"/>
      <c r="J4621"/>
      <c r="K4621"/>
      <c r="L4621"/>
      <c r="M4621"/>
    </row>
    <row r="4622" spans="2:13" ht="15.75">
      <c r="B4622" s="79"/>
      <c r="D4622"/>
      <c r="E4622" s="188"/>
      <c r="H4622"/>
      <c r="I4622" s="202"/>
      <c r="J4622"/>
      <c r="K4622"/>
      <c r="L4622"/>
      <c r="M4622"/>
    </row>
    <row r="4623" spans="2:13" ht="15.75">
      <c r="B4623" s="79"/>
      <c r="D4623"/>
      <c r="E4623" s="188"/>
      <c r="H4623"/>
      <c r="I4623" s="202"/>
      <c r="J4623"/>
      <c r="K4623"/>
      <c r="L4623"/>
      <c r="M4623"/>
    </row>
    <row r="4624" spans="2:13" ht="15.75">
      <c r="B4624" s="79"/>
      <c r="D4624"/>
      <c r="E4624" s="188"/>
      <c r="H4624"/>
      <c r="I4624" s="202"/>
      <c r="J4624"/>
      <c r="K4624"/>
      <c r="L4624"/>
      <c r="M4624"/>
    </row>
    <row r="4625" spans="2:13" ht="15.75">
      <c r="B4625" s="79"/>
      <c r="D4625"/>
      <c r="E4625" s="188"/>
      <c r="H4625"/>
      <c r="I4625" s="202"/>
      <c r="J4625"/>
      <c r="K4625"/>
      <c r="L4625"/>
      <c r="M4625"/>
    </row>
    <row r="4626" spans="2:13" ht="15.75">
      <c r="B4626" s="79"/>
      <c r="D4626"/>
      <c r="E4626" s="188"/>
      <c r="H4626"/>
      <c r="I4626" s="202"/>
      <c r="J4626"/>
      <c r="K4626"/>
      <c r="L4626"/>
      <c r="M4626"/>
    </row>
    <row r="4627" spans="2:13" ht="15.75">
      <c r="B4627" s="79"/>
      <c r="D4627"/>
      <c r="E4627" s="188"/>
      <c r="H4627"/>
      <c r="I4627" s="202"/>
      <c r="J4627"/>
      <c r="K4627"/>
      <c r="L4627"/>
      <c r="M4627"/>
    </row>
    <row r="4628" spans="2:13" ht="15.75">
      <c r="B4628" s="79"/>
      <c r="D4628"/>
      <c r="E4628" s="188"/>
      <c r="H4628"/>
      <c r="I4628" s="202"/>
      <c r="J4628"/>
      <c r="K4628"/>
      <c r="L4628"/>
      <c r="M4628"/>
    </row>
    <row r="4629" spans="2:13" ht="15.75">
      <c r="B4629" s="79"/>
      <c r="D4629"/>
      <c r="E4629" s="188"/>
      <c r="H4629"/>
      <c r="I4629" s="202"/>
      <c r="J4629"/>
      <c r="K4629"/>
      <c r="L4629"/>
      <c r="M4629"/>
    </row>
    <row r="4630" spans="2:13" ht="15.75">
      <c r="B4630" s="79"/>
      <c r="D4630"/>
      <c r="E4630" s="188"/>
      <c r="H4630"/>
      <c r="I4630" s="202"/>
      <c r="J4630"/>
      <c r="K4630"/>
      <c r="L4630"/>
      <c r="M4630"/>
    </row>
    <row r="4631" spans="2:13" ht="15.75">
      <c r="B4631" s="79"/>
      <c r="D4631"/>
      <c r="E4631" s="188"/>
      <c r="H4631"/>
      <c r="I4631" s="202"/>
      <c r="J4631"/>
      <c r="K4631"/>
      <c r="L4631"/>
      <c r="M4631"/>
    </row>
    <row r="4632" spans="2:13" ht="15.75">
      <c r="B4632" s="79"/>
      <c r="D4632"/>
      <c r="E4632" s="188"/>
      <c r="H4632"/>
      <c r="I4632" s="202"/>
      <c r="J4632"/>
      <c r="K4632"/>
      <c r="L4632"/>
      <c r="M4632"/>
    </row>
    <row r="4633" spans="2:13" ht="15.75">
      <c r="B4633" s="79"/>
      <c r="D4633"/>
      <c r="E4633" s="188"/>
      <c r="H4633"/>
      <c r="I4633" s="202"/>
      <c r="J4633"/>
      <c r="K4633"/>
      <c r="L4633"/>
      <c r="M4633"/>
    </row>
    <row r="4634" spans="2:13" ht="15.75">
      <c r="B4634" s="79"/>
      <c r="D4634"/>
      <c r="E4634" s="188"/>
      <c r="H4634"/>
      <c r="I4634" s="202"/>
      <c r="J4634"/>
      <c r="K4634"/>
      <c r="L4634"/>
      <c r="M4634"/>
    </row>
    <row r="4635" spans="2:13" ht="15.75">
      <c r="B4635" s="79"/>
      <c r="D4635"/>
      <c r="E4635" s="188"/>
      <c r="H4635"/>
      <c r="I4635" s="202"/>
      <c r="J4635"/>
      <c r="K4635"/>
      <c r="L4635"/>
      <c r="M4635"/>
    </row>
    <row r="4636" spans="2:13" ht="15.75">
      <c r="B4636" s="79"/>
      <c r="D4636"/>
      <c r="E4636" s="188"/>
      <c r="H4636"/>
      <c r="I4636" s="202"/>
      <c r="J4636"/>
      <c r="K4636"/>
      <c r="L4636"/>
      <c r="M4636"/>
    </row>
    <row r="4637" spans="2:13" ht="15.75">
      <c r="B4637" s="79"/>
      <c r="D4637"/>
      <c r="E4637" s="188"/>
      <c r="H4637"/>
      <c r="I4637" s="202"/>
      <c r="J4637"/>
      <c r="K4637"/>
      <c r="L4637"/>
      <c r="M4637"/>
    </row>
    <row r="4638" spans="2:13" ht="15.75">
      <c r="B4638" s="79"/>
      <c r="D4638"/>
      <c r="E4638" s="188"/>
      <c r="H4638"/>
      <c r="I4638" s="202"/>
      <c r="J4638"/>
      <c r="K4638"/>
      <c r="L4638"/>
      <c r="M4638"/>
    </row>
    <row r="4639" spans="2:13" ht="15.75">
      <c r="B4639" s="79"/>
      <c r="D4639"/>
      <c r="E4639" s="188"/>
      <c r="H4639"/>
      <c r="I4639" s="202"/>
      <c r="J4639"/>
      <c r="K4639"/>
      <c r="L4639"/>
      <c r="M4639"/>
    </row>
    <row r="4640" spans="2:13" ht="15.75">
      <c r="B4640" s="79"/>
      <c r="D4640"/>
      <c r="E4640" s="188"/>
      <c r="H4640"/>
      <c r="I4640" s="202"/>
      <c r="J4640"/>
      <c r="K4640"/>
      <c r="L4640"/>
      <c r="M4640"/>
    </row>
    <row r="4641" spans="2:13" ht="15.75">
      <c r="B4641" s="79"/>
      <c r="D4641"/>
      <c r="E4641" s="188"/>
      <c r="H4641"/>
      <c r="I4641" s="202"/>
      <c r="J4641"/>
      <c r="K4641"/>
      <c r="L4641"/>
      <c r="M4641"/>
    </row>
    <row r="4642" spans="2:13" ht="15.75">
      <c r="B4642" s="79"/>
      <c r="D4642"/>
      <c r="E4642" s="188"/>
      <c r="H4642"/>
      <c r="I4642" s="202"/>
      <c r="J4642"/>
      <c r="K4642"/>
      <c r="L4642"/>
      <c r="M4642"/>
    </row>
    <row r="4643" spans="2:13" ht="15.75">
      <c r="B4643" s="79"/>
      <c r="D4643"/>
      <c r="E4643" s="188"/>
      <c r="H4643"/>
      <c r="I4643" s="202"/>
      <c r="J4643"/>
      <c r="K4643"/>
      <c r="L4643"/>
      <c r="M4643"/>
    </row>
    <row r="4644" spans="2:13" ht="15.75">
      <c r="B4644" s="79"/>
      <c r="D4644"/>
      <c r="E4644" s="188"/>
      <c r="H4644"/>
      <c r="I4644" s="202"/>
      <c r="J4644"/>
      <c r="K4644"/>
      <c r="L4644"/>
      <c r="M4644"/>
    </row>
    <row r="4645" spans="2:13" ht="15.75">
      <c r="B4645" s="79"/>
      <c r="D4645"/>
      <c r="E4645" s="188"/>
      <c r="H4645"/>
      <c r="I4645" s="202"/>
      <c r="J4645"/>
      <c r="K4645"/>
      <c r="L4645"/>
      <c r="M4645"/>
    </row>
    <row r="4646" spans="2:13" ht="15.75">
      <c r="B4646" s="79"/>
      <c r="D4646"/>
      <c r="E4646" s="188"/>
      <c r="H4646"/>
      <c r="I4646" s="202"/>
      <c r="J4646"/>
      <c r="K4646"/>
      <c r="L4646"/>
      <c r="M4646"/>
    </row>
    <row r="4647" spans="2:13" ht="15.75">
      <c r="B4647" s="79"/>
      <c r="D4647"/>
      <c r="E4647" s="188"/>
      <c r="H4647"/>
      <c r="I4647" s="202"/>
      <c r="J4647"/>
      <c r="K4647"/>
      <c r="L4647"/>
      <c r="M4647"/>
    </row>
    <row r="4648" spans="2:13" ht="15.75">
      <c r="B4648" s="79"/>
      <c r="D4648"/>
      <c r="E4648" s="188"/>
      <c r="H4648"/>
      <c r="I4648" s="202"/>
      <c r="J4648"/>
      <c r="K4648"/>
      <c r="L4648"/>
      <c r="M4648"/>
    </row>
    <row r="4649" spans="2:13" ht="15.75">
      <c r="B4649" s="79"/>
      <c r="D4649"/>
      <c r="E4649" s="188"/>
      <c r="H4649"/>
      <c r="I4649" s="202"/>
      <c r="J4649"/>
      <c r="K4649"/>
      <c r="L4649"/>
      <c r="M4649"/>
    </row>
    <row r="4650" spans="2:13" ht="15.75">
      <c r="B4650" s="79"/>
      <c r="D4650"/>
      <c r="E4650" s="188"/>
      <c r="H4650"/>
      <c r="I4650" s="202"/>
      <c r="J4650"/>
      <c r="K4650"/>
      <c r="L4650"/>
      <c r="M4650"/>
    </row>
    <row r="4651" spans="2:13" ht="15.75">
      <c r="B4651" s="79"/>
      <c r="D4651"/>
      <c r="E4651" s="188"/>
      <c r="H4651"/>
      <c r="I4651" s="202"/>
      <c r="J4651"/>
      <c r="K4651"/>
      <c r="L4651"/>
      <c r="M4651"/>
    </row>
    <row r="4652" spans="2:13" ht="15.75">
      <c r="B4652" s="79"/>
      <c r="D4652"/>
      <c r="E4652" s="188"/>
      <c r="H4652"/>
      <c r="I4652" s="202"/>
      <c r="J4652"/>
      <c r="K4652"/>
      <c r="L4652"/>
      <c r="M4652"/>
    </row>
    <row r="4653" spans="2:13" ht="15.75">
      <c r="B4653" s="79"/>
      <c r="D4653"/>
      <c r="E4653" s="188"/>
      <c r="H4653"/>
      <c r="I4653" s="202"/>
      <c r="J4653"/>
      <c r="K4653"/>
      <c r="L4653"/>
      <c r="M4653"/>
    </row>
    <row r="4654" spans="2:13" ht="15.75">
      <c r="B4654" s="79"/>
      <c r="D4654"/>
      <c r="E4654" s="188"/>
      <c r="H4654"/>
      <c r="I4654" s="202"/>
      <c r="J4654"/>
      <c r="K4654"/>
      <c r="L4654"/>
      <c r="M4654"/>
    </row>
    <row r="4655" spans="2:13" ht="15.75">
      <c r="B4655" s="79"/>
      <c r="D4655"/>
      <c r="E4655" s="188"/>
      <c r="H4655"/>
      <c r="I4655" s="202"/>
      <c r="J4655"/>
      <c r="K4655"/>
      <c r="L4655"/>
      <c r="M4655"/>
    </row>
    <row r="4656" spans="2:13" ht="15.75">
      <c r="B4656" s="79"/>
      <c r="D4656"/>
      <c r="E4656" s="188"/>
      <c r="H4656"/>
      <c r="I4656" s="202"/>
      <c r="J4656"/>
      <c r="K4656"/>
      <c r="L4656"/>
      <c r="M4656"/>
    </row>
    <row r="4657" spans="2:13" ht="15.75">
      <c r="B4657" s="79"/>
      <c r="D4657"/>
      <c r="E4657" s="188"/>
      <c r="H4657"/>
      <c r="I4657" s="202"/>
      <c r="J4657"/>
      <c r="K4657"/>
      <c r="L4657"/>
      <c r="M4657"/>
    </row>
    <row r="4658" spans="2:13" ht="15.75">
      <c r="B4658" s="79"/>
      <c r="D4658"/>
      <c r="E4658" s="188"/>
      <c r="H4658"/>
      <c r="I4658" s="202"/>
      <c r="J4658"/>
      <c r="K4658"/>
      <c r="L4658"/>
      <c r="M4658"/>
    </row>
    <row r="4659" spans="2:13" ht="15.75">
      <c r="B4659" s="79"/>
      <c r="D4659"/>
      <c r="E4659" s="188"/>
      <c r="H4659"/>
      <c r="I4659" s="202"/>
      <c r="J4659"/>
      <c r="K4659"/>
      <c r="L4659"/>
      <c r="M4659"/>
    </row>
    <row r="4660" spans="2:13" ht="15.75">
      <c r="B4660" s="79"/>
      <c r="D4660"/>
      <c r="E4660" s="188"/>
      <c r="H4660"/>
      <c r="I4660" s="202"/>
      <c r="J4660"/>
      <c r="K4660"/>
      <c r="L4660"/>
      <c r="M4660"/>
    </row>
    <row r="4661" spans="2:13" ht="15.75">
      <c r="B4661" s="79"/>
      <c r="D4661"/>
      <c r="E4661" s="188"/>
      <c r="H4661"/>
      <c r="I4661" s="202"/>
      <c r="J4661"/>
      <c r="K4661"/>
      <c r="L4661"/>
      <c r="M4661"/>
    </row>
    <row r="4662" spans="2:13" ht="15.75">
      <c r="B4662" s="79"/>
      <c r="D4662"/>
      <c r="E4662" s="188"/>
      <c r="H4662"/>
      <c r="I4662" s="202"/>
      <c r="J4662"/>
      <c r="K4662"/>
      <c r="L4662"/>
      <c r="M4662"/>
    </row>
    <row r="4663" spans="2:13" ht="15.75">
      <c r="B4663" s="79"/>
      <c r="D4663"/>
      <c r="E4663" s="188"/>
      <c r="H4663"/>
      <c r="I4663" s="202"/>
      <c r="J4663"/>
      <c r="K4663"/>
      <c r="L4663"/>
      <c r="M4663"/>
    </row>
    <row r="4664" spans="2:13" ht="15.75">
      <c r="B4664" s="79"/>
      <c r="D4664"/>
      <c r="E4664" s="188"/>
      <c r="H4664"/>
      <c r="I4664" s="202"/>
      <c r="J4664"/>
      <c r="K4664"/>
      <c r="L4664"/>
      <c r="M4664"/>
    </row>
    <row r="4665" spans="2:13" ht="15.75">
      <c r="B4665" s="79"/>
      <c r="D4665"/>
      <c r="E4665" s="188"/>
      <c r="H4665"/>
      <c r="I4665" s="202"/>
      <c r="J4665"/>
      <c r="K4665"/>
      <c r="L4665"/>
      <c r="M4665"/>
    </row>
    <row r="4666" spans="2:13" ht="15.75">
      <c r="B4666" s="79"/>
      <c r="D4666"/>
      <c r="E4666" s="188"/>
      <c r="H4666"/>
      <c r="I4666" s="202"/>
      <c r="J4666"/>
      <c r="K4666"/>
      <c r="L4666"/>
      <c r="M4666"/>
    </row>
    <row r="4667" spans="2:13" ht="15.75">
      <c r="B4667" s="79"/>
      <c r="D4667"/>
      <c r="E4667" s="188"/>
      <c r="H4667"/>
      <c r="I4667" s="202"/>
      <c r="J4667"/>
      <c r="K4667"/>
      <c r="L4667"/>
      <c r="M4667"/>
    </row>
    <row r="4668" spans="2:13" ht="15.75">
      <c r="B4668" s="79"/>
      <c r="D4668"/>
      <c r="E4668" s="188"/>
      <c r="H4668"/>
      <c r="I4668" s="202"/>
      <c r="J4668"/>
      <c r="K4668"/>
      <c r="L4668"/>
      <c r="M4668"/>
    </row>
    <row r="4669" spans="2:13" ht="15.75">
      <c r="B4669" s="79"/>
      <c r="D4669"/>
      <c r="E4669" s="188"/>
      <c r="H4669"/>
      <c r="I4669" s="202"/>
      <c r="J4669"/>
      <c r="K4669"/>
      <c r="L4669"/>
      <c r="M4669"/>
    </row>
    <row r="4670" spans="2:13" ht="15.75">
      <c r="B4670" s="79"/>
      <c r="D4670"/>
      <c r="E4670" s="188"/>
      <c r="H4670"/>
      <c r="I4670" s="202"/>
      <c r="J4670"/>
      <c r="K4670"/>
      <c r="L4670"/>
      <c r="M4670"/>
    </row>
    <row r="4671" spans="2:13" ht="15.75">
      <c r="B4671" s="79"/>
      <c r="D4671"/>
      <c r="E4671" s="188"/>
      <c r="H4671"/>
      <c r="I4671" s="202"/>
      <c r="J4671"/>
      <c r="K4671"/>
      <c r="L4671"/>
      <c r="M4671"/>
    </row>
    <row r="4672" spans="2:13" ht="15.75">
      <c r="B4672" s="79"/>
      <c r="D4672"/>
      <c r="E4672" s="188"/>
      <c r="H4672"/>
      <c r="I4672" s="202"/>
      <c r="J4672"/>
      <c r="K4672"/>
      <c r="L4672"/>
      <c r="M4672"/>
    </row>
    <row r="4673" spans="2:13" ht="15.75">
      <c r="B4673" s="79"/>
      <c r="D4673"/>
      <c r="E4673" s="188"/>
      <c r="H4673"/>
      <c r="I4673" s="202"/>
      <c r="J4673"/>
      <c r="K4673"/>
      <c r="L4673"/>
      <c r="M4673"/>
    </row>
    <row r="4674" spans="2:13" ht="15.75">
      <c r="B4674" s="79"/>
      <c r="D4674"/>
      <c r="E4674" s="188"/>
      <c r="H4674"/>
      <c r="I4674" s="202"/>
      <c r="J4674"/>
      <c r="K4674"/>
      <c r="L4674"/>
      <c r="M4674"/>
    </row>
    <row r="4675" spans="2:13" ht="15.75">
      <c r="B4675" s="79"/>
      <c r="D4675"/>
      <c r="E4675" s="188"/>
      <c r="H4675"/>
      <c r="I4675" s="202"/>
      <c r="J4675"/>
      <c r="K4675"/>
      <c r="L4675"/>
      <c r="M4675"/>
    </row>
    <row r="4676" spans="2:13" ht="15.75">
      <c r="B4676" s="79"/>
      <c r="D4676"/>
      <c r="E4676" s="188"/>
      <c r="H4676"/>
      <c r="I4676" s="202"/>
      <c r="J4676"/>
      <c r="K4676"/>
      <c r="L4676"/>
      <c r="M4676"/>
    </row>
    <row r="4677" spans="2:13" ht="15.75">
      <c r="B4677" s="79"/>
      <c r="D4677"/>
      <c r="E4677" s="188"/>
      <c r="H4677"/>
      <c r="I4677" s="202"/>
      <c r="J4677"/>
      <c r="K4677"/>
      <c r="L4677"/>
      <c r="M4677"/>
    </row>
    <row r="4678" spans="2:13" ht="15.75">
      <c r="B4678" s="79"/>
      <c r="D4678"/>
      <c r="E4678" s="188"/>
      <c r="H4678"/>
      <c r="I4678" s="202"/>
      <c r="J4678"/>
      <c r="K4678"/>
      <c r="L4678"/>
      <c r="M4678"/>
    </row>
    <row r="4679" spans="2:13" ht="15.75">
      <c r="B4679" s="79"/>
      <c r="D4679"/>
      <c r="E4679" s="188"/>
      <c r="H4679"/>
      <c r="I4679" s="202"/>
      <c r="J4679"/>
      <c r="K4679"/>
      <c r="L4679"/>
      <c r="M4679"/>
    </row>
    <row r="4680" spans="2:13" ht="15.75">
      <c r="B4680" s="79"/>
      <c r="D4680"/>
      <c r="E4680" s="188"/>
      <c r="H4680"/>
      <c r="I4680" s="202"/>
      <c r="J4680"/>
      <c r="K4680"/>
      <c r="L4680"/>
      <c r="M4680"/>
    </row>
    <row r="4681" spans="2:13" ht="15.75">
      <c r="B4681" s="79"/>
      <c r="D4681"/>
      <c r="E4681" s="188"/>
      <c r="H4681"/>
      <c r="I4681" s="202"/>
      <c r="J4681"/>
      <c r="K4681"/>
      <c r="L4681"/>
      <c r="M4681"/>
    </row>
    <row r="4682" spans="2:13" ht="15.75">
      <c r="B4682" s="79"/>
      <c r="D4682"/>
      <c r="E4682" s="188"/>
      <c r="H4682"/>
      <c r="I4682" s="202"/>
      <c r="J4682"/>
      <c r="K4682"/>
      <c r="L4682"/>
      <c r="M4682"/>
    </row>
    <row r="4683" spans="2:13" ht="15.75">
      <c r="B4683" s="79"/>
      <c r="D4683"/>
      <c r="E4683" s="188"/>
      <c r="H4683"/>
      <c r="I4683" s="202"/>
      <c r="J4683"/>
      <c r="K4683"/>
      <c r="L4683"/>
      <c r="M4683"/>
    </row>
    <row r="4684" spans="2:13" ht="15.75">
      <c r="B4684" s="79"/>
      <c r="D4684"/>
      <c r="E4684" s="188"/>
      <c r="H4684"/>
      <c r="I4684" s="202"/>
      <c r="J4684"/>
      <c r="K4684"/>
      <c r="L4684"/>
      <c r="M4684"/>
    </row>
    <row r="4685" spans="2:13" ht="15.75">
      <c r="B4685" s="79"/>
      <c r="D4685"/>
      <c r="E4685" s="188"/>
      <c r="H4685"/>
      <c r="I4685" s="202"/>
      <c r="J4685"/>
      <c r="K4685"/>
      <c r="L4685"/>
      <c r="M4685"/>
    </row>
    <row r="4686" spans="2:13" ht="15.75">
      <c r="B4686" s="79"/>
      <c r="D4686"/>
      <c r="E4686" s="188"/>
      <c r="H4686"/>
      <c r="I4686" s="202"/>
      <c r="J4686"/>
      <c r="K4686"/>
      <c r="L4686"/>
      <c r="M4686"/>
    </row>
    <row r="4687" spans="2:13" ht="15.75">
      <c r="B4687" s="79"/>
      <c r="D4687"/>
      <c r="E4687" s="188"/>
      <c r="H4687"/>
      <c r="I4687" s="202"/>
      <c r="J4687"/>
      <c r="K4687"/>
      <c r="L4687"/>
      <c r="M4687"/>
    </row>
    <row r="4688" spans="2:13" ht="15.75">
      <c r="B4688" s="79"/>
      <c r="D4688"/>
      <c r="E4688" s="188"/>
      <c r="H4688"/>
      <c r="I4688" s="202"/>
      <c r="J4688"/>
      <c r="K4688"/>
      <c r="L4688"/>
      <c r="M4688"/>
    </row>
    <row r="4689" spans="2:13" ht="15.75">
      <c r="B4689" s="79"/>
      <c r="D4689"/>
      <c r="E4689" s="188"/>
      <c r="H4689"/>
      <c r="I4689" s="202"/>
      <c r="J4689"/>
      <c r="K4689"/>
      <c r="L4689"/>
      <c r="M4689"/>
    </row>
    <row r="4690" spans="2:13" ht="15.75">
      <c r="B4690" s="79"/>
      <c r="D4690"/>
      <c r="E4690" s="188"/>
      <c r="H4690"/>
      <c r="I4690" s="202"/>
      <c r="J4690"/>
      <c r="K4690"/>
      <c r="L4690"/>
      <c r="M4690"/>
    </row>
    <row r="4691" spans="2:13" ht="15.75">
      <c r="B4691" s="79"/>
      <c r="D4691"/>
      <c r="E4691" s="188"/>
      <c r="H4691"/>
      <c r="I4691" s="202"/>
      <c r="J4691"/>
      <c r="K4691"/>
      <c r="L4691"/>
      <c r="M4691"/>
    </row>
    <row r="4692" spans="2:13" ht="15.75">
      <c r="B4692" s="79"/>
      <c r="D4692"/>
      <c r="E4692" s="188"/>
      <c r="H4692"/>
      <c r="I4692" s="202"/>
      <c r="J4692"/>
      <c r="K4692"/>
      <c r="L4692"/>
      <c r="M4692"/>
    </row>
    <row r="4693" spans="2:13" ht="15.75">
      <c r="B4693" s="79"/>
      <c r="D4693"/>
      <c r="E4693" s="188"/>
      <c r="H4693"/>
      <c r="I4693" s="202"/>
      <c r="J4693"/>
      <c r="K4693"/>
      <c r="L4693"/>
      <c r="M4693"/>
    </row>
    <row r="4694" spans="2:13" ht="15.75">
      <c r="B4694" s="79"/>
      <c r="D4694"/>
      <c r="E4694" s="188"/>
      <c r="H4694"/>
      <c r="I4694" s="202"/>
      <c r="J4694"/>
      <c r="K4694"/>
      <c r="L4694"/>
      <c r="M4694"/>
    </row>
    <row r="4695" spans="2:13" ht="15.75">
      <c r="B4695" s="79"/>
      <c r="D4695"/>
      <c r="E4695" s="188"/>
      <c r="H4695"/>
      <c r="I4695" s="202"/>
      <c r="J4695"/>
      <c r="K4695"/>
      <c r="L4695"/>
      <c r="M4695"/>
    </row>
    <row r="4696" spans="2:13" ht="15.75">
      <c r="B4696" s="79"/>
      <c r="D4696"/>
      <c r="E4696" s="188"/>
      <c r="H4696"/>
      <c r="I4696" s="202"/>
      <c r="J4696"/>
      <c r="K4696"/>
      <c r="L4696"/>
      <c r="M4696"/>
    </row>
    <row r="4697" spans="2:13" ht="15.75">
      <c r="B4697" s="79"/>
      <c r="D4697"/>
      <c r="E4697" s="188"/>
      <c r="H4697"/>
      <c r="I4697" s="202"/>
      <c r="J4697"/>
      <c r="K4697"/>
      <c r="L4697"/>
      <c r="M4697"/>
    </row>
    <row r="4698" spans="2:13" ht="15.75">
      <c r="B4698" s="79"/>
      <c r="D4698"/>
      <c r="E4698" s="188"/>
      <c r="H4698"/>
      <c r="I4698" s="202"/>
      <c r="J4698"/>
      <c r="K4698"/>
      <c r="L4698"/>
      <c r="M4698"/>
    </row>
    <row r="4699" spans="2:13" ht="15.75">
      <c r="B4699" s="79"/>
      <c r="D4699"/>
      <c r="E4699" s="188"/>
      <c r="H4699"/>
      <c r="I4699" s="202"/>
      <c r="J4699"/>
      <c r="K4699"/>
      <c r="L4699"/>
      <c r="M4699"/>
    </row>
    <row r="4700" spans="2:13" ht="15.75">
      <c r="B4700" s="79"/>
      <c r="D4700"/>
      <c r="E4700" s="188"/>
      <c r="H4700"/>
      <c r="I4700" s="202"/>
      <c r="J4700"/>
      <c r="K4700"/>
      <c r="L4700"/>
      <c r="M4700"/>
    </row>
    <row r="4701" spans="2:13" ht="15.75">
      <c r="B4701" s="79"/>
      <c r="D4701"/>
      <c r="E4701" s="188"/>
      <c r="H4701"/>
      <c r="I4701" s="202"/>
      <c r="J4701"/>
      <c r="K4701"/>
      <c r="L4701"/>
      <c r="M4701"/>
    </row>
    <row r="4702" spans="2:13" ht="15.75">
      <c r="B4702" s="79"/>
      <c r="D4702"/>
      <c r="E4702" s="188"/>
      <c r="H4702"/>
      <c r="I4702" s="202"/>
      <c r="J4702"/>
      <c r="K4702"/>
      <c r="L4702"/>
      <c r="M4702"/>
    </row>
    <row r="4703" spans="2:13" ht="15.75">
      <c r="B4703" s="79"/>
      <c r="D4703"/>
      <c r="E4703" s="188"/>
      <c r="H4703"/>
      <c r="I4703" s="202"/>
      <c r="J4703"/>
      <c r="K4703"/>
      <c r="L4703"/>
      <c r="M4703"/>
    </row>
    <row r="4704" spans="2:13" ht="15.75">
      <c r="B4704" s="79"/>
      <c r="D4704"/>
      <c r="E4704" s="188"/>
      <c r="H4704"/>
      <c r="I4704" s="202"/>
      <c r="J4704"/>
      <c r="K4704"/>
      <c r="L4704"/>
      <c r="M4704"/>
    </row>
    <row r="4705" spans="2:13" ht="15.75">
      <c r="B4705" s="79"/>
      <c r="D4705"/>
      <c r="E4705" s="188"/>
      <c r="H4705"/>
      <c r="I4705" s="202"/>
      <c r="J4705"/>
      <c r="K4705"/>
      <c r="L4705"/>
      <c r="M4705"/>
    </row>
    <row r="4706" spans="2:13" ht="15.75">
      <c r="B4706" s="79"/>
      <c r="D4706"/>
      <c r="E4706" s="188"/>
      <c r="H4706"/>
      <c r="I4706" s="202"/>
      <c r="J4706"/>
      <c r="K4706"/>
      <c r="L4706"/>
      <c r="M4706"/>
    </row>
    <row r="4707" spans="2:13" ht="15.75">
      <c r="B4707" s="79"/>
      <c r="D4707"/>
      <c r="E4707" s="188"/>
      <c r="H4707"/>
      <c r="I4707" s="202"/>
      <c r="J4707"/>
      <c r="K4707"/>
      <c r="L4707"/>
      <c r="M4707"/>
    </row>
    <row r="4708" spans="2:13" ht="15.75">
      <c r="B4708" s="79"/>
      <c r="D4708"/>
      <c r="E4708" s="188"/>
      <c r="H4708"/>
      <c r="I4708" s="202"/>
      <c r="J4708"/>
      <c r="K4708"/>
      <c r="L4708"/>
      <c r="M4708"/>
    </row>
    <row r="4709" spans="2:13" ht="15.75">
      <c r="B4709" s="79"/>
      <c r="D4709"/>
      <c r="E4709" s="188"/>
      <c r="H4709"/>
      <c r="I4709" s="202"/>
      <c r="J4709"/>
      <c r="K4709"/>
      <c r="L4709"/>
      <c r="M4709"/>
    </row>
    <row r="4710" spans="2:13" ht="15.75">
      <c r="B4710" s="79"/>
      <c r="D4710"/>
      <c r="E4710" s="188"/>
      <c r="H4710"/>
      <c r="I4710" s="202"/>
      <c r="J4710"/>
      <c r="K4710"/>
      <c r="L4710"/>
      <c r="M4710"/>
    </row>
    <row r="4711" spans="2:13" ht="15.75">
      <c r="B4711" s="79"/>
      <c r="D4711"/>
      <c r="E4711" s="188"/>
      <c r="H4711"/>
      <c r="I4711" s="202"/>
      <c r="J4711"/>
      <c r="K4711"/>
      <c r="L4711"/>
      <c r="M4711"/>
    </row>
    <row r="4712" spans="2:13" ht="15.75">
      <c r="B4712" s="79"/>
      <c r="D4712"/>
      <c r="E4712" s="188"/>
      <c r="H4712"/>
      <c r="I4712" s="202"/>
      <c r="J4712"/>
      <c r="K4712"/>
      <c r="L4712"/>
      <c r="M4712"/>
    </row>
    <row r="4713" spans="2:13" ht="15.75">
      <c r="B4713" s="79"/>
      <c r="D4713"/>
      <c r="E4713" s="188"/>
      <c r="H4713"/>
      <c r="I4713" s="202"/>
      <c r="J4713"/>
      <c r="K4713"/>
      <c r="L4713"/>
      <c r="M4713"/>
    </row>
    <row r="4714" spans="2:13" ht="15.75">
      <c r="B4714" s="79"/>
      <c r="D4714"/>
      <c r="E4714" s="188"/>
      <c r="H4714"/>
      <c r="I4714" s="202"/>
      <c r="J4714"/>
      <c r="K4714"/>
      <c r="L4714"/>
      <c r="M4714"/>
    </row>
    <row r="4715" spans="2:13" ht="15.75">
      <c r="B4715" s="79"/>
      <c r="D4715"/>
      <c r="E4715" s="188"/>
      <c r="H4715"/>
      <c r="I4715" s="202"/>
      <c r="J4715"/>
      <c r="K4715"/>
      <c r="L4715"/>
      <c r="M4715"/>
    </row>
    <row r="4716" spans="2:13" ht="15.75">
      <c r="B4716" s="79"/>
      <c r="D4716"/>
      <c r="E4716" s="188"/>
      <c r="H4716"/>
      <c r="I4716" s="202"/>
      <c r="J4716"/>
      <c r="K4716"/>
      <c r="L4716"/>
      <c r="M4716"/>
    </row>
    <row r="4717" spans="2:13" ht="15.75">
      <c r="B4717" s="79"/>
      <c r="D4717"/>
      <c r="E4717" s="188"/>
      <c r="H4717"/>
      <c r="I4717" s="202"/>
      <c r="J4717"/>
      <c r="K4717"/>
      <c r="L4717"/>
      <c r="M4717"/>
    </row>
    <row r="4718" spans="2:13" ht="15.75">
      <c r="B4718" s="79"/>
      <c r="D4718"/>
      <c r="E4718" s="188"/>
      <c r="H4718"/>
      <c r="I4718" s="202"/>
      <c r="J4718"/>
      <c r="K4718"/>
      <c r="L4718"/>
      <c r="M4718"/>
    </row>
    <row r="4719" spans="2:13" ht="15.75">
      <c r="B4719" s="79"/>
      <c r="D4719"/>
      <c r="E4719" s="188"/>
      <c r="H4719"/>
      <c r="I4719" s="202"/>
      <c r="J4719"/>
      <c r="K4719"/>
      <c r="L4719"/>
      <c r="M4719"/>
    </row>
    <row r="4720" spans="2:13" ht="15.75">
      <c r="B4720" s="79"/>
      <c r="D4720"/>
      <c r="E4720" s="188"/>
      <c r="H4720"/>
      <c r="I4720" s="202"/>
      <c r="J4720"/>
      <c r="K4720"/>
      <c r="L4720"/>
      <c r="M4720"/>
    </row>
    <row r="4721" spans="2:13" ht="15.75">
      <c r="B4721" s="79"/>
      <c r="D4721"/>
      <c r="E4721" s="188"/>
      <c r="H4721"/>
      <c r="I4721" s="202"/>
      <c r="J4721"/>
      <c r="K4721"/>
      <c r="L4721"/>
      <c r="M4721"/>
    </row>
    <row r="4722" spans="2:13" ht="15.75">
      <c r="B4722" s="79"/>
      <c r="D4722"/>
      <c r="E4722" s="188"/>
      <c r="H4722"/>
      <c r="I4722" s="202"/>
      <c r="J4722"/>
      <c r="K4722"/>
      <c r="L4722"/>
      <c r="M4722"/>
    </row>
    <row r="4723" spans="2:13" ht="15.75">
      <c r="B4723" s="79"/>
      <c r="D4723"/>
      <c r="E4723" s="188"/>
      <c r="H4723"/>
      <c r="I4723" s="202"/>
      <c r="J4723"/>
      <c r="K4723"/>
      <c r="L4723"/>
      <c r="M4723"/>
    </row>
    <row r="4724" spans="2:13" ht="15.75">
      <c r="B4724" s="79"/>
      <c r="D4724"/>
      <c r="E4724" s="188"/>
      <c r="H4724"/>
      <c r="I4724" s="202"/>
      <c r="J4724"/>
      <c r="K4724"/>
      <c r="L4724"/>
      <c r="M4724"/>
    </row>
    <row r="4725" spans="2:13" ht="15.75">
      <c r="B4725" s="79"/>
      <c r="D4725"/>
      <c r="E4725" s="188"/>
      <c r="H4725"/>
      <c r="I4725" s="202"/>
      <c r="J4725"/>
      <c r="K4725"/>
      <c r="L4725"/>
      <c r="M4725"/>
    </row>
    <row r="4726" spans="2:13" ht="15.75">
      <c r="B4726" s="79"/>
      <c r="D4726"/>
      <c r="E4726" s="188"/>
      <c r="H4726"/>
      <c r="I4726" s="202"/>
      <c r="J4726"/>
      <c r="K4726"/>
      <c r="L4726"/>
      <c r="M4726"/>
    </row>
    <row r="4727" spans="2:13" ht="15.75">
      <c r="B4727" s="79"/>
      <c r="D4727"/>
      <c r="E4727" s="188"/>
      <c r="H4727"/>
      <c r="I4727" s="202"/>
      <c r="J4727"/>
      <c r="K4727"/>
      <c r="L4727"/>
      <c r="M4727"/>
    </row>
    <row r="4728" spans="2:13" ht="15.75">
      <c r="B4728" s="79"/>
      <c r="D4728"/>
      <c r="E4728" s="188"/>
      <c r="H4728"/>
      <c r="I4728" s="202"/>
      <c r="J4728"/>
      <c r="K4728"/>
      <c r="L4728"/>
      <c r="M4728"/>
    </row>
    <row r="4729" spans="2:13" ht="15.75">
      <c r="B4729" s="79"/>
      <c r="D4729"/>
      <c r="E4729" s="188"/>
      <c r="H4729"/>
      <c r="I4729" s="202"/>
      <c r="J4729"/>
      <c r="K4729"/>
      <c r="L4729"/>
      <c r="M4729"/>
    </row>
    <row r="4730" spans="2:13" ht="15.75">
      <c r="B4730" s="79"/>
      <c r="D4730"/>
      <c r="E4730" s="188"/>
      <c r="H4730"/>
      <c r="I4730" s="202"/>
      <c r="J4730"/>
      <c r="K4730"/>
      <c r="L4730"/>
      <c r="M4730"/>
    </row>
    <row r="4731" spans="2:13" ht="15.75">
      <c r="B4731" s="79"/>
      <c r="D4731"/>
      <c r="E4731" s="188"/>
      <c r="H4731"/>
      <c r="I4731" s="202"/>
      <c r="J4731"/>
      <c r="K4731"/>
      <c r="L4731"/>
      <c r="M4731"/>
    </row>
    <row r="4732" spans="2:13" ht="15.75">
      <c r="B4732" s="79"/>
      <c r="D4732"/>
      <c r="E4732" s="188"/>
      <c r="H4732"/>
      <c r="I4732" s="202"/>
      <c r="J4732"/>
      <c r="K4732"/>
      <c r="L4732"/>
      <c r="M4732"/>
    </row>
    <row r="4733" spans="2:13" ht="15.75">
      <c r="B4733" s="79"/>
      <c r="D4733"/>
      <c r="E4733" s="188"/>
      <c r="H4733"/>
      <c r="I4733" s="202"/>
      <c r="J4733"/>
      <c r="K4733"/>
      <c r="L4733"/>
      <c r="M4733"/>
    </row>
    <row r="4734" spans="2:13" ht="15.75">
      <c r="B4734" s="79"/>
      <c r="D4734"/>
      <c r="E4734" s="188"/>
      <c r="H4734"/>
      <c r="I4734" s="202"/>
      <c r="J4734"/>
      <c r="K4734"/>
      <c r="L4734"/>
      <c r="M4734"/>
    </row>
    <row r="4735" spans="2:13" ht="15.75">
      <c r="B4735" s="79"/>
      <c r="D4735"/>
      <c r="E4735" s="188"/>
      <c r="H4735"/>
      <c r="I4735" s="202"/>
      <c r="J4735"/>
      <c r="K4735"/>
      <c r="L4735"/>
      <c r="M4735"/>
    </row>
    <row r="4736" spans="2:13" ht="15.75">
      <c r="B4736" s="79"/>
      <c r="D4736"/>
      <c r="E4736" s="188"/>
      <c r="H4736"/>
      <c r="I4736" s="202"/>
      <c r="J4736"/>
      <c r="K4736"/>
      <c r="L4736"/>
      <c r="M4736"/>
    </row>
    <row r="4737" spans="2:13" ht="15.75">
      <c r="B4737" s="79"/>
      <c r="D4737"/>
      <c r="E4737" s="188"/>
      <c r="H4737"/>
      <c r="I4737" s="202"/>
      <c r="J4737"/>
      <c r="K4737"/>
      <c r="L4737"/>
      <c r="M4737"/>
    </row>
    <row r="4738" spans="2:13" ht="15.75">
      <c r="B4738" s="79"/>
      <c r="D4738"/>
      <c r="E4738" s="188"/>
      <c r="H4738"/>
      <c r="I4738" s="202"/>
      <c r="J4738"/>
      <c r="K4738"/>
      <c r="L4738"/>
      <c r="M4738"/>
    </row>
    <row r="4739" spans="2:13" ht="15.75">
      <c r="B4739" s="79"/>
      <c r="D4739"/>
      <c r="E4739" s="188"/>
      <c r="H4739"/>
      <c r="I4739" s="202"/>
      <c r="J4739"/>
      <c r="K4739"/>
      <c r="L4739"/>
      <c r="M4739"/>
    </row>
    <row r="4740" spans="2:13" ht="15.75">
      <c r="B4740" s="79"/>
      <c r="D4740"/>
      <c r="E4740" s="188"/>
      <c r="H4740"/>
      <c r="I4740" s="202"/>
      <c r="J4740"/>
      <c r="K4740"/>
      <c r="L4740"/>
      <c r="M4740"/>
    </row>
    <row r="4741" spans="2:13" ht="15.75">
      <c r="B4741" s="79"/>
      <c r="D4741"/>
      <c r="E4741" s="188"/>
      <c r="H4741"/>
      <c r="I4741" s="202"/>
      <c r="J4741"/>
      <c r="K4741"/>
      <c r="L4741"/>
      <c r="M4741"/>
    </row>
    <row r="4742" spans="2:13" ht="15.75">
      <c r="B4742" s="79"/>
      <c r="D4742"/>
      <c r="E4742" s="188"/>
      <c r="H4742"/>
      <c r="I4742" s="202"/>
      <c r="J4742"/>
      <c r="K4742"/>
      <c r="L4742"/>
      <c r="M4742"/>
    </row>
    <row r="4743" spans="2:13" ht="15.75">
      <c r="B4743" s="79"/>
      <c r="D4743"/>
      <c r="E4743" s="188"/>
      <c r="H4743"/>
      <c r="I4743" s="202"/>
      <c r="J4743"/>
      <c r="K4743"/>
      <c r="L4743"/>
      <c r="M4743"/>
    </row>
    <row r="4744" spans="2:13" ht="15.75">
      <c r="B4744" s="79"/>
      <c r="D4744"/>
      <c r="E4744" s="188"/>
      <c r="H4744"/>
      <c r="I4744" s="202"/>
      <c r="J4744"/>
      <c r="K4744"/>
      <c r="L4744"/>
      <c r="M4744"/>
    </row>
    <row r="4745" spans="2:13" ht="15.75">
      <c r="B4745" s="79"/>
      <c r="D4745"/>
      <c r="E4745" s="188"/>
      <c r="H4745"/>
      <c r="I4745" s="202"/>
      <c r="J4745"/>
      <c r="K4745"/>
      <c r="L4745"/>
      <c r="M4745"/>
    </row>
    <row r="4746" spans="2:13" ht="15.75">
      <c r="B4746" s="79"/>
      <c r="D4746"/>
      <c r="E4746" s="188"/>
      <c r="H4746"/>
      <c r="I4746" s="202"/>
      <c r="J4746"/>
      <c r="K4746"/>
      <c r="L4746"/>
      <c r="M4746"/>
    </row>
    <row r="4747" spans="2:13" ht="15.75">
      <c r="B4747" s="79"/>
      <c r="D4747"/>
      <c r="E4747" s="188"/>
      <c r="H4747"/>
      <c r="I4747" s="202"/>
      <c r="J4747"/>
      <c r="K4747"/>
      <c r="L4747"/>
      <c r="M4747"/>
    </row>
    <row r="4748" spans="2:13" ht="15.75">
      <c r="B4748" s="79"/>
      <c r="D4748"/>
      <c r="E4748" s="188"/>
      <c r="H4748"/>
      <c r="I4748" s="202"/>
      <c r="J4748"/>
      <c r="K4748"/>
      <c r="L4748"/>
      <c r="M4748"/>
    </row>
    <row r="4749" spans="2:13" ht="15.75">
      <c r="B4749" s="79"/>
      <c r="D4749"/>
      <c r="E4749" s="188"/>
      <c r="H4749"/>
      <c r="I4749" s="202"/>
      <c r="J4749"/>
      <c r="K4749"/>
      <c r="L4749"/>
      <c r="M4749"/>
    </row>
    <row r="4750" spans="2:13" ht="15.75">
      <c r="B4750" s="79"/>
      <c r="D4750"/>
      <c r="E4750" s="188"/>
      <c r="H4750"/>
      <c r="I4750" s="202"/>
      <c r="J4750"/>
      <c r="K4750"/>
      <c r="L4750"/>
      <c r="M4750"/>
    </row>
    <row r="4751" spans="2:13" ht="15.75">
      <c r="B4751" s="79"/>
      <c r="D4751"/>
      <c r="E4751" s="188"/>
      <c r="H4751"/>
      <c r="I4751" s="202"/>
      <c r="J4751"/>
      <c r="K4751"/>
      <c r="L4751"/>
      <c r="M4751"/>
    </row>
    <row r="4752" spans="2:13" ht="15.75">
      <c r="B4752" s="79"/>
      <c r="D4752"/>
      <c r="E4752" s="188"/>
      <c r="H4752"/>
      <c r="I4752" s="202"/>
      <c r="J4752"/>
      <c r="K4752"/>
      <c r="L4752"/>
      <c r="M4752"/>
    </row>
    <row r="4753" spans="2:13" ht="15.75">
      <c r="B4753" s="79"/>
      <c r="D4753"/>
      <c r="E4753" s="188"/>
      <c r="H4753"/>
      <c r="I4753" s="202"/>
      <c r="J4753"/>
      <c r="K4753"/>
      <c r="L4753"/>
      <c r="M4753"/>
    </row>
    <row r="4754" spans="2:13" ht="15.75">
      <c r="B4754" s="79"/>
      <c r="D4754"/>
      <c r="E4754" s="188"/>
      <c r="H4754"/>
      <c r="I4754" s="202"/>
      <c r="J4754"/>
      <c r="K4754"/>
      <c r="L4754"/>
      <c r="M4754"/>
    </row>
    <row r="4755" spans="2:13" ht="15.75">
      <c r="B4755" s="79"/>
      <c r="D4755"/>
      <c r="E4755" s="188"/>
      <c r="H4755"/>
      <c r="I4755" s="202"/>
      <c r="J4755"/>
      <c r="K4755"/>
      <c r="L4755"/>
      <c r="M4755"/>
    </row>
    <row r="4756" spans="2:13" ht="15.75">
      <c r="B4756" s="79"/>
      <c r="D4756"/>
      <c r="E4756" s="188"/>
      <c r="H4756"/>
      <c r="I4756" s="202"/>
      <c r="J4756"/>
      <c r="K4756"/>
      <c r="L4756"/>
      <c r="M4756"/>
    </row>
    <row r="4757" spans="2:13" ht="15.75">
      <c r="B4757" s="79"/>
      <c r="D4757"/>
      <c r="E4757" s="188"/>
      <c r="H4757"/>
      <c r="I4757" s="202"/>
      <c r="J4757"/>
      <c r="K4757"/>
      <c r="L4757"/>
      <c r="M4757"/>
    </row>
    <row r="4758" spans="2:13" ht="15.75">
      <c r="B4758" s="79"/>
      <c r="D4758"/>
      <c r="E4758" s="188"/>
      <c r="H4758"/>
      <c r="I4758" s="202"/>
      <c r="J4758"/>
      <c r="K4758"/>
      <c r="L4758"/>
      <c r="M4758"/>
    </row>
    <row r="4759" spans="2:13" ht="15.75">
      <c r="B4759" s="79"/>
      <c r="D4759"/>
      <c r="E4759" s="188"/>
      <c r="H4759"/>
      <c r="I4759" s="202"/>
      <c r="J4759"/>
      <c r="K4759"/>
      <c r="L4759"/>
      <c r="M4759"/>
    </row>
    <row r="4760" spans="2:13" ht="15.75">
      <c r="B4760" s="79"/>
      <c r="D4760"/>
      <c r="E4760" s="188"/>
      <c r="H4760"/>
      <c r="I4760" s="202"/>
      <c r="J4760"/>
      <c r="K4760"/>
      <c r="L4760"/>
      <c r="M4760"/>
    </row>
    <row r="4761" spans="2:13" ht="15.75">
      <c r="B4761" s="79"/>
      <c r="D4761"/>
      <c r="E4761" s="188"/>
      <c r="H4761"/>
      <c r="I4761" s="202"/>
      <c r="J4761"/>
      <c r="K4761"/>
      <c r="L4761"/>
      <c r="M4761"/>
    </row>
    <row r="4762" spans="2:13" ht="15.75">
      <c r="B4762" s="79"/>
      <c r="D4762"/>
      <c r="E4762" s="188"/>
      <c r="H4762"/>
      <c r="I4762" s="202"/>
      <c r="J4762"/>
      <c r="K4762"/>
      <c r="L4762"/>
      <c r="M4762"/>
    </row>
    <row r="4763" spans="2:13" ht="15.75">
      <c r="B4763" s="79"/>
      <c r="D4763"/>
      <c r="E4763" s="188"/>
      <c r="H4763"/>
      <c r="I4763" s="202"/>
      <c r="J4763"/>
      <c r="K4763"/>
      <c r="L4763"/>
      <c r="M4763"/>
    </row>
    <row r="4764" spans="2:13" ht="15.75">
      <c r="B4764" s="79"/>
      <c r="D4764"/>
      <c r="E4764" s="188"/>
      <c r="H4764"/>
      <c r="I4764" s="202"/>
      <c r="J4764"/>
      <c r="K4764"/>
      <c r="L4764"/>
      <c r="M4764"/>
    </row>
    <row r="4765" spans="2:13" ht="15.75">
      <c r="B4765" s="79"/>
      <c r="D4765"/>
      <c r="E4765" s="188"/>
      <c r="H4765"/>
      <c r="I4765" s="202"/>
      <c r="J4765"/>
      <c r="K4765"/>
      <c r="L4765"/>
      <c r="M4765"/>
    </row>
    <row r="4766" spans="2:13" ht="15.75">
      <c r="B4766" s="79"/>
      <c r="D4766"/>
      <c r="E4766" s="188"/>
      <c r="H4766"/>
      <c r="I4766" s="202"/>
      <c r="J4766"/>
      <c r="K4766"/>
      <c r="L4766"/>
      <c r="M4766"/>
    </row>
    <row r="4767" spans="2:13" ht="15.75">
      <c r="B4767" s="79"/>
      <c r="D4767"/>
      <c r="E4767" s="188"/>
      <c r="H4767"/>
      <c r="I4767" s="202"/>
      <c r="J4767"/>
      <c r="K4767"/>
      <c r="L4767"/>
      <c r="M4767"/>
    </row>
    <row r="4768" spans="2:13" ht="15.75">
      <c r="B4768" s="79"/>
      <c r="D4768"/>
      <c r="E4768" s="188"/>
      <c r="H4768"/>
      <c r="I4768" s="202"/>
      <c r="J4768"/>
      <c r="K4768"/>
      <c r="L4768"/>
      <c r="M4768"/>
    </row>
    <row r="4769" spans="2:13" ht="15.75">
      <c r="B4769" s="79"/>
      <c r="D4769"/>
      <c r="E4769" s="188"/>
      <c r="H4769"/>
      <c r="I4769" s="202"/>
      <c r="J4769"/>
      <c r="K4769"/>
      <c r="L4769"/>
      <c r="M4769"/>
    </row>
    <row r="4770" spans="2:13" ht="15.75">
      <c r="B4770" s="79"/>
      <c r="D4770"/>
      <c r="E4770" s="188"/>
      <c r="H4770"/>
      <c r="I4770" s="202"/>
      <c r="J4770"/>
      <c r="K4770"/>
      <c r="L4770"/>
      <c r="M4770"/>
    </row>
    <row r="4771" spans="2:13" ht="15.75">
      <c r="B4771" s="79"/>
      <c r="D4771"/>
      <c r="E4771" s="188"/>
      <c r="H4771"/>
      <c r="I4771" s="202"/>
      <c r="J4771"/>
      <c r="K4771"/>
      <c r="L4771"/>
      <c r="M4771"/>
    </row>
    <row r="4772" spans="2:13" ht="15.75">
      <c r="B4772" s="79"/>
      <c r="D4772"/>
      <c r="E4772" s="188"/>
      <c r="H4772"/>
      <c r="I4772" s="202"/>
      <c r="J4772"/>
      <c r="K4772"/>
      <c r="L4772"/>
      <c r="M4772"/>
    </row>
    <row r="4773" spans="2:13" ht="15.75">
      <c r="B4773" s="79"/>
      <c r="D4773"/>
      <c r="E4773" s="188"/>
      <c r="H4773"/>
      <c r="I4773" s="202"/>
      <c r="J4773"/>
      <c r="K4773"/>
      <c r="L4773"/>
      <c r="M4773"/>
    </row>
    <row r="4774" spans="2:13" ht="15.75">
      <c r="B4774" s="79"/>
      <c r="D4774"/>
      <c r="E4774" s="188"/>
      <c r="H4774"/>
      <c r="I4774" s="202"/>
      <c r="J4774"/>
      <c r="K4774"/>
      <c r="L4774"/>
      <c r="M4774"/>
    </row>
    <row r="4775" spans="2:13" ht="15.75">
      <c r="B4775" s="79"/>
      <c r="D4775"/>
      <c r="E4775" s="188"/>
      <c r="H4775"/>
      <c r="I4775" s="202"/>
      <c r="J4775"/>
      <c r="K4775"/>
      <c r="L4775"/>
      <c r="M4775"/>
    </row>
    <row r="4776" spans="2:13" ht="15.75">
      <c r="B4776" s="79"/>
      <c r="D4776"/>
      <c r="E4776" s="188"/>
      <c r="H4776"/>
      <c r="I4776" s="202"/>
      <c r="J4776"/>
      <c r="K4776"/>
      <c r="L4776"/>
      <c r="M4776"/>
    </row>
    <row r="4777" spans="2:13" ht="15.75">
      <c r="B4777" s="79"/>
      <c r="D4777"/>
      <c r="E4777" s="188"/>
      <c r="H4777"/>
      <c r="I4777" s="202"/>
      <c r="J4777"/>
      <c r="K4777"/>
      <c r="L4777"/>
      <c r="M4777"/>
    </row>
    <row r="4778" spans="2:13" ht="15.75">
      <c r="B4778" s="79"/>
      <c r="D4778"/>
      <c r="E4778" s="188"/>
      <c r="H4778"/>
      <c r="I4778" s="202"/>
      <c r="J4778"/>
      <c r="K4778"/>
      <c r="L4778"/>
      <c r="M4778"/>
    </row>
    <row r="4779" spans="2:13" ht="15.75">
      <c r="B4779" s="79"/>
      <c r="D4779"/>
      <c r="E4779" s="188"/>
      <c r="H4779"/>
      <c r="I4779" s="202"/>
      <c r="J4779"/>
      <c r="K4779"/>
      <c r="L4779"/>
      <c r="M4779"/>
    </row>
    <row r="4780" spans="2:13" ht="15.75">
      <c r="B4780" s="79"/>
      <c r="D4780"/>
      <c r="E4780" s="188"/>
      <c r="H4780"/>
      <c r="I4780" s="202"/>
      <c r="J4780"/>
      <c r="K4780"/>
      <c r="L4780"/>
      <c r="M4780"/>
    </row>
    <row r="4781" spans="2:13" ht="15.75">
      <c r="B4781" s="79"/>
      <c r="D4781"/>
      <c r="E4781" s="188"/>
      <c r="H4781"/>
      <c r="I4781" s="202"/>
      <c r="J4781"/>
      <c r="K4781"/>
      <c r="L4781"/>
      <c r="M4781"/>
    </row>
    <row r="4782" spans="2:13" ht="15.75">
      <c r="B4782" s="79"/>
      <c r="D4782"/>
      <c r="E4782" s="188"/>
      <c r="H4782"/>
      <c r="I4782" s="202"/>
      <c r="J4782"/>
      <c r="K4782"/>
      <c r="L4782"/>
      <c r="M4782"/>
    </row>
    <row r="4783" spans="2:13" ht="15.75">
      <c r="B4783" s="79"/>
      <c r="D4783"/>
      <c r="E4783" s="188"/>
      <c r="H4783"/>
      <c r="I4783" s="202"/>
      <c r="J4783"/>
      <c r="K4783"/>
      <c r="L4783"/>
      <c r="M4783"/>
    </row>
    <row r="4784" spans="2:13" ht="15.75">
      <c r="B4784" s="79"/>
      <c r="D4784"/>
      <c r="E4784" s="188"/>
      <c r="H4784"/>
      <c r="I4784" s="202"/>
      <c r="J4784"/>
      <c r="K4784"/>
      <c r="L4784"/>
      <c r="M4784"/>
    </row>
    <row r="4785" spans="2:13" ht="15.75">
      <c r="B4785" s="79"/>
      <c r="D4785"/>
      <c r="E4785" s="188"/>
      <c r="H4785"/>
      <c r="I4785" s="202"/>
      <c r="J4785"/>
      <c r="K4785"/>
      <c r="L4785"/>
      <c r="M4785"/>
    </row>
    <row r="4786" spans="2:13" ht="15.75">
      <c r="B4786" s="79"/>
      <c r="D4786"/>
      <c r="E4786" s="188"/>
      <c r="H4786"/>
      <c r="I4786" s="202"/>
      <c r="J4786"/>
      <c r="K4786"/>
      <c r="L4786"/>
      <c r="M4786"/>
    </row>
    <row r="4787" spans="2:13" ht="15.75">
      <c r="B4787" s="79"/>
      <c r="D4787"/>
      <c r="E4787" s="188"/>
      <c r="H4787"/>
      <c r="I4787" s="202"/>
      <c r="J4787"/>
      <c r="K4787"/>
      <c r="L4787"/>
      <c r="M4787"/>
    </row>
    <row r="4788" spans="2:13" ht="15.75">
      <c r="B4788" s="79"/>
      <c r="D4788"/>
      <c r="E4788" s="188"/>
      <c r="H4788"/>
      <c r="I4788" s="202"/>
      <c r="J4788"/>
      <c r="K4788"/>
      <c r="L4788"/>
      <c r="M4788"/>
    </row>
    <row r="4789" spans="2:13" ht="15.75">
      <c r="B4789" s="79"/>
      <c r="D4789"/>
      <c r="E4789" s="188"/>
      <c r="H4789"/>
      <c r="I4789" s="202"/>
      <c r="J4789"/>
      <c r="K4789"/>
      <c r="L4789"/>
      <c r="M4789"/>
    </row>
    <row r="4790" spans="2:13" ht="15.75">
      <c r="B4790" s="79"/>
      <c r="D4790"/>
      <c r="E4790" s="188"/>
      <c r="H4790"/>
      <c r="I4790" s="202"/>
      <c r="J4790"/>
      <c r="K4790"/>
      <c r="L4790"/>
      <c r="M4790"/>
    </row>
    <row r="4791" spans="2:13" ht="15.75">
      <c r="B4791" s="79"/>
      <c r="D4791"/>
      <c r="E4791" s="188"/>
      <c r="H4791"/>
      <c r="I4791" s="202"/>
      <c r="J4791"/>
      <c r="K4791"/>
      <c r="L4791"/>
      <c r="M4791"/>
    </row>
    <row r="4792" spans="2:13" ht="15.75">
      <c r="B4792" s="79"/>
      <c r="D4792"/>
      <c r="E4792" s="188"/>
      <c r="H4792"/>
      <c r="I4792" s="202"/>
      <c r="J4792"/>
      <c r="K4792"/>
      <c r="L4792"/>
      <c r="M4792"/>
    </row>
    <row r="4793" spans="2:13" ht="15.75">
      <c r="B4793" s="79"/>
      <c r="D4793"/>
      <c r="E4793" s="188"/>
      <c r="H4793"/>
      <c r="I4793" s="202"/>
      <c r="J4793"/>
      <c r="K4793"/>
      <c r="L4793"/>
      <c r="M4793"/>
    </row>
    <row r="4794" spans="2:13" ht="15.75">
      <c r="B4794" s="79"/>
      <c r="D4794"/>
      <c r="E4794" s="188"/>
      <c r="H4794"/>
      <c r="I4794" s="202"/>
      <c r="J4794"/>
      <c r="K4794"/>
      <c r="L4794"/>
      <c r="M4794"/>
    </row>
    <row r="4795" spans="2:13" ht="15.75">
      <c r="B4795" s="79"/>
      <c r="D4795"/>
      <c r="E4795" s="188"/>
      <c r="H4795"/>
      <c r="I4795" s="202"/>
      <c r="J4795"/>
      <c r="K4795"/>
      <c r="L4795"/>
      <c r="M4795"/>
    </row>
    <row r="4796" spans="2:13" ht="15.75">
      <c r="B4796" s="79"/>
      <c r="D4796"/>
      <c r="E4796" s="188"/>
      <c r="H4796"/>
      <c r="I4796" s="202"/>
      <c r="J4796"/>
      <c r="K4796"/>
      <c r="L4796"/>
      <c r="M4796"/>
    </row>
    <row r="4797" spans="2:13" ht="15.75">
      <c r="B4797" s="79"/>
      <c r="D4797"/>
      <c r="E4797" s="188"/>
      <c r="H4797"/>
      <c r="I4797" s="202"/>
      <c r="J4797"/>
      <c r="K4797"/>
      <c r="L4797"/>
      <c r="M4797"/>
    </row>
    <row r="4798" spans="2:13" ht="15.75">
      <c r="B4798" s="79"/>
      <c r="D4798"/>
      <c r="E4798" s="188"/>
      <c r="H4798"/>
      <c r="I4798" s="202"/>
      <c r="J4798"/>
      <c r="K4798"/>
      <c r="L4798"/>
      <c r="M4798"/>
    </row>
    <row r="4799" spans="2:13" ht="15.75">
      <c r="B4799" s="79"/>
      <c r="D4799"/>
      <c r="E4799" s="188"/>
      <c r="H4799"/>
      <c r="I4799" s="202"/>
      <c r="J4799"/>
      <c r="K4799"/>
      <c r="L4799"/>
      <c r="M4799"/>
    </row>
    <row r="4800" spans="2:13" ht="15.75">
      <c r="B4800" s="79"/>
      <c r="D4800"/>
      <c r="E4800" s="188"/>
      <c r="H4800"/>
      <c r="I4800" s="202"/>
      <c r="J4800"/>
      <c r="K4800"/>
      <c r="L4800"/>
      <c r="M4800"/>
    </row>
    <row r="4801" spans="2:13" ht="15.75">
      <c r="B4801" s="79"/>
      <c r="D4801"/>
      <c r="E4801" s="188"/>
      <c r="H4801"/>
      <c r="I4801" s="202"/>
      <c r="J4801"/>
      <c r="K4801"/>
      <c r="L4801"/>
      <c r="M4801"/>
    </row>
    <row r="4802" spans="2:13" ht="15.75">
      <c r="B4802" s="79"/>
      <c r="D4802"/>
      <c r="E4802" s="188"/>
      <c r="H4802"/>
      <c r="I4802" s="202"/>
      <c r="J4802"/>
      <c r="K4802"/>
      <c r="L4802"/>
      <c r="M4802"/>
    </row>
    <row r="4803" spans="2:13" ht="15.75">
      <c r="B4803" s="79"/>
      <c r="D4803"/>
      <c r="E4803" s="188"/>
      <c r="H4803"/>
      <c r="I4803" s="202"/>
      <c r="J4803"/>
      <c r="K4803"/>
      <c r="L4803"/>
      <c r="M4803"/>
    </row>
    <row r="4804" spans="2:13" ht="15.75">
      <c r="B4804" s="79"/>
      <c r="D4804"/>
      <c r="E4804" s="188"/>
      <c r="H4804"/>
      <c r="I4804" s="202"/>
      <c r="J4804"/>
      <c r="K4804"/>
      <c r="L4804"/>
      <c r="M4804"/>
    </row>
    <row r="4805" spans="2:13" ht="15.75">
      <c r="B4805" s="79"/>
      <c r="D4805"/>
      <c r="E4805" s="188"/>
      <c r="H4805"/>
      <c r="I4805" s="202"/>
      <c r="J4805"/>
      <c r="K4805"/>
      <c r="L4805"/>
      <c r="M4805"/>
    </row>
    <row r="4806" spans="2:13" ht="15.75">
      <c r="B4806" s="79"/>
      <c r="D4806"/>
      <c r="E4806" s="188"/>
      <c r="H4806"/>
      <c r="I4806" s="202"/>
      <c r="J4806"/>
      <c r="K4806"/>
      <c r="L4806"/>
      <c r="M4806"/>
    </row>
    <row r="4807" spans="2:13" ht="15.75">
      <c r="B4807" s="79"/>
      <c r="D4807"/>
      <c r="E4807" s="188"/>
      <c r="H4807"/>
      <c r="I4807" s="202"/>
      <c r="J4807"/>
      <c r="K4807"/>
      <c r="L4807"/>
      <c r="M4807"/>
    </row>
    <row r="4808" spans="2:13" ht="15.75">
      <c r="B4808" s="79"/>
      <c r="D4808"/>
      <c r="E4808" s="188"/>
      <c r="H4808"/>
      <c r="I4808" s="202"/>
      <c r="J4808"/>
      <c r="K4808"/>
      <c r="L4808"/>
      <c r="M4808"/>
    </row>
    <row r="4809" spans="2:13" ht="15.75">
      <c r="B4809" s="79"/>
      <c r="D4809"/>
      <c r="E4809" s="188"/>
      <c r="H4809"/>
      <c r="I4809" s="202"/>
      <c r="J4809"/>
      <c r="K4809"/>
      <c r="L4809"/>
      <c r="M4809"/>
    </row>
    <row r="4810" spans="2:13" ht="15.75">
      <c r="B4810" s="79"/>
      <c r="D4810"/>
      <c r="E4810" s="188"/>
      <c r="H4810"/>
      <c r="I4810" s="202"/>
      <c r="J4810"/>
      <c r="K4810"/>
      <c r="L4810"/>
      <c r="M4810"/>
    </row>
    <row r="4811" spans="2:13" ht="15.75">
      <c r="B4811" s="79"/>
      <c r="D4811"/>
      <c r="E4811" s="188"/>
      <c r="H4811"/>
      <c r="I4811" s="202"/>
      <c r="J4811"/>
      <c r="K4811"/>
      <c r="L4811"/>
      <c r="M4811"/>
    </row>
    <row r="4812" spans="2:13" ht="15.75">
      <c r="B4812" s="79"/>
      <c r="D4812"/>
      <c r="E4812" s="188"/>
      <c r="H4812"/>
      <c r="I4812" s="202"/>
      <c r="J4812"/>
      <c r="K4812"/>
      <c r="L4812"/>
      <c r="M4812"/>
    </row>
    <row r="4813" spans="2:13" ht="15.75">
      <c r="B4813" s="79"/>
      <c r="D4813"/>
      <c r="E4813" s="188"/>
      <c r="H4813"/>
      <c r="I4813" s="202"/>
      <c r="J4813"/>
      <c r="K4813"/>
      <c r="L4813"/>
      <c r="M4813"/>
    </row>
    <row r="4814" spans="2:13" ht="15.75">
      <c r="B4814" s="79"/>
      <c r="D4814"/>
      <c r="E4814" s="188"/>
      <c r="H4814"/>
      <c r="I4814" s="202"/>
      <c r="J4814"/>
      <c r="K4814"/>
      <c r="L4814"/>
      <c r="M4814"/>
    </row>
    <row r="4815" spans="2:13" ht="15.75">
      <c r="B4815" s="79"/>
      <c r="D4815"/>
      <c r="E4815" s="188"/>
      <c r="H4815"/>
      <c r="I4815" s="202"/>
      <c r="J4815"/>
      <c r="K4815"/>
      <c r="L4815"/>
      <c r="M4815"/>
    </row>
    <row r="4816" spans="2:13" ht="15.75">
      <c r="B4816" s="79"/>
      <c r="D4816"/>
      <c r="E4816" s="188"/>
      <c r="H4816"/>
      <c r="I4816" s="202"/>
      <c r="J4816"/>
      <c r="K4816"/>
      <c r="L4816"/>
      <c r="M4816"/>
    </row>
    <row r="4817" spans="2:13" ht="15.75">
      <c r="B4817" s="79"/>
      <c r="D4817"/>
      <c r="E4817" s="188"/>
      <c r="H4817"/>
      <c r="I4817" s="202"/>
      <c r="J4817"/>
      <c r="K4817"/>
      <c r="L4817"/>
      <c r="M4817"/>
    </row>
    <row r="4818" spans="2:13" ht="15.75">
      <c r="B4818" s="79"/>
      <c r="D4818"/>
      <c r="E4818" s="188"/>
      <c r="H4818"/>
      <c r="I4818" s="202"/>
      <c r="J4818"/>
      <c r="K4818"/>
      <c r="L4818"/>
      <c r="M4818"/>
    </row>
    <row r="4819" spans="2:13" ht="15.75">
      <c r="B4819" s="79"/>
      <c r="D4819"/>
      <c r="E4819" s="188"/>
      <c r="H4819"/>
      <c r="I4819" s="202"/>
      <c r="J4819"/>
      <c r="K4819"/>
      <c r="L4819"/>
      <c r="M4819"/>
    </row>
    <row r="4820" spans="2:13" ht="15.75">
      <c r="B4820" s="79"/>
      <c r="D4820"/>
      <c r="E4820" s="188"/>
      <c r="H4820"/>
      <c r="I4820" s="202"/>
      <c r="J4820"/>
      <c r="K4820"/>
      <c r="L4820"/>
      <c r="M4820"/>
    </row>
    <row r="4821" spans="2:13" ht="15.75">
      <c r="B4821" s="79"/>
      <c r="D4821"/>
      <c r="E4821" s="188"/>
      <c r="H4821"/>
      <c r="I4821" s="202"/>
      <c r="J4821"/>
      <c r="K4821"/>
      <c r="L4821"/>
      <c r="M4821"/>
    </row>
    <row r="4822" spans="2:13" ht="15.75">
      <c r="B4822" s="79"/>
      <c r="D4822"/>
      <c r="E4822" s="188"/>
      <c r="H4822"/>
      <c r="I4822" s="202"/>
      <c r="J4822"/>
      <c r="K4822"/>
      <c r="L4822"/>
      <c r="M4822"/>
    </row>
    <row r="4823" spans="2:13" ht="15.75">
      <c r="B4823" s="79"/>
      <c r="D4823"/>
      <c r="E4823" s="188"/>
      <c r="H4823"/>
      <c r="I4823" s="202"/>
      <c r="J4823"/>
      <c r="K4823"/>
      <c r="L4823"/>
      <c r="M4823"/>
    </row>
    <row r="4824" spans="2:13" ht="15.75">
      <c r="B4824" s="79"/>
      <c r="D4824"/>
      <c r="E4824" s="188"/>
      <c r="H4824"/>
      <c r="I4824" s="202"/>
      <c r="J4824"/>
      <c r="K4824"/>
      <c r="L4824"/>
      <c r="M4824"/>
    </row>
    <row r="4825" spans="2:13" ht="15.75">
      <c r="B4825" s="79"/>
      <c r="D4825"/>
      <c r="E4825" s="188"/>
      <c r="H4825"/>
      <c r="I4825" s="202"/>
      <c r="J4825"/>
      <c r="K4825"/>
      <c r="L4825"/>
      <c r="M4825"/>
    </row>
    <row r="4826" spans="2:13" ht="15.75">
      <c r="B4826" s="79"/>
      <c r="D4826"/>
      <c r="E4826" s="188"/>
      <c r="H4826"/>
      <c r="I4826" s="202"/>
      <c r="J4826"/>
      <c r="K4826"/>
      <c r="L4826"/>
      <c r="M4826"/>
    </row>
    <row r="4827" spans="2:13" ht="15.75">
      <c r="B4827" s="79"/>
      <c r="D4827"/>
      <c r="E4827" s="188"/>
      <c r="H4827"/>
      <c r="I4827" s="202"/>
      <c r="J4827"/>
      <c r="K4827"/>
      <c r="L4827"/>
      <c r="M4827"/>
    </row>
    <row r="4828" spans="2:13" ht="15.75">
      <c r="B4828" s="79"/>
      <c r="D4828"/>
      <c r="E4828" s="188"/>
      <c r="H4828"/>
      <c r="I4828" s="202"/>
      <c r="J4828"/>
      <c r="K4828"/>
      <c r="L4828"/>
      <c r="M4828"/>
    </row>
    <row r="4829" spans="2:13" ht="15.75">
      <c r="B4829" s="79"/>
      <c r="D4829"/>
      <c r="E4829" s="188"/>
      <c r="H4829"/>
      <c r="I4829" s="202"/>
      <c r="J4829"/>
      <c r="K4829"/>
      <c r="L4829"/>
      <c r="M4829"/>
    </row>
    <row r="4830" spans="2:13" ht="15.75">
      <c r="B4830" s="79"/>
      <c r="D4830"/>
      <c r="E4830" s="188"/>
      <c r="H4830"/>
      <c r="I4830" s="202"/>
      <c r="J4830"/>
      <c r="K4830"/>
      <c r="L4830"/>
      <c r="M4830"/>
    </row>
    <row r="4831" spans="2:13" ht="15.75">
      <c r="B4831" s="79"/>
      <c r="D4831"/>
      <c r="E4831" s="188"/>
      <c r="H4831"/>
      <c r="I4831" s="202"/>
      <c r="J4831"/>
      <c r="K4831"/>
      <c r="L4831"/>
      <c r="M4831"/>
    </row>
    <row r="4832" spans="2:13" ht="15.75">
      <c r="B4832" s="79"/>
      <c r="D4832"/>
      <c r="E4832" s="188"/>
      <c r="H4832"/>
      <c r="I4832" s="202"/>
      <c r="J4832"/>
      <c r="K4832"/>
      <c r="L4832"/>
      <c r="M4832"/>
    </row>
    <row r="4833" spans="2:13" ht="15.75">
      <c r="B4833" s="79"/>
      <c r="D4833"/>
      <c r="E4833" s="188"/>
      <c r="H4833"/>
      <c r="I4833" s="202"/>
      <c r="J4833"/>
      <c r="K4833"/>
      <c r="L4833"/>
      <c r="M4833"/>
    </row>
    <row r="4834" spans="2:13" ht="15.75">
      <c r="B4834" s="79"/>
      <c r="D4834"/>
      <c r="E4834" s="188"/>
      <c r="H4834"/>
      <c r="I4834" s="202"/>
      <c r="J4834"/>
      <c r="K4834"/>
      <c r="L4834"/>
      <c r="M4834"/>
    </row>
    <row r="4835" spans="2:13" ht="15.75">
      <c r="B4835" s="79"/>
      <c r="D4835"/>
      <c r="E4835" s="188"/>
      <c r="H4835"/>
      <c r="I4835" s="202"/>
      <c r="J4835"/>
      <c r="K4835"/>
      <c r="L4835"/>
      <c r="M4835"/>
    </row>
    <row r="4836" spans="2:13" ht="15.75">
      <c r="B4836" s="79"/>
      <c r="D4836"/>
      <c r="E4836" s="188"/>
      <c r="H4836"/>
      <c r="I4836" s="202"/>
      <c r="J4836"/>
      <c r="K4836"/>
      <c r="L4836"/>
      <c r="M4836"/>
    </row>
    <row r="4837" spans="2:13" ht="15.75">
      <c r="B4837" s="79"/>
      <c r="D4837"/>
      <c r="E4837" s="188"/>
      <c r="H4837"/>
      <c r="I4837" s="202"/>
      <c r="J4837"/>
      <c r="K4837"/>
      <c r="L4837"/>
      <c r="M4837"/>
    </row>
    <row r="4838" spans="2:13" ht="15.75">
      <c r="B4838" s="79"/>
      <c r="D4838"/>
      <c r="E4838" s="188"/>
      <c r="H4838"/>
      <c r="I4838" s="202"/>
      <c r="J4838"/>
      <c r="K4838"/>
      <c r="L4838"/>
      <c r="M4838"/>
    </row>
    <row r="4839" spans="2:13" ht="15.75">
      <c r="B4839" s="79"/>
      <c r="D4839"/>
      <c r="E4839" s="188"/>
      <c r="H4839"/>
      <c r="I4839" s="202"/>
      <c r="J4839"/>
      <c r="K4839"/>
      <c r="L4839"/>
      <c r="M4839"/>
    </row>
    <row r="4840" spans="2:13" ht="15.75">
      <c r="B4840" s="79"/>
      <c r="D4840"/>
      <c r="E4840" s="188"/>
      <c r="H4840"/>
      <c r="I4840" s="202"/>
      <c r="J4840"/>
      <c r="K4840"/>
      <c r="L4840"/>
      <c r="M4840"/>
    </row>
    <row r="4841" spans="2:13" ht="15.75">
      <c r="B4841" s="79"/>
      <c r="D4841"/>
      <c r="E4841" s="188"/>
      <c r="H4841"/>
      <c r="I4841" s="202"/>
      <c r="J4841"/>
      <c r="K4841"/>
      <c r="L4841"/>
      <c r="M4841"/>
    </row>
    <row r="4842" spans="2:13" ht="15.75">
      <c r="B4842" s="79"/>
      <c r="D4842"/>
      <c r="E4842" s="188"/>
      <c r="H4842"/>
      <c r="I4842" s="202"/>
      <c r="J4842"/>
      <c r="K4842"/>
      <c r="L4842"/>
      <c r="M4842"/>
    </row>
    <row r="4843" spans="2:13" ht="15.75">
      <c r="B4843" s="79"/>
      <c r="D4843"/>
      <c r="E4843" s="188"/>
      <c r="H4843"/>
      <c r="I4843" s="202"/>
      <c r="J4843"/>
      <c r="K4843"/>
      <c r="L4843"/>
      <c r="M4843"/>
    </row>
    <row r="4844" spans="2:13" ht="15.75">
      <c r="B4844" s="79"/>
      <c r="D4844"/>
      <c r="E4844" s="188"/>
      <c r="H4844"/>
      <c r="I4844" s="202"/>
      <c r="J4844"/>
      <c r="K4844"/>
      <c r="L4844"/>
      <c r="M4844"/>
    </row>
    <row r="4845" spans="2:13" ht="15.75">
      <c r="B4845" s="79"/>
      <c r="D4845"/>
      <c r="E4845" s="188"/>
      <c r="H4845"/>
      <c r="I4845" s="202"/>
      <c r="J4845"/>
      <c r="K4845"/>
      <c r="L4845"/>
      <c r="M4845"/>
    </row>
    <row r="4846" spans="2:13" ht="15.75">
      <c r="B4846" s="79"/>
      <c r="D4846"/>
      <c r="E4846" s="188"/>
      <c r="H4846"/>
      <c r="I4846" s="202"/>
      <c r="J4846"/>
      <c r="K4846"/>
      <c r="L4846"/>
      <c r="M4846"/>
    </row>
    <row r="4847" spans="2:13" ht="15.75">
      <c r="B4847" s="79"/>
      <c r="D4847"/>
      <c r="E4847" s="188"/>
      <c r="H4847"/>
      <c r="I4847" s="202"/>
      <c r="J4847"/>
      <c r="K4847"/>
      <c r="L4847"/>
      <c r="M4847"/>
    </row>
    <row r="4848" spans="2:13" ht="15.75">
      <c r="B4848" s="79"/>
      <c r="D4848"/>
      <c r="E4848" s="188"/>
      <c r="H4848"/>
      <c r="I4848" s="202"/>
      <c r="J4848"/>
      <c r="K4848"/>
      <c r="L4848"/>
      <c r="M4848"/>
    </row>
    <row r="4849" spans="2:13" ht="15.75">
      <c r="B4849" s="79"/>
      <c r="D4849"/>
      <c r="E4849" s="188"/>
      <c r="H4849"/>
      <c r="I4849" s="202"/>
      <c r="J4849"/>
      <c r="K4849"/>
      <c r="L4849"/>
      <c r="M4849"/>
    </row>
    <row r="4850" spans="2:13" ht="15.75">
      <c r="B4850" s="79"/>
      <c r="D4850"/>
      <c r="E4850" s="188"/>
      <c r="H4850"/>
      <c r="I4850" s="202"/>
      <c r="J4850"/>
      <c r="K4850"/>
      <c r="L4850"/>
      <c r="M4850"/>
    </row>
    <row r="4851" spans="2:13" ht="15.75">
      <c r="B4851" s="79"/>
      <c r="D4851"/>
      <c r="E4851" s="188"/>
      <c r="H4851"/>
      <c r="I4851" s="202"/>
      <c r="J4851"/>
      <c r="K4851"/>
      <c r="L4851"/>
      <c r="M4851"/>
    </row>
    <row r="4852" spans="2:13" ht="15.75">
      <c r="B4852" s="79"/>
      <c r="D4852"/>
      <c r="E4852" s="188"/>
      <c r="H4852"/>
      <c r="I4852" s="202"/>
      <c r="J4852"/>
      <c r="K4852"/>
      <c r="L4852"/>
      <c r="M4852"/>
    </row>
    <row r="4853" spans="2:13" ht="15.75">
      <c r="B4853" s="79"/>
      <c r="D4853"/>
      <c r="E4853" s="188"/>
      <c r="H4853"/>
      <c r="I4853" s="202"/>
      <c r="J4853"/>
      <c r="K4853"/>
      <c r="L4853"/>
      <c r="M4853"/>
    </row>
    <row r="4854" spans="2:13" ht="15.75">
      <c r="B4854" s="79"/>
      <c r="D4854"/>
      <c r="E4854" s="188"/>
      <c r="H4854"/>
      <c r="I4854" s="202"/>
      <c r="J4854"/>
      <c r="K4854"/>
      <c r="L4854"/>
      <c r="M4854"/>
    </row>
    <row r="4855" spans="2:13" ht="15.75">
      <c r="B4855" s="79"/>
      <c r="D4855"/>
      <c r="E4855" s="188"/>
      <c r="H4855"/>
      <c r="I4855" s="202"/>
      <c r="J4855"/>
      <c r="K4855"/>
      <c r="L4855"/>
      <c r="M4855"/>
    </row>
    <row r="4856" spans="2:13" ht="15.75">
      <c r="B4856" s="79"/>
      <c r="D4856"/>
      <c r="E4856" s="188"/>
      <c r="H4856"/>
      <c r="I4856" s="202"/>
      <c r="J4856"/>
      <c r="K4856"/>
      <c r="L4856"/>
      <c r="M4856"/>
    </row>
    <row r="4857" spans="2:13" ht="15.75">
      <c r="B4857" s="79"/>
      <c r="D4857"/>
      <c r="E4857" s="188"/>
      <c r="H4857"/>
      <c r="I4857" s="202"/>
      <c r="J4857"/>
      <c r="K4857"/>
      <c r="L4857"/>
      <c r="M4857"/>
    </row>
    <row r="4858" spans="2:13" ht="15.75">
      <c r="B4858" s="79"/>
      <c r="D4858"/>
      <c r="E4858" s="188"/>
      <c r="H4858"/>
      <c r="I4858" s="202"/>
      <c r="J4858"/>
      <c r="K4858"/>
      <c r="L4858"/>
      <c r="M4858"/>
    </row>
    <row r="4859" spans="2:13" ht="15.75">
      <c r="B4859" s="79"/>
      <c r="D4859"/>
      <c r="E4859" s="188"/>
      <c r="H4859"/>
      <c r="I4859" s="202"/>
      <c r="J4859"/>
      <c r="K4859"/>
      <c r="L4859"/>
      <c r="M4859"/>
    </row>
    <row r="4860" spans="2:13" ht="15.75">
      <c r="B4860" s="79"/>
      <c r="D4860"/>
      <c r="E4860" s="188"/>
      <c r="H4860"/>
      <c r="I4860" s="202"/>
      <c r="J4860"/>
      <c r="K4860"/>
      <c r="L4860"/>
      <c r="M4860"/>
    </row>
    <row r="4861" spans="2:13" ht="15.75">
      <c r="B4861" s="79"/>
      <c r="D4861"/>
      <c r="E4861" s="188"/>
      <c r="H4861"/>
      <c r="I4861" s="202"/>
      <c r="J4861"/>
      <c r="K4861"/>
      <c r="L4861"/>
      <c r="M4861"/>
    </row>
    <row r="4862" spans="2:13" ht="15.75">
      <c r="B4862" s="79"/>
      <c r="D4862"/>
      <c r="E4862" s="188"/>
      <c r="H4862"/>
      <c r="I4862" s="202"/>
      <c r="J4862"/>
      <c r="K4862"/>
      <c r="L4862"/>
      <c r="M4862"/>
    </row>
    <row r="4863" spans="2:13" ht="15.75">
      <c r="B4863" s="79"/>
      <c r="D4863"/>
      <c r="E4863" s="188"/>
      <c r="H4863"/>
      <c r="I4863" s="202"/>
      <c r="J4863"/>
      <c r="K4863"/>
      <c r="L4863"/>
      <c r="M4863"/>
    </row>
    <row r="4864" spans="2:13" ht="15.75">
      <c r="B4864" s="79"/>
      <c r="D4864"/>
      <c r="E4864" s="188"/>
      <c r="H4864"/>
      <c r="I4864" s="202"/>
      <c r="J4864"/>
      <c r="K4864"/>
      <c r="L4864"/>
      <c r="M4864"/>
    </row>
    <row r="4865" spans="2:13" ht="15.75">
      <c r="B4865" s="79"/>
      <c r="D4865"/>
      <c r="E4865" s="188"/>
      <c r="H4865"/>
      <c r="I4865" s="202"/>
      <c r="J4865"/>
      <c r="K4865"/>
      <c r="L4865"/>
      <c r="M4865"/>
    </row>
    <row r="4866" spans="2:13" ht="15.75">
      <c r="B4866" s="79"/>
      <c r="D4866"/>
      <c r="E4866" s="188"/>
      <c r="H4866"/>
      <c r="I4866" s="202"/>
      <c r="J4866"/>
      <c r="K4866"/>
      <c r="L4866"/>
      <c r="M4866"/>
    </row>
    <row r="4867" spans="2:13" ht="15.75">
      <c r="B4867" s="79"/>
      <c r="D4867"/>
      <c r="E4867" s="188"/>
      <c r="H4867"/>
      <c r="I4867" s="202"/>
      <c r="J4867"/>
      <c r="K4867"/>
      <c r="L4867"/>
      <c r="M4867"/>
    </row>
    <row r="4868" spans="2:13" ht="15.75">
      <c r="B4868" s="79"/>
      <c r="D4868"/>
      <c r="E4868" s="188"/>
      <c r="H4868"/>
      <c r="I4868" s="202"/>
      <c r="J4868"/>
      <c r="K4868"/>
      <c r="L4868"/>
      <c r="M4868"/>
    </row>
    <row r="4869" spans="2:13" ht="15.75">
      <c r="B4869" s="79"/>
      <c r="D4869"/>
      <c r="E4869" s="188"/>
      <c r="H4869"/>
      <c r="I4869" s="202"/>
      <c r="J4869"/>
      <c r="K4869"/>
      <c r="L4869"/>
      <c r="M4869"/>
    </row>
    <row r="4870" spans="2:13" ht="15.75">
      <c r="B4870" s="79"/>
      <c r="D4870"/>
      <c r="E4870" s="188"/>
      <c r="H4870"/>
      <c r="I4870" s="202"/>
      <c r="J4870"/>
      <c r="K4870"/>
      <c r="L4870"/>
      <c r="M4870"/>
    </row>
    <row r="4871" spans="2:13" ht="15.75">
      <c r="B4871" s="79"/>
      <c r="D4871"/>
      <c r="E4871" s="188"/>
      <c r="H4871"/>
      <c r="I4871" s="202"/>
      <c r="J4871"/>
      <c r="K4871"/>
      <c r="L4871"/>
      <c r="M4871"/>
    </row>
    <row r="4872" spans="2:13" ht="15.75">
      <c r="B4872" s="79"/>
      <c r="D4872"/>
      <c r="E4872" s="188"/>
      <c r="H4872"/>
      <c r="I4872" s="202"/>
      <c r="J4872"/>
      <c r="K4872"/>
      <c r="L4872"/>
      <c r="M4872"/>
    </row>
    <row r="4873" spans="2:13" ht="15.75">
      <c r="B4873" s="79"/>
      <c r="D4873"/>
      <c r="E4873" s="188"/>
      <c r="H4873"/>
      <c r="I4873" s="202"/>
      <c r="J4873"/>
      <c r="K4873"/>
      <c r="L4873"/>
      <c r="M4873"/>
    </row>
    <row r="4874" spans="2:13" ht="15.75">
      <c r="B4874" s="79"/>
      <c r="D4874"/>
      <c r="E4874" s="188"/>
      <c r="H4874"/>
      <c r="I4874" s="202"/>
      <c r="J4874"/>
      <c r="K4874"/>
      <c r="L4874"/>
      <c r="M4874"/>
    </row>
    <row r="4875" spans="2:13" ht="15.75">
      <c r="B4875" s="79"/>
      <c r="D4875"/>
      <c r="E4875" s="188"/>
      <c r="H4875"/>
      <c r="I4875" s="202"/>
      <c r="J4875"/>
      <c r="K4875"/>
      <c r="L4875"/>
      <c r="M4875"/>
    </row>
    <row r="4876" spans="2:13" ht="15.75">
      <c r="B4876" s="79"/>
      <c r="D4876"/>
      <c r="E4876" s="188"/>
      <c r="H4876"/>
      <c r="I4876" s="202"/>
      <c r="J4876"/>
      <c r="K4876"/>
      <c r="L4876"/>
      <c r="M4876"/>
    </row>
    <row r="4877" spans="2:13" ht="15.75">
      <c r="B4877" s="79"/>
      <c r="D4877"/>
      <c r="E4877" s="188"/>
      <c r="H4877"/>
      <c r="I4877" s="202"/>
      <c r="J4877"/>
      <c r="K4877"/>
      <c r="L4877"/>
      <c r="M4877"/>
    </row>
    <row r="4878" spans="2:13" ht="15.75">
      <c r="B4878" s="79"/>
      <c r="D4878"/>
      <c r="E4878" s="188"/>
      <c r="H4878"/>
      <c r="I4878" s="202"/>
      <c r="J4878"/>
      <c r="K4878"/>
      <c r="L4878"/>
      <c r="M4878"/>
    </row>
    <row r="4879" spans="2:13" ht="15.75">
      <c r="B4879" s="79"/>
      <c r="D4879"/>
      <c r="E4879" s="188"/>
      <c r="H4879"/>
      <c r="I4879" s="202"/>
      <c r="J4879"/>
      <c r="K4879"/>
      <c r="L4879"/>
      <c r="M4879"/>
    </row>
    <row r="4880" spans="2:13" ht="15.75">
      <c r="B4880" s="79"/>
      <c r="D4880"/>
      <c r="E4880" s="188"/>
      <c r="H4880"/>
      <c r="I4880" s="202"/>
      <c r="J4880"/>
      <c r="K4880"/>
      <c r="L4880"/>
      <c r="M4880"/>
    </row>
    <row r="4881" spans="2:13" ht="15.75">
      <c r="B4881" s="79"/>
      <c r="D4881"/>
      <c r="E4881" s="188"/>
      <c r="H4881"/>
      <c r="I4881" s="202"/>
      <c r="J4881"/>
      <c r="K4881"/>
      <c r="L4881"/>
      <c r="M4881"/>
    </row>
    <row r="4882" spans="2:13" ht="15.75">
      <c r="B4882" s="79"/>
      <c r="D4882"/>
      <c r="E4882" s="188"/>
      <c r="H4882"/>
      <c r="I4882" s="202"/>
      <c r="J4882"/>
      <c r="K4882"/>
      <c r="L4882"/>
      <c r="M4882"/>
    </row>
    <row r="4883" spans="2:13" ht="15.75">
      <c r="B4883" s="79"/>
      <c r="D4883"/>
      <c r="E4883" s="188"/>
      <c r="H4883"/>
      <c r="I4883" s="202"/>
      <c r="J4883"/>
      <c r="K4883"/>
      <c r="L4883"/>
      <c r="M4883"/>
    </row>
    <row r="4884" spans="2:13" ht="15.75">
      <c r="B4884" s="79"/>
      <c r="D4884"/>
      <c r="E4884" s="188"/>
      <c r="H4884"/>
      <c r="I4884" s="202"/>
      <c r="J4884"/>
      <c r="K4884"/>
      <c r="L4884"/>
      <c r="M4884"/>
    </row>
    <row r="4885" spans="2:13" ht="15.75">
      <c r="B4885" s="79"/>
      <c r="D4885"/>
      <c r="E4885" s="188"/>
      <c r="H4885"/>
      <c r="I4885" s="202"/>
      <c r="J4885"/>
      <c r="K4885"/>
      <c r="L4885"/>
      <c r="M4885"/>
    </row>
    <row r="4886" spans="2:13" ht="15.75">
      <c r="B4886" s="79"/>
      <c r="D4886"/>
      <c r="E4886" s="188"/>
      <c r="H4886"/>
      <c r="I4886" s="202"/>
      <c r="J4886"/>
      <c r="K4886"/>
      <c r="L4886"/>
      <c r="M4886"/>
    </row>
    <row r="4887" spans="2:13" ht="15.75">
      <c r="B4887" s="79"/>
      <c r="D4887"/>
      <c r="E4887" s="188"/>
      <c r="H4887"/>
      <c r="I4887" s="202"/>
      <c r="J4887"/>
      <c r="K4887"/>
      <c r="L4887"/>
      <c r="M4887"/>
    </row>
    <row r="4888" spans="2:13" ht="15.75">
      <c r="B4888" s="79"/>
      <c r="D4888"/>
      <c r="E4888" s="188"/>
      <c r="H4888"/>
      <c r="I4888" s="202"/>
      <c r="J4888"/>
      <c r="K4888"/>
      <c r="L4888"/>
      <c r="M4888"/>
    </row>
    <row r="4889" spans="2:13" ht="15.75">
      <c r="B4889" s="79"/>
      <c r="D4889"/>
      <c r="E4889" s="188"/>
      <c r="H4889"/>
      <c r="I4889" s="202"/>
      <c r="J4889"/>
      <c r="K4889"/>
      <c r="L4889"/>
      <c r="M4889"/>
    </row>
    <row r="4890" spans="2:13" ht="15.75">
      <c r="B4890" s="79"/>
      <c r="D4890"/>
      <c r="E4890" s="188"/>
      <c r="H4890"/>
      <c r="I4890" s="202"/>
      <c r="J4890"/>
      <c r="K4890"/>
      <c r="L4890"/>
      <c r="M4890"/>
    </row>
    <row r="4891" spans="2:13" ht="15.75">
      <c r="B4891" s="79"/>
      <c r="D4891"/>
      <c r="E4891" s="188"/>
      <c r="H4891"/>
      <c r="I4891" s="202"/>
      <c r="J4891"/>
      <c r="K4891"/>
      <c r="L4891"/>
      <c r="M4891"/>
    </row>
    <row r="4892" spans="2:13" ht="15.75">
      <c r="B4892" s="79"/>
      <c r="D4892"/>
      <c r="E4892" s="188"/>
      <c r="H4892"/>
      <c r="I4892" s="202"/>
      <c r="J4892"/>
      <c r="K4892"/>
      <c r="L4892"/>
      <c r="M4892"/>
    </row>
    <row r="4893" spans="2:13" ht="15.75">
      <c r="B4893" s="79"/>
      <c r="D4893"/>
      <c r="E4893" s="188"/>
      <c r="H4893"/>
      <c r="I4893" s="202"/>
      <c r="J4893"/>
      <c r="K4893"/>
      <c r="L4893"/>
      <c r="M4893"/>
    </row>
    <row r="4894" spans="2:13" ht="15.75">
      <c r="B4894" s="79"/>
      <c r="D4894"/>
      <c r="E4894" s="188"/>
      <c r="H4894"/>
      <c r="I4894" s="202"/>
      <c r="J4894"/>
      <c r="K4894"/>
      <c r="L4894"/>
      <c r="M4894"/>
    </row>
    <row r="4895" spans="2:13" ht="15.75">
      <c r="B4895" s="79"/>
      <c r="D4895"/>
      <c r="E4895" s="188"/>
      <c r="H4895"/>
      <c r="I4895" s="202"/>
      <c r="J4895"/>
      <c r="K4895"/>
      <c r="L4895"/>
      <c r="M4895"/>
    </row>
    <row r="4896" spans="2:13" ht="15.75">
      <c r="B4896" s="79"/>
      <c r="D4896"/>
      <c r="E4896" s="188"/>
      <c r="H4896"/>
      <c r="I4896" s="202"/>
      <c r="J4896"/>
      <c r="K4896"/>
      <c r="L4896"/>
      <c r="M4896"/>
    </row>
    <row r="4897" spans="2:13" ht="15.75">
      <c r="B4897" s="79"/>
      <c r="D4897"/>
      <c r="E4897" s="188"/>
      <c r="H4897"/>
      <c r="I4897" s="202"/>
      <c r="J4897"/>
      <c r="K4897"/>
      <c r="L4897"/>
      <c r="M4897"/>
    </row>
    <row r="4898" spans="2:13" ht="15.75">
      <c r="B4898" s="79"/>
      <c r="D4898"/>
      <c r="E4898" s="188"/>
      <c r="H4898"/>
      <c r="I4898" s="202"/>
      <c r="J4898"/>
      <c r="K4898"/>
      <c r="L4898"/>
      <c r="M4898"/>
    </row>
    <row r="4899" spans="2:13" ht="15.75">
      <c r="B4899" s="79"/>
      <c r="D4899"/>
      <c r="E4899" s="188"/>
      <c r="H4899"/>
      <c r="I4899" s="202"/>
      <c r="J4899"/>
      <c r="K4899"/>
      <c r="L4899"/>
      <c r="M4899"/>
    </row>
    <row r="4900" spans="2:13" ht="15.75">
      <c r="B4900" s="79"/>
      <c r="D4900"/>
      <c r="E4900" s="188"/>
      <c r="H4900"/>
      <c r="I4900" s="202"/>
      <c r="J4900"/>
      <c r="K4900"/>
      <c r="L4900"/>
      <c r="M4900"/>
    </row>
    <row r="4901" spans="2:13" ht="15.75">
      <c r="B4901" s="79"/>
      <c r="D4901"/>
      <c r="E4901" s="188"/>
      <c r="H4901"/>
      <c r="I4901" s="202"/>
      <c r="J4901"/>
      <c r="K4901"/>
      <c r="L4901"/>
      <c r="M4901"/>
    </row>
    <row r="4902" spans="2:13" ht="15.75">
      <c r="B4902" s="79"/>
      <c r="D4902"/>
      <c r="E4902" s="188"/>
      <c r="H4902"/>
      <c r="I4902" s="202"/>
      <c r="J4902"/>
      <c r="K4902"/>
      <c r="L4902"/>
      <c r="M4902"/>
    </row>
    <row r="4903" spans="2:13" ht="15.75">
      <c r="B4903" s="79"/>
      <c r="D4903"/>
      <c r="E4903" s="188"/>
      <c r="H4903"/>
      <c r="I4903" s="202"/>
      <c r="J4903"/>
      <c r="K4903"/>
      <c r="L4903"/>
      <c r="M4903"/>
    </row>
    <row r="4904" spans="2:13" ht="15.75">
      <c r="B4904" s="79"/>
      <c r="D4904"/>
      <c r="E4904" s="188"/>
      <c r="H4904"/>
      <c r="I4904" s="202"/>
      <c r="J4904"/>
      <c r="K4904"/>
      <c r="L4904"/>
      <c r="M4904"/>
    </row>
    <row r="4905" spans="2:13" ht="15.75">
      <c r="B4905" s="79"/>
      <c r="D4905"/>
      <c r="E4905" s="188"/>
      <c r="H4905"/>
      <c r="I4905" s="202"/>
      <c r="J4905"/>
      <c r="K4905"/>
      <c r="L4905"/>
      <c r="M4905"/>
    </row>
    <row r="4906" spans="2:13" ht="15.75">
      <c r="B4906" s="79"/>
      <c r="D4906"/>
      <c r="E4906" s="188"/>
      <c r="H4906"/>
      <c r="I4906" s="202"/>
      <c r="J4906"/>
      <c r="K4906"/>
      <c r="L4906"/>
      <c r="M4906"/>
    </row>
    <row r="4907" spans="2:13" ht="15.75">
      <c r="B4907" s="79"/>
      <c r="D4907"/>
      <c r="E4907" s="188"/>
      <c r="H4907"/>
      <c r="I4907" s="202"/>
      <c r="J4907"/>
      <c r="K4907"/>
      <c r="L4907"/>
      <c r="M4907"/>
    </row>
    <row r="4908" spans="2:13" ht="15.75">
      <c r="B4908" s="79"/>
      <c r="D4908"/>
      <c r="E4908" s="188"/>
      <c r="H4908"/>
      <c r="I4908" s="202"/>
      <c r="J4908"/>
      <c r="K4908"/>
      <c r="L4908"/>
      <c r="M4908"/>
    </row>
    <row r="4909" spans="2:13" ht="15.75">
      <c r="B4909" s="79"/>
      <c r="D4909"/>
      <c r="E4909" s="188"/>
      <c r="H4909"/>
      <c r="I4909" s="202"/>
      <c r="J4909"/>
      <c r="K4909"/>
      <c r="L4909"/>
      <c r="M4909"/>
    </row>
    <row r="4910" spans="2:13" ht="15.75">
      <c r="B4910" s="79"/>
      <c r="D4910"/>
      <c r="E4910" s="188"/>
      <c r="H4910"/>
      <c r="I4910" s="202"/>
      <c r="J4910"/>
      <c r="K4910"/>
      <c r="L4910"/>
      <c r="M4910"/>
    </row>
    <row r="4911" spans="2:13" ht="15.75">
      <c r="B4911" s="79"/>
      <c r="D4911"/>
      <c r="E4911" s="188"/>
      <c r="H4911"/>
      <c r="I4911" s="202"/>
      <c r="J4911"/>
      <c r="K4911"/>
      <c r="L4911"/>
      <c r="M4911"/>
    </row>
    <row r="4912" spans="2:13" ht="15.75">
      <c r="B4912" s="79"/>
      <c r="D4912"/>
      <c r="E4912" s="188"/>
      <c r="H4912"/>
      <c r="I4912" s="202"/>
      <c r="J4912"/>
      <c r="K4912"/>
      <c r="L4912"/>
      <c r="M4912"/>
    </row>
    <row r="4913" spans="2:13" ht="15.75">
      <c r="B4913" s="79"/>
      <c r="D4913"/>
      <c r="E4913" s="188"/>
      <c r="H4913"/>
      <c r="I4913" s="202"/>
      <c r="J4913"/>
      <c r="K4913"/>
      <c r="L4913"/>
      <c r="M4913"/>
    </row>
    <row r="4914" spans="2:13" ht="15.75">
      <c r="B4914" s="79"/>
      <c r="D4914"/>
      <c r="E4914" s="188"/>
      <c r="H4914"/>
      <c r="I4914" s="202"/>
      <c r="J4914"/>
      <c r="K4914"/>
      <c r="L4914"/>
      <c r="M4914"/>
    </row>
    <row r="4915" spans="2:13" ht="15.75">
      <c r="B4915" s="79"/>
      <c r="D4915"/>
      <c r="E4915" s="188"/>
      <c r="H4915"/>
      <c r="I4915" s="202"/>
      <c r="J4915"/>
      <c r="K4915"/>
      <c r="L4915"/>
      <c r="M4915"/>
    </row>
    <row r="4916" spans="2:13" ht="15.75">
      <c r="B4916" s="79"/>
      <c r="D4916"/>
      <c r="E4916" s="188"/>
      <c r="H4916"/>
      <c r="I4916" s="202"/>
      <c r="J4916"/>
      <c r="K4916"/>
      <c r="L4916"/>
      <c r="M4916"/>
    </row>
    <row r="4917" spans="2:13" ht="15.75">
      <c r="B4917" s="79"/>
      <c r="D4917"/>
      <c r="E4917" s="188"/>
      <c r="H4917"/>
      <c r="I4917" s="202"/>
      <c r="J4917"/>
      <c r="K4917"/>
      <c r="L4917"/>
      <c r="M4917"/>
    </row>
    <row r="4918" spans="2:13" ht="15.75">
      <c r="B4918" s="79"/>
      <c r="D4918"/>
      <c r="E4918" s="188"/>
      <c r="H4918"/>
      <c r="I4918" s="202"/>
      <c r="J4918"/>
      <c r="K4918"/>
      <c r="L4918"/>
      <c r="M4918"/>
    </row>
    <row r="4919" spans="2:13" ht="15.75">
      <c r="B4919" s="79"/>
      <c r="D4919"/>
      <c r="E4919" s="188"/>
      <c r="H4919"/>
      <c r="I4919" s="202"/>
      <c r="J4919"/>
      <c r="K4919"/>
      <c r="L4919"/>
      <c r="M4919"/>
    </row>
    <row r="4920" spans="2:13" ht="15.75">
      <c r="B4920" s="79"/>
      <c r="D4920"/>
      <c r="E4920" s="188"/>
      <c r="H4920"/>
      <c r="I4920" s="202"/>
      <c r="J4920"/>
      <c r="K4920"/>
      <c r="L4920"/>
      <c r="M4920"/>
    </row>
    <row r="4921" spans="2:13" ht="15.75">
      <c r="B4921" s="79"/>
      <c r="D4921"/>
      <c r="E4921" s="188"/>
      <c r="H4921"/>
      <c r="I4921" s="202"/>
      <c r="J4921"/>
      <c r="K4921"/>
      <c r="L4921"/>
      <c r="M4921"/>
    </row>
    <row r="4922" spans="2:13" ht="15.75">
      <c r="B4922" s="79"/>
      <c r="D4922"/>
      <c r="E4922" s="188"/>
      <c r="H4922"/>
      <c r="I4922" s="202"/>
      <c r="J4922"/>
      <c r="K4922"/>
      <c r="L4922"/>
      <c r="M4922"/>
    </row>
    <row r="4923" spans="2:13" ht="15.75">
      <c r="B4923" s="79"/>
      <c r="D4923"/>
      <c r="E4923" s="188"/>
      <c r="H4923"/>
      <c r="I4923" s="202"/>
      <c r="J4923"/>
      <c r="K4923"/>
      <c r="L4923"/>
      <c r="M4923"/>
    </row>
    <row r="4924" spans="2:13" ht="15.75">
      <c r="B4924" s="79"/>
      <c r="D4924"/>
      <c r="E4924" s="188"/>
      <c r="H4924"/>
      <c r="I4924" s="202"/>
      <c r="J4924"/>
      <c r="K4924"/>
      <c r="L4924"/>
      <c r="M4924"/>
    </row>
    <row r="4925" spans="2:13" ht="15.75">
      <c r="B4925" s="79"/>
      <c r="D4925"/>
      <c r="E4925" s="188"/>
      <c r="H4925"/>
      <c r="I4925" s="202"/>
      <c r="J4925"/>
      <c r="K4925"/>
      <c r="L4925"/>
      <c r="M4925"/>
    </row>
    <row r="4926" spans="2:13" ht="15.75">
      <c r="B4926" s="79"/>
      <c r="D4926"/>
      <c r="E4926" s="188"/>
      <c r="H4926"/>
      <c r="I4926" s="202"/>
      <c r="J4926"/>
      <c r="K4926"/>
      <c r="L4926"/>
      <c r="M4926"/>
    </row>
    <row r="4927" spans="2:13" ht="15.75">
      <c r="B4927" s="79"/>
      <c r="D4927"/>
      <c r="E4927" s="188"/>
      <c r="H4927"/>
      <c r="I4927" s="202"/>
      <c r="J4927"/>
      <c r="K4927"/>
      <c r="L4927"/>
      <c r="M4927"/>
    </row>
    <row r="4928" spans="2:13" ht="15.75">
      <c r="B4928" s="79"/>
      <c r="D4928"/>
      <c r="E4928" s="188"/>
      <c r="H4928"/>
      <c r="I4928" s="202"/>
      <c r="J4928"/>
      <c r="K4928"/>
      <c r="L4928"/>
      <c r="M4928"/>
    </row>
    <row r="4929" spans="2:13" ht="15.75">
      <c r="B4929" s="79"/>
      <c r="D4929"/>
      <c r="E4929" s="188"/>
      <c r="H4929"/>
      <c r="I4929" s="202"/>
      <c r="J4929"/>
      <c r="K4929"/>
      <c r="L4929"/>
      <c r="M4929"/>
    </row>
    <row r="4930" spans="2:13" ht="15.75">
      <c r="B4930" s="79"/>
      <c r="D4930"/>
      <c r="E4930" s="188"/>
      <c r="H4930"/>
      <c r="I4930" s="202"/>
      <c r="J4930"/>
      <c r="K4930"/>
      <c r="L4930"/>
      <c r="M4930"/>
    </row>
    <row r="4931" spans="2:13" ht="15.75">
      <c r="B4931" s="79"/>
      <c r="D4931"/>
      <c r="E4931" s="188"/>
      <c r="H4931"/>
      <c r="I4931" s="202"/>
      <c r="J4931"/>
      <c r="K4931"/>
      <c r="L4931"/>
      <c r="M4931"/>
    </row>
    <row r="4932" spans="2:13" ht="15.75">
      <c r="B4932" s="79"/>
      <c r="D4932"/>
      <c r="E4932" s="188"/>
      <c r="H4932"/>
      <c r="I4932" s="202"/>
      <c r="J4932"/>
      <c r="K4932"/>
      <c r="L4932"/>
      <c r="M4932"/>
    </row>
    <row r="4933" spans="2:13" ht="15.75">
      <c r="B4933" s="79"/>
      <c r="D4933"/>
      <c r="E4933" s="188"/>
      <c r="H4933"/>
      <c r="I4933" s="202"/>
      <c r="J4933"/>
      <c r="K4933"/>
      <c r="L4933"/>
      <c r="M4933"/>
    </row>
    <row r="4934" spans="2:13" ht="15.75">
      <c r="B4934" s="79"/>
      <c r="D4934"/>
      <c r="E4934" s="188"/>
      <c r="H4934"/>
      <c r="I4934" s="202"/>
      <c r="J4934"/>
      <c r="K4934"/>
      <c r="L4934"/>
      <c r="M4934"/>
    </row>
    <row r="4935" spans="2:13" ht="15.75">
      <c r="B4935" s="79"/>
      <c r="D4935"/>
      <c r="E4935" s="188"/>
      <c r="H4935"/>
      <c r="I4935" s="202"/>
      <c r="J4935"/>
      <c r="K4935"/>
      <c r="L4935"/>
      <c r="M4935"/>
    </row>
    <row r="4936" spans="2:13" ht="15.75">
      <c r="B4936" s="79"/>
      <c r="D4936"/>
      <c r="E4936" s="188"/>
      <c r="H4936"/>
      <c r="I4936" s="202"/>
      <c r="J4936"/>
      <c r="K4936"/>
      <c r="L4936"/>
      <c r="M4936"/>
    </row>
    <row r="4937" spans="2:13" ht="15.75">
      <c r="B4937" s="79"/>
      <c r="D4937"/>
      <c r="E4937" s="188"/>
      <c r="H4937"/>
      <c r="I4937" s="202"/>
      <c r="J4937"/>
      <c r="K4937"/>
      <c r="L4937"/>
      <c r="M4937"/>
    </row>
    <row r="4938" spans="2:13" ht="15.75">
      <c r="B4938" s="79"/>
      <c r="D4938"/>
      <c r="E4938" s="188"/>
      <c r="H4938"/>
      <c r="I4938" s="202"/>
      <c r="J4938"/>
      <c r="K4938"/>
      <c r="L4938"/>
      <c r="M4938"/>
    </row>
    <row r="4939" spans="2:13" ht="15.75">
      <c r="B4939" s="79"/>
      <c r="D4939"/>
      <c r="E4939" s="188"/>
      <c r="H4939"/>
      <c r="I4939" s="202"/>
      <c r="J4939"/>
      <c r="K4939"/>
      <c r="L4939"/>
      <c r="M4939"/>
    </row>
    <row r="4940" spans="2:13" ht="15.75">
      <c r="B4940" s="79"/>
      <c r="D4940"/>
      <c r="E4940" s="188"/>
      <c r="H4940"/>
      <c r="I4940" s="202"/>
      <c r="J4940"/>
      <c r="K4940"/>
      <c r="L4940"/>
      <c r="M4940"/>
    </row>
    <row r="4941" spans="2:13" ht="15.75">
      <c r="B4941" s="79"/>
      <c r="D4941"/>
      <c r="E4941" s="188"/>
      <c r="H4941"/>
      <c r="I4941" s="202"/>
      <c r="J4941"/>
      <c r="K4941"/>
      <c r="L4941"/>
      <c r="M4941"/>
    </row>
    <row r="4942" spans="2:13" ht="15.75">
      <c r="B4942" s="79"/>
      <c r="D4942"/>
      <c r="E4942" s="188"/>
      <c r="H4942"/>
      <c r="I4942" s="202"/>
      <c r="J4942"/>
      <c r="K4942"/>
      <c r="L4942"/>
      <c r="M4942"/>
    </row>
    <row r="4943" spans="2:13" ht="15.75">
      <c r="B4943" s="79"/>
      <c r="D4943"/>
      <c r="E4943" s="188"/>
      <c r="H4943"/>
      <c r="I4943" s="202"/>
      <c r="J4943"/>
      <c r="K4943"/>
      <c r="L4943"/>
      <c r="M4943"/>
    </row>
    <row r="4944" spans="2:13" ht="15.75">
      <c r="B4944" s="79"/>
      <c r="D4944"/>
      <c r="E4944" s="188"/>
      <c r="H4944"/>
      <c r="I4944" s="202"/>
      <c r="J4944"/>
      <c r="K4944"/>
      <c r="L4944"/>
      <c r="M4944"/>
    </row>
    <row r="4945" spans="2:13" ht="15.75">
      <c r="B4945" s="79"/>
      <c r="D4945"/>
      <c r="E4945" s="188"/>
      <c r="H4945"/>
      <c r="I4945" s="202"/>
      <c r="J4945"/>
      <c r="K4945"/>
      <c r="L4945"/>
      <c r="M4945"/>
    </row>
    <row r="4946" spans="2:13" ht="15.75">
      <c r="B4946" s="79"/>
      <c r="D4946"/>
      <c r="E4946" s="188"/>
      <c r="H4946"/>
      <c r="I4946" s="202"/>
      <c r="J4946"/>
      <c r="K4946"/>
      <c r="L4946"/>
      <c r="M4946"/>
    </row>
    <row r="4947" spans="2:13" ht="15.75">
      <c r="B4947" s="79"/>
      <c r="D4947"/>
      <c r="E4947" s="188"/>
      <c r="H4947"/>
      <c r="I4947" s="202"/>
      <c r="J4947"/>
      <c r="K4947"/>
      <c r="L4947"/>
      <c r="M4947"/>
    </row>
    <row r="4948" spans="2:13" ht="15.75">
      <c r="B4948" s="79"/>
      <c r="D4948"/>
      <c r="E4948" s="188"/>
      <c r="H4948"/>
      <c r="I4948" s="202"/>
      <c r="J4948"/>
      <c r="K4948"/>
      <c r="L4948"/>
      <c r="M4948"/>
    </row>
    <row r="4949" spans="2:13" ht="15.75">
      <c r="B4949" s="79"/>
      <c r="D4949"/>
      <c r="E4949" s="188"/>
      <c r="H4949"/>
      <c r="I4949" s="202"/>
      <c r="J4949"/>
      <c r="K4949"/>
      <c r="L4949"/>
      <c r="M4949"/>
    </row>
    <row r="4950" spans="2:13" ht="15.75">
      <c r="B4950" s="79"/>
      <c r="D4950"/>
      <c r="E4950" s="188"/>
      <c r="H4950"/>
      <c r="I4950" s="202"/>
      <c r="J4950"/>
      <c r="K4950"/>
      <c r="L4950"/>
      <c r="M4950"/>
    </row>
    <row r="4951" spans="2:13" ht="15.75">
      <c r="B4951" s="79"/>
      <c r="D4951"/>
      <c r="E4951" s="188"/>
      <c r="H4951"/>
      <c r="I4951" s="202"/>
      <c r="J4951"/>
      <c r="K4951"/>
      <c r="L4951"/>
      <c r="M4951"/>
    </row>
    <row r="4952" spans="2:13" ht="15.75">
      <c r="B4952" s="79"/>
      <c r="D4952"/>
      <c r="E4952" s="188"/>
      <c r="H4952"/>
      <c r="I4952" s="202"/>
      <c r="J4952"/>
      <c r="K4952"/>
      <c r="L4952"/>
      <c r="M4952"/>
    </row>
    <row r="4953" spans="2:13" ht="15.75">
      <c r="B4953" s="79"/>
      <c r="D4953"/>
      <c r="E4953" s="188"/>
      <c r="H4953"/>
      <c r="I4953" s="202"/>
      <c r="J4953"/>
      <c r="K4953"/>
      <c r="L4953"/>
      <c r="M4953"/>
    </row>
    <row r="4954" spans="2:13" ht="15.75">
      <c r="B4954" s="79"/>
      <c r="D4954"/>
      <c r="E4954" s="188"/>
      <c r="H4954"/>
      <c r="I4954" s="202"/>
      <c r="J4954"/>
      <c r="K4954"/>
      <c r="L4954"/>
      <c r="M4954"/>
    </row>
    <row r="4955" spans="2:13" ht="15.75">
      <c r="B4955" s="79"/>
      <c r="D4955"/>
      <c r="E4955" s="188"/>
      <c r="H4955"/>
      <c r="I4955" s="202"/>
      <c r="J4955"/>
      <c r="K4955"/>
      <c r="L4955"/>
      <c r="M4955"/>
    </row>
    <row r="4956" spans="2:13" ht="15.75">
      <c r="B4956" s="79"/>
      <c r="D4956"/>
      <c r="E4956" s="188"/>
      <c r="H4956"/>
      <c r="I4956" s="202"/>
      <c r="J4956"/>
      <c r="K4956"/>
      <c r="L4956"/>
      <c r="M4956"/>
    </row>
    <row r="4957" spans="2:13" ht="15.75">
      <c r="B4957" s="79"/>
      <c r="D4957"/>
      <c r="E4957" s="188"/>
      <c r="H4957"/>
      <c r="I4957" s="202"/>
      <c r="J4957"/>
      <c r="K4957"/>
      <c r="L4957"/>
      <c r="M4957"/>
    </row>
    <row r="4958" spans="2:13" ht="15.75">
      <c r="B4958" s="79"/>
      <c r="D4958"/>
      <c r="E4958" s="188"/>
      <c r="H4958"/>
      <c r="I4958" s="202"/>
      <c r="J4958"/>
      <c r="K4958"/>
      <c r="L4958"/>
      <c r="M4958"/>
    </row>
    <row r="4959" spans="2:13" ht="15.75">
      <c r="B4959" s="79"/>
      <c r="D4959"/>
      <c r="E4959" s="188"/>
      <c r="H4959"/>
      <c r="I4959" s="202"/>
      <c r="J4959"/>
      <c r="K4959"/>
      <c r="L4959"/>
      <c r="M4959"/>
    </row>
    <row r="4960" spans="2:13" ht="15.75">
      <c r="B4960" s="79"/>
      <c r="D4960"/>
      <c r="E4960" s="188"/>
      <c r="H4960"/>
      <c r="I4960" s="202"/>
      <c r="J4960"/>
      <c r="K4960"/>
      <c r="L4960"/>
      <c r="M4960"/>
    </row>
    <row r="4961" spans="2:13" ht="15.75">
      <c r="B4961" s="79"/>
      <c r="D4961"/>
      <c r="E4961" s="188"/>
      <c r="H4961"/>
      <c r="I4961" s="202"/>
      <c r="J4961"/>
      <c r="K4961"/>
      <c r="L4961"/>
      <c r="M4961"/>
    </row>
    <row r="4962" spans="2:13" ht="15.75">
      <c r="B4962" s="79"/>
      <c r="D4962"/>
      <c r="E4962" s="188"/>
      <c r="H4962"/>
      <c r="I4962" s="202"/>
      <c r="J4962"/>
      <c r="K4962"/>
      <c r="L4962"/>
      <c r="M4962"/>
    </row>
    <row r="4963" spans="2:13" ht="15.75">
      <c r="B4963" s="79"/>
      <c r="D4963"/>
      <c r="E4963" s="188"/>
      <c r="H4963"/>
      <c r="I4963" s="202"/>
      <c r="J4963"/>
      <c r="K4963"/>
      <c r="L4963"/>
      <c r="M4963"/>
    </row>
    <row r="4964" spans="2:13" ht="15.75">
      <c r="B4964" s="79"/>
      <c r="D4964"/>
      <c r="E4964" s="188"/>
      <c r="H4964"/>
      <c r="I4964" s="202"/>
      <c r="J4964"/>
      <c r="K4964"/>
      <c r="L4964"/>
      <c r="M4964"/>
    </row>
    <row r="4965" spans="2:13" ht="15.75">
      <c r="B4965" s="79"/>
      <c r="D4965"/>
      <c r="E4965" s="188"/>
      <c r="H4965"/>
      <c r="I4965" s="202"/>
      <c r="J4965"/>
      <c r="K4965"/>
      <c r="L4965"/>
      <c r="M4965"/>
    </row>
    <row r="4966" spans="2:13" ht="15.75">
      <c r="B4966" s="79"/>
      <c r="D4966"/>
      <c r="E4966" s="188"/>
      <c r="H4966"/>
      <c r="I4966" s="202"/>
      <c r="J4966"/>
      <c r="K4966"/>
      <c r="L4966"/>
      <c r="M4966"/>
    </row>
    <row r="4967" spans="2:13" ht="15.75">
      <c r="B4967" s="79"/>
      <c r="D4967"/>
      <c r="E4967" s="188"/>
      <c r="H4967"/>
      <c r="I4967" s="202"/>
      <c r="J4967"/>
      <c r="K4967"/>
      <c r="L4967"/>
      <c r="M4967"/>
    </row>
    <row r="4968" spans="2:13" ht="15.75">
      <c r="B4968" s="79"/>
      <c r="D4968"/>
      <c r="E4968" s="188"/>
      <c r="H4968"/>
      <c r="I4968" s="202"/>
      <c r="J4968"/>
      <c r="K4968"/>
      <c r="L4968"/>
      <c r="M4968"/>
    </row>
    <row r="4969" spans="2:13" ht="15.75">
      <c r="B4969" s="79"/>
      <c r="D4969"/>
      <c r="E4969" s="188"/>
      <c r="H4969"/>
      <c r="I4969" s="202"/>
      <c r="J4969"/>
      <c r="K4969"/>
      <c r="L4969"/>
      <c r="M4969"/>
    </row>
    <row r="4970" spans="2:13" ht="15.75">
      <c r="B4970" s="79"/>
      <c r="D4970"/>
      <c r="E4970" s="188"/>
      <c r="H4970"/>
      <c r="I4970" s="202"/>
      <c r="J4970"/>
      <c r="K4970"/>
      <c r="L4970"/>
      <c r="M4970"/>
    </row>
    <row r="4971" spans="2:13" ht="15.75">
      <c r="B4971" s="79"/>
      <c r="D4971"/>
      <c r="E4971" s="188"/>
      <c r="H4971"/>
      <c r="I4971" s="202"/>
      <c r="J4971"/>
      <c r="K4971"/>
      <c r="L4971"/>
      <c r="M4971"/>
    </row>
    <row r="4972" spans="2:13" ht="15.75">
      <c r="B4972" s="79"/>
      <c r="D4972"/>
      <c r="E4972" s="188"/>
      <c r="H4972"/>
      <c r="I4972" s="202"/>
      <c r="J4972"/>
      <c r="K4972"/>
      <c r="L4972"/>
      <c r="M4972"/>
    </row>
    <row r="4973" spans="2:13" ht="15.75">
      <c r="B4973" s="79"/>
      <c r="D4973"/>
      <c r="E4973" s="188"/>
      <c r="H4973"/>
      <c r="I4973" s="202"/>
      <c r="J4973"/>
      <c r="K4973"/>
      <c r="L4973"/>
      <c r="M4973"/>
    </row>
    <row r="4974" spans="2:13" ht="15.75">
      <c r="B4974" s="79"/>
      <c r="D4974"/>
      <c r="E4974" s="188"/>
      <c r="H4974"/>
      <c r="I4974" s="202"/>
      <c r="J4974"/>
      <c r="K4974"/>
      <c r="L4974"/>
      <c r="M4974"/>
    </row>
    <row r="4975" spans="2:13" ht="15.75">
      <c r="B4975" s="79"/>
      <c r="D4975"/>
      <c r="E4975" s="188"/>
      <c r="H4975"/>
      <c r="I4975" s="202"/>
      <c r="J4975"/>
      <c r="K4975"/>
      <c r="L4975"/>
      <c r="M4975"/>
    </row>
    <row r="4976" spans="2:13" ht="15.75">
      <c r="B4976" s="79"/>
      <c r="D4976"/>
      <c r="E4976" s="188"/>
      <c r="H4976"/>
      <c r="I4976" s="202"/>
      <c r="J4976"/>
      <c r="K4976"/>
      <c r="L4976"/>
      <c r="M4976"/>
    </row>
    <row r="4977" spans="2:13" ht="15.75">
      <c r="B4977" s="79"/>
      <c r="D4977"/>
      <c r="E4977" s="188"/>
      <c r="H4977"/>
      <c r="I4977" s="202"/>
      <c r="J4977"/>
      <c r="K4977"/>
      <c r="L4977"/>
      <c r="M4977"/>
    </row>
    <row r="4978" spans="2:13" ht="15.75">
      <c r="B4978" s="79"/>
      <c r="D4978"/>
      <c r="E4978" s="188"/>
      <c r="H4978"/>
      <c r="I4978" s="202"/>
      <c r="J4978"/>
      <c r="K4978"/>
      <c r="L4978"/>
      <c r="M4978"/>
    </row>
    <row r="4979" spans="2:13" ht="15.75">
      <c r="B4979" s="79"/>
      <c r="D4979"/>
      <c r="E4979" s="188"/>
      <c r="H4979"/>
      <c r="I4979" s="202"/>
      <c r="J4979"/>
      <c r="K4979"/>
      <c r="L4979"/>
      <c r="M4979"/>
    </row>
    <row r="4980" spans="2:13" ht="15.75">
      <c r="B4980" s="79"/>
      <c r="D4980"/>
      <c r="E4980" s="188"/>
      <c r="H4980"/>
      <c r="I4980" s="202"/>
      <c r="J4980"/>
      <c r="K4980"/>
      <c r="L4980"/>
      <c r="M4980"/>
    </row>
    <row r="4981" spans="2:13" ht="15.75">
      <c r="B4981" s="79"/>
      <c r="D4981"/>
      <c r="E4981" s="188"/>
      <c r="H4981"/>
      <c r="I4981" s="202"/>
      <c r="J4981"/>
      <c r="K4981"/>
      <c r="L4981"/>
      <c r="M4981"/>
    </row>
    <row r="4982" spans="2:13" ht="15.75">
      <c r="B4982" s="79"/>
      <c r="D4982"/>
      <c r="E4982" s="188"/>
      <c r="H4982"/>
      <c r="I4982" s="202"/>
      <c r="J4982"/>
      <c r="K4982"/>
      <c r="L4982"/>
      <c r="M4982"/>
    </row>
    <row r="4983" spans="2:13" ht="15.75">
      <c r="B4983" s="79"/>
      <c r="D4983"/>
      <c r="E4983" s="188"/>
      <c r="H4983"/>
      <c r="I4983" s="202"/>
      <c r="J4983"/>
      <c r="K4983"/>
      <c r="L4983"/>
      <c r="M4983"/>
    </row>
    <row r="4984" spans="2:13" ht="15.75">
      <c r="B4984" s="79"/>
      <c r="D4984"/>
      <c r="E4984" s="188"/>
      <c r="H4984"/>
      <c r="I4984" s="202"/>
      <c r="J4984"/>
      <c r="K4984"/>
      <c r="L4984"/>
      <c r="M4984"/>
    </row>
    <row r="4985" spans="2:13" ht="15.75">
      <c r="B4985" s="79"/>
      <c r="D4985"/>
      <c r="E4985" s="188"/>
      <c r="H4985"/>
      <c r="I4985" s="202"/>
      <c r="J4985"/>
      <c r="K4985"/>
      <c r="L4985"/>
      <c r="M4985"/>
    </row>
    <row r="4986" spans="2:13" ht="15.75">
      <c r="B4986" s="79"/>
      <c r="D4986"/>
      <c r="E4986" s="188"/>
      <c r="H4986"/>
      <c r="I4986" s="202"/>
      <c r="J4986"/>
      <c r="K4986"/>
      <c r="L4986"/>
      <c r="M4986"/>
    </row>
    <row r="4987" spans="2:13" ht="15.75">
      <c r="B4987" s="79"/>
      <c r="D4987"/>
      <c r="E4987" s="188"/>
      <c r="H4987"/>
      <c r="I4987" s="202"/>
      <c r="J4987"/>
      <c r="K4987"/>
      <c r="L4987"/>
      <c r="M4987"/>
    </row>
    <row r="4988" spans="2:13" ht="15.75">
      <c r="B4988" s="79"/>
      <c r="D4988"/>
      <c r="E4988" s="188"/>
      <c r="H4988"/>
      <c r="I4988" s="202"/>
      <c r="J4988"/>
      <c r="K4988"/>
      <c r="L4988"/>
      <c r="M4988"/>
    </row>
    <row r="4989" spans="2:13" ht="15.75">
      <c r="B4989" s="79"/>
      <c r="D4989"/>
      <c r="E4989" s="188"/>
      <c r="H4989"/>
      <c r="I4989" s="202"/>
      <c r="J4989"/>
      <c r="K4989"/>
      <c r="L4989"/>
      <c r="M4989"/>
    </row>
    <row r="4990" spans="2:13" ht="15.75">
      <c r="B4990" s="79"/>
      <c r="D4990"/>
      <c r="E4990" s="188"/>
      <c r="H4990"/>
      <c r="I4990" s="202"/>
      <c r="J4990"/>
      <c r="K4990"/>
      <c r="L4990"/>
      <c r="M4990"/>
    </row>
    <row r="4991" spans="2:13" ht="15.75">
      <c r="B4991" s="79"/>
      <c r="D4991"/>
      <c r="E4991" s="188"/>
      <c r="H4991"/>
      <c r="I4991" s="202"/>
      <c r="J4991"/>
      <c r="K4991"/>
      <c r="L4991"/>
      <c r="M4991"/>
    </row>
    <row r="4992" spans="2:13" ht="15.75">
      <c r="B4992" s="79"/>
      <c r="D4992"/>
      <c r="E4992" s="188"/>
      <c r="H4992"/>
      <c r="I4992" s="202"/>
      <c r="J4992"/>
      <c r="K4992"/>
      <c r="L4992"/>
      <c r="M4992"/>
    </row>
    <row r="4993" spans="2:13" ht="15.75">
      <c r="B4993" s="79"/>
      <c r="D4993"/>
      <c r="E4993" s="188"/>
      <c r="H4993"/>
      <c r="I4993" s="202"/>
      <c r="J4993"/>
      <c r="K4993"/>
      <c r="L4993"/>
      <c r="M4993"/>
    </row>
    <row r="4994" spans="2:13" ht="15.75">
      <c r="B4994" s="79"/>
      <c r="D4994"/>
      <c r="E4994" s="188"/>
      <c r="H4994"/>
      <c r="I4994" s="202"/>
      <c r="J4994"/>
      <c r="K4994"/>
      <c r="L4994"/>
      <c r="M4994"/>
    </row>
    <row r="4995" spans="2:13" ht="15.75">
      <c r="B4995" s="79"/>
      <c r="D4995"/>
      <c r="E4995" s="188"/>
      <c r="H4995"/>
      <c r="I4995" s="202"/>
      <c r="J4995"/>
      <c r="K4995"/>
      <c r="L4995"/>
      <c r="M4995"/>
    </row>
    <row r="4996" spans="2:13" ht="15.75">
      <c r="B4996" s="79"/>
      <c r="D4996"/>
      <c r="E4996" s="188"/>
      <c r="H4996"/>
      <c r="I4996" s="202"/>
      <c r="J4996"/>
      <c r="K4996"/>
      <c r="L4996"/>
      <c r="M4996"/>
    </row>
    <row r="4997" spans="2:13" ht="15.75">
      <c r="B4997" s="79"/>
      <c r="D4997"/>
      <c r="E4997" s="188"/>
      <c r="H4997"/>
      <c r="I4997" s="202"/>
      <c r="J4997"/>
      <c r="K4997"/>
      <c r="L4997"/>
      <c r="M4997"/>
    </row>
    <row r="4998" spans="2:13" ht="15.75">
      <c r="B4998" s="79"/>
      <c r="D4998"/>
      <c r="E4998" s="188"/>
      <c r="H4998"/>
      <c r="I4998" s="202"/>
      <c r="J4998"/>
      <c r="K4998"/>
      <c r="L4998"/>
      <c r="M4998"/>
    </row>
    <row r="4999" spans="2:13" ht="15.75">
      <c r="B4999" s="79"/>
      <c r="D4999"/>
      <c r="E4999" s="188"/>
      <c r="H4999"/>
      <c r="I4999" s="202"/>
      <c r="J4999"/>
      <c r="K4999"/>
      <c r="L4999"/>
      <c r="M4999"/>
    </row>
    <row r="5000" spans="2:13" ht="15.75">
      <c r="B5000" s="79"/>
      <c r="D5000"/>
      <c r="E5000" s="188"/>
      <c r="H5000"/>
      <c r="I5000" s="202"/>
      <c r="J5000"/>
      <c r="K5000"/>
      <c r="L5000"/>
      <c r="M5000"/>
    </row>
    <row r="5001" spans="2:13" ht="15.75">
      <c r="B5001" s="79"/>
      <c r="D5001"/>
      <c r="E5001" s="188"/>
      <c r="H5001"/>
      <c r="I5001" s="202"/>
      <c r="J5001"/>
      <c r="K5001"/>
      <c r="L5001"/>
      <c r="M5001"/>
    </row>
    <row r="5002" spans="2:13" ht="15.75">
      <c r="B5002" s="79"/>
      <c r="D5002"/>
      <c r="E5002" s="188"/>
      <c r="H5002"/>
      <c r="I5002" s="202"/>
      <c r="J5002"/>
      <c r="K5002"/>
      <c r="L5002"/>
      <c r="M5002"/>
    </row>
    <row r="5003" spans="2:13" ht="15.75">
      <c r="B5003" s="79"/>
      <c r="D5003"/>
      <c r="E5003" s="188"/>
      <c r="H5003"/>
      <c r="I5003" s="202"/>
      <c r="J5003"/>
      <c r="K5003"/>
      <c r="L5003"/>
      <c r="M5003"/>
    </row>
    <row r="5004" spans="2:13" ht="15.75">
      <c r="B5004" s="79"/>
      <c r="D5004"/>
      <c r="E5004" s="188"/>
      <c r="H5004"/>
      <c r="I5004" s="202"/>
      <c r="J5004"/>
      <c r="K5004"/>
      <c r="L5004"/>
      <c r="M5004"/>
    </row>
    <row r="5005" spans="2:13" ht="15.75">
      <c r="B5005" s="79"/>
      <c r="D5005"/>
      <c r="E5005" s="188"/>
      <c r="H5005"/>
      <c r="I5005" s="202"/>
      <c r="J5005"/>
      <c r="K5005"/>
      <c r="L5005"/>
      <c r="M5005"/>
    </row>
    <row r="5006" spans="2:13" ht="15.75">
      <c r="B5006" s="79"/>
      <c r="D5006"/>
      <c r="E5006" s="188"/>
      <c r="H5006"/>
      <c r="I5006" s="202"/>
      <c r="J5006"/>
      <c r="K5006"/>
      <c r="L5006"/>
      <c r="M5006"/>
    </row>
    <row r="5007" spans="2:13" ht="15.75">
      <c r="B5007" s="79"/>
      <c r="D5007"/>
      <c r="E5007" s="188"/>
      <c r="H5007"/>
      <c r="I5007" s="202"/>
      <c r="J5007"/>
      <c r="K5007"/>
      <c r="L5007"/>
      <c r="M5007"/>
    </row>
    <row r="5008" spans="2:13" ht="15.75">
      <c r="B5008" s="79"/>
      <c r="D5008"/>
      <c r="E5008" s="188"/>
      <c r="H5008"/>
      <c r="I5008" s="202"/>
      <c r="J5008"/>
      <c r="K5008"/>
      <c r="L5008"/>
      <c r="M5008"/>
    </row>
    <row r="5009" spans="2:13" ht="15.75">
      <c r="B5009" s="79"/>
      <c r="D5009"/>
      <c r="E5009" s="188"/>
      <c r="H5009"/>
      <c r="I5009" s="202"/>
      <c r="J5009"/>
      <c r="K5009"/>
      <c r="L5009"/>
      <c r="M5009"/>
    </row>
    <row r="5010" spans="2:13" ht="15.75">
      <c r="B5010" s="79"/>
      <c r="D5010"/>
      <c r="E5010" s="188"/>
      <c r="H5010"/>
      <c r="I5010" s="202"/>
      <c r="J5010"/>
    </row>
    <row r="5011" spans="2:13" ht="15.75">
      <c r="B5011" s="79"/>
      <c r="D5011"/>
      <c r="E5011" s="188"/>
      <c r="H5011"/>
      <c r="I5011" s="202"/>
      <c r="J5011"/>
    </row>
    <row r="5012" spans="2:13" ht="15.75">
      <c r="B5012" s="79"/>
      <c r="D5012"/>
      <c r="E5012" s="188"/>
      <c r="H5012"/>
      <c r="I5012" s="202"/>
      <c r="J5012"/>
    </row>
    <row r="5013" spans="2:13" ht="15.75">
      <c r="B5013" s="79"/>
      <c r="D5013"/>
      <c r="E5013" s="188"/>
      <c r="H5013"/>
      <c r="I5013" s="202"/>
      <c r="J5013"/>
    </row>
    <row r="5014" spans="2:13" ht="15.75">
      <c r="B5014" s="79"/>
      <c r="D5014"/>
      <c r="E5014" s="188"/>
      <c r="H5014"/>
      <c r="I5014" s="202"/>
      <c r="J5014"/>
    </row>
    <row r="5015" spans="2:13" ht="15.75">
      <c r="B5015" s="79"/>
      <c r="D5015"/>
      <c r="E5015" s="188"/>
      <c r="H5015"/>
      <c r="I5015" s="202"/>
      <c r="J5015"/>
    </row>
    <row r="5016" spans="2:13" ht="15.75">
      <c r="B5016" s="79"/>
      <c r="D5016"/>
      <c r="E5016" s="188"/>
      <c r="H5016"/>
      <c r="I5016" s="202"/>
      <c r="J5016"/>
    </row>
    <row r="5017" spans="2:13" ht="15.75">
      <c r="B5017" s="79"/>
      <c r="D5017"/>
      <c r="E5017" s="188"/>
      <c r="H5017"/>
      <c r="I5017" s="202"/>
      <c r="J5017"/>
    </row>
    <row r="5018" spans="2:13" ht="15.75">
      <c r="B5018" s="79"/>
      <c r="D5018"/>
      <c r="E5018" s="188"/>
      <c r="H5018"/>
      <c r="I5018" s="202"/>
      <c r="J5018"/>
    </row>
    <row r="5019" spans="2:13" ht="15.75">
      <c r="B5019" s="79"/>
      <c r="D5019"/>
      <c r="E5019" s="188"/>
      <c r="H5019"/>
      <c r="I5019" s="202"/>
      <c r="J5019"/>
    </row>
    <row r="5020" spans="2:13" ht="15.75">
      <c r="B5020" s="79"/>
      <c r="D5020"/>
      <c r="E5020" s="188"/>
      <c r="H5020"/>
      <c r="I5020" s="202"/>
      <c r="J5020"/>
    </row>
    <row r="5021" spans="2:13" ht="15.75">
      <c r="B5021" s="79"/>
      <c r="D5021"/>
      <c r="E5021" s="188"/>
      <c r="H5021"/>
      <c r="I5021" s="202"/>
      <c r="J5021"/>
    </row>
    <row r="5022" spans="2:13" ht="15.75">
      <c r="B5022" s="79"/>
      <c r="D5022"/>
      <c r="E5022" s="188"/>
      <c r="H5022"/>
      <c r="I5022" s="202"/>
      <c r="J5022"/>
    </row>
    <row r="5023" spans="2:13" ht="15.75">
      <c r="B5023" s="79"/>
      <c r="D5023"/>
      <c r="E5023" s="188"/>
      <c r="H5023"/>
      <c r="I5023" s="202"/>
      <c r="J5023"/>
    </row>
    <row r="5024" spans="2:13" ht="15.75">
      <c r="B5024" s="79"/>
      <c r="D5024"/>
      <c r="E5024" s="188"/>
      <c r="H5024"/>
      <c r="I5024" s="202"/>
      <c r="J5024"/>
    </row>
    <row r="5025" spans="2:10" ht="15.75">
      <c r="B5025" s="79"/>
      <c r="D5025"/>
      <c r="E5025" s="188"/>
      <c r="H5025"/>
      <c r="I5025" s="202"/>
      <c r="J5025"/>
    </row>
    <row r="5026" spans="2:10" ht="15.75">
      <c r="B5026" s="79"/>
      <c r="D5026"/>
      <c r="E5026" s="188"/>
      <c r="H5026"/>
      <c r="I5026" s="202"/>
      <c r="J5026"/>
    </row>
    <row r="5027" spans="2:10" ht="15.75">
      <c r="B5027" s="79"/>
      <c r="D5027"/>
      <c r="E5027" s="188"/>
      <c r="H5027"/>
      <c r="I5027" s="202"/>
      <c r="J5027"/>
    </row>
    <row r="5028" spans="2:10" ht="15.75">
      <c r="B5028" s="79"/>
      <c r="D5028"/>
      <c r="E5028" s="188"/>
      <c r="H5028"/>
      <c r="I5028" s="202"/>
      <c r="J5028"/>
    </row>
    <row r="5029" spans="2:10" ht="15.75">
      <c r="B5029" s="79"/>
      <c r="D5029"/>
      <c r="E5029" s="188"/>
      <c r="H5029"/>
      <c r="I5029" s="202"/>
      <c r="J5029"/>
    </row>
    <row r="5030" spans="2:10" ht="15.75">
      <c r="B5030" s="79"/>
      <c r="D5030"/>
      <c r="E5030" s="188"/>
      <c r="H5030"/>
      <c r="I5030" s="202"/>
      <c r="J5030"/>
    </row>
    <row r="5031" spans="2:10" ht="15.75">
      <c r="B5031" s="79"/>
      <c r="D5031"/>
      <c r="E5031" s="188"/>
      <c r="H5031"/>
      <c r="I5031" s="202"/>
      <c r="J5031"/>
    </row>
    <row r="5032" spans="2:10" ht="15.75">
      <c r="B5032" s="79"/>
      <c r="D5032"/>
      <c r="E5032" s="188"/>
      <c r="H5032"/>
      <c r="I5032" s="202"/>
      <c r="J5032"/>
    </row>
    <row r="5033" spans="2:10" ht="15.75">
      <c r="B5033" s="79"/>
      <c r="D5033"/>
      <c r="E5033" s="188"/>
      <c r="H5033"/>
      <c r="I5033" s="202"/>
      <c r="J5033"/>
    </row>
    <row r="5034" spans="2:10" ht="15.75">
      <c r="B5034" s="79"/>
      <c r="D5034"/>
      <c r="E5034" s="188"/>
      <c r="H5034"/>
      <c r="I5034" s="202"/>
      <c r="J5034"/>
    </row>
    <row r="5035" spans="2:10" ht="15.75">
      <c r="B5035" s="79"/>
      <c r="D5035"/>
      <c r="E5035" s="188"/>
      <c r="H5035"/>
      <c r="I5035" s="202"/>
      <c r="J5035"/>
    </row>
    <row r="5036" spans="2:10" ht="15.75">
      <c r="B5036" s="79"/>
      <c r="D5036"/>
      <c r="E5036" s="188"/>
      <c r="H5036"/>
      <c r="I5036" s="202"/>
      <c r="J5036"/>
    </row>
    <row r="5037" spans="2:10" ht="15.75">
      <c r="B5037" s="79"/>
      <c r="D5037"/>
      <c r="E5037" s="188"/>
      <c r="H5037"/>
      <c r="I5037" s="202"/>
      <c r="J5037"/>
    </row>
    <row r="5038" spans="2:10" ht="15.75">
      <c r="B5038" s="79"/>
      <c r="D5038"/>
      <c r="E5038" s="188"/>
      <c r="H5038"/>
      <c r="I5038" s="202"/>
      <c r="J5038"/>
    </row>
    <row r="5039" spans="2:10" ht="15.75">
      <c r="B5039" s="79"/>
      <c r="D5039"/>
      <c r="E5039" s="188"/>
      <c r="H5039"/>
      <c r="I5039" s="202"/>
      <c r="J5039"/>
    </row>
    <row r="5040" spans="2:10" ht="15.75">
      <c r="B5040" s="79"/>
      <c r="D5040"/>
      <c r="E5040" s="188"/>
      <c r="H5040"/>
      <c r="I5040" s="202"/>
      <c r="J5040"/>
    </row>
    <row r="5041" spans="2:10" ht="15.75">
      <c r="B5041" s="79"/>
      <c r="D5041"/>
      <c r="E5041" s="188"/>
      <c r="H5041"/>
      <c r="I5041" s="202"/>
      <c r="J5041"/>
    </row>
    <row r="5042" spans="2:10" ht="15.75">
      <c r="H5042" s="202"/>
    </row>
  </sheetData>
  <autoFilter ref="A2:M5042" xr:uid="{00000000-0001-0000-0000-000000000000}">
    <sortState xmlns:xlrd2="http://schemas.microsoft.com/office/spreadsheetml/2017/richdata2" ref="A4:M5042">
      <sortCondition ref="D2:D5042"/>
    </sortState>
  </autoFilter>
  <mergeCells count="1">
    <mergeCell ref="A1:A2"/>
  </mergeCells>
  <phoneticPr fontId="18" type="noConversion"/>
  <conditionalFormatting sqref="B2">
    <cfRule type="duplicateValues" dxfId="4" priority="4"/>
  </conditionalFormatting>
  <conditionalFormatting sqref="B3:B655">
    <cfRule type="duplicateValues" dxfId="3" priority="5"/>
  </conditionalFormatting>
  <conditionalFormatting sqref="D635:D655">
    <cfRule type="duplicateValues" dxfId="2" priority="1"/>
  </conditionalFormatting>
  <conditionalFormatting sqref="D2">
    <cfRule type="duplicateValues" dxfId="1" priority="2"/>
  </conditionalFormatting>
  <conditionalFormatting sqref="D3:D634">
    <cfRule type="duplicateValues" dxfId="0" priority="3"/>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sheetPr>
  <dimension ref="H2:L10"/>
  <sheetViews>
    <sheetView showGridLines="0" workbookViewId="0">
      <selection activeCell="J21" sqref="J21"/>
    </sheetView>
  </sheetViews>
  <sheetFormatPr defaultRowHeight="14.25"/>
  <cols>
    <col min="1" max="7" width="3" customWidth="1"/>
    <col min="8" max="8" width="23.875" customWidth="1"/>
    <col min="9" max="9" width="37.625" customWidth="1"/>
    <col min="10" max="11" width="8.625" customWidth="1"/>
    <col min="12" max="12" width="14" customWidth="1"/>
  </cols>
  <sheetData>
    <row r="2" spans="8:12" ht="20.25">
      <c r="H2" s="38" t="s">
        <v>115</v>
      </c>
      <c r="J2" s="39"/>
      <c r="K2" s="39"/>
      <c r="L2" s="39"/>
    </row>
    <row r="3" spans="8:12">
      <c r="J3" s="39"/>
      <c r="K3" s="39"/>
      <c r="L3" s="39"/>
    </row>
    <row r="5" spans="8:12">
      <c r="H5" s="26" t="s">
        <v>9</v>
      </c>
      <c r="I5" s="27" t="s">
        <v>404</v>
      </c>
    </row>
    <row r="6" spans="8:12">
      <c r="H6" s="26" t="s">
        <v>12</v>
      </c>
      <c r="I6" s="27" t="s">
        <v>404</v>
      </c>
    </row>
    <row r="7" spans="8:12">
      <c r="H7" s="26" t="s">
        <v>10</v>
      </c>
      <c r="I7" s="28" t="s">
        <v>405</v>
      </c>
    </row>
    <row r="8" spans="8:12">
      <c r="H8" s="26" t="s">
        <v>11</v>
      </c>
      <c r="I8" s="27" t="s">
        <v>406</v>
      </c>
    </row>
    <row r="9" spans="8:12" ht="15.75" thickBot="1">
      <c r="H9" s="29" t="s">
        <v>55</v>
      </c>
      <c r="I9" s="30" t="s">
        <v>403</v>
      </c>
      <c r="K9" t="s">
        <v>121</v>
      </c>
    </row>
    <row r="10" spans="8:12" ht="15">
      <c r="K10" t="s">
        <v>122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285750</xdr:colOff>
                <xdr:row>2</xdr:row>
                <xdr:rowOff>152400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8"/>
  <sheetViews>
    <sheetView workbookViewId="0">
      <selection activeCell="A6" sqref="A6:B6"/>
    </sheetView>
  </sheetViews>
  <sheetFormatPr defaultColWidth="8.75" defaultRowHeight="15"/>
  <cols>
    <col min="1" max="1" width="8.75" style="82"/>
    <col min="2" max="2" width="80.125" style="82" bestFit="1" customWidth="1"/>
    <col min="3" max="16384" width="8.75" style="82"/>
  </cols>
  <sheetData>
    <row r="1" spans="1:5" ht="40.5" customHeight="1">
      <c r="A1" s="208" t="s">
        <v>395</v>
      </c>
      <c r="B1" s="209"/>
      <c r="D1" s="82" t="s">
        <v>407</v>
      </c>
    </row>
    <row r="2" spans="1:5" ht="45" customHeight="1">
      <c r="A2" s="84" t="s">
        <v>134</v>
      </c>
      <c r="B2" s="83" t="s">
        <v>137</v>
      </c>
      <c r="E2" s="82" t="s">
        <v>140</v>
      </c>
    </row>
    <row r="3" spans="1:5" ht="30.6" customHeight="1">
      <c r="A3" s="84" t="s">
        <v>135</v>
      </c>
      <c r="B3" s="83" t="s">
        <v>390</v>
      </c>
      <c r="E3" s="82" t="s">
        <v>141</v>
      </c>
    </row>
    <row r="4" spans="1:5" ht="38.450000000000003" customHeight="1">
      <c r="A4" s="84" t="s">
        <v>136</v>
      </c>
      <c r="B4" s="83" t="s">
        <v>391</v>
      </c>
      <c r="E4" s="82" t="s">
        <v>142</v>
      </c>
    </row>
    <row r="5" spans="1:5" ht="42.6" customHeight="1">
      <c r="A5" s="84" t="s">
        <v>138</v>
      </c>
      <c r="B5" s="83" t="s">
        <v>139</v>
      </c>
      <c r="E5" s="82" t="s">
        <v>143</v>
      </c>
    </row>
    <row r="6" spans="1:5" ht="36.6" customHeight="1">
      <c r="A6" s="207" t="s">
        <v>394</v>
      </c>
      <c r="B6" s="207"/>
      <c r="E6" s="82" t="s">
        <v>144</v>
      </c>
    </row>
    <row r="7" spans="1:5" ht="41.45" customHeight="1">
      <c r="A7" s="207" t="s">
        <v>392</v>
      </c>
      <c r="B7" s="207"/>
    </row>
    <row r="8" spans="1:5" ht="62.45" customHeight="1">
      <c r="A8" s="207" t="s">
        <v>393</v>
      </c>
      <c r="B8" s="207"/>
    </row>
  </sheetData>
  <mergeCells count="4">
    <mergeCell ref="A6:B6"/>
    <mergeCell ref="A7:B7"/>
    <mergeCell ref="A8:B8"/>
    <mergeCell ref="A1:B1"/>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499984740745262"/>
    <pageSetUpPr fitToPage="1"/>
  </sheetPr>
  <dimension ref="A1:Y28"/>
  <sheetViews>
    <sheetView showGridLines="0" tabSelected="1" zoomScale="90" zoomScaleNormal="90" zoomScaleSheetLayoutView="85" workbookViewId="0">
      <selection activeCell="C14" sqref="C14:F14"/>
    </sheetView>
  </sheetViews>
  <sheetFormatPr defaultColWidth="9.125" defaultRowHeight="14.25"/>
  <cols>
    <col min="1" max="1" width="3.75" style="1" customWidth="1"/>
    <col min="2" max="2" width="18.375" style="1" customWidth="1"/>
    <col min="3" max="3" width="53.125" style="1" customWidth="1"/>
    <col min="4" max="4" width="14.875" style="1" customWidth="1"/>
    <col min="5" max="5" width="15.25" style="1" bestFit="1" customWidth="1"/>
    <col min="6" max="7" width="9.125" style="1"/>
    <col min="8" max="8" width="25.875" style="1" customWidth="1"/>
    <col min="9" max="9" width="40.75" style="24" customWidth="1"/>
    <col min="10" max="10" width="13" style="95" customWidth="1"/>
    <col min="11" max="16384" width="9.125" style="1"/>
  </cols>
  <sheetData>
    <row r="1" spans="1:25" ht="15.75" customHeight="1" thickBot="1">
      <c r="A1" s="32"/>
      <c r="C1" s="220"/>
      <c r="D1" s="221"/>
      <c r="E1" s="221"/>
      <c r="F1" s="221"/>
    </row>
    <row r="2" spans="1:25" ht="18.75" customHeight="1">
      <c r="C2" s="221"/>
      <c r="D2" s="221"/>
      <c r="E2" s="221"/>
      <c r="F2" s="221"/>
      <c r="H2" s="216" t="s">
        <v>126</v>
      </c>
      <c r="I2" s="212">
        <v>1</v>
      </c>
      <c r="J2" s="96"/>
      <c r="K2" s="5"/>
    </row>
    <row r="3" spans="1:25" ht="30.75" customHeight="1">
      <c r="B3" s="1" t="s">
        <v>133</v>
      </c>
      <c r="C3" s="221"/>
      <c r="D3" s="221"/>
      <c r="E3" s="221"/>
      <c r="F3" s="221"/>
      <c r="H3" s="217"/>
      <c r="I3" s="213"/>
      <c r="J3" s="96"/>
      <c r="K3" s="5"/>
    </row>
    <row r="4" spans="1:25" ht="37.5" customHeight="1" thickBot="1">
      <c r="B4" s="214" t="s">
        <v>45</v>
      </c>
      <c r="C4" s="214"/>
      <c r="D4" s="214"/>
      <c r="E4" s="214"/>
      <c r="F4" s="214"/>
      <c r="H4" s="217"/>
      <c r="I4" s="213"/>
      <c r="J4" s="96"/>
      <c r="K4" s="5"/>
    </row>
    <row r="5" spans="1:25" s="88" customFormat="1" ht="27" customHeight="1">
      <c r="B5" s="97" t="s">
        <v>25</v>
      </c>
      <c r="C5" s="47" t="str">
        <f>IFERROR(VLOOKUP($I$2,DanhSach!$A:$M,5,0),"Không có")</f>
        <v>Cấn Văn Thắng</v>
      </c>
      <c r="D5" s="98" t="s">
        <v>30</v>
      </c>
      <c r="E5" s="48" t="str">
        <f>IFERROR(VLOOKUP($I$2,DanhSach!$A:$M,7,0),"Không có")</f>
        <v>15/12/1985</v>
      </c>
      <c r="F5" s="99"/>
      <c r="H5" s="100" t="s">
        <v>9</v>
      </c>
      <c r="I5" s="101" t="str">
        <f>CaiDat!I5</f>
        <v>test</v>
      </c>
      <c r="J5" s="102"/>
    </row>
    <row r="6" spans="1:25" s="88" customFormat="1" ht="27" customHeight="1">
      <c r="B6" s="103" t="s">
        <v>26</v>
      </c>
      <c r="C6" s="49" t="str">
        <f>IFERROR(VLOOKUP($I$2,DanhSach!$A:$M,9,0),"Không có")</f>
        <v>Assembly</v>
      </c>
      <c r="D6" s="88" t="s">
        <v>31</v>
      </c>
      <c r="E6" s="50" t="str">
        <f>IFERROR(VLOOKUP($I$2,DanhSach!$A:$M,6,0),"Không có")</f>
        <v>Nam</v>
      </c>
      <c r="F6" s="104"/>
      <c r="H6" s="100" t="s">
        <v>12</v>
      </c>
      <c r="I6" s="101" t="str">
        <f>CaiDat!I6</f>
        <v>test</v>
      </c>
      <c r="J6" s="102"/>
    </row>
    <row r="7" spans="1:25" s="88" customFormat="1" ht="27" customHeight="1">
      <c r="B7" s="103" t="s">
        <v>27</v>
      </c>
      <c r="C7" s="49">
        <f>IFERROR(VLOOKUP($I$2,DanhSach!$A:$M,4,0),"Không có")</f>
        <v>100135</v>
      </c>
      <c r="D7" s="88" t="s">
        <v>32</v>
      </c>
      <c r="E7" s="50" t="str">
        <f>IFERROR(VLOOKUP($I$2,DanhSach!$A:$M,3,0),"Không có")</f>
        <v>1287A10001</v>
      </c>
      <c r="F7" s="104"/>
      <c r="H7" s="100" t="s">
        <v>10</v>
      </c>
      <c r="I7" s="105" t="str">
        <f>CaiDat!I7</f>
        <v>23/08/2025</v>
      </c>
      <c r="J7" s="106"/>
      <c r="L7" s="107" t="s">
        <v>127</v>
      </c>
    </row>
    <row r="8" spans="1:25" s="88" customFormat="1" ht="27" customHeight="1">
      <c r="B8" s="103" t="s">
        <v>28</v>
      </c>
      <c r="C8" s="50" t="str">
        <f>IFERROR(VLOOKUP($I$2,DanhSach!$A:$M,8,0),"Không có")</f>
        <v>CÔNG TY CỔ PHẦN DAIKIN AIR CONDITIONING (VIETNAM)</v>
      </c>
      <c r="F8" s="104"/>
      <c r="H8" s="100" t="s">
        <v>11</v>
      </c>
      <c r="I8" s="101" t="str">
        <f>CaiDat!I8</f>
        <v>M3</v>
      </c>
      <c r="J8" s="102"/>
    </row>
    <row r="9" spans="1:25" s="88" customFormat="1" ht="27" customHeight="1" thickBot="1">
      <c r="B9" s="103" t="s">
        <v>29</v>
      </c>
      <c r="C9" s="50" t="s">
        <v>24</v>
      </c>
      <c r="D9" s="108" t="str">
        <f>IF(OR(E6="Nữ",E6="Nu"),"Nhầm form SA Nam/Nữ","")</f>
        <v/>
      </c>
      <c r="F9" s="104"/>
      <c r="H9" s="109" t="s">
        <v>55</v>
      </c>
      <c r="I9" s="110" t="str">
        <f>CaiDat!I9</f>
        <v>D:\Downloads\</v>
      </c>
      <c r="J9" s="102"/>
    </row>
    <row r="10" spans="1:25" s="88" customFormat="1" ht="9.75" customHeight="1" thickBot="1">
      <c r="B10" s="111"/>
      <c r="C10" s="112"/>
      <c r="D10" s="112"/>
      <c r="E10" s="112"/>
      <c r="F10" s="113"/>
      <c r="I10" s="114"/>
      <c r="J10" s="115"/>
    </row>
    <row r="11" spans="1:25" s="88" customFormat="1" ht="37.5" customHeight="1">
      <c r="B11" s="215" t="s">
        <v>13</v>
      </c>
      <c r="C11" s="215"/>
      <c r="D11" s="215"/>
      <c r="E11" s="215"/>
      <c r="F11" s="215"/>
      <c r="I11" s="114"/>
      <c r="J11" s="115"/>
    </row>
    <row r="12" spans="1:25" s="88" customFormat="1" ht="56.25" customHeight="1">
      <c r="B12" s="86" t="s">
        <v>33</v>
      </c>
      <c r="C12" s="210" t="s">
        <v>14</v>
      </c>
      <c r="D12" s="210"/>
      <c r="E12" s="210"/>
      <c r="F12" s="210"/>
      <c r="I12" s="114"/>
      <c r="J12" s="115"/>
    </row>
    <row r="13" spans="1:25" s="88" customFormat="1" ht="36" customHeight="1">
      <c r="B13" s="86" t="s">
        <v>34</v>
      </c>
      <c r="C13" s="210" t="s">
        <v>15</v>
      </c>
      <c r="D13" s="210"/>
      <c r="E13" s="210"/>
      <c r="F13" s="210"/>
      <c r="H13" s="116" t="s">
        <v>90</v>
      </c>
      <c r="I13" s="117">
        <v>2020</v>
      </c>
      <c r="J13" s="87"/>
    </row>
    <row r="14" spans="1:25" s="88" customFormat="1" ht="36" customHeight="1">
      <c r="B14" s="86" t="s">
        <v>35</v>
      </c>
      <c r="C14" s="210" t="s">
        <v>16</v>
      </c>
      <c r="D14" s="210"/>
      <c r="E14" s="210"/>
      <c r="F14" s="210"/>
      <c r="H14" s="218" t="s">
        <v>91</v>
      </c>
      <c r="I14" s="219">
        <f>IFERROR(VLOOKUP($I$2,DanhSach!$A:$M,10,0),"Không có")</f>
        <v>0</v>
      </c>
      <c r="J14" s="118"/>
    </row>
    <row r="15" spans="1:25" s="88" customFormat="1" ht="36" customHeight="1">
      <c r="B15" s="86" t="s">
        <v>36</v>
      </c>
      <c r="C15" s="210" t="s">
        <v>17</v>
      </c>
      <c r="D15" s="210"/>
      <c r="E15" s="210"/>
      <c r="F15" s="210"/>
      <c r="H15" s="218"/>
      <c r="I15" s="219"/>
      <c r="J15" s="118"/>
      <c r="Y15" s="119"/>
    </row>
    <row r="16" spans="1:25" s="88" customFormat="1" ht="36" customHeight="1">
      <c r="B16" s="86" t="s">
        <v>37</v>
      </c>
      <c r="C16" s="210" t="s">
        <v>18</v>
      </c>
      <c r="D16" s="210"/>
      <c r="E16" s="210"/>
      <c r="F16" s="210"/>
      <c r="H16" s="118"/>
      <c r="J16" s="119"/>
    </row>
    <row r="17" spans="2:25" s="88" customFormat="1" ht="36" customHeight="1">
      <c r="B17" s="86" t="s">
        <v>38</v>
      </c>
      <c r="C17" s="210" t="s">
        <v>19</v>
      </c>
      <c r="D17" s="210"/>
      <c r="E17" s="210"/>
      <c r="F17" s="210"/>
      <c r="H17" s="119"/>
      <c r="I17" s="119"/>
      <c r="J17" s="119"/>
    </row>
    <row r="18" spans="2:25" s="88" customFormat="1" ht="36" customHeight="1">
      <c r="B18" s="86" t="s">
        <v>39</v>
      </c>
      <c r="C18" s="210" t="s">
        <v>20</v>
      </c>
      <c r="D18" s="210"/>
      <c r="E18" s="210"/>
      <c r="F18" s="210"/>
      <c r="J18" s="115"/>
    </row>
    <row r="19" spans="2:25" s="88" customFormat="1" ht="30.75" customHeight="1">
      <c r="B19" s="86" t="s">
        <v>40</v>
      </c>
      <c r="C19" s="210" t="s">
        <v>21</v>
      </c>
      <c r="D19" s="210"/>
      <c r="E19" s="210"/>
      <c r="F19" s="210"/>
      <c r="I19" s="114"/>
      <c r="J19" s="115"/>
    </row>
    <row r="20" spans="2:25" s="88" customFormat="1" ht="24.75" customHeight="1">
      <c r="B20" s="86" t="s">
        <v>41</v>
      </c>
      <c r="C20" s="210" t="s">
        <v>22</v>
      </c>
      <c r="D20" s="210"/>
      <c r="E20" s="210"/>
      <c r="F20" s="210"/>
      <c r="I20" s="114"/>
      <c r="J20" s="120"/>
      <c r="N20" s="119"/>
    </row>
    <row r="21" spans="2:25" s="119" customFormat="1" ht="51.75" customHeight="1">
      <c r="B21" s="87" t="s">
        <v>42</v>
      </c>
      <c r="C21" s="211" t="s">
        <v>23</v>
      </c>
      <c r="D21" s="211"/>
      <c r="E21" s="211"/>
      <c r="F21" s="211"/>
      <c r="H21" s="88"/>
      <c r="I21" s="121"/>
      <c r="J21" s="115"/>
      <c r="Y21" s="88"/>
    </row>
    <row r="22" spans="2:25" s="119" customFormat="1" ht="18.75" customHeight="1">
      <c r="B22" s="87"/>
      <c r="C22" s="88"/>
      <c r="D22" s="89" t="str">
        <f>"Ngày " &amp; DAY($I$7) &amp; " tháng " &amp; MONTH($I$7) &amp; " năm " &amp; YEAR($I$7)</f>
        <v>Ngày 23 tháng 8 năm 2025</v>
      </c>
      <c r="E22" s="90"/>
      <c r="F22" s="87"/>
      <c r="H22" s="88"/>
      <c r="I22" s="121"/>
      <c r="J22" s="122"/>
      <c r="Y22" s="88"/>
    </row>
    <row r="23" spans="2:25" s="91" customFormat="1" ht="16.5">
      <c r="C23" s="92" t="s">
        <v>44</v>
      </c>
      <c r="D23" s="93" t="s">
        <v>43</v>
      </c>
      <c r="I23" s="92"/>
      <c r="J23" s="123"/>
    </row>
    <row r="24" spans="2:25" s="88" customFormat="1" ht="16.5">
      <c r="B24" s="94"/>
      <c r="I24" s="114"/>
      <c r="J24" s="122"/>
      <c r="K24" s="124"/>
    </row>
    <row r="26" spans="2:25" ht="33.75" customHeight="1"/>
    <row r="28" spans="2:25" s="91" customFormat="1" ht="21" customHeight="1">
      <c r="C28" s="91" t="str">
        <f>I6</f>
        <v>test</v>
      </c>
      <c r="D28" s="91" t="str">
        <f>I5</f>
        <v>test</v>
      </c>
      <c r="I28" s="92"/>
      <c r="J28" s="123"/>
    </row>
  </sheetData>
  <sheetProtection sheet="1" objects="1" scenarios="1" selectLockedCells="1"/>
  <dataConsolidate/>
  <mergeCells count="17">
    <mergeCell ref="C1:F3"/>
    <mergeCell ref="C20:F20"/>
    <mergeCell ref="C21:F21"/>
    <mergeCell ref="I2:I4"/>
    <mergeCell ref="C16:F16"/>
    <mergeCell ref="B4:F4"/>
    <mergeCell ref="B11:F11"/>
    <mergeCell ref="C12:F12"/>
    <mergeCell ref="C13:F13"/>
    <mergeCell ref="C15:F15"/>
    <mergeCell ref="C14:F14"/>
    <mergeCell ref="H2:H4"/>
    <mergeCell ref="C17:F17"/>
    <mergeCell ref="C18:F18"/>
    <mergeCell ref="H14:H15"/>
    <mergeCell ref="I14:I15"/>
    <mergeCell ref="C19:F19"/>
  </mergeCells>
  <pageMargins left="0.7" right="0.7" top="0.75" bottom="0.75" header="0.3" footer="0.3"/>
  <pageSetup paperSize="9" scale="79" fitToHeight="0" orientation="portrait" horizontalDpi="1200" verticalDpi="1200" r:id="rId1"/>
  <drawing r:id="rId2"/>
  <legacyDrawing r:id="rId3"/>
  <controls>
    <mc:AlternateContent xmlns:mc="http://schemas.openxmlformats.org/markup-compatibility/2006">
      <mc:Choice Requires="x14">
        <control shapeId="1036" r:id="rId4" name="btnBly">
          <controlPr defaultSize="0" autoLine="0" r:id="rId5">
            <anchor moveWithCells="1">
              <from>
                <xdr:col>7</xdr:col>
                <xdr:colOff>0</xdr:colOff>
                <xdr:row>11</xdr:row>
                <xdr:rowOff>209550</xdr:rowOff>
              </from>
              <to>
                <xdr:col>7</xdr:col>
                <xdr:colOff>1123950</xdr:colOff>
                <xdr:row>11</xdr:row>
                <xdr:rowOff>561975</xdr:rowOff>
              </to>
            </anchor>
          </controlPr>
        </control>
      </mc:Choice>
      <mc:Fallback>
        <control shapeId="1036" r:id="rId4" name="btnBly"/>
      </mc:Fallback>
    </mc:AlternateContent>
    <mc:AlternateContent xmlns:mc="http://schemas.openxmlformats.org/markup-compatibility/2006">
      <mc:Choice Requires="x14">
        <control shapeId="1035" r:id="rId6" name="btnBt">
          <controlPr defaultSize="0" autoLine="0" r:id="rId7">
            <anchor moveWithCells="1">
              <from>
                <xdr:col>6</xdr:col>
                <xdr:colOff>676275</xdr:colOff>
                <xdr:row>10</xdr:row>
                <xdr:rowOff>95250</xdr:rowOff>
              </from>
              <to>
                <xdr:col>7</xdr:col>
                <xdr:colOff>1504950</xdr:colOff>
                <xdr:row>10</xdr:row>
                <xdr:rowOff>447675</xdr:rowOff>
              </to>
            </anchor>
          </controlPr>
        </control>
      </mc:Choice>
      <mc:Fallback>
        <control shapeId="1035" r:id="rId6" name="btnBt"/>
      </mc:Fallback>
    </mc:AlternateContent>
    <mc:AlternateContent xmlns:mc="http://schemas.openxmlformats.org/markup-compatibility/2006">
      <mc:Choice Requires="x14">
        <control shapeId="1025" r:id="rId8" name="cmd_RESETKQ">
          <controlPr defaultSize="0" autoLine="0" r:id="rId9">
            <anchor moveWithCells="1">
              <from>
                <xdr:col>7</xdr:col>
                <xdr:colOff>1962150</xdr:colOff>
                <xdr:row>10</xdr:row>
                <xdr:rowOff>76200</xdr:rowOff>
              </from>
              <to>
                <xdr:col>8</xdr:col>
                <xdr:colOff>990600</xdr:colOff>
                <xdr:row>10</xdr:row>
                <xdr:rowOff>447675</xdr:rowOff>
              </to>
            </anchor>
          </controlPr>
        </control>
      </mc:Choice>
      <mc:Fallback>
        <control shapeId="1025" r:id="rId8" name="cmd_RESETKQ"/>
      </mc:Fallback>
    </mc:AlternateContent>
    <mc:AlternateContent xmlns:mc="http://schemas.openxmlformats.org/markup-compatibility/2006">
      <mc:Choice Requires="x14">
        <control shapeId="1028" r:id="rId10" name="cmd_LUU_IN_OBUNGNAM">
          <controlPr defaultSize="0" autoLine="0" r:id="rId11">
            <anchor moveWithCells="1">
              <from>
                <xdr:col>8</xdr:col>
                <xdr:colOff>1981200</xdr:colOff>
                <xdr:row>10</xdr:row>
                <xdr:rowOff>76200</xdr:rowOff>
              </from>
              <to>
                <xdr:col>8</xdr:col>
                <xdr:colOff>3095625</xdr:colOff>
                <xdr:row>10</xdr:row>
                <xdr:rowOff>428625</xdr:rowOff>
              </to>
            </anchor>
          </controlPr>
        </control>
      </mc:Choice>
      <mc:Fallback>
        <control shapeId="1028" r:id="rId10" name="cmd_LUU_IN_OBUNGNAM"/>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5" tint="-0.499984740745262"/>
    <pageSetUpPr fitToPage="1"/>
  </sheetPr>
  <dimension ref="B1:N29"/>
  <sheetViews>
    <sheetView showGridLines="0" topLeftCell="A4" zoomScale="90" zoomScaleNormal="90" workbookViewId="0">
      <selection activeCell="C12" sqref="C12:F1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3" style="1" bestFit="1" customWidth="1"/>
    <col min="6" max="7" width="9.125" style="1"/>
    <col min="8" max="8" width="25.875" style="1" customWidth="1"/>
    <col min="9" max="9" width="39.25" style="24" customWidth="1"/>
    <col min="10" max="10" width="18" style="95" customWidth="1"/>
    <col min="11" max="16384" width="9.125" style="1"/>
  </cols>
  <sheetData>
    <row r="1" spans="2:14" ht="15.75" customHeight="1" thickBot="1">
      <c r="C1" s="220"/>
      <c r="D1" s="221"/>
      <c r="E1" s="221"/>
      <c r="F1" s="221"/>
    </row>
    <row r="2" spans="2:14" ht="18.75" customHeight="1">
      <c r="C2" s="221"/>
      <c r="D2" s="221"/>
      <c r="E2" s="221"/>
      <c r="F2" s="221"/>
      <c r="H2" s="216" t="s">
        <v>126</v>
      </c>
      <c r="I2" s="212">
        <v>27</v>
      </c>
      <c r="J2" s="96"/>
      <c r="K2" s="5"/>
    </row>
    <row r="3" spans="2:14" ht="30.75" customHeight="1">
      <c r="C3" s="221"/>
      <c r="D3" s="221"/>
      <c r="E3" s="221"/>
      <c r="F3" s="221"/>
      <c r="H3" s="217"/>
      <c r="I3" s="213"/>
      <c r="J3" s="96"/>
      <c r="K3" s="5"/>
    </row>
    <row r="4" spans="2:14" ht="37.5" customHeight="1" thickBot="1">
      <c r="B4" s="227" t="s">
        <v>63</v>
      </c>
      <c r="C4" s="227"/>
      <c r="D4" s="227"/>
      <c r="E4" s="227"/>
      <c r="F4" s="227"/>
      <c r="H4" s="217"/>
      <c r="I4" s="213"/>
      <c r="J4" s="96"/>
      <c r="K4" s="5"/>
    </row>
    <row r="5" spans="2:14" ht="27" customHeight="1">
      <c r="B5" s="97" t="s">
        <v>25</v>
      </c>
      <c r="C5" s="47" t="str">
        <f>IFERROR(VLOOKUP($I$2,DanhSach!$A:$M,5,0),"Không có")</f>
        <v>Nguyễn Thị Lương</v>
      </c>
      <c r="D5" s="98" t="s">
        <v>30</v>
      </c>
      <c r="E5" s="51" t="str">
        <f>IFERROR(VLOOKUP($I$2,DanhSach!$A:$M,7,0),"Không có")</f>
        <v>26/04/1996</v>
      </c>
      <c r="F5" s="99"/>
      <c r="H5" s="26" t="s">
        <v>9</v>
      </c>
      <c r="I5" s="128" t="str">
        <f>OB_Nam!I5</f>
        <v>test</v>
      </c>
    </row>
    <row r="6" spans="2:14" ht="27" customHeight="1">
      <c r="B6" s="103" t="s">
        <v>26</v>
      </c>
      <c r="C6" s="49" t="str">
        <f>IFERROR(VLOOKUP($I$2,DanhSach!$A:$M,9,0),"Không có")</f>
        <v>Assembly</v>
      </c>
      <c r="D6" s="88" t="s">
        <v>31</v>
      </c>
      <c r="E6" s="50" t="str">
        <f>IFERROR(VLOOKUP($I$2,DanhSach!$A:$M,6,0),"Không có")</f>
        <v>Nữ</v>
      </c>
      <c r="F6" s="104"/>
      <c r="H6" s="26" t="s">
        <v>12</v>
      </c>
      <c r="I6" s="128" t="str">
        <f>OB_Nam!I6</f>
        <v>test</v>
      </c>
      <c r="J6" s="133"/>
    </row>
    <row r="7" spans="2:14" ht="27" customHeight="1">
      <c r="B7" s="103" t="s">
        <v>27</v>
      </c>
      <c r="C7" s="49">
        <f>IFERROR(VLOOKUP($I$2,DanhSach!$A:$M,4,0),"Không có")</f>
        <v>125556</v>
      </c>
      <c r="D7" s="88" t="s">
        <v>32</v>
      </c>
      <c r="E7" s="50" t="str">
        <f>IFERROR(VLOOKUP($I$2,DanhSach!$A:$M,3,0),"Không có")</f>
        <v>1287A10027</v>
      </c>
      <c r="F7" s="104"/>
      <c r="H7" s="26" t="s">
        <v>10</v>
      </c>
      <c r="I7" s="134" t="str">
        <f>OB_Nam!I7</f>
        <v>23/08/2025</v>
      </c>
      <c r="J7" s="135"/>
      <c r="K7" s="136" t="s">
        <v>127</v>
      </c>
    </row>
    <row r="8" spans="2:14" ht="27" customHeight="1">
      <c r="B8" s="103" t="s">
        <v>28</v>
      </c>
      <c r="C8" s="50" t="str">
        <f>IFERROR(VLOOKUP($I$2,DanhSach!$A:$M,8,0),"Không có")</f>
        <v>CÔNG TY CỔ PHẦN DAIKIN AIR CONDITIONING (VIETNAM)</v>
      </c>
      <c r="D8" s="88"/>
      <c r="E8" s="88"/>
      <c r="F8" s="104"/>
      <c r="H8" s="26" t="s">
        <v>11</v>
      </c>
      <c r="I8" s="128" t="str">
        <f>OB_Nam!I8</f>
        <v>M3</v>
      </c>
      <c r="J8" s="133"/>
    </row>
    <row r="9" spans="2:14" ht="27" customHeight="1" thickBot="1">
      <c r="B9" s="103" t="s">
        <v>29</v>
      </c>
      <c r="C9" s="50" t="s">
        <v>24</v>
      </c>
      <c r="D9" s="108" t="str">
        <f>IF(OR(E6="Nam",E6="Male"),"Nhầm form SA Nam/Nữ","")</f>
        <v/>
      </c>
      <c r="E9" s="88"/>
      <c r="F9" s="104"/>
      <c r="H9" s="29" t="s">
        <v>55</v>
      </c>
      <c r="I9" s="138" t="str">
        <f>OB_Nam!I9</f>
        <v>D:\Downloads\</v>
      </c>
      <c r="J9" s="133"/>
    </row>
    <row r="10" spans="2:14" ht="9.75" customHeight="1" thickBot="1">
      <c r="B10" s="111"/>
      <c r="C10" s="112"/>
      <c r="D10" s="112"/>
      <c r="E10" s="112"/>
      <c r="F10" s="113"/>
    </row>
    <row r="11" spans="2:14" ht="37.5" customHeight="1">
      <c r="B11" s="215" t="s">
        <v>13</v>
      </c>
      <c r="C11" s="215"/>
      <c r="D11" s="215"/>
      <c r="E11" s="215"/>
      <c r="F11" s="215"/>
      <c r="N11" s="20"/>
    </row>
    <row r="12" spans="2:14" ht="56.25" customHeight="1" thickBot="1">
      <c r="B12" s="86" t="s">
        <v>33</v>
      </c>
      <c r="C12" s="210" t="s">
        <v>14</v>
      </c>
      <c r="D12" s="210"/>
      <c r="E12" s="210"/>
      <c r="F12" s="210"/>
    </row>
    <row r="13" spans="2:14" ht="36" customHeight="1">
      <c r="B13" s="86" t="s">
        <v>34</v>
      </c>
      <c r="C13" s="210" t="s">
        <v>15</v>
      </c>
      <c r="D13" s="210"/>
      <c r="E13" s="210"/>
      <c r="F13" s="210"/>
      <c r="H13" s="174" t="s">
        <v>90</v>
      </c>
      <c r="I13" s="144">
        <v>2020</v>
      </c>
      <c r="J13" s="226"/>
    </row>
    <row r="14" spans="2:14" ht="36" customHeight="1">
      <c r="B14" s="86" t="s">
        <v>35</v>
      </c>
      <c r="C14" s="210" t="s">
        <v>16</v>
      </c>
      <c r="D14" s="210"/>
      <c r="E14" s="210"/>
      <c r="F14" s="210"/>
      <c r="H14" s="225" t="s">
        <v>91</v>
      </c>
      <c r="I14" s="219">
        <f>IFERROR(VLOOKUP($I$2,DanhSach!$A:$M,10,0),"Không có")</f>
        <v>0</v>
      </c>
      <c r="J14" s="226"/>
    </row>
    <row r="15" spans="2:14" ht="36" customHeight="1">
      <c r="B15" s="86" t="s">
        <v>36</v>
      </c>
      <c r="C15" s="210" t="s">
        <v>17</v>
      </c>
      <c r="D15" s="210"/>
      <c r="E15" s="210"/>
      <c r="F15" s="210"/>
      <c r="H15" s="225"/>
      <c r="I15" s="219"/>
      <c r="J15" s="226"/>
    </row>
    <row r="16" spans="2:14" ht="36" customHeight="1">
      <c r="B16" s="86" t="s">
        <v>37</v>
      </c>
      <c r="C16" s="210" t="s">
        <v>18</v>
      </c>
      <c r="D16" s="210"/>
      <c r="E16" s="210"/>
      <c r="F16" s="210"/>
      <c r="H16" s="5"/>
      <c r="I16" s="223"/>
      <c r="J16" s="223"/>
    </row>
    <row r="17" spans="2:14" ht="36" customHeight="1">
      <c r="B17" s="86" t="s">
        <v>38</v>
      </c>
      <c r="C17" s="210" t="s">
        <v>19</v>
      </c>
      <c r="D17" s="210"/>
      <c r="E17" s="210"/>
      <c r="F17" s="210"/>
      <c r="H17" s="5"/>
      <c r="I17" s="223"/>
      <c r="J17" s="223"/>
    </row>
    <row r="18" spans="2:14" ht="36" customHeight="1">
      <c r="B18" s="86" t="s">
        <v>39</v>
      </c>
      <c r="C18" s="210" t="s">
        <v>20</v>
      </c>
      <c r="D18" s="210"/>
      <c r="E18" s="210"/>
      <c r="F18" s="210"/>
    </row>
    <row r="19" spans="2:14" ht="54" customHeight="1">
      <c r="B19" s="86" t="s">
        <v>123</v>
      </c>
      <c r="C19" s="210" t="s">
        <v>64</v>
      </c>
      <c r="D19" s="210"/>
      <c r="E19" s="210"/>
      <c r="F19" s="210"/>
    </row>
    <row r="20" spans="2:14" ht="36" customHeight="1">
      <c r="B20" s="86" t="s">
        <v>41</v>
      </c>
      <c r="C20" s="210" t="s">
        <v>22</v>
      </c>
      <c r="D20" s="210"/>
      <c r="E20" s="210"/>
      <c r="F20" s="210"/>
      <c r="J20" s="149"/>
      <c r="N20" s="5"/>
    </row>
    <row r="21" spans="2:14" s="5" customFormat="1" ht="51.75" customHeight="1">
      <c r="B21" s="6" t="s">
        <v>42</v>
      </c>
      <c r="C21" s="224" t="s">
        <v>23</v>
      </c>
      <c r="D21" s="211"/>
      <c r="E21" s="211"/>
      <c r="F21" s="211"/>
      <c r="H21" s="1"/>
      <c r="I21" s="148"/>
      <c r="J21" s="95"/>
    </row>
    <row r="22" spans="2:14" s="5" customFormat="1" ht="18.75" customHeight="1">
      <c r="B22" s="6"/>
      <c r="C22" s="31"/>
      <c r="D22" s="31"/>
      <c r="E22" s="31"/>
      <c r="F22" s="31"/>
      <c r="H22" s="1"/>
      <c r="I22" s="151"/>
      <c r="J22" s="152"/>
    </row>
    <row r="23" spans="2:14" ht="16.5">
      <c r="C23" s="88"/>
      <c r="D23" s="89" t="str">
        <f>"Ngày " &amp; DAY($I$7) &amp; " tháng " &amp; MONTH($I$7) &amp; " năm " &amp; YEAR($I$7)</f>
        <v>Ngày 23 tháng 8 năm 2025</v>
      </c>
      <c r="E23" s="88"/>
    </row>
    <row r="24" spans="2:14" ht="16.5">
      <c r="B24" s="2"/>
      <c r="C24" s="92" t="s">
        <v>44</v>
      </c>
      <c r="D24" s="222" t="s">
        <v>43</v>
      </c>
      <c r="E24" s="222"/>
      <c r="F24" s="222"/>
      <c r="I24" s="151"/>
      <c r="J24" s="152"/>
      <c r="K24" s="153"/>
    </row>
    <row r="27" spans="2:14" ht="22.5" customHeight="1"/>
    <row r="29" spans="2:14" s="14" customFormat="1" ht="16.5">
      <c r="C29" s="91" t="str">
        <f>I6</f>
        <v>test</v>
      </c>
      <c r="D29" s="91" t="str">
        <f>I5</f>
        <v>test</v>
      </c>
      <c r="E29" s="91"/>
      <c r="I29" s="4"/>
      <c r="J29" s="175"/>
    </row>
  </sheetData>
  <sheetProtection sheet="1" objects="1" scenarios="1" selectLockedCells="1"/>
  <mergeCells count="21">
    <mergeCell ref="H2:H4"/>
    <mergeCell ref="I2:I4"/>
    <mergeCell ref="B4:F4"/>
    <mergeCell ref="B11:F11"/>
    <mergeCell ref="C12:F12"/>
    <mergeCell ref="C1:F3"/>
    <mergeCell ref="C13:F13"/>
    <mergeCell ref="C14:F14"/>
    <mergeCell ref="C15:F15"/>
    <mergeCell ref="H14:H15"/>
    <mergeCell ref="J13:J15"/>
    <mergeCell ref="I14:I15"/>
    <mergeCell ref="D24:F24"/>
    <mergeCell ref="I16:J16"/>
    <mergeCell ref="I17:J17"/>
    <mergeCell ref="C19:F19"/>
    <mergeCell ref="C20:F20"/>
    <mergeCell ref="C21:F21"/>
    <mergeCell ref="C16:F16"/>
    <mergeCell ref="C17:F17"/>
    <mergeCell ref="C18:F18"/>
  </mergeCells>
  <pageMargins left="0.7" right="0.7" top="0.75" bottom="0.75" header="0.3" footer="0.3"/>
  <pageSetup scale="84" fitToHeight="0" orientation="portrait" r:id="rId1"/>
  <drawing r:id="rId2"/>
  <legacyDrawing r:id="rId3"/>
  <controls>
    <mc:AlternateContent xmlns:mc="http://schemas.openxmlformats.org/markup-compatibility/2006">
      <mc:Choice Requires="x14">
        <control shapeId="2055" r:id="rId4" name="btnBly">
          <controlPr defaultSize="0" autoLine="0" r:id="rId5">
            <anchor moveWithCells="1">
              <from>
                <xdr:col>6</xdr:col>
                <xdr:colOff>657225</xdr:colOff>
                <xdr:row>11</xdr:row>
                <xdr:rowOff>161925</xdr:rowOff>
              </from>
              <to>
                <xdr:col>7</xdr:col>
                <xdr:colOff>1076325</xdr:colOff>
                <xdr:row>11</xdr:row>
                <xdr:rowOff>514350</xdr:rowOff>
              </to>
            </anchor>
          </controlPr>
        </control>
      </mc:Choice>
      <mc:Fallback>
        <control shapeId="2055" r:id="rId4" name="btnBly"/>
      </mc:Fallback>
    </mc:AlternateContent>
    <mc:AlternateContent xmlns:mc="http://schemas.openxmlformats.org/markup-compatibility/2006">
      <mc:Choice Requires="x14">
        <control shapeId="2054" r:id="rId6" name="btnBt">
          <controlPr defaultSize="0" autoLine="0" r:id="rId7">
            <anchor moveWithCells="1">
              <from>
                <xdr:col>6</xdr:col>
                <xdr:colOff>657225</xdr:colOff>
                <xdr:row>10</xdr:row>
                <xdr:rowOff>66675</xdr:rowOff>
              </from>
              <to>
                <xdr:col>7</xdr:col>
                <xdr:colOff>1485900</xdr:colOff>
                <xdr:row>10</xdr:row>
                <xdr:rowOff>419100</xdr:rowOff>
              </to>
            </anchor>
          </controlPr>
        </control>
      </mc:Choice>
      <mc:Fallback>
        <control shapeId="2054" r:id="rId6" name="btnBt"/>
      </mc:Fallback>
    </mc:AlternateContent>
    <mc:AlternateContent xmlns:mc="http://schemas.openxmlformats.org/markup-compatibility/2006">
      <mc:Choice Requires="x14">
        <control shapeId="2051" r:id="rId8" name="cmd_NUCOTHAI">
          <controlPr defaultSize="0" autoLine="0" r:id="rId9">
            <anchor moveWithCells="1">
              <from>
                <xdr:col>6</xdr:col>
                <xdr:colOff>647700</xdr:colOff>
                <xdr:row>15</xdr:row>
                <xdr:rowOff>257175</xdr:rowOff>
              </from>
              <to>
                <xdr:col>7</xdr:col>
                <xdr:colOff>952500</xdr:colOff>
                <xdr:row>16</xdr:row>
                <xdr:rowOff>171450</xdr:rowOff>
              </to>
            </anchor>
          </controlPr>
        </control>
      </mc:Choice>
      <mc:Fallback>
        <control shapeId="2051" r:id="rId8" name="cmd_NUCOTHAI"/>
      </mc:Fallback>
    </mc:AlternateContent>
    <mc:AlternateContent xmlns:mc="http://schemas.openxmlformats.org/markup-compatibility/2006">
      <mc:Choice Requires="x14">
        <control shapeId="2049" r:id="rId10" name="CommandButton1">
          <controlPr defaultSize="0" autoLine="0" r:id="rId11">
            <anchor moveWithCells="1">
              <from>
                <xdr:col>7</xdr:col>
                <xdr:colOff>1924050</xdr:colOff>
                <xdr:row>10</xdr:row>
                <xdr:rowOff>57150</xdr:rowOff>
              </from>
              <to>
                <xdr:col>8</xdr:col>
                <xdr:colOff>952500</xdr:colOff>
                <xdr:row>10</xdr:row>
                <xdr:rowOff>428625</xdr:rowOff>
              </to>
            </anchor>
          </controlPr>
        </control>
      </mc:Choice>
      <mc:Fallback>
        <control shapeId="2049" r:id="rId10" name="CommandButton1"/>
      </mc:Fallback>
    </mc:AlternateContent>
    <mc:AlternateContent xmlns:mc="http://schemas.openxmlformats.org/markup-compatibility/2006">
      <mc:Choice Requires="x14">
        <control shapeId="2050" r:id="rId12" name="CMD_OBUNG_NU">
          <controlPr defaultSize="0" autoLine="0" r:id="rId13">
            <anchor moveWithCells="1">
              <from>
                <xdr:col>8</xdr:col>
                <xdr:colOff>1876425</xdr:colOff>
                <xdr:row>10</xdr:row>
                <xdr:rowOff>57150</xdr:rowOff>
              </from>
              <to>
                <xdr:col>9</xdr:col>
                <xdr:colOff>0</xdr:colOff>
                <xdr:row>10</xdr:row>
                <xdr:rowOff>409575</xdr:rowOff>
              </to>
            </anchor>
          </controlPr>
        </control>
      </mc:Choice>
      <mc:Fallback>
        <control shapeId="2050" r:id="rId12" name="CMD_OBUNG_NU"/>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499984740745262"/>
    <pageSetUpPr fitToPage="1"/>
  </sheetPr>
  <dimension ref="B1:N24"/>
  <sheetViews>
    <sheetView showGridLines="0" zoomScale="85" zoomScaleNormal="85" workbookViewId="0">
      <selection activeCell="C13" sqref="C13:F13"/>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bestFit="1" customWidth="1"/>
    <col min="6" max="7" width="9.125" style="1"/>
    <col min="8" max="8" width="25.875" style="1" customWidth="1"/>
    <col min="9" max="9" width="41.25" style="24" customWidth="1"/>
    <col min="10" max="10" width="18" style="95" customWidth="1"/>
    <col min="11" max="16384" width="9.125" style="1"/>
  </cols>
  <sheetData>
    <row r="1" spans="2:14" ht="15.75" customHeight="1" thickBot="1">
      <c r="C1" s="220"/>
      <c r="D1" s="221"/>
      <c r="E1" s="221"/>
      <c r="F1" s="221"/>
    </row>
    <row r="2" spans="2:14" ht="18.75" customHeight="1">
      <c r="C2" s="221"/>
      <c r="D2" s="221"/>
      <c r="E2" s="221"/>
      <c r="F2" s="221"/>
      <c r="H2" s="229" t="s">
        <v>126</v>
      </c>
      <c r="I2" s="231"/>
      <c r="J2" s="96"/>
      <c r="K2" s="5"/>
    </row>
    <row r="3" spans="2:14" ht="30.75" customHeight="1">
      <c r="C3" s="221"/>
      <c r="D3" s="221"/>
      <c r="E3" s="221"/>
      <c r="F3" s="221"/>
      <c r="H3" s="230"/>
      <c r="I3" s="232"/>
      <c r="J3" s="96"/>
      <c r="K3" s="5"/>
    </row>
    <row r="4" spans="2:14" ht="37.5" customHeight="1" thickBot="1">
      <c r="B4" s="236" t="s">
        <v>66</v>
      </c>
      <c r="C4" s="236"/>
      <c r="D4" s="236"/>
      <c r="E4" s="236"/>
      <c r="F4" s="236"/>
      <c r="H4" s="230"/>
      <c r="I4" s="232"/>
      <c r="J4" s="96"/>
      <c r="K4" s="5"/>
    </row>
    <row r="5" spans="2:14" ht="27" customHeight="1">
      <c r="B5" s="125" t="s">
        <v>25</v>
      </c>
      <c r="C5" s="52" t="str">
        <f>IFERROR(VLOOKUP($I$2,DanhSach!$A:$M,5,0),"Không có")</f>
        <v>Không có</v>
      </c>
      <c r="D5" s="126" t="s">
        <v>30</v>
      </c>
      <c r="E5" s="53" t="str">
        <f>IFERROR(VLOOKUP($I$2,DanhSach!$A:$M,7,0),"Không có")</f>
        <v>Không có</v>
      </c>
      <c r="F5" s="127"/>
      <c r="H5" s="26" t="s">
        <v>9</v>
      </c>
      <c r="I5" s="128" t="str">
        <f>OB_Nam!I5</f>
        <v>test</v>
      </c>
    </row>
    <row r="6" spans="2:14" ht="27" customHeight="1">
      <c r="B6" s="129" t="s">
        <v>26</v>
      </c>
      <c r="C6" s="54" t="str">
        <f>IFERROR(VLOOKUP($I$2,DanhSach!$A:$M,9,0),"Không có")</f>
        <v>Không có</v>
      </c>
      <c r="D6" s="131" t="s">
        <v>31</v>
      </c>
      <c r="E6" s="55" t="str">
        <f>IFERROR(VLOOKUP($I$2,DanhSach!$A:$M,6,0),"Không có")</f>
        <v>Không có</v>
      </c>
      <c r="F6" s="132"/>
      <c r="H6" s="26" t="s">
        <v>12</v>
      </c>
      <c r="I6" s="128" t="str">
        <f>OB_Nam!I6</f>
        <v>test</v>
      </c>
      <c r="J6" s="133"/>
    </row>
    <row r="7" spans="2:14" ht="27" customHeight="1">
      <c r="B7" s="129" t="s">
        <v>27</v>
      </c>
      <c r="C7" s="54" t="str">
        <f>IFERROR(VLOOKUP($I$2,DanhSach!$A:$M,4,0),"Không có")</f>
        <v>Không có</v>
      </c>
      <c r="D7" s="131" t="s">
        <v>32</v>
      </c>
      <c r="E7" s="55" t="str">
        <f>IFERROR(VLOOKUP($I$2,DanhSach!$A:$M,3,0),"Không có")</f>
        <v>Không có</v>
      </c>
      <c r="F7" s="132"/>
      <c r="H7" s="26" t="s">
        <v>10</v>
      </c>
      <c r="I7" s="134" t="str">
        <f>OB_Nam!I7</f>
        <v>23/08/2025</v>
      </c>
      <c r="J7" s="135"/>
      <c r="K7" s="136" t="s">
        <v>101</v>
      </c>
    </row>
    <row r="8" spans="2:14" ht="27" customHeight="1">
      <c r="B8" s="129" t="s">
        <v>28</v>
      </c>
      <c r="C8" s="55" t="str">
        <f>IFERROR(VLOOKUP($I$2,DanhSach!$A:$M,8,0),"Không có")</f>
        <v>Không có</v>
      </c>
      <c r="D8" s="131"/>
      <c r="E8" s="131"/>
      <c r="F8" s="132"/>
      <c r="H8" s="26" t="s">
        <v>11</v>
      </c>
      <c r="I8" s="128" t="str">
        <f>OB_Nam!I8</f>
        <v>M3</v>
      </c>
      <c r="J8" s="133"/>
    </row>
    <row r="9" spans="2:14" ht="27" customHeight="1" thickBot="1">
      <c r="B9" s="129" t="s">
        <v>29</v>
      </c>
      <c r="C9" s="55" t="s">
        <v>67</v>
      </c>
      <c r="D9" s="137"/>
      <c r="E9" s="131"/>
      <c r="F9" s="132"/>
      <c r="H9" s="29" t="s">
        <v>55</v>
      </c>
      <c r="I9" s="138" t="str">
        <f>OB_Nam!I9</f>
        <v>D:\Downloads\</v>
      </c>
      <c r="J9" s="133"/>
    </row>
    <row r="10" spans="2:14" ht="9.75" customHeight="1" thickBot="1">
      <c r="B10" s="139"/>
      <c r="C10" s="140"/>
      <c r="D10" s="140"/>
      <c r="E10" s="140"/>
      <c r="F10" s="141"/>
    </row>
    <row r="11" spans="2:14" ht="37.5" customHeight="1">
      <c r="B11" s="237" t="s">
        <v>13</v>
      </c>
      <c r="C11" s="237"/>
      <c r="D11" s="237"/>
      <c r="E11" s="237"/>
      <c r="F11" s="237"/>
      <c r="N11" s="20"/>
    </row>
    <row r="12" spans="2:14" ht="43.5" customHeight="1">
      <c r="B12" s="142" t="s">
        <v>110</v>
      </c>
      <c r="C12" s="234" t="s">
        <v>68</v>
      </c>
      <c r="D12" s="234"/>
      <c r="E12" s="234"/>
      <c r="F12" s="234"/>
      <c r="H12"/>
    </row>
    <row r="13" spans="2:14" ht="43.5" customHeight="1">
      <c r="B13" s="142" t="s">
        <v>111</v>
      </c>
      <c r="C13" s="234" t="s">
        <v>69</v>
      </c>
      <c r="D13" s="234"/>
      <c r="E13" s="234"/>
      <c r="F13" s="234"/>
      <c r="H13" s="143" t="s">
        <v>90</v>
      </c>
      <c r="I13" s="144">
        <v>2020</v>
      </c>
      <c r="J13" s="6"/>
    </row>
    <row r="14" spans="2:14" ht="43.5" customHeight="1">
      <c r="B14" s="142" t="s">
        <v>71</v>
      </c>
      <c r="C14" s="234" t="s">
        <v>70</v>
      </c>
      <c r="D14" s="234"/>
      <c r="E14" s="234"/>
      <c r="F14" s="234"/>
      <c r="H14" s="233" t="s">
        <v>92</v>
      </c>
      <c r="I14" s="219" t="str">
        <f>IFERROR(VLOOKUP($I$2,DanhSach!$A:$M,11,0),"Không có")</f>
        <v>Không có</v>
      </c>
      <c r="J14" s="5"/>
    </row>
    <row r="15" spans="2:14" ht="43.5" customHeight="1">
      <c r="B15" s="142" t="s">
        <v>89</v>
      </c>
      <c r="C15" s="234" t="s">
        <v>72</v>
      </c>
      <c r="D15" s="234"/>
      <c r="E15" s="234"/>
      <c r="F15" s="234"/>
      <c r="H15" s="233"/>
      <c r="I15" s="219"/>
      <c r="J15" s="5"/>
    </row>
    <row r="16" spans="2:14" ht="66" customHeight="1">
      <c r="B16" s="145" t="s">
        <v>42</v>
      </c>
      <c r="C16" s="235" t="s">
        <v>74</v>
      </c>
      <c r="D16" s="235"/>
      <c r="E16" s="235"/>
      <c r="F16" s="235"/>
      <c r="H16" s="5"/>
      <c r="I16" s="223"/>
      <c r="J16" s="223"/>
    </row>
    <row r="17" spans="2:14" ht="36" customHeight="1">
      <c r="B17" s="146"/>
      <c r="C17" s="131"/>
      <c r="D17" s="147" t="str">
        <f>"Ngày " &amp; DAY($I$7) &amp; " tháng " &amp; MONTH($I$7) &amp; " năm " &amp; YEAR($I$7)</f>
        <v>Ngày 23 tháng 8 năm 2025</v>
      </c>
      <c r="E17" s="146"/>
      <c r="F17" s="31"/>
      <c r="H17" s="5"/>
      <c r="I17" s="5"/>
      <c r="J17" s="5"/>
    </row>
    <row r="18" spans="2:14" ht="36" customHeight="1">
      <c r="B18" s="146"/>
      <c r="C18" s="130" t="s">
        <v>44</v>
      </c>
      <c r="D18" s="228" t="s">
        <v>43</v>
      </c>
      <c r="E18" s="228"/>
      <c r="F18" s="31"/>
    </row>
    <row r="19" spans="2:14" ht="36" customHeight="1"/>
    <row r="20" spans="2:14" ht="36" customHeight="1">
      <c r="B20" s="2"/>
      <c r="I20" s="148"/>
      <c r="J20" s="149"/>
      <c r="N20" s="5"/>
    </row>
    <row r="21" spans="2:14" s="5" customFormat="1" ht="3.75" customHeight="1">
      <c r="B21" s="1"/>
      <c r="C21" s="1"/>
      <c r="D21" s="1"/>
      <c r="E21" s="1"/>
      <c r="F21" s="1"/>
      <c r="H21" s="1"/>
      <c r="I21" s="24"/>
      <c r="J21" s="95"/>
    </row>
    <row r="22" spans="2:14" s="6" customFormat="1" ht="18.75" customHeight="1">
      <c r="B22" s="14"/>
      <c r="C22" s="91" t="str">
        <f>I6</f>
        <v>test</v>
      </c>
      <c r="D22" s="91" t="str">
        <f>I5</f>
        <v>test</v>
      </c>
      <c r="E22" s="91"/>
      <c r="F22" s="14"/>
      <c r="H22" s="14"/>
      <c r="I22" s="150"/>
      <c r="J22" s="133"/>
    </row>
    <row r="24" spans="2:14">
      <c r="I24" s="151"/>
      <c r="J24" s="152"/>
      <c r="K24" s="153"/>
    </row>
  </sheetData>
  <sheetProtection sheet="1" objects="1" scenarios="1" selectLockedCells="1"/>
  <mergeCells count="14">
    <mergeCell ref="D18:E18"/>
    <mergeCell ref="H2:H4"/>
    <mergeCell ref="I2:I4"/>
    <mergeCell ref="H14:H15"/>
    <mergeCell ref="I14:I15"/>
    <mergeCell ref="I16:J16"/>
    <mergeCell ref="C14:F14"/>
    <mergeCell ref="C15:F15"/>
    <mergeCell ref="C16:F16"/>
    <mergeCell ref="C13:F13"/>
    <mergeCell ref="B4:F4"/>
    <mergeCell ref="B11:F11"/>
    <mergeCell ref="C12:F12"/>
    <mergeCell ref="C1:F3"/>
  </mergeCells>
  <pageMargins left="0.25" right="0.25" top="0.75" bottom="0.75" header="0.3" footer="0.3"/>
  <pageSetup scale="93" fitToHeight="0" orientation="portrait" horizontalDpi="1200" verticalDpi="1200" r:id="rId1"/>
  <drawing r:id="rId2"/>
  <legacyDrawing r:id="rId3"/>
  <controls>
    <mc:AlternateContent xmlns:mc="http://schemas.openxmlformats.org/markup-compatibility/2006">
      <mc:Choice Requires="x14">
        <control shapeId="3077" r:id="rId4" name="btnBly">
          <controlPr defaultSize="0" autoLine="0" r:id="rId5">
            <anchor moveWithCells="1">
              <from>
                <xdr:col>6</xdr:col>
                <xdr:colOff>657225</xdr:colOff>
                <xdr:row>11</xdr:row>
                <xdr:rowOff>85725</xdr:rowOff>
              </from>
              <to>
                <xdr:col>7</xdr:col>
                <xdr:colOff>1095375</xdr:colOff>
                <xdr:row>11</xdr:row>
                <xdr:rowOff>438150</xdr:rowOff>
              </to>
            </anchor>
          </controlPr>
        </control>
      </mc:Choice>
      <mc:Fallback>
        <control shapeId="3077" r:id="rId4" name="btnBly"/>
      </mc:Fallback>
    </mc:AlternateContent>
    <mc:AlternateContent xmlns:mc="http://schemas.openxmlformats.org/markup-compatibility/2006">
      <mc:Choice Requires="x14">
        <control shapeId="3076" r:id="rId6" name="btnBt">
          <controlPr defaultSize="0" autoLine="0" r:id="rId7">
            <anchor moveWithCells="1">
              <from>
                <xdr:col>6</xdr:col>
                <xdr:colOff>676275</xdr:colOff>
                <xdr:row>10</xdr:row>
                <xdr:rowOff>85725</xdr:rowOff>
              </from>
              <to>
                <xdr:col>7</xdr:col>
                <xdr:colOff>1504950</xdr:colOff>
                <xdr:row>10</xdr:row>
                <xdr:rowOff>438150</xdr:rowOff>
              </to>
            </anchor>
          </controlPr>
        </control>
      </mc:Choice>
      <mc:Fallback>
        <control shapeId="3076" r:id="rId6" name="btnBt"/>
      </mc:Fallback>
    </mc:AlternateContent>
    <mc:AlternateContent xmlns:mc="http://schemas.openxmlformats.org/markup-compatibility/2006">
      <mc:Choice Requires="x14">
        <control shapeId="3073" r:id="rId8" name="CommandButton1">
          <controlPr defaultSize="0" autoLine="0" r:id="rId9">
            <anchor moveWithCells="1">
              <from>
                <xdr:col>8</xdr:col>
                <xdr:colOff>257175</xdr:colOff>
                <xdr:row>10</xdr:row>
                <xdr:rowOff>38100</xdr:rowOff>
              </from>
              <to>
                <xdr:col>8</xdr:col>
                <xdr:colOff>1257300</xdr:colOff>
                <xdr:row>10</xdr:row>
                <xdr:rowOff>409575</xdr:rowOff>
              </to>
            </anchor>
          </controlPr>
        </control>
      </mc:Choice>
      <mc:Fallback>
        <control shapeId="3073" r:id="rId8" name="CommandButton1"/>
      </mc:Fallback>
    </mc:AlternateContent>
    <mc:AlternateContent xmlns:mc="http://schemas.openxmlformats.org/markup-compatibility/2006">
      <mc:Choice Requires="x14">
        <control shapeId="3074" r:id="rId10" name="cmd_LUU_IN_TUYENGIAP">
          <controlPr defaultSize="0" autoLine="0" r:id="rId11">
            <anchor moveWithCells="1">
              <from>
                <xdr:col>8</xdr:col>
                <xdr:colOff>2038350</xdr:colOff>
                <xdr:row>10</xdr:row>
                <xdr:rowOff>76200</xdr:rowOff>
              </from>
              <to>
                <xdr:col>9</xdr:col>
                <xdr:colOff>9525</xdr:colOff>
                <xdr:row>10</xdr:row>
                <xdr:rowOff>428625</xdr:rowOff>
              </to>
            </anchor>
          </controlPr>
        </control>
      </mc:Choice>
      <mc:Fallback>
        <control shapeId="3074" r:id="rId10" name="cmd_LUU_IN_TUYENGIA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pageSetUpPr fitToPage="1"/>
  </sheetPr>
  <dimension ref="B1:N24"/>
  <sheetViews>
    <sheetView showGridLines="0" topLeftCell="B1" zoomScale="90" zoomScaleNormal="90" workbookViewId="0">
      <selection activeCell="C12" sqref="C12:F12"/>
    </sheetView>
  </sheetViews>
  <sheetFormatPr defaultColWidth="9.125" defaultRowHeight="14.25"/>
  <cols>
    <col min="1" max="1" width="3.75" style="1" customWidth="1"/>
    <col min="2" max="2" width="19.375" style="1" customWidth="1"/>
    <col min="3" max="3" width="53.125" style="1" customWidth="1"/>
    <col min="4" max="4" width="13.75" style="1" customWidth="1"/>
    <col min="5" max="5" width="12.625" style="1" bestFit="1" customWidth="1"/>
    <col min="6" max="6" width="8" style="1" customWidth="1"/>
    <col min="7" max="7" width="9.125" style="1"/>
    <col min="8" max="8" width="25.875" style="1" customWidth="1"/>
    <col min="9" max="9" width="42.875" style="24" customWidth="1"/>
    <col min="10" max="10" width="18" style="95" customWidth="1"/>
    <col min="11" max="16384" width="9.125" style="1"/>
  </cols>
  <sheetData>
    <row r="1" spans="2:14" ht="15.75" customHeight="1" thickBot="1">
      <c r="C1" s="220"/>
      <c r="D1" s="221"/>
      <c r="E1" s="221"/>
      <c r="F1" s="221"/>
    </row>
    <row r="2" spans="2:14" ht="18.75" customHeight="1">
      <c r="C2" s="221"/>
      <c r="D2" s="221"/>
      <c r="E2" s="221"/>
      <c r="F2" s="221"/>
      <c r="H2" s="239" t="s">
        <v>126</v>
      </c>
      <c r="I2" s="212"/>
      <c r="J2" s="96"/>
      <c r="K2" s="5"/>
    </row>
    <row r="3" spans="2:14" ht="30.75" customHeight="1">
      <c r="C3" s="221"/>
      <c r="D3" s="221"/>
      <c r="E3" s="221"/>
      <c r="F3" s="221"/>
      <c r="H3" s="240"/>
      <c r="I3" s="213"/>
      <c r="J3" s="96"/>
      <c r="K3" s="5"/>
    </row>
    <row r="4" spans="2:14" ht="37.5" customHeight="1" thickBot="1">
      <c r="B4" s="238" t="s">
        <v>80</v>
      </c>
      <c r="C4" s="238"/>
      <c r="D4" s="238"/>
      <c r="E4" s="238"/>
      <c r="F4" s="238"/>
      <c r="H4" s="240"/>
      <c r="I4" s="213"/>
      <c r="J4" s="96"/>
      <c r="K4" s="5"/>
    </row>
    <row r="5" spans="2:14" ht="27" customHeight="1">
      <c r="B5" s="97" t="s">
        <v>25</v>
      </c>
      <c r="C5" s="47" t="str">
        <f>IFERROR(VLOOKUP($I$2,DanhSach!$A:$M,5,0),"Không có")</f>
        <v>Không có</v>
      </c>
      <c r="D5" s="98" t="s">
        <v>30</v>
      </c>
      <c r="E5" s="51" t="str">
        <f>IFERROR(VLOOKUP($I$2,DanhSach!$A:$M,7,0),"Không có")</f>
        <v>Không có</v>
      </c>
      <c r="F5" s="99"/>
      <c r="H5" s="26" t="s">
        <v>9</v>
      </c>
      <c r="I5" s="128" t="str">
        <f>OB_Nam!I5</f>
        <v>test</v>
      </c>
    </row>
    <row r="6" spans="2:14" ht="27" customHeight="1">
      <c r="B6" s="103" t="s">
        <v>26</v>
      </c>
      <c r="C6" s="49" t="str">
        <f>IFERROR(VLOOKUP($I$2,DanhSach!$A:$M,9,0),"Không có")</f>
        <v>Không có</v>
      </c>
      <c r="D6" s="88" t="s">
        <v>31</v>
      </c>
      <c r="E6" s="50" t="str">
        <f>IFERROR(VLOOKUP($I$2,DanhSach!$A:$M,6,0),"Không có")</f>
        <v>Không có</v>
      </c>
      <c r="F6" s="104"/>
      <c r="H6" s="26" t="s">
        <v>12</v>
      </c>
      <c r="I6" s="128" t="str">
        <f>OB_Nam!I6</f>
        <v>test</v>
      </c>
      <c r="J6" s="133"/>
    </row>
    <row r="7" spans="2:14" ht="27" customHeight="1">
      <c r="B7" s="103" t="s">
        <v>27</v>
      </c>
      <c r="C7" s="49" t="str">
        <f>IFERROR(VLOOKUP($I$2,DanhSach!$A:$M,4,0),"Không có")</f>
        <v>Không có</v>
      </c>
      <c r="D7" s="88" t="s">
        <v>32</v>
      </c>
      <c r="E7" s="50" t="str">
        <f>IFERROR(VLOOKUP($I$2,DanhSach!$A:$M,3,0),"Không có")</f>
        <v>Không có</v>
      </c>
      <c r="F7" s="104"/>
      <c r="H7" s="26" t="s">
        <v>10</v>
      </c>
      <c r="I7" s="134" t="str">
        <f>OB_Nam!I7</f>
        <v>23/08/2025</v>
      </c>
      <c r="J7" s="135"/>
      <c r="K7" s="136" t="s">
        <v>101</v>
      </c>
    </row>
    <row r="8" spans="2:14" ht="27" customHeight="1">
      <c r="B8" s="103" t="s">
        <v>28</v>
      </c>
      <c r="C8" s="50" t="str">
        <f>IFERROR(VLOOKUP($I$2,DanhSach!$A:$M,8,0),"Không có")</f>
        <v>Không có</v>
      </c>
      <c r="D8" s="88"/>
      <c r="E8" s="88"/>
      <c r="F8" s="104"/>
      <c r="H8" s="26" t="s">
        <v>11</v>
      </c>
      <c r="I8" s="128" t="str">
        <f>OB_Nam!I8</f>
        <v>M3</v>
      </c>
      <c r="J8" s="133"/>
    </row>
    <row r="9" spans="2:14" ht="27" customHeight="1" thickBot="1">
      <c r="B9" s="103" t="s">
        <v>29</v>
      </c>
      <c r="C9" s="50" t="s">
        <v>79</v>
      </c>
      <c r="D9" s="108" t="str">
        <f>IF(OR(E6="Nam",E6="Male"),"Nhầm form SA Nam/Nữ","")</f>
        <v/>
      </c>
      <c r="E9" s="88"/>
      <c r="F9" s="104"/>
      <c r="H9" s="29" t="s">
        <v>55</v>
      </c>
      <c r="I9" s="138" t="str">
        <f>OB_Nam!I9</f>
        <v>D:\Downloads\</v>
      </c>
      <c r="J9" s="133"/>
    </row>
    <row r="10" spans="2:14" ht="9.75" customHeight="1" thickBot="1">
      <c r="B10" s="111"/>
      <c r="C10" s="112"/>
      <c r="D10" s="112"/>
      <c r="E10" s="112"/>
      <c r="F10" s="113"/>
    </row>
    <row r="11" spans="2:14" ht="37.5" customHeight="1">
      <c r="B11" s="215" t="s">
        <v>13</v>
      </c>
      <c r="C11" s="215"/>
      <c r="D11" s="215"/>
      <c r="E11" s="215"/>
      <c r="F11" s="215"/>
      <c r="N11" s="20"/>
    </row>
    <row r="12" spans="2:14" ht="76.5" customHeight="1">
      <c r="B12" s="155" t="s">
        <v>75</v>
      </c>
      <c r="C12" s="210" t="s">
        <v>76</v>
      </c>
      <c r="D12" s="210"/>
      <c r="E12" s="210"/>
      <c r="F12" s="210"/>
    </row>
    <row r="13" spans="2:14" ht="78.75" customHeight="1">
      <c r="B13" s="155" t="s">
        <v>109</v>
      </c>
      <c r="C13" s="210" t="s">
        <v>76</v>
      </c>
      <c r="D13" s="210"/>
      <c r="E13" s="210"/>
      <c r="F13" s="210"/>
      <c r="H13" s="144" t="s">
        <v>90</v>
      </c>
      <c r="I13" s="154">
        <v>2020</v>
      </c>
      <c r="J13" s="6"/>
    </row>
    <row r="14" spans="2:14" ht="45" customHeight="1">
      <c r="B14" s="155" t="s">
        <v>73</v>
      </c>
      <c r="C14" s="210" t="s">
        <v>77</v>
      </c>
      <c r="D14" s="210"/>
      <c r="E14" s="210"/>
      <c r="F14" s="210"/>
      <c r="H14" s="233" t="s">
        <v>93</v>
      </c>
      <c r="I14" s="219" t="str">
        <f>IFERROR(VLOOKUP($I$2,DanhSach!$A:$M,12,0),"Không có")</f>
        <v>Không có</v>
      </c>
      <c r="J14" s="5"/>
    </row>
    <row r="15" spans="2:14" ht="62.25" customHeight="1">
      <c r="B15" s="145" t="s">
        <v>42</v>
      </c>
      <c r="C15" s="235" t="s">
        <v>78</v>
      </c>
      <c r="D15" s="235"/>
      <c r="E15" s="235"/>
      <c r="F15" s="235"/>
      <c r="H15" s="233"/>
      <c r="I15" s="219"/>
      <c r="J15" s="5"/>
    </row>
    <row r="16" spans="2:14" ht="36" customHeight="1">
      <c r="B16" s="156"/>
      <c r="C16" s="88"/>
      <c r="D16" s="89" t="str">
        <f>"Ngày " &amp; DAY($I$7) &amp; " tháng " &amp; MONTH($I$7) &amp; " năm " &amp; YEAR($I$7)</f>
        <v>Ngày 23 tháng 8 năm 2025</v>
      </c>
      <c r="E16" s="157"/>
      <c r="F16" s="157"/>
      <c r="H16" s="5"/>
      <c r="I16" s="223"/>
      <c r="J16" s="223"/>
    </row>
    <row r="17" spans="2:14" ht="18" customHeight="1">
      <c r="B17" s="87"/>
      <c r="C17" s="92" t="s">
        <v>44</v>
      </c>
      <c r="D17" s="222" t="s">
        <v>43</v>
      </c>
      <c r="E17" s="222"/>
      <c r="F17" s="87"/>
      <c r="H17" s="5"/>
      <c r="I17" s="223"/>
      <c r="J17" s="223"/>
    </row>
    <row r="18" spans="2:14" ht="18" customHeight="1">
      <c r="B18" s="87"/>
      <c r="C18" s="88"/>
      <c r="D18" s="88"/>
      <c r="E18" s="88"/>
      <c r="F18" s="87"/>
    </row>
    <row r="19" spans="2:14" ht="39" customHeight="1"/>
    <row r="20" spans="2:14" ht="18" customHeight="1">
      <c r="B20" s="2"/>
      <c r="I20" s="148"/>
      <c r="J20" s="149"/>
      <c r="N20" s="5"/>
    </row>
    <row r="21" spans="2:14" s="31" customFormat="1" ht="18" customHeight="1">
      <c r="B21" s="158"/>
      <c r="C21" s="158" t="str">
        <f>I6</f>
        <v>test</v>
      </c>
      <c r="D21" s="158" t="str">
        <f>I5</f>
        <v>test</v>
      </c>
      <c r="E21" s="158"/>
      <c r="F21" s="158"/>
      <c r="H21" s="158"/>
      <c r="I21" s="159"/>
      <c r="J21" s="160"/>
    </row>
    <row r="22" spans="2:14" s="5" customFormat="1" ht="18" customHeight="1">
      <c r="B22" s="1"/>
      <c r="C22" s="1"/>
      <c r="D22" s="1"/>
      <c r="E22" s="1"/>
      <c r="F22" s="1"/>
      <c r="H22" s="1"/>
      <c r="I22" s="151"/>
      <c r="J22" s="152"/>
    </row>
    <row r="24" spans="2:14">
      <c r="I24" s="151"/>
      <c r="J24" s="152"/>
      <c r="K24" s="153"/>
    </row>
  </sheetData>
  <sheetProtection sheet="1" objects="1" scenarios="1" selectLockedCells="1"/>
  <mergeCells count="14">
    <mergeCell ref="I2:I4"/>
    <mergeCell ref="B4:F4"/>
    <mergeCell ref="I14:I15"/>
    <mergeCell ref="B11:F11"/>
    <mergeCell ref="C12:F12"/>
    <mergeCell ref="C13:F13"/>
    <mergeCell ref="H14:H15"/>
    <mergeCell ref="H2:H4"/>
    <mergeCell ref="C1:F3"/>
    <mergeCell ref="D17:E17"/>
    <mergeCell ref="I16:J16"/>
    <mergeCell ref="I17:J17"/>
    <mergeCell ref="C14:F14"/>
    <mergeCell ref="C15:F15"/>
  </mergeCell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101" r:id="rId4" name="btnBly">
          <controlPr defaultSize="0" autoLine="0" r:id="rId5">
            <anchor moveWithCells="1">
              <from>
                <xdr:col>6</xdr:col>
                <xdr:colOff>676275</xdr:colOff>
                <xdr:row>11</xdr:row>
                <xdr:rowOff>295275</xdr:rowOff>
              </from>
              <to>
                <xdr:col>7</xdr:col>
                <xdr:colOff>1095375</xdr:colOff>
                <xdr:row>11</xdr:row>
                <xdr:rowOff>647700</xdr:rowOff>
              </to>
            </anchor>
          </controlPr>
        </control>
      </mc:Choice>
      <mc:Fallback>
        <control shapeId="4101" r:id="rId4" name="btnBly"/>
      </mc:Fallback>
    </mc:AlternateContent>
    <mc:AlternateContent xmlns:mc="http://schemas.openxmlformats.org/markup-compatibility/2006">
      <mc:Choice Requires="x14">
        <control shapeId="4100" r:id="rId6" name="btnBt">
          <controlPr defaultSize="0" autoLine="0" r:id="rId7">
            <anchor moveWithCells="1">
              <from>
                <xdr:col>6</xdr:col>
                <xdr:colOff>676275</xdr:colOff>
                <xdr:row>10</xdr:row>
                <xdr:rowOff>85725</xdr:rowOff>
              </from>
              <to>
                <xdr:col>7</xdr:col>
                <xdr:colOff>1504950</xdr:colOff>
                <xdr:row>10</xdr:row>
                <xdr:rowOff>438150</xdr:rowOff>
              </to>
            </anchor>
          </controlPr>
        </control>
      </mc:Choice>
      <mc:Fallback>
        <control shapeId="4100" r:id="rId6" name="btnBt"/>
      </mc:Fallback>
    </mc:AlternateContent>
    <mc:AlternateContent xmlns:mc="http://schemas.openxmlformats.org/markup-compatibility/2006">
      <mc:Choice Requires="x14">
        <control shapeId="4097" r:id="rId8" name="CommandButton1">
          <controlPr defaultSize="0" autoLine="0" r:id="rId9">
            <anchor moveWithCells="1">
              <from>
                <xdr:col>7</xdr:col>
                <xdr:colOff>1952625</xdr:colOff>
                <xdr:row>10</xdr:row>
                <xdr:rowOff>76200</xdr:rowOff>
              </from>
              <to>
                <xdr:col>8</xdr:col>
                <xdr:colOff>990600</xdr:colOff>
                <xdr:row>10</xdr:row>
                <xdr:rowOff>447675</xdr:rowOff>
              </to>
            </anchor>
          </controlPr>
        </control>
      </mc:Choice>
      <mc:Fallback>
        <control shapeId="4097" r:id="rId8" name="CommandButton1"/>
      </mc:Fallback>
    </mc:AlternateContent>
    <mc:AlternateContent xmlns:mc="http://schemas.openxmlformats.org/markup-compatibility/2006">
      <mc:Choice Requires="x14">
        <control shapeId="4098" r:id="rId10" name="cmd_LUU_IN_TUYENVU">
          <controlPr defaultSize="0" autoLine="0" r:id="rId11">
            <anchor moveWithCells="1">
              <from>
                <xdr:col>8</xdr:col>
                <xdr:colOff>2162175</xdr:colOff>
                <xdr:row>10</xdr:row>
                <xdr:rowOff>57150</xdr:rowOff>
              </from>
              <to>
                <xdr:col>9</xdr:col>
                <xdr:colOff>0</xdr:colOff>
                <xdr:row>10</xdr:row>
                <xdr:rowOff>409575</xdr:rowOff>
              </to>
            </anchor>
          </controlPr>
        </control>
      </mc:Choice>
      <mc:Fallback>
        <control shapeId="4098" r:id="rId10" name="cmd_LUU_IN_TUYENVU"/>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89999084444715716"/>
    <pageSetUpPr fitToPage="1"/>
  </sheetPr>
  <dimension ref="B1:N24"/>
  <sheetViews>
    <sheetView showGridLines="0" zoomScale="85" zoomScaleNormal="85" workbookViewId="0">
      <selection activeCell="C12" sqref="C12:F12"/>
    </sheetView>
  </sheetViews>
  <sheetFormatPr defaultColWidth="9.125" defaultRowHeight="14.25"/>
  <cols>
    <col min="1" max="1" width="3.75" style="1" customWidth="1"/>
    <col min="2" max="2" width="26.75" style="1" customWidth="1"/>
    <col min="3" max="3" width="53.125" style="1" customWidth="1"/>
    <col min="4" max="4" width="13.75" style="1" customWidth="1"/>
    <col min="5" max="5" width="12.625" style="1" bestFit="1" customWidth="1"/>
    <col min="6" max="7" width="9.125" style="1"/>
    <col min="8" max="8" width="25.875" style="1" customWidth="1"/>
    <col min="9" max="9" width="41.25" style="1" customWidth="1"/>
    <col min="10" max="10" width="18" style="95" customWidth="1"/>
    <col min="11" max="16384" width="9.125" style="1"/>
  </cols>
  <sheetData>
    <row r="1" spans="2:14" ht="15.75" customHeight="1" thickBot="1">
      <c r="C1" s="220"/>
      <c r="D1" s="221"/>
      <c r="E1" s="221"/>
      <c r="F1" s="221"/>
    </row>
    <row r="2" spans="2:14" ht="18.75" customHeight="1">
      <c r="C2" s="221"/>
      <c r="D2" s="221"/>
      <c r="E2" s="221"/>
      <c r="F2" s="221"/>
      <c r="H2" s="244" t="s">
        <v>126</v>
      </c>
      <c r="I2" s="246"/>
      <c r="J2" s="96"/>
      <c r="K2" s="5"/>
    </row>
    <row r="3" spans="2:14" ht="30.75" customHeight="1">
      <c r="C3" s="221"/>
      <c r="D3" s="221"/>
      <c r="E3" s="221"/>
      <c r="F3" s="221"/>
      <c r="H3" s="245"/>
      <c r="I3" s="247"/>
      <c r="J3" s="96"/>
      <c r="K3" s="5"/>
    </row>
    <row r="4" spans="2:14" ht="37.5" customHeight="1" thickBot="1">
      <c r="B4" s="248" t="s">
        <v>81</v>
      </c>
      <c r="C4" s="248"/>
      <c r="D4" s="248"/>
      <c r="E4" s="248"/>
      <c r="F4" s="248"/>
      <c r="H4" s="245"/>
      <c r="I4" s="247"/>
      <c r="J4" s="96"/>
      <c r="K4" s="5"/>
    </row>
    <row r="5" spans="2:14" ht="27" customHeight="1">
      <c r="B5" s="161" t="s">
        <v>25</v>
      </c>
      <c r="C5" s="58" t="str">
        <f>IFERROR(VLOOKUP($I$2,DanhSach!$A:$M,5,0),"Không có")</f>
        <v>Không có</v>
      </c>
      <c r="D5" s="162" t="s">
        <v>30</v>
      </c>
      <c r="E5" s="59" t="str">
        <f>IFERROR(VLOOKUP($I$2,DanhSach!$A:$M,7,0),"Không có")</f>
        <v>Không có</v>
      </c>
      <c r="F5" s="163"/>
      <c r="H5" s="26" t="s">
        <v>9</v>
      </c>
      <c r="I5" s="128" t="str">
        <f>OB_Nam!I5</f>
        <v>test</v>
      </c>
    </row>
    <row r="6" spans="2:14" ht="27" customHeight="1">
      <c r="B6" s="164" t="s">
        <v>26</v>
      </c>
      <c r="C6" s="57" t="str">
        <f>IFERROR(VLOOKUP($I$2,DanhSach!$A:$M,9,0),"Không có")</f>
        <v>Không có</v>
      </c>
      <c r="D6" s="165" t="s">
        <v>31</v>
      </c>
      <c r="E6" s="56" t="str">
        <f>IFERROR(VLOOKUP($I$2,DanhSach!$A:$M,6,0),"Không có")</f>
        <v>Không có</v>
      </c>
      <c r="F6" s="166"/>
      <c r="H6" s="26" t="s">
        <v>12</v>
      </c>
      <c r="I6" s="128" t="str">
        <f>OB_Nam!I6</f>
        <v>test</v>
      </c>
      <c r="J6" s="133"/>
    </row>
    <row r="7" spans="2:14" ht="27" customHeight="1">
      <c r="B7" s="164" t="s">
        <v>27</v>
      </c>
      <c r="C7" s="57" t="str">
        <f>IFERROR(VLOOKUP($I$2,DanhSach!$A:$M,4,0),"Không có")</f>
        <v>Không có</v>
      </c>
      <c r="D7" s="165" t="s">
        <v>32</v>
      </c>
      <c r="E7" s="56" t="str">
        <f>IFERROR(VLOOKUP($I$2,DanhSach!$A:$M,3,0),"Không có")</f>
        <v>Không có</v>
      </c>
      <c r="F7" s="166"/>
      <c r="H7" s="26" t="s">
        <v>10</v>
      </c>
      <c r="I7" s="134" t="str">
        <f>OB_Nam!I7</f>
        <v>23/08/2025</v>
      </c>
      <c r="J7" s="135"/>
      <c r="K7" s="136" t="s">
        <v>101</v>
      </c>
    </row>
    <row r="8" spans="2:14" ht="27" customHeight="1">
      <c r="B8" s="164" t="s">
        <v>28</v>
      </c>
      <c r="C8" s="56" t="str">
        <f>IFERROR(VLOOKUP($I$2,DanhSach!$A:$M,8,0),"Không có")</f>
        <v>Không có</v>
      </c>
      <c r="D8" s="165"/>
      <c r="E8" s="165"/>
      <c r="F8" s="166"/>
      <c r="H8" s="26" t="s">
        <v>11</v>
      </c>
      <c r="I8" s="128" t="str">
        <f>OB_Nam!I8</f>
        <v>M3</v>
      </c>
      <c r="J8" s="133"/>
    </row>
    <row r="9" spans="2:14" ht="27" customHeight="1" thickBot="1">
      <c r="B9" s="164" t="s">
        <v>29</v>
      </c>
      <c r="C9" s="56" t="s">
        <v>82</v>
      </c>
      <c r="D9" s="167" t="str">
        <f>IF(OR(E6="Nam",E6="Male"),"Nhầm form SA Nam/Nữ","")</f>
        <v/>
      </c>
      <c r="E9" s="165"/>
      <c r="F9" s="166"/>
      <c r="H9" s="29" t="s">
        <v>55</v>
      </c>
      <c r="I9" s="138" t="str">
        <f>OB_Nam!I9</f>
        <v>D:\Downloads\</v>
      </c>
      <c r="J9" s="133"/>
    </row>
    <row r="10" spans="2:14" ht="9.75" customHeight="1" thickBot="1">
      <c r="B10" s="168"/>
      <c r="C10" s="169"/>
      <c r="D10" s="169"/>
      <c r="E10" s="169"/>
      <c r="F10" s="170"/>
    </row>
    <row r="11" spans="2:14" ht="37.5" customHeight="1">
      <c r="B11" s="249" t="s">
        <v>13</v>
      </c>
      <c r="C11" s="249"/>
      <c r="D11" s="249"/>
      <c r="E11" s="249"/>
      <c r="F11" s="249"/>
      <c r="N11" s="20"/>
    </row>
    <row r="12" spans="2:14" ht="81.75" customHeight="1">
      <c r="B12" s="171" t="s">
        <v>84</v>
      </c>
      <c r="C12" s="242" t="s">
        <v>85</v>
      </c>
      <c r="D12" s="242"/>
      <c r="E12" s="242"/>
      <c r="F12" s="242"/>
    </row>
    <row r="13" spans="2:14" ht="33" customHeight="1">
      <c r="B13" s="171" t="s">
        <v>130</v>
      </c>
      <c r="C13" s="242" t="s">
        <v>128</v>
      </c>
      <c r="D13" s="242"/>
      <c r="E13" s="242"/>
      <c r="F13" s="242"/>
      <c r="H13" s="144" t="s">
        <v>90</v>
      </c>
      <c r="I13" s="144">
        <v>2020</v>
      </c>
      <c r="J13" s="6"/>
    </row>
    <row r="14" spans="2:14" ht="31.5" customHeight="1">
      <c r="B14" s="171" t="s">
        <v>131</v>
      </c>
      <c r="C14" s="242" t="s">
        <v>128</v>
      </c>
      <c r="D14" s="242"/>
      <c r="E14" s="242"/>
      <c r="F14" s="242"/>
      <c r="H14" s="233" t="s">
        <v>94</v>
      </c>
      <c r="I14" s="219" t="str">
        <f>IFERROR(VLOOKUP($I$2,DanhSach!$A:$M,13,0),"Không có")</f>
        <v>Không có</v>
      </c>
      <c r="J14" s="5"/>
    </row>
    <row r="15" spans="2:14" ht="43.5" customHeight="1">
      <c r="B15" s="171" t="s">
        <v>132</v>
      </c>
      <c r="C15" s="242" t="s">
        <v>129</v>
      </c>
      <c r="D15" s="242"/>
      <c r="E15" s="242"/>
      <c r="F15" s="242"/>
      <c r="H15" s="233"/>
      <c r="I15" s="219"/>
      <c r="J15" s="5"/>
    </row>
    <row r="16" spans="2:14" ht="36" customHeight="1">
      <c r="B16" s="145" t="s">
        <v>42</v>
      </c>
      <c r="C16" s="243" t="s">
        <v>83</v>
      </c>
      <c r="D16" s="243"/>
      <c r="E16" s="243"/>
      <c r="F16" s="243"/>
      <c r="H16" s="5"/>
      <c r="I16" s="223"/>
      <c r="J16" s="223"/>
    </row>
    <row r="17" spans="2:14" ht="36" customHeight="1">
      <c r="B17" s="31"/>
      <c r="C17" s="165"/>
      <c r="D17" s="172" t="str">
        <f>"Ngày " &amp; DAY($I$7) &amp; " tháng " &amp; MONTH($I$7) &amp; " năm " &amp; YEAR($I$7)</f>
        <v>Ngày 23 tháng 8 năm 2025</v>
      </c>
      <c r="E17" s="165"/>
      <c r="F17" s="31"/>
      <c r="H17" s="5"/>
      <c r="I17" s="223"/>
      <c r="J17" s="223"/>
    </row>
    <row r="18" spans="2:14" ht="36" customHeight="1">
      <c r="B18" s="31"/>
      <c r="C18" s="159" t="s">
        <v>44</v>
      </c>
      <c r="D18" s="241" t="s">
        <v>43</v>
      </c>
      <c r="E18" s="241"/>
      <c r="F18" s="31"/>
    </row>
    <row r="19" spans="2:14" ht="36" customHeight="1"/>
    <row r="20" spans="2:14" ht="49.5" customHeight="1">
      <c r="B20" s="2"/>
      <c r="I20" s="173"/>
      <c r="J20" s="149"/>
      <c r="N20" s="5"/>
    </row>
    <row r="21" spans="2:14" s="5" customFormat="1" ht="4.5" customHeight="1">
      <c r="B21" s="1"/>
      <c r="C21" s="1"/>
      <c r="D21" s="1"/>
      <c r="E21" s="1"/>
      <c r="F21" s="1"/>
      <c r="H21" s="1"/>
      <c r="I21" s="1"/>
      <c r="J21" s="95"/>
    </row>
    <row r="22" spans="2:14" s="87" customFormat="1" ht="18.75" customHeight="1">
      <c r="B22" s="91"/>
      <c r="C22" s="158" t="str">
        <f>I6</f>
        <v>test</v>
      </c>
      <c r="D22" s="159" t="str">
        <f>I5</f>
        <v>test</v>
      </c>
      <c r="E22" s="91"/>
      <c r="F22" s="91"/>
      <c r="H22" s="91"/>
      <c r="J22" s="102"/>
    </row>
    <row r="24" spans="2:14">
      <c r="I24" s="5"/>
      <c r="J24" s="152"/>
      <c r="K24" s="153"/>
    </row>
  </sheetData>
  <sheetProtection sheet="1" objects="1" scenarios="1" selectLockedCells="1"/>
  <mergeCells count="15">
    <mergeCell ref="H2:H4"/>
    <mergeCell ref="I2:I4"/>
    <mergeCell ref="I16:J16"/>
    <mergeCell ref="B4:F4"/>
    <mergeCell ref="B11:F11"/>
    <mergeCell ref="C12:F12"/>
    <mergeCell ref="C13:F13"/>
    <mergeCell ref="H14:H15"/>
    <mergeCell ref="I14:I15"/>
    <mergeCell ref="C1:F3"/>
    <mergeCell ref="D18:E18"/>
    <mergeCell ref="I17:J17"/>
    <mergeCell ref="C14:F14"/>
    <mergeCell ref="C15:F15"/>
    <mergeCell ref="C16:F16"/>
  </mergeCell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5" r:id="rId4" name="btnBly">
          <controlPr defaultSize="0" autoLine="0" r:id="rId5">
            <anchor moveWithCells="1">
              <from>
                <xdr:col>7</xdr:col>
                <xdr:colOff>0</xdr:colOff>
                <xdr:row>11</xdr:row>
                <xdr:rowOff>361950</xdr:rowOff>
              </from>
              <to>
                <xdr:col>7</xdr:col>
                <xdr:colOff>1123950</xdr:colOff>
                <xdr:row>11</xdr:row>
                <xdr:rowOff>714375</xdr:rowOff>
              </to>
            </anchor>
          </controlPr>
        </control>
      </mc:Choice>
      <mc:Fallback>
        <control shapeId="5125" r:id="rId4" name="btnBly"/>
      </mc:Fallback>
    </mc:AlternateContent>
    <mc:AlternateContent xmlns:mc="http://schemas.openxmlformats.org/markup-compatibility/2006">
      <mc:Choice Requires="x14">
        <control shapeId="5124" r:id="rId6" name="btnBt">
          <controlPr defaultSize="0" autoLine="0" r:id="rId7">
            <anchor moveWithCells="1">
              <from>
                <xdr:col>6</xdr:col>
                <xdr:colOff>676275</xdr:colOff>
                <xdr:row>10</xdr:row>
                <xdr:rowOff>85725</xdr:rowOff>
              </from>
              <to>
                <xdr:col>7</xdr:col>
                <xdr:colOff>1514475</xdr:colOff>
                <xdr:row>10</xdr:row>
                <xdr:rowOff>438150</xdr:rowOff>
              </to>
            </anchor>
          </controlPr>
        </control>
      </mc:Choice>
      <mc:Fallback>
        <control shapeId="5124" r:id="rId6" name="btnBt"/>
      </mc:Fallback>
    </mc:AlternateContent>
    <mc:AlternateContent xmlns:mc="http://schemas.openxmlformats.org/markup-compatibility/2006">
      <mc:Choice Requires="x14">
        <control shapeId="5121" r:id="rId8" name="CommandButton1">
          <controlPr defaultSize="0" autoLine="0" r:id="rId9">
            <anchor moveWithCells="1">
              <from>
                <xdr:col>8</xdr:col>
                <xdr:colOff>19050</xdr:colOff>
                <xdr:row>10</xdr:row>
                <xdr:rowOff>95250</xdr:rowOff>
              </from>
              <to>
                <xdr:col>8</xdr:col>
                <xdr:colOff>1019175</xdr:colOff>
                <xdr:row>10</xdr:row>
                <xdr:rowOff>466725</xdr:rowOff>
              </to>
            </anchor>
          </controlPr>
        </control>
      </mc:Choice>
      <mc:Fallback>
        <control shapeId="5121" r:id="rId8" name="CommandButton1"/>
      </mc:Fallback>
    </mc:AlternateContent>
    <mc:AlternateContent xmlns:mc="http://schemas.openxmlformats.org/markup-compatibility/2006">
      <mc:Choice Requires="x14">
        <control shapeId="5122" r:id="rId10" name="cmd_LUU_IN_TCPP">
          <controlPr defaultSize="0" autoLine="0" r:id="rId11">
            <anchor moveWithCells="1">
              <from>
                <xdr:col>8</xdr:col>
                <xdr:colOff>2047875</xdr:colOff>
                <xdr:row>10</xdr:row>
                <xdr:rowOff>85725</xdr:rowOff>
              </from>
              <to>
                <xdr:col>9</xdr:col>
                <xdr:colOff>19050</xdr:colOff>
                <xdr:row>10</xdr:row>
                <xdr:rowOff>438150</xdr:rowOff>
              </to>
            </anchor>
          </controlPr>
        </control>
      </mc:Choice>
      <mc:Fallback>
        <control shapeId="5122" r:id="rId10" name="cmd_LUU_IN_TCPP"/>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sheetPr>
  <dimension ref="A1:M72"/>
  <sheetViews>
    <sheetView zoomScaleNormal="100" workbookViewId="0">
      <selection activeCell="A2" sqref="A2:XFD2"/>
    </sheetView>
  </sheetViews>
  <sheetFormatPr defaultColWidth="9.125" defaultRowHeight="15"/>
  <cols>
    <col min="1" max="1" width="8.125" style="45" customWidth="1"/>
    <col min="2" max="2" width="29.875" style="46" customWidth="1"/>
    <col min="3" max="3" width="14.375" style="46" customWidth="1"/>
    <col min="4" max="4" width="45" style="46" customWidth="1"/>
    <col min="5" max="5" width="44" style="46" customWidth="1"/>
    <col min="6" max="6" width="45.875" style="46" customWidth="1"/>
    <col min="7" max="7" width="33.75" style="46" customWidth="1"/>
    <col min="8" max="9" width="27.25" style="46" customWidth="1"/>
    <col min="10" max="13" width="26.375" style="46" customWidth="1"/>
    <col min="14" max="16384" width="9.125" style="35"/>
  </cols>
  <sheetData>
    <row r="1" spans="1:13" ht="30" customHeight="1">
      <c r="A1" s="43" t="s">
        <v>1</v>
      </c>
      <c r="B1" s="43" t="s">
        <v>5</v>
      </c>
      <c r="C1" s="43" t="s">
        <v>97</v>
      </c>
      <c r="D1" s="43" t="s">
        <v>102</v>
      </c>
      <c r="E1" s="43" t="s">
        <v>6</v>
      </c>
      <c r="F1" s="43" t="s">
        <v>7</v>
      </c>
      <c r="G1" s="43" t="s">
        <v>8</v>
      </c>
      <c r="H1" s="43" t="s">
        <v>103</v>
      </c>
      <c r="I1" s="43" t="s">
        <v>104</v>
      </c>
      <c r="J1" s="44" t="s">
        <v>116</v>
      </c>
      <c r="K1" s="43" t="s">
        <v>117</v>
      </c>
      <c r="L1" s="43" t="s">
        <v>118</v>
      </c>
      <c r="M1" s="43" t="s">
        <v>119</v>
      </c>
    </row>
    <row r="29" spans="4:4">
      <c r="D29" s="85"/>
    </row>
    <row r="44" spans="4:4">
      <c r="D44" s="85"/>
    </row>
    <row r="72" spans="4:4">
      <c r="D72" s="8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4BD51-2B83-47A0-BF2D-83D384841B86}">
  <sheetPr codeName="Sheet16"/>
  <dimension ref="A1:E49"/>
  <sheetViews>
    <sheetView topLeftCell="A4" zoomScale="130" zoomScaleNormal="130" workbookViewId="0">
      <selection activeCell="D55" sqref="D55"/>
    </sheetView>
  </sheetViews>
  <sheetFormatPr defaultRowHeight="15"/>
  <cols>
    <col min="1" max="1" width="22.875" style="177" customWidth="1"/>
    <col min="2" max="2" width="13.875" style="177" customWidth="1"/>
    <col min="3" max="3" width="75.125" style="177" customWidth="1"/>
    <col min="4" max="4" width="22.625" style="177" customWidth="1"/>
    <col min="5" max="5" width="12.375" style="176" customWidth="1"/>
    <col min="6" max="16384" width="9" style="177"/>
  </cols>
  <sheetData>
    <row r="1" spans="1:5" ht="45.75" customHeight="1">
      <c r="A1" s="250" t="s">
        <v>408</v>
      </c>
      <c r="B1" s="250"/>
      <c r="C1" s="181" t="s">
        <v>409</v>
      </c>
      <c r="D1" s="181" t="s">
        <v>410</v>
      </c>
      <c r="E1" s="182"/>
    </row>
    <row r="2" spans="1:5">
      <c r="A2" s="256" t="s">
        <v>33</v>
      </c>
      <c r="B2" s="257"/>
      <c r="C2" s="180" t="s">
        <v>396</v>
      </c>
      <c r="D2" s="177" t="s">
        <v>411</v>
      </c>
    </row>
    <row r="3" spans="1:5">
      <c r="A3" s="258"/>
      <c r="B3" s="259"/>
      <c r="C3" s="178" t="s">
        <v>397</v>
      </c>
      <c r="D3" s="177" t="s">
        <v>413</v>
      </c>
    </row>
    <row r="4" spans="1:5">
      <c r="A4" s="258"/>
      <c r="B4" s="259"/>
      <c r="C4" s="178" t="s">
        <v>398</v>
      </c>
      <c r="D4" s="177" t="s">
        <v>414</v>
      </c>
    </row>
    <row r="5" spans="1:5">
      <c r="A5" s="258"/>
      <c r="B5" s="259"/>
      <c r="C5" s="178" t="s">
        <v>399</v>
      </c>
      <c r="D5" s="177" t="s">
        <v>415</v>
      </c>
    </row>
    <row r="6" spans="1:5">
      <c r="A6" s="258"/>
      <c r="B6" s="259"/>
      <c r="C6" s="178" t="s">
        <v>401</v>
      </c>
      <c r="D6" s="177" t="s">
        <v>416</v>
      </c>
    </row>
    <row r="7" spans="1:5">
      <c r="A7" s="258"/>
      <c r="B7" s="259"/>
      <c r="C7" s="178" t="s">
        <v>400</v>
      </c>
      <c r="D7" s="177" t="s">
        <v>417</v>
      </c>
    </row>
    <row r="8" spans="1:5" ht="15.75" thickBot="1">
      <c r="A8" s="260"/>
      <c r="B8" s="261"/>
      <c r="C8" s="179" t="s">
        <v>402</v>
      </c>
      <c r="D8" s="177" t="s">
        <v>418</v>
      </c>
    </row>
    <row r="9" spans="1:5" ht="15.75" thickTop="1">
      <c r="A9" s="262" t="s">
        <v>34</v>
      </c>
      <c r="B9" s="262"/>
      <c r="C9" s="180" t="s">
        <v>419</v>
      </c>
      <c r="D9" s="177" t="s">
        <v>417</v>
      </c>
    </row>
    <row r="10" spans="1:5" ht="15.75" thickBot="1">
      <c r="A10" s="253"/>
      <c r="B10" s="253"/>
      <c r="C10" s="179" t="s">
        <v>420</v>
      </c>
      <c r="D10" s="177" t="s">
        <v>418</v>
      </c>
    </row>
    <row r="11" spans="1:5" ht="15.75" thickTop="1">
      <c r="A11" s="251" t="s">
        <v>35</v>
      </c>
      <c r="B11" s="251"/>
      <c r="C11" s="180" t="s">
        <v>419</v>
      </c>
      <c r="D11" s="177" t="s">
        <v>417</v>
      </c>
    </row>
    <row r="12" spans="1:5" ht="15.75" thickBot="1">
      <c r="A12" s="253"/>
      <c r="B12" s="253"/>
      <c r="C12" s="179" t="s">
        <v>420</v>
      </c>
      <c r="D12" s="177" t="s">
        <v>418</v>
      </c>
    </row>
    <row r="13" spans="1:5" ht="15.75" thickTop="1">
      <c r="A13" s="251" t="s">
        <v>36</v>
      </c>
      <c r="B13" s="251"/>
      <c r="C13" s="180" t="s">
        <v>419</v>
      </c>
      <c r="D13" s="177" t="s">
        <v>417</v>
      </c>
    </row>
    <row r="14" spans="1:5" ht="15.75" thickBot="1">
      <c r="A14" s="253"/>
      <c r="B14" s="253"/>
      <c r="C14" s="179" t="s">
        <v>420</v>
      </c>
      <c r="D14" s="177" t="s">
        <v>418</v>
      </c>
    </row>
    <row r="15" spans="1:5" ht="15.75" thickTop="1">
      <c r="A15" s="251" t="s">
        <v>37</v>
      </c>
      <c r="B15" s="251"/>
      <c r="C15" s="180" t="s">
        <v>419</v>
      </c>
      <c r="D15" s="177" t="s">
        <v>417</v>
      </c>
    </row>
    <row r="16" spans="1:5" ht="15.75" thickBot="1">
      <c r="A16" s="253"/>
      <c r="B16" s="253"/>
      <c r="C16" s="179" t="s">
        <v>420</v>
      </c>
      <c r="D16" s="177" t="s">
        <v>418</v>
      </c>
    </row>
    <row r="17" spans="1:4" ht="15.75" thickTop="1">
      <c r="A17" s="251" t="s">
        <v>38</v>
      </c>
      <c r="B17" s="251"/>
      <c r="C17" s="180" t="s">
        <v>419</v>
      </c>
      <c r="D17" s="177" t="s">
        <v>417</v>
      </c>
    </row>
    <row r="18" spans="1:4" ht="15.75" thickBot="1">
      <c r="A18" s="253"/>
      <c r="B18" s="253"/>
      <c r="C18" s="179" t="s">
        <v>420</v>
      </c>
      <c r="D18" s="177" t="s">
        <v>418</v>
      </c>
    </row>
    <row r="19" spans="1:4" ht="15.75" thickTop="1">
      <c r="A19" s="251" t="s">
        <v>39</v>
      </c>
      <c r="B19" s="251"/>
      <c r="C19" s="180" t="s">
        <v>419</v>
      </c>
      <c r="D19" s="177" t="s">
        <v>417</v>
      </c>
    </row>
    <row r="20" spans="1:4" ht="15.75" thickBot="1">
      <c r="A20" s="253"/>
      <c r="B20" s="253"/>
      <c r="C20" s="179" t="s">
        <v>420</v>
      </c>
      <c r="D20" s="177" t="s">
        <v>418</v>
      </c>
    </row>
    <row r="21" spans="1:4" ht="15.75" thickTop="1">
      <c r="A21" s="251" t="s">
        <v>40</v>
      </c>
      <c r="B21" s="251"/>
      <c r="C21" s="180" t="s">
        <v>419</v>
      </c>
      <c r="D21" s="177" t="s">
        <v>417</v>
      </c>
    </row>
    <row r="22" spans="1:4" ht="15.75" thickBot="1">
      <c r="A22" s="253"/>
      <c r="B22" s="253"/>
      <c r="C22" s="179" t="s">
        <v>420</v>
      </c>
      <c r="D22" s="177" t="s">
        <v>418</v>
      </c>
    </row>
    <row r="23" spans="1:4" ht="15.75" thickTop="1">
      <c r="A23" s="251" t="s">
        <v>41</v>
      </c>
      <c r="B23" s="251"/>
      <c r="C23" s="180" t="s">
        <v>419</v>
      </c>
      <c r="D23" s="177" t="s">
        <v>417</v>
      </c>
    </row>
    <row r="24" spans="1:4" ht="15.75" thickBot="1">
      <c r="A24" s="253"/>
      <c r="B24" s="253"/>
      <c r="C24" s="179" t="s">
        <v>420</v>
      </c>
      <c r="D24" s="177" t="s">
        <v>418</v>
      </c>
    </row>
    <row r="25" spans="1:4" ht="15.75" thickTop="1">
      <c r="A25" s="251" t="s">
        <v>65</v>
      </c>
      <c r="B25" s="251"/>
      <c r="C25" s="180" t="s">
        <v>419</v>
      </c>
      <c r="D25" s="177" t="s">
        <v>417</v>
      </c>
    </row>
    <row r="26" spans="1:4" ht="15.75" thickBot="1">
      <c r="A26" s="253"/>
      <c r="B26" s="253"/>
      <c r="C26" s="179" t="s">
        <v>420</v>
      </c>
      <c r="D26" s="177" t="s">
        <v>418</v>
      </c>
    </row>
    <row r="27" spans="1:4" ht="15.75" thickTop="1">
      <c r="A27" s="251" t="s">
        <v>110</v>
      </c>
      <c r="B27" s="251"/>
      <c r="C27" s="180" t="s">
        <v>419</v>
      </c>
      <c r="D27" s="177" t="s">
        <v>417</v>
      </c>
    </row>
    <row r="28" spans="1:4" ht="15.75" thickBot="1">
      <c r="A28" s="253"/>
      <c r="B28" s="253"/>
      <c r="C28" s="179" t="s">
        <v>420</v>
      </c>
      <c r="D28" s="177" t="s">
        <v>418</v>
      </c>
    </row>
    <row r="29" spans="1:4" ht="15.75" thickTop="1">
      <c r="A29" s="251" t="s">
        <v>111</v>
      </c>
      <c r="B29" s="251"/>
      <c r="C29" s="180" t="s">
        <v>419</v>
      </c>
      <c r="D29" s="177" t="s">
        <v>417</v>
      </c>
    </row>
    <row r="30" spans="1:4" ht="15.75" thickBot="1">
      <c r="A30" s="253"/>
      <c r="B30" s="253"/>
      <c r="C30" s="179" t="s">
        <v>420</v>
      </c>
      <c r="D30" s="177" t="s">
        <v>418</v>
      </c>
    </row>
    <row r="31" spans="1:4" ht="15.75" thickTop="1">
      <c r="A31" s="251" t="s">
        <v>71</v>
      </c>
      <c r="B31" s="251"/>
      <c r="C31" s="180" t="s">
        <v>419</v>
      </c>
      <c r="D31" s="177" t="s">
        <v>417</v>
      </c>
    </row>
    <row r="32" spans="1:4" ht="15.75" thickBot="1">
      <c r="A32" s="253"/>
      <c r="B32" s="253"/>
      <c r="C32" s="179" t="s">
        <v>420</v>
      </c>
      <c r="D32" s="177" t="s">
        <v>418</v>
      </c>
    </row>
    <row r="33" spans="1:4" ht="15.75" thickTop="1">
      <c r="A33" s="251" t="s">
        <v>75</v>
      </c>
      <c r="B33" s="251"/>
      <c r="C33" s="180" t="s">
        <v>419</v>
      </c>
      <c r="D33" s="177" t="s">
        <v>417</v>
      </c>
    </row>
    <row r="34" spans="1:4" ht="15.75" thickBot="1">
      <c r="A34" s="253"/>
      <c r="B34" s="253"/>
      <c r="C34" s="179" t="s">
        <v>420</v>
      </c>
      <c r="D34" s="177" t="s">
        <v>418</v>
      </c>
    </row>
    <row r="35" spans="1:4" ht="15.75" thickTop="1">
      <c r="A35" s="251" t="s">
        <v>109</v>
      </c>
      <c r="B35" s="251"/>
      <c r="C35" s="180" t="s">
        <v>419</v>
      </c>
      <c r="D35" s="177" t="s">
        <v>417</v>
      </c>
    </row>
    <row r="36" spans="1:4" ht="15.75" thickBot="1">
      <c r="A36" s="253"/>
      <c r="B36" s="253"/>
      <c r="C36" s="179" t="s">
        <v>420</v>
      </c>
      <c r="D36" s="177" t="s">
        <v>418</v>
      </c>
    </row>
    <row r="37" spans="1:4" ht="15.75" thickTop="1">
      <c r="A37" s="251" t="s">
        <v>84</v>
      </c>
      <c r="B37" s="251"/>
      <c r="C37" s="180" t="s">
        <v>419</v>
      </c>
      <c r="D37" s="177" t="s">
        <v>417</v>
      </c>
    </row>
    <row r="38" spans="1:4" ht="15.75" thickBot="1">
      <c r="A38" s="253"/>
      <c r="B38" s="253"/>
      <c r="C38" s="179" t="s">
        <v>420</v>
      </c>
      <c r="D38" s="177" t="s">
        <v>418</v>
      </c>
    </row>
    <row r="39" spans="1:4" ht="15.75" thickTop="1">
      <c r="A39" s="251" t="s">
        <v>86</v>
      </c>
      <c r="B39" s="251"/>
      <c r="C39" s="180" t="s">
        <v>419</v>
      </c>
      <c r="D39" s="177" t="s">
        <v>417</v>
      </c>
    </row>
    <row r="40" spans="1:4" ht="15.75" thickBot="1">
      <c r="A40" s="253"/>
      <c r="B40" s="253"/>
      <c r="C40" s="179" t="s">
        <v>420</v>
      </c>
      <c r="D40" s="177" t="s">
        <v>418</v>
      </c>
    </row>
    <row r="41" spans="1:4" ht="15.75" thickTop="1">
      <c r="A41" s="251" t="s">
        <v>87</v>
      </c>
      <c r="B41" s="251"/>
      <c r="C41" s="180" t="s">
        <v>419</v>
      </c>
      <c r="D41" s="177" t="s">
        <v>417</v>
      </c>
    </row>
    <row r="42" spans="1:4" ht="15.75" thickBot="1">
      <c r="A42" s="253"/>
      <c r="B42" s="253"/>
      <c r="C42" s="179" t="s">
        <v>420</v>
      </c>
      <c r="D42" s="177" t="s">
        <v>418</v>
      </c>
    </row>
    <row r="43" spans="1:4" ht="15.75" thickTop="1">
      <c r="A43" s="251" t="s">
        <v>88</v>
      </c>
      <c r="B43" s="251"/>
      <c r="C43" s="180" t="s">
        <v>419</v>
      </c>
      <c r="D43" s="177" t="s">
        <v>417</v>
      </c>
    </row>
    <row r="44" spans="1:4" ht="15.75" thickBot="1">
      <c r="A44" s="253"/>
      <c r="B44" s="253"/>
      <c r="C44" s="179" t="s">
        <v>420</v>
      </c>
      <c r="D44" s="177" t="s">
        <v>418</v>
      </c>
    </row>
    <row r="45" spans="1:4" ht="15.75" thickTop="1">
      <c r="A45" s="251" t="s">
        <v>89</v>
      </c>
      <c r="B45" s="251" t="s">
        <v>107</v>
      </c>
      <c r="C45" s="180" t="s">
        <v>419</v>
      </c>
      <c r="D45" s="177" t="s">
        <v>417</v>
      </c>
    </row>
    <row r="46" spans="1:4" ht="15.75" thickBot="1">
      <c r="A46" s="252"/>
      <c r="B46" s="254"/>
      <c r="C46" s="179" t="s">
        <v>420</v>
      </c>
      <c r="D46" s="177" t="s">
        <v>418</v>
      </c>
    </row>
    <row r="47" spans="1:4" ht="15.75" thickTop="1">
      <c r="A47" s="252"/>
      <c r="B47" s="255" t="s">
        <v>108</v>
      </c>
      <c r="C47" s="180" t="s">
        <v>419</v>
      </c>
      <c r="D47" s="177" t="s">
        <v>417</v>
      </c>
    </row>
    <row r="48" spans="1:4" ht="15.75" thickBot="1">
      <c r="A48" s="253"/>
      <c r="B48" s="253"/>
      <c r="C48" s="179" t="s">
        <v>420</v>
      </c>
      <c r="D48" s="177" t="s">
        <v>418</v>
      </c>
    </row>
    <row r="49" ht="15.75" thickTop="1"/>
  </sheetData>
  <mergeCells count="23">
    <mergeCell ref="A21:B22"/>
    <mergeCell ref="A23:B24"/>
    <mergeCell ref="A31:B32"/>
    <mergeCell ref="A33:B34"/>
    <mergeCell ref="A25:B26"/>
    <mergeCell ref="A27:B28"/>
    <mergeCell ref="A29:B30"/>
    <mergeCell ref="A1:B1"/>
    <mergeCell ref="A45:A48"/>
    <mergeCell ref="B45:B46"/>
    <mergeCell ref="B47:B48"/>
    <mergeCell ref="A39:B40"/>
    <mergeCell ref="A41:B42"/>
    <mergeCell ref="A43:B44"/>
    <mergeCell ref="A2:B8"/>
    <mergeCell ref="A9:B10"/>
    <mergeCell ref="A11:B12"/>
    <mergeCell ref="A13:B14"/>
    <mergeCell ref="A15:B16"/>
    <mergeCell ref="A17:B18"/>
    <mergeCell ref="A35:B36"/>
    <mergeCell ref="A37:B38"/>
    <mergeCell ref="A19:B20"/>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theme="1"/>
  </sheetPr>
  <dimension ref="A1:X62"/>
  <sheetViews>
    <sheetView topLeftCell="A7" workbookViewId="0">
      <selection activeCell="B43" sqref="B43"/>
    </sheetView>
  </sheetViews>
  <sheetFormatPr defaultRowHeight="14.25"/>
  <cols>
    <col min="1" max="1" width="32.875" customWidth="1"/>
    <col min="2" max="2" width="8" customWidth="1"/>
    <col min="3" max="3" width="24" customWidth="1"/>
  </cols>
  <sheetData>
    <row r="1" spans="1:4">
      <c r="A1" s="34" t="s">
        <v>98</v>
      </c>
      <c r="B1" s="34">
        <f>COUNTA(DanhSach!C:C)-1</f>
        <v>653</v>
      </c>
      <c r="D1" t="s">
        <v>100</v>
      </c>
    </row>
    <row r="2" spans="1:4">
      <c r="A2" s="34" t="s">
        <v>99</v>
      </c>
      <c r="B2" s="34">
        <f>COUNTA(TongHopKQ!C:C)-1</f>
        <v>0</v>
      </c>
      <c r="D2" t="s">
        <v>100</v>
      </c>
    </row>
    <row r="4" spans="1:4">
      <c r="A4" t="s">
        <v>113</v>
      </c>
      <c r="B4" t="s">
        <v>60</v>
      </c>
    </row>
    <row r="5" spans="1:4">
      <c r="B5" t="s">
        <v>114</v>
      </c>
    </row>
    <row r="6" spans="1:4">
      <c r="B6" t="s">
        <v>112</v>
      </c>
    </row>
    <row r="7" spans="1:4">
      <c r="B7" t="s">
        <v>96</v>
      </c>
    </row>
    <row r="8" spans="1:4">
      <c r="B8" t="s">
        <v>120</v>
      </c>
    </row>
    <row r="10" spans="1:4">
      <c r="A10" t="s">
        <v>105</v>
      </c>
      <c r="B10" s="35">
        <v>1</v>
      </c>
      <c r="C10" s="33" t="s">
        <v>33</v>
      </c>
      <c r="D10" t="s">
        <v>14</v>
      </c>
    </row>
    <row r="11" spans="1:4">
      <c r="A11" t="s">
        <v>105</v>
      </c>
      <c r="B11" s="35">
        <v>2</v>
      </c>
      <c r="C11" s="33" t="s">
        <v>34</v>
      </c>
      <c r="D11" t="s">
        <v>15</v>
      </c>
    </row>
    <row r="12" spans="1:4">
      <c r="A12" t="s">
        <v>105</v>
      </c>
      <c r="B12" s="35">
        <v>3</v>
      </c>
      <c r="C12" s="33" t="s">
        <v>35</v>
      </c>
      <c r="D12" t="s">
        <v>16</v>
      </c>
    </row>
    <row r="13" spans="1:4">
      <c r="A13" t="s">
        <v>105</v>
      </c>
      <c r="B13" s="35">
        <v>4</v>
      </c>
      <c r="C13" s="33" t="s">
        <v>36</v>
      </c>
      <c r="D13" t="s">
        <v>17</v>
      </c>
    </row>
    <row r="14" spans="1:4">
      <c r="A14" t="s">
        <v>105</v>
      </c>
      <c r="B14" s="35">
        <v>5</v>
      </c>
      <c r="C14" s="33" t="s">
        <v>37</v>
      </c>
      <c r="D14" t="s">
        <v>18</v>
      </c>
    </row>
    <row r="15" spans="1:4">
      <c r="A15" t="s">
        <v>105</v>
      </c>
      <c r="B15" s="35">
        <v>6</v>
      </c>
      <c r="C15" s="33" t="s">
        <v>38</v>
      </c>
      <c r="D15" t="s">
        <v>19</v>
      </c>
    </row>
    <row r="16" spans="1:4">
      <c r="A16" t="s">
        <v>105</v>
      </c>
      <c r="B16" s="35">
        <v>7</v>
      </c>
      <c r="C16" s="33" t="s">
        <v>39</v>
      </c>
      <c r="D16" t="s">
        <v>20</v>
      </c>
    </row>
    <row r="17" spans="1:24">
      <c r="A17" t="s">
        <v>105</v>
      </c>
      <c r="B17" s="35">
        <v>8</v>
      </c>
      <c r="C17" t="s">
        <v>40</v>
      </c>
      <c r="D17" t="s">
        <v>21</v>
      </c>
    </row>
    <row r="18" spans="1:24">
      <c r="A18" t="s">
        <v>105</v>
      </c>
      <c r="B18" s="35">
        <v>9</v>
      </c>
      <c r="C18" s="33" t="s">
        <v>41</v>
      </c>
      <c r="D18" t="s">
        <v>22</v>
      </c>
    </row>
    <row r="19" spans="1:24">
      <c r="A19" t="s">
        <v>105</v>
      </c>
      <c r="B19" s="36">
        <v>10</v>
      </c>
      <c r="C19" s="5" t="s">
        <v>42</v>
      </c>
      <c r="D19" t="s">
        <v>23</v>
      </c>
    </row>
    <row r="20" spans="1:24">
      <c r="A20" t="s">
        <v>106</v>
      </c>
      <c r="B20" s="35">
        <v>1</v>
      </c>
      <c r="C20" t="s">
        <v>33</v>
      </c>
      <c r="D20" t="s">
        <v>14</v>
      </c>
    </row>
    <row r="21" spans="1:24">
      <c r="A21" t="s">
        <v>106</v>
      </c>
      <c r="B21" s="35">
        <v>2</v>
      </c>
      <c r="C21" t="s">
        <v>34</v>
      </c>
      <c r="D21" t="s">
        <v>15</v>
      </c>
    </row>
    <row r="22" spans="1:24">
      <c r="A22" t="s">
        <v>106</v>
      </c>
      <c r="B22" s="35">
        <v>3</v>
      </c>
      <c r="C22" t="s">
        <v>35</v>
      </c>
      <c r="D22" t="s">
        <v>16</v>
      </c>
    </row>
    <row r="23" spans="1:24">
      <c r="A23" t="s">
        <v>106</v>
      </c>
      <c r="B23" s="35">
        <v>4</v>
      </c>
      <c r="C23" t="s">
        <v>36</v>
      </c>
      <c r="D23" t="s">
        <v>17</v>
      </c>
    </row>
    <row r="24" spans="1:24">
      <c r="A24" t="s">
        <v>106</v>
      </c>
      <c r="B24" s="35">
        <v>5</v>
      </c>
      <c r="C24" t="s">
        <v>37</v>
      </c>
      <c r="D24" t="s">
        <v>18</v>
      </c>
    </row>
    <row r="25" spans="1:24">
      <c r="A25" t="s">
        <v>106</v>
      </c>
      <c r="B25" s="35">
        <v>6</v>
      </c>
      <c r="C25" t="s">
        <v>38</v>
      </c>
      <c r="D25" t="s">
        <v>19</v>
      </c>
    </row>
    <row r="26" spans="1:24">
      <c r="A26" t="s">
        <v>106</v>
      </c>
      <c r="B26" s="35">
        <v>7</v>
      </c>
      <c r="C26" t="s">
        <v>39</v>
      </c>
      <c r="D26" t="s">
        <v>20</v>
      </c>
    </row>
    <row r="27" spans="1:24">
      <c r="A27" t="s">
        <v>106</v>
      </c>
      <c r="B27" s="35">
        <v>8</v>
      </c>
      <c r="C27" s="33" t="s">
        <v>65</v>
      </c>
      <c r="D27" t="s">
        <v>64</v>
      </c>
    </row>
    <row r="28" spans="1:24">
      <c r="A28" t="s">
        <v>106</v>
      </c>
      <c r="B28" s="35">
        <v>9</v>
      </c>
      <c r="C28" t="s">
        <v>41</v>
      </c>
      <c r="D28" t="s">
        <v>22</v>
      </c>
      <c r="X28" t="s">
        <v>40</v>
      </c>
    </row>
    <row r="29" spans="1:24">
      <c r="A29" t="s">
        <v>106</v>
      </c>
      <c r="B29" s="36">
        <v>10</v>
      </c>
      <c r="C29" t="s">
        <v>42</v>
      </c>
      <c r="D29" t="s">
        <v>23</v>
      </c>
    </row>
    <row r="30" spans="1:24">
      <c r="A30" t="s">
        <v>107</v>
      </c>
      <c r="B30" s="35">
        <v>1</v>
      </c>
      <c r="C30" t="s">
        <v>110</v>
      </c>
      <c r="D30" t="s">
        <v>68</v>
      </c>
    </row>
    <row r="31" spans="1:24">
      <c r="A31" t="s">
        <v>107</v>
      </c>
      <c r="B31" s="35">
        <v>2</v>
      </c>
      <c r="C31" t="s">
        <v>111</v>
      </c>
      <c r="D31" t="s">
        <v>69</v>
      </c>
    </row>
    <row r="32" spans="1:24">
      <c r="A32" t="s">
        <v>107</v>
      </c>
      <c r="B32" s="35">
        <v>3</v>
      </c>
      <c r="C32" t="s">
        <v>71</v>
      </c>
      <c r="D32" t="s">
        <v>70</v>
      </c>
    </row>
    <row r="33" spans="1:4">
      <c r="A33" t="s">
        <v>107</v>
      </c>
      <c r="B33" s="37">
        <v>4</v>
      </c>
      <c r="C33" t="s">
        <v>89</v>
      </c>
      <c r="D33" t="s">
        <v>72</v>
      </c>
    </row>
    <row r="34" spans="1:4">
      <c r="A34" t="s">
        <v>107</v>
      </c>
      <c r="B34" s="36">
        <v>5</v>
      </c>
      <c r="C34" t="s">
        <v>42</v>
      </c>
      <c r="D34" t="s">
        <v>74</v>
      </c>
    </row>
    <row r="35" spans="1:4">
      <c r="A35" t="s">
        <v>108</v>
      </c>
      <c r="B35" s="35">
        <v>1</v>
      </c>
      <c r="C35" t="s">
        <v>75</v>
      </c>
      <c r="D35" t="s">
        <v>76</v>
      </c>
    </row>
    <row r="36" spans="1:4">
      <c r="A36" t="s">
        <v>108</v>
      </c>
      <c r="B36" s="35">
        <v>2</v>
      </c>
      <c r="C36" t="s">
        <v>109</v>
      </c>
      <c r="D36" t="s">
        <v>76</v>
      </c>
    </row>
    <row r="37" spans="1:4">
      <c r="A37" t="s">
        <v>108</v>
      </c>
      <c r="B37" s="35">
        <v>3</v>
      </c>
      <c r="C37" t="s">
        <v>73</v>
      </c>
      <c r="D37" t="s">
        <v>77</v>
      </c>
    </row>
    <row r="38" spans="1:4">
      <c r="A38" t="s">
        <v>108</v>
      </c>
      <c r="B38" s="36">
        <v>4</v>
      </c>
      <c r="C38" t="s">
        <v>42</v>
      </c>
      <c r="D38" t="s">
        <v>78</v>
      </c>
    </row>
    <row r="39" spans="1:4">
      <c r="A39" t="s">
        <v>95</v>
      </c>
      <c r="B39" s="35">
        <v>1</v>
      </c>
      <c r="C39" t="s">
        <v>84</v>
      </c>
      <c r="D39" t="s">
        <v>85</v>
      </c>
    </row>
    <row r="40" spans="1:4">
      <c r="A40" t="s">
        <v>95</v>
      </c>
      <c r="B40" s="35">
        <v>2</v>
      </c>
      <c r="C40" t="s">
        <v>86</v>
      </c>
      <c r="D40" t="s">
        <v>128</v>
      </c>
    </row>
    <row r="41" spans="1:4">
      <c r="A41" t="s">
        <v>95</v>
      </c>
      <c r="B41" s="35">
        <v>3</v>
      </c>
      <c r="C41" t="s">
        <v>87</v>
      </c>
      <c r="D41" t="s">
        <v>128</v>
      </c>
    </row>
    <row r="42" spans="1:4">
      <c r="A42" t="s">
        <v>95</v>
      </c>
      <c r="B42" s="35">
        <v>4</v>
      </c>
      <c r="C42" t="s">
        <v>88</v>
      </c>
      <c r="D42" t="s">
        <v>129</v>
      </c>
    </row>
    <row r="43" spans="1:4">
      <c r="A43" t="s">
        <v>95</v>
      </c>
      <c r="B43" s="36">
        <v>5</v>
      </c>
      <c r="C43" t="s">
        <v>42</v>
      </c>
      <c r="D43" t="s">
        <v>83</v>
      </c>
    </row>
    <row r="45" spans="1:4">
      <c r="A45" s="41" t="s">
        <v>106</v>
      </c>
      <c r="B45" s="41"/>
      <c r="C45" s="42" t="s">
        <v>65</v>
      </c>
      <c r="D45" s="1" t="s">
        <v>124</v>
      </c>
    </row>
    <row r="46" spans="1:4">
      <c r="A46" s="41" t="s">
        <v>106</v>
      </c>
      <c r="C46" s="41" t="s">
        <v>42</v>
      </c>
      <c r="D46" t="s">
        <v>125</v>
      </c>
    </row>
    <row r="49" spans="1:8">
      <c r="A49" s="1"/>
      <c r="B49" s="1"/>
      <c r="C49" s="1" t="s">
        <v>46</v>
      </c>
      <c r="D49" s="1"/>
      <c r="E49" s="1"/>
      <c r="F49" s="1"/>
      <c r="G49" s="1"/>
      <c r="H49" s="1"/>
    </row>
    <row r="50" spans="1:8">
      <c r="A50" s="1"/>
      <c r="B50" s="1"/>
      <c r="C50" s="1" t="s">
        <v>47</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48</v>
      </c>
      <c r="G54" s="1"/>
      <c r="H54" s="1"/>
    </row>
    <row r="55" spans="1:8">
      <c r="A55" s="1"/>
      <c r="B55" s="1"/>
      <c r="C55" s="1"/>
      <c r="D55" s="1"/>
      <c r="E55" s="1"/>
      <c r="F55" s="1"/>
      <c r="G55" s="1"/>
      <c r="H55" s="1"/>
    </row>
    <row r="56" spans="1:8">
      <c r="A56" s="1" t="s">
        <v>52</v>
      </c>
      <c r="B56" s="1" t="s">
        <v>49</v>
      </c>
      <c r="C56" s="1" t="s">
        <v>53</v>
      </c>
      <c r="D56" s="1"/>
      <c r="E56" s="1"/>
      <c r="F56" s="1"/>
      <c r="G56" s="1"/>
      <c r="H56" s="1"/>
    </row>
    <row r="57" spans="1:8">
      <c r="A57" s="1"/>
      <c r="B57" s="1" t="s">
        <v>50</v>
      </c>
      <c r="C57" s="1" t="s">
        <v>54</v>
      </c>
      <c r="D57" s="1"/>
      <c r="E57" s="1"/>
      <c r="F57" s="1"/>
      <c r="G57" s="1"/>
      <c r="H57" s="1"/>
    </row>
    <row r="58" spans="1:8">
      <c r="A58" s="1"/>
      <c r="B58" s="1" t="s">
        <v>51</v>
      </c>
      <c r="C58" s="1" t="s">
        <v>54</v>
      </c>
      <c r="D58" s="1"/>
      <c r="E58" s="1"/>
      <c r="F58" s="1"/>
      <c r="G58" s="1"/>
      <c r="H58" s="1"/>
    </row>
    <row r="59" spans="1:8">
      <c r="A59" s="1" t="s">
        <v>62</v>
      </c>
      <c r="B59" s="1"/>
      <c r="C59" s="1"/>
      <c r="D59" s="1"/>
      <c r="E59" s="1"/>
      <c r="F59" s="1"/>
      <c r="G59" s="1"/>
      <c r="H59" s="1"/>
    </row>
    <row r="62" spans="1:8">
      <c r="A62" t="s">
        <v>410</v>
      </c>
      <c r="B62" t="s">
        <v>412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2" tint="-9.9978637043366805E-2"/>
    <pageSetUpPr fitToPage="1"/>
  </sheetPr>
  <dimension ref="A1:S31"/>
  <sheetViews>
    <sheetView showGridLines="0" topLeftCell="A16" zoomScaleNormal="100" zoomScaleSheetLayoutView="85" workbookViewId="0">
      <selection activeCell="C21" sqref="C21:F21"/>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1:19" ht="15.75" customHeight="1">
      <c r="A1" s="32"/>
      <c r="C1" s="220"/>
      <c r="D1" s="221"/>
      <c r="E1" s="221"/>
      <c r="F1" s="221"/>
    </row>
    <row r="2" spans="1:19" ht="18.75" customHeight="1">
      <c r="C2" s="221"/>
      <c r="D2" s="221"/>
      <c r="E2" s="221"/>
      <c r="F2" s="221"/>
    </row>
    <row r="3" spans="1:19" ht="41.25" customHeight="1">
      <c r="C3" s="221"/>
      <c r="D3" s="221"/>
      <c r="E3" s="221"/>
      <c r="F3" s="221"/>
    </row>
    <row r="4" spans="1:19" ht="37.5" customHeight="1" thickBot="1">
      <c r="B4" s="214" t="s">
        <v>45</v>
      </c>
      <c r="C4" s="214"/>
      <c r="D4" s="214"/>
      <c r="E4" s="214"/>
      <c r="F4" s="214"/>
    </row>
    <row r="5" spans="1:19" ht="22.5" customHeight="1">
      <c r="B5" s="60" t="s">
        <v>25</v>
      </c>
      <c r="C5" s="61" t="str">
        <f>OB_Nam!$C$5</f>
        <v>Cấn Văn Thắng</v>
      </c>
      <c r="D5" s="62" t="s">
        <v>30</v>
      </c>
      <c r="E5" s="63" t="str">
        <f>OB_Nam!$E$5</f>
        <v>15/12/1985</v>
      </c>
      <c r="F5" s="64"/>
    </row>
    <row r="6" spans="1:19" ht="22.5" customHeight="1">
      <c r="B6" s="65" t="s">
        <v>26</v>
      </c>
      <c r="C6" s="66" t="str">
        <f>OB_Nam!$C$6</f>
        <v>Assembly</v>
      </c>
      <c r="D6" s="67" t="s">
        <v>31</v>
      </c>
      <c r="E6" s="68" t="str">
        <f>OB_Nam!E6</f>
        <v>Nam</v>
      </c>
      <c r="F6" s="69"/>
    </row>
    <row r="7" spans="1:19" ht="22.5" customHeight="1">
      <c r="B7" s="65" t="s">
        <v>27</v>
      </c>
      <c r="C7" s="66">
        <f>OB_Nam!$C$7</f>
        <v>100135</v>
      </c>
      <c r="D7" s="67" t="s">
        <v>32</v>
      </c>
      <c r="E7" s="68" t="str">
        <f>OB_Nam!E7</f>
        <v>1287A10001</v>
      </c>
      <c r="F7" s="69"/>
    </row>
    <row r="8" spans="1:19" ht="22.5" customHeight="1">
      <c r="B8" s="65" t="s">
        <v>28</v>
      </c>
      <c r="C8" s="66" t="str">
        <f>OB_Nam!$C$8</f>
        <v>CÔNG TY CỔ PHẦN DAIKIN AIR CONDITIONING (VIETNAM)</v>
      </c>
      <c r="D8" s="67"/>
      <c r="E8" s="67"/>
      <c r="F8" s="69"/>
    </row>
    <row r="9" spans="1:19" ht="22.5" customHeight="1">
      <c r="B9" s="65" t="s">
        <v>29</v>
      </c>
      <c r="C9" s="68" t="str">
        <f>OB_Nam!$C$9</f>
        <v>SIÊU ÂM Ổ BỤNG</v>
      </c>
      <c r="D9" s="70" t="str">
        <f>IF(OR(E6="Nữ",E6="Nu"),"Nhầm form SA Nam/Nữ","")</f>
        <v/>
      </c>
      <c r="E9" s="67"/>
      <c r="F9" s="69"/>
    </row>
    <row r="10" spans="1:19" ht="9.75" customHeight="1" thickBot="1">
      <c r="B10" s="71"/>
      <c r="C10" s="72"/>
      <c r="D10" s="72"/>
      <c r="E10" s="72"/>
      <c r="F10" s="73"/>
    </row>
    <row r="11" spans="1:19" ht="37.5" customHeight="1">
      <c r="B11" s="268" t="s">
        <v>13</v>
      </c>
      <c r="C11" s="268"/>
      <c r="D11" s="268"/>
      <c r="E11" s="268"/>
      <c r="F11" s="268"/>
      <c r="J11" s="20"/>
    </row>
    <row r="12" spans="1:19" ht="56.25" customHeight="1">
      <c r="B12" s="74" t="s">
        <v>33</v>
      </c>
      <c r="C12" s="266" t="str">
        <f>OB_Nam!C12</f>
        <v>Kích thước bình thường, nhu mô gan đều, không có khối u bất thường. Đường mật trong và ngoài gan không giãn, không có sỏi.
Tĩnh mạch cửa không giãn. Ống mật chủ không giãn, không có sỏi.</v>
      </c>
      <c r="D12" s="266"/>
      <c r="E12" s="266"/>
      <c r="F12" s="266"/>
      <c r="O12" s="5"/>
    </row>
    <row r="13" spans="1:19" ht="36" customHeight="1">
      <c r="B13" s="74" t="s">
        <v>34</v>
      </c>
      <c r="C13" s="266" t="str">
        <f>OB_Nam!C13</f>
        <v>Kích thước không to, thành mỏng, dịch trong, không có sỏi, không có polyp.</v>
      </c>
      <c r="D13" s="266"/>
      <c r="E13" s="266"/>
      <c r="F13" s="266"/>
    </row>
    <row r="14" spans="1:19" ht="36" customHeight="1">
      <c r="B14" s="74" t="s">
        <v>35</v>
      </c>
      <c r="C14" s="266" t="str">
        <f>OB_Nam!C14</f>
        <v>Kích thước bình thường, nhu mô đều, ống Wirsung không giãn, không có sỏi, không có dịch quanh tụy.</v>
      </c>
      <c r="D14" s="266"/>
      <c r="E14" s="266"/>
      <c r="F14" s="266"/>
    </row>
    <row r="15" spans="1:19" ht="36" customHeight="1">
      <c r="B15" s="74" t="s">
        <v>36</v>
      </c>
      <c r="C15" s="266" t="str">
        <f>OB_Nam!C15</f>
        <v>Kích thước bình thường, nhu mô đều. Tĩnh mạch lách không giãn.</v>
      </c>
      <c r="D15" s="266"/>
      <c r="E15" s="266"/>
      <c r="F15" s="266"/>
      <c r="S15" s="5"/>
    </row>
    <row r="16" spans="1:19" ht="36" customHeight="1">
      <c r="B16" s="74" t="s">
        <v>37</v>
      </c>
      <c r="C16" s="266" t="str">
        <f>OB_Nam!C16</f>
        <v>Kích thước bình thường, nhu mô đều, ranh giới tủy vỏ rõ, đài bể thận  không giãn, không có sỏi. Niệu quản không giãn, không có sỏi.</v>
      </c>
      <c r="D16" s="266"/>
      <c r="E16" s="266"/>
      <c r="F16" s="266"/>
    </row>
    <row r="17" spans="2:19" ht="52.5" customHeight="1">
      <c r="B17" s="74" t="s">
        <v>38</v>
      </c>
      <c r="C17" s="266" t="str">
        <f>OB_Nam!C17</f>
        <v>Kích thước bình thường, nhu mô đều, ranh giới tủy vỏ rõ, đài bể thận không giãn, không có sỏi. Niệu quản không giãn, không có sỏi.</v>
      </c>
      <c r="D17" s="266"/>
      <c r="E17" s="266"/>
      <c r="F17" s="266"/>
    </row>
    <row r="18" spans="2:19" ht="49.5" customHeight="1">
      <c r="B18" s="74" t="s">
        <v>39</v>
      </c>
      <c r="C18" s="266" t="str">
        <f>OB_Nam!C18</f>
        <v>Thành mỏng, nước tiểu trong, không có sỏi.</v>
      </c>
      <c r="D18" s="266"/>
      <c r="E18" s="266"/>
      <c r="F18" s="266"/>
    </row>
    <row r="19" spans="2:19" ht="55.5" customHeight="1">
      <c r="B19" s="74" t="s">
        <v>40</v>
      </c>
      <c r="C19" s="266" t="str">
        <f>OB_Nam!C19</f>
        <v>Kích thước bình thường, nhu mô đều, không có khối khu trú.</v>
      </c>
      <c r="D19" s="266"/>
      <c r="E19" s="266"/>
      <c r="F19" s="266"/>
    </row>
    <row r="20" spans="2:19" ht="36" customHeight="1">
      <c r="B20" s="74" t="s">
        <v>41</v>
      </c>
      <c r="C20" s="266" t="str">
        <f>OB_Nam!C20</f>
        <v>Ổ bụng không có dịch.</v>
      </c>
      <c r="D20" s="266"/>
      <c r="E20" s="266"/>
      <c r="F20" s="266"/>
      <c r="H20" s="5"/>
    </row>
    <row r="21" spans="2:19" s="5" customFormat="1" ht="56.25" customHeight="1">
      <c r="B21" s="75" t="s">
        <v>42</v>
      </c>
      <c r="C21" s="267" t="str">
        <f>OB_Nam!C21</f>
        <v>Hình ảnh siêu âm ổ bụng hiện tại bình thường</v>
      </c>
      <c r="D21" s="267"/>
      <c r="E21" s="267"/>
      <c r="F21" s="267"/>
      <c r="S21" s="1"/>
    </row>
    <row r="22" spans="2:19" s="5" customFormat="1" ht="18.75" customHeight="1">
      <c r="B22" s="75"/>
      <c r="C22" s="265"/>
      <c r="D22" s="263" t="str">
        <f>OB_Nam!D22</f>
        <v>Ngày 23 tháng 8 năm 2025</v>
      </c>
      <c r="E22" s="263"/>
      <c r="F22" s="263"/>
      <c r="S22" s="1"/>
    </row>
    <row r="23" spans="2:19" ht="15.75">
      <c r="B23" s="67"/>
      <c r="C23" s="265"/>
      <c r="D23" s="264" t="s">
        <v>43</v>
      </c>
      <c r="E23" s="264"/>
      <c r="F23" s="264"/>
    </row>
    <row r="24" spans="2:19" ht="15.75">
      <c r="B24" s="76"/>
      <c r="C24" s="265"/>
      <c r="D24" s="67"/>
      <c r="E24" s="67"/>
      <c r="F24" s="67"/>
    </row>
    <row r="25" spans="2:19" ht="15.75">
      <c r="B25" s="67"/>
      <c r="C25" s="265"/>
      <c r="D25" s="67"/>
      <c r="E25" s="67"/>
      <c r="F25" s="67"/>
    </row>
    <row r="26" spans="2:19" ht="15.75">
      <c r="B26" s="67"/>
      <c r="C26" s="265"/>
      <c r="D26" s="67"/>
      <c r="E26" s="67"/>
      <c r="F26" s="67"/>
    </row>
    <row r="27" spans="2:19" ht="15.75">
      <c r="B27" s="67"/>
      <c r="C27" s="265"/>
      <c r="D27" s="67"/>
      <c r="E27" s="67"/>
      <c r="F27" s="67"/>
    </row>
    <row r="28" spans="2:19" ht="15.75">
      <c r="B28" s="67"/>
      <c r="C28" s="265"/>
      <c r="D28" s="265" t="str">
        <f>OB_Nam!D28</f>
        <v>test</v>
      </c>
      <c r="E28" s="265"/>
      <c r="F28" s="265"/>
    </row>
    <row r="29" spans="2:19" ht="15.75">
      <c r="B29" s="67"/>
      <c r="C29" s="265"/>
      <c r="D29" s="67"/>
      <c r="E29" s="67"/>
      <c r="F29" s="67"/>
    </row>
    <row r="30" spans="2:19">
      <c r="C30" s="265"/>
    </row>
    <row r="31" spans="2:19">
      <c r="C31" s="265"/>
    </row>
  </sheetData>
  <mergeCells count="17">
    <mergeCell ref="B11:F11"/>
    <mergeCell ref="D22:F22"/>
    <mergeCell ref="D23:F23"/>
    <mergeCell ref="D28:F28"/>
    <mergeCell ref="C22:C31"/>
    <mergeCell ref="C1:F3"/>
    <mergeCell ref="C20:F20"/>
    <mergeCell ref="C21:F21"/>
    <mergeCell ref="C16:F16"/>
    <mergeCell ref="C17:F17"/>
    <mergeCell ref="C18:F18"/>
    <mergeCell ref="C19:F19"/>
    <mergeCell ref="C12:F12"/>
    <mergeCell ref="C13:F13"/>
    <mergeCell ref="C14:F14"/>
    <mergeCell ref="C15:F15"/>
    <mergeCell ref="B4:F4"/>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20"/>
      <c r="D1" s="221"/>
      <c r="E1" s="221"/>
      <c r="F1" s="221"/>
    </row>
    <row r="2" spans="2:8" ht="18.75" customHeight="1">
      <c r="C2" s="221"/>
      <c r="D2" s="221"/>
      <c r="E2" s="221"/>
      <c r="F2" s="221"/>
    </row>
    <row r="3" spans="2:8" ht="30.75" customHeight="1">
      <c r="C3" s="221"/>
      <c r="D3" s="221"/>
      <c r="E3" s="221"/>
      <c r="F3" s="221"/>
    </row>
    <row r="4" spans="2:8" ht="37.5" customHeight="1" thickBot="1">
      <c r="B4" s="227" t="s">
        <v>63</v>
      </c>
      <c r="C4" s="227"/>
      <c r="D4" s="227"/>
      <c r="E4" s="227"/>
      <c r="F4" s="227"/>
    </row>
    <row r="5" spans="2:8" ht="27" customHeight="1">
      <c r="B5" s="18" t="s">
        <v>25</v>
      </c>
      <c r="C5" s="11" t="str">
        <f>OB_Nu!$C$5</f>
        <v>Nguyễn Thị Lương</v>
      </c>
      <c r="D5" s="10" t="s">
        <v>30</v>
      </c>
      <c r="E5" s="12" t="str">
        <f>OB_Nu!$E$5</f>
        <v>26/04/1996</v>
      </c>
      <c r="F5" s="13"/>
    </row>
    <row r="6" spans="2:8" ht="27" customHeight="1">
      <c r="B6" s="19" t="s">
        <v>26</v>
      </c>
      <c r="C6" s="4" t="str">
        <f>OB_Nu!$C$6</f>
        <v>Assembly</v>
      </c>
      <c r="D6" s="1" t="s">
        <v>31</v>
      </c>
      <c r="E6" s="14" t="str">
        <f>OB_Nu!$E$6</f>
        <v>Nữ</v>
      </c>
      <c r="F6" s="15"/>
    </row>
    <row r="7" spans="2:8" ht="27" customHeight="1">
      <c r="B7" s="19" t="s">
        <v>27</v>
      </c>
      <c r="C7" s="4">
        <f>OB_Nu!$C$7</f>
        <v>125556</v>
      </c>
      <c r="D7" s="1" t="s">
        <v>32</v>
      </c>
      <c r="E7" s="14" t="str">
        <f>OB_Nu!$E$7</f>
        <v>1287A10027</v>
      </c>
      <c r="F7" s="15"/>
    </row>
    <row r="8" spans="2:8" ht="27" customHeight="1">
      <c r="B8" s="19" t="s">
        <v>28</v>
      </c>
      <c r="C8" s="14" t="str">
        <f>OB_Nu!$C$8</f>
        <v>CÔNG TY CỔ PHẦN DAIKIN AIR CONDITIONING (VIETNAM)</v>
      </c>
      <c r="F8" s="15"/>
    </row>
    <row r="9" spans="2:8" ht="27" customHeight="1">
      <c r="B9" s="19" t="s">
        <v>29</v>
      </c>
      <c r="C9" s="14" t="str">
        <f>OB_Nu!$C$9</f>
        <v>SIÊU ÂM Ổ BỤNG</v>
      </c>
      <c r="D9" s="21" t="str">
        <f>IF(OR(E6="Nam",E6="Male"),"Nhầm form SA Nam/Nữ","")</f>
        <v/>
      </c>
      <c r="F9" s="15"/>
    </row>
    <row r="10" spans="2:8" ht="9.75" customHeight="1" thickBot="1">
      <c r="B10" s="16"/>
      <c r="C10" s="3"/>
      <c r="D10" s="3"/>
      <c r="E10" s="3"/>
      <c r="F10" s="17"/>
    </row>
    <row r="11" spans="2:8" ht="37.5" customHeight="1">
      <c r="B11" s="271" t="s">
        <v>13</v>
      </c>
      <c r="C11" s="271"/>
      <c r="D11" s="271"/>
      <c r="E11" s="271"/>
      <c r="F11" s="271"/>
      <c r="H11" s="20"/>
    </row>
    <row r="12" spans="2:8" ht="56.25" customHeight="1">
      <c r="B12" s="7" t="s">
        <v>33</v>
      </c>
      <c r="C12" s="269" t="str">
        <f>OB_Nu!$C$12</f>
        <v>Kích thước bình thường, nhu mô gan đều, không có khối u bất thường. Đường mật trong và ngoài gan không giãn, không có sỏi.
Tĩnh mạch cửa không giãn. Ống mật chủ không giãn, không có sỏi.</v>
      </c>
      <c r="D12" s="269"/>
      <c r="E12" s="269"/>
      <c r="F12" s="269"/>
    </row>
    <row r="13" spans="2:8" ht="36" customHeight="1">
      <c r="B13" s="7" t="s">
        <v>34</v>
      </c>
      <c r="C13" s="269" t="str">
        <f>OB_Nu!$C13</f>
        <v>Kích thước không to, thành mỏng, dịch trong, không có sỏi, không có polyp.</v>
      </c>
      <c r="D13" s="269"/>
      <c r="E13" s="269"/>
      <c r="F13" s="269"/>
    </row>
    <row r="14" spans="2:8" ht="36" customHeight="1">
      <c r="B14" s="7" t="s">
        <v>35</v>
      </c>
      <c r="C14" s="269" t="str">
        <f>OB_Nu!$C14</f>
        <v>Kích thước bình thường, nhu mô đều, ống Wirsung không giãn, không có sỏi, không có dịch quanh tụy.</v>
      </c>
      <c r="D14" s="269"/>
      <c r="E14" s="269"/>
      <c r="F14" s="269"/>
    </row>
    <row r="15" spans="2:8" ht="36" customHeight="1">
      <c r="B15" s="7" t="s">
        <v>36</v>
      </c>
      <c r="C15" s="269" t="str">
        <f>OB_Nu!$C15</f>
        <v>Kích thước bình thường, nhu mô đều. Tĩnh mạch lách không giãn.</v>
      </c>
      <c r="D15" s="269"/>
      <c r="E15" s="269"/>
      <c r="F15" s="269"/>
    </row>
    <row r="16" spans="2:8" ht="44.25" customHeight="1">
      <c r="B16" s="7" t="s">
        <v>37</v>
      </c>
      <c r="C16" s="269" t="str">
        <f>OB_Nu!$C16</f>
        <v>Kích thước bình thường, nhu mô đều, ranh giới tủy vỏ rõ, đài bể thận  không giãn, không có sỏi. Niệu quản không giãn, không có sỏi.</v>
      </c>
      <c r="D16" s="269"/>
      <c r="E16" s="269"/>
      <c r="F16" s="269"/>
    </row>
    <row r="17" spans="2:8" ht="46.5" customHeight="1">
      <c r="B17" s="7" t="s">
        <v>38</v>
      </c>
      <c r="C17" s="269" t="str">
        <f>OB_Nu!$C17</f>
        <v>Kích thước bình thường, nhu mô đều, ranh giới tủy vỏ rõ, đài bể thận không giãn, không có sỏi. Niệu quản không giãn, không có sỏi.</v>
      </c>
      <c r="D17" s="269"/>
      <c r="E17" s="269"/>
      <c r="F17" s="269"/>
    </row>
    <row r="18" spans="2:8" ht="36" customHeight="1">
      <c r="B18" s="7" t="s">
        <v>39</v>
      </c>
      <c r="C18" s="269" t="str">
        <f>OB_Nu!$C18</f>
        <v>Thành mỏng, nước tiểu trong, không có sỏi.</v>
      </c>
      <c r="D18" s="269"/>
      <c r="E18" s="269"/>
      <c r="F18" s="269"/>
    </row>
    <row r="19" spans="2:8" ht="75.75" customHeight="1">
      <c r="B19" s="7" t="s">
        <v>65</v>
      </c>
      <c r="C19" s="269" t="str">
        <f>OB_Nu!$C19</f>
        <v>Kích thước bình thường, âm vang cơ đều, trong buồng tử cung  không có dịch, không có khối bất thường.
Phần phụ hai bên không có gì đặc biệt.</v>
      </c>
      <c r="D19" s="269"/>
      <c r="E19" s="269"/>
      <c r="F19" s="269"/>
    </row>
    <row r="20" spans="2:8" ht="36" customHeight="1">
      <c r="B20" s="7" t="s">
        <v>41</v>
      </c>
      <c r="C20" s="269" t="str">
        <f>OB_Nu!$C20</f>
        <v>Ổ bụng không có dịch.</v>
      </c>
      <c r="D20" s="269"/>
      <c r="E20" s="269"/>
      <c r="F20" s="269"/>
      <c r="H20" s="5"/>
    </row>
    <row r="21" spans="2:8" s="5" customFormat="1" ht="99" customHeight="1">
      <c r="B21" s="6" t="s">
        <v>42</v>
      </c>
      <c r="C21" s="270" t="str">
        <f>OB_Nu!$C$21</f>
        <v>Hình ảnh siêu âm ổ bụng hiện tại bình thường</v>
      </c>
      <c r="D21" s="270"/>
      <c r="E21" s="270"/>
      <c r="F21" s="270"/>
    </row>
    <row r="22" spans="2:8" s="5" customFormat="1" ht="18.75" customHeight="1">
      <c r="B22" s="6"/>
      <c r="C22" s="31"/>
      <c r="D22" s="31"/>
      <c r="E22" s="31"/>
      <c r="F22" s="31"/>
    </row>
    <row r="23" spans="2:8">
      <c r="D23" s="8" t="str">
        <f>OB_Nu!D23</f>
        <v>Ngày 23 tháng 8 năm 2025</v>
      </c>
    </row>
    <row r="24" spans="2:8">
      <c r="B24" s="2"/>
      <c r="C24" s="4"/>
      <c r="D24" s="9" t="s">
        <v>43</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2:6" ht="15.75" customHeight="1">
      <c r="C1" s="220"/>
      <c r="D1" s="221"/>
      <c r="E1" s="221"/>
      <c r="F1" s="221"/>
    </row>
    <row r="2" spans="2:6" ht="18.75" customHeight="1">
      <c r="C2" s="221"/>
      <c r="D2" s="221"/>
      <c r="E2" s="221"/>
      <c r="F2" s="221"/>
    </row>
    <row r="3" spans="2:6" ht="30.75" customHeight="1">
      <c r="C3" s="221"/>
      <c r="D3" s="221"/>
      <c r="E3" s="221"/>
      <c r="F3" s="221"/>
    </row>
    <row r="4" spans="2:6" ht="37.5" customHeight="1" thickBot="1">
      <c r="B4" s="236" t="s">
        <v>66</v>
      </c>
      <c r="C4" s="236"/>
      <c r="D4" s="236"/>
      <c r="E4" s="236"/>
      <c r="F4" s="236"/>
    </row>
    <row r="5" spans="2:6" ht="27" customHeight="1">
      <c r="B5" s="18" t="s">
        <v>25</v>
      </c>
      <c r="C5" s="11" t="str">
        <f>TuyenGiap!$C$5</f>
        <v>Không có</v>
      </c>
      <c r="D5" s="10" t="s">
        <v>30</v>
      </c>
      <c r="E5" s="40" t="str">
        <f>TuyenGiap!$E$5</f>
        <v>Không có</v>
      </c>
      <c r="F5" s="13"/>
    </row>
    <row r="6" spans="2:6" ht="27" customHeight="1">
      <c r="B6" s="19" t="s">
        <v>26</v>
      </c>
      <c r="C6" s="4" t="str">
        <f>TuyenGiap!$C$6</f>
        <v>Không có</v>
      </c>
      <c r="D6" s="1" t="s">
        <v>31</v>
      </c>
      <c r="E6" s="14" t="str">
        <f>TuyenGiap!$E$6</f>
        <v>Không có</v>
      </c>
      <c r="F6" s="15"/>
    </row>
    <row r="7" spans="2:6" ht="27" customHeight="1">
      <c r="B7" s="19" t="s">
        <v>27</v>
      </c>
      <c r="C7" s="4" t="str">
        <f>TuyenGiap!$C$7</f>
        <v>Không có</v>
      </c>
      <c r="D7" s="1" t="s">
        <v>32</v>
      </c>
      <c r="E7" s="14" t="str">
        <f>TuyenGiap!$E$7</f>
        <v>Không có</v>
      </c>
      <c r="F7" s="15"/>
    </row>
    <row r="8" spans="2:6" ht="27" customHeight="1">
      <c r="B8" s="19" t="s">
        <v>28</v>
      </c>
      <c r="C8" s="14" t="str">
        <f>TuyenGiap!$C$8</f>
        <v>Không có</v>
      </c>
      <c r="F8" s="15"/>
    </row>
    <row r="9" spans="2:6" ht="27" customHeight="1">
      <c r="B9" s="19" t="s">
        <v>29</v>
      </c>
      <c r="C9" s="14" t="str">
        <f>TuyenGiap!$C$9</f>
        <v>SIÊU ÂM TUYẾN GIÁP</v>
      </c>
      <c r="D9" s="21"/>
      <c r="F9" s="15"/>
    </row>
    <row r="10" spans="2:6" ht="9.75" customHeight="1" thickBot="1">
      <c r="B10" s="16"/>
      <c r="C10" s="3"/>
      <c r="D10" s="3"/>
      <c r="E10" s="3"/>
      <c r="F10" s="17"/>
    </row>
    <row r="11" spans="2:6" ht="37.5" customHeight="1">
      <c r="B11" s="271" t="s">
        <v>13</v>
      </c>
      <c r="C11" s="271"/>
      <c r="D11" s="271"/>
      <c r="E11" s="271"/>
      <c r="F11" s="271"/>
    </row>
    <row r="12" spans="2:6" ht="43.5" customHeight="1">
      <c r="B12" s="22" t="s">
        <v>110</v>
      </c>
      <c r="C12" s="269" t="str">
        <f>TuyenGiap!C12</f>
        <v>Kích thước: bình thường, nhu mô đồng nhất, không có u khối bất thường.</v>
      </c>
      <c r="D12" s="269"/>
      <c r="E12" s="269"/>
      <c r="F12" s="269"/>
    </row>
    <row r="13" spans="2:6" ht="43.5" customHeight="1">
      <c r="B13" s="22" t="s">
        <v>111</v>
      </c>
      <c r="C13" s="269" t="str">
        <f>TuyenGiap!C13</f>
        <v>Kích thước: Bình thường, nhu mô đồng nhất, không có u khối bất thường.</v>
      </c>
      <c r="D13" s="269"/>
      <c r="E13" s="269"/>
      <c r="F13" s="269"/>
    </row>
    <row r="14" spans="2:6" ht="43.5" customHeight="1">
      <c r="B14" s="22" t="s">
        <v>71</v>
      </c>
      <c r="C14" s="269" t="str">
        <f>TuyenGiap!C14</f>
        <v>Kích thước: Bình thường, nhu mô đều, không có khối khu trú bất thường.</v>
      </c>
      <c r="D14" s="269"/>
      <c r="E14" s="269"/>
      <c r="F14" s="269"/>
    </row>
    <row r="15" spans="2:6" ht="43.5" customHeight="1">
      <c r="B15" s="22" t="s">
        <v>89</v>
      </c>
      <c r="C15" s="269" t="str">
        <f>TuyenGiap!C15</f>
        <v>Không thấy hạch to dọc bó mạch cảnh và dọc cơ ức đòn chũm hai bên.</v>
      </c>
      <c r="D15" s="269"/>
      <c r="E15" s="269"/>
      <c r="F15" s="269"/>
    </row>
    <row r="16" spans="2:6" ht="94.5" customHeight="1">
      <c r="B16" s="23" t="s">
        <v>42</v>
      </c>
      <c r="C16" s="272" t="str">
        <f>TuyenGiap!C16</f>
        <v>Hình ảnh siêu âm tuyến giáp hiện tại bình thường</v>
      </c>
      <c r="D16" s="272"/>
      <c r="E16" s="272"/>
      <c r="F16" s="272"/>
    </row>
    <row r="17" spans="2:6" ht="36" customHeight="1">
      <c r="B17" s="6"/>
      <c r="D17" s="8" t="str">
        <f>TuyenGiap!D17</f>
        <v>Ngày 23 tháng 8 năm 2025</v>
      </c>
      <c r="E17" s="31"/>
      <c r="F17" s="31"/>
    </row>
    <row r="18" spans="2:6" ht="36" customHeight="1">
      <c r="B18" s="6"/>
      <c r="C18" s="4"/>
      <c r="D18" s="9" t="s">
        <v>43</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20"/>
      <c r="D1" s="221"/>
      <c r="E1" s="221"/>
      <c r="F1" s="221"/>
    </row>
    <row r="2" spans="2:8" ht="18.75" customHeight="1">
      <c r="C2" s="221"/>
      <c r="D2" s="221"/>
      <c r="E2" s="221"/>
      <c r="F2" s="221"/>
    </row>
    <row r="3" spans="2:8" ht="30.75" customHeight="1">
      <c r="C3" s="221"/>
      <c r="D3" s="221"/>
      <c r="E3" s="221"/>
      <c r="F3" s="221"/>
    </row>
    <row r="4" spans="2:8" ht="37.5" customHeight="1" thickBot="1">
      <c r="B4" s="236" t="s">
        <v>80</v>
      </c>
      <c r="C4" s="236"/>
      <c r="D4" s="236"/>
      <c r="E4" s="236"/>
      <c r="F4" s="236"/>
    </row>
    <row r="5" spans="2:8" ht="27" customHeight="1">
      <c r="B5" s="18" t="s">
        <v>25</v>
      </c>
      <c r="C5" s="11" t="str">
        <f>TuyenVu!$C$5</f>
        <v>Không có</v>
      </c>
      <c r="D5" s="10" t="s">
        <v>30</v>
      </c>
      <c r="E5" s="12" t="str">
        <f>TuyenVu!$E$5</f>
        <v>Không có</v>
      </c>
      <c r="F5" s="13"/>
    </row>
    <row r="6" spans="2:8" ht="27" customHeight="1">
      <c r="B6" s="19" t="s">
        <v>26</v>
      </c>
      <c r="C6" s="4" t="str">
        <f>TuyenVu!$C$6</f>
        <v>Không có</v>
      </c>
      <c r="D6" s="1" t="s">
        <v>31</v>
      </c>
      <c r="E6" s="14" t="str">
        <f>TuyenVu!$E$6</f>
        <v>Không có</v>
      </c>
      <c r="F6" s="15"/>
    </row>
    <row r="7" spans="2:8" ht="27" customHeight="1">
      <c r="B7" s="19" t="s">
        <v>27</v>
      </c>
      <c r="C7" s="4" t="str">
        <f>TuyenVu!$C$7</f>
        <v>Không có</v>
      </c>
      <c r="D7" s="1" t="s">
        <v>32</v>
      </c>
      <c r="E7" s="14" t="str">
        <f>TuyenVu!$E$7</f>
        <v>Không có</v>
      </c>
      <c r="F7" s="15"/>
    </row>
    <row r="8" spans="2:8" ht="27" customHeight="1">
      <c r="B8" s="19" t="s">
        <v>28</v>
      </c>
      <c r="C8" s="14" t="str">
        <f>TuyenVu!$C$8</f>
        <v>Không có</v>
      </c>
      <c r="F8" s="15"/>
    </row>
    <row r="9" spans="2:8" ht="27" customHeight="1">
      <c r="B9" s="19" t="s">
        <v>29</v>
      </c>
      <c r="C9" s="14" t="str">
        <f>TuyenVu!$C$9</f>
        <v>SIÊU ÂM TUYẾN VÚ</v>
      </c>
      <c r="D9" s="21" t="str">
        <f>IF(OR(E6="Nam",E6="Male"),"Nhầm form SA Nam/Nữ","")</f>
        <v/>
      </c>
      <c r="F9" s="15"/>
    </row>
    <row r="10" spans="2:8" ht="9.75" customHeight="1" thickBot="1">
      <c r="B10" s="16"/>
      <c r="C10" s="3"/>
      <c r="D10" s="3"/>
      <c r="E10" s="3"/>
      <c r="F10" s="17"/>
    </row>
    <row r="11" spans="2:8" ht="37.5" customHeight="1">
      <c r="B11" s="271" t="s">
        <v>13</v>
      </c>
      <c r="C11" s="271"/>
      <c r="D11" s="271"/>
      <c r="E11" s="271"/>
      <c r="F11" s="271"/>
      <c r="H11" s="20"/>
    </row>
    <row r="12" spans="2:8" ht="66" customHeight="1">
      <c r="B12" s="22" t="s">
        <v>75</v>
      </c>
      <c r="C12" s="269" t="str">
        <f>TuyenVu!$C$12</f>
        <v xml:space="preserve">Mật độ âm đều không thấy khối bất thường. 
Tổ chức ống tuyến bình thường, không thấy giãn ống tuyến. 
Tổ chức phần mềm dưới da bình thường. </v>
      </c>
      <c r="D12" s="269"/>
      <c r="E12" s="269"/>
      <c r="F12" s="269"/>
    </row>
    <row r="13" spans="2:8" ht="79.5" customHeight="1">
      <c r="B13" s="22" t="s">
        <v>109</v>
      </c>
      <c r="C13" s="269" t="str">
        <f>TuyenVu!$C$13</f>
        <v xml:space="preserve">Mật độ âm đều không thấy khối bất thường. 
Tổ chức ống tuyến bình thường, không thấy giãn ống tuyến. 
Tổ chức phần mềm dưới da bình thường. </v>
      </c>
      <c r="D13" s="269"/>
      <c r="E13" s="269"/>
      <c r="F13" s="269"/>
    </row>
    <row r="14" spans="2:8" ht="39.75" customHeight="1">
      <c r="B14" s="22" t="s">
        <v>73</v>
      </c>
      <c r="C14" s="269" t="str">
        <f>TuyenVu!$C$14</f>
        <v>Không thấy hạch vùng hố nách và dọc ngoài cơ ngực lớn hai bên.</v>
      </c>
      <c r="D14" s="269"/>
      <c r="E14" s="269"/>
      <c r="F14" s="269"/>
    </row>
    <row r="15" spans="2:8" ht="83.25" customHeight="1">
      <c r="B15" s="23" t="s">
        <v>42</v>
      </c>
      <c r="C15" s="272" t="str">
        <f>TuyenVu!$C$15</f>
        <v>Hình ảnh siêu âm tuyến vú hiện tại bình thường</v>
      </c>
      <c r="D15" s="272"/>
      <c r="E15" s="272"/>
      <c r="F15" s="272"/>
    </row>
    <row r="16" spans="2:8" ht="36" customHeight="1">
      <c r="B16" s="23"/>
      <c r="D16" s="8" t="str">
        <f>TuyenVu!D16</f>
        <v>Ngày 23 tháng 8 năm 2025</v>
      </c>
      <c r="E16" s="25"/>
      <c r="F16" s="25"/>
    </row>
    <row r="17" spans="2:8" ht="18" customHeight="1">
      <c r="B17" s="6"/>
      <c r="C17" s="4"/>
      <c r="D17" s="9" t="s">
        <v>43</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theme="2" tint="-9.9978637043366805E-2"/>
    <pageSetUpPr fitToPage="1"/>
  </sheetPr>
  <dimension ref="B1:I22"/>
  <sheetViews>
    <sheetView showGridLines="0" topLeftCell="A13" workbookViewId="0">
      <selection activeCell="J18" sqref="J18"/>
    </sheetView>
  </sheetViews>
  <sheetFormatPr defaultColWidth="9.125" defaultRowHeight="14.25"/>
  <cols>
    <col min="1" max="1" width="3.75" style="1" customWidth="1"/>
    <col min="2" max="2" width="26.75" style="1" customWidth="1"/>
    <col min="3" max="3" width="53.125" style="1" customWidth="1"/>
    <col min="4" max="4" width="13.75" style="1" customWidth="1"/>
    <col min="5" max="16384" width="9.125" style="1"/>
  </cols>
  <sheetData>
    <row r="1" spans="2:9" ht="15.75" customHeight="1">
      <c r="C1" s="220"/>
      <c r="D1" s="220"/>
      <c r="E1" s="220"/>
      <c r="F1" s="220"/>
    </row>
    <row r="2" spans="2:9" ht="18.75" customHeight="1">
      <c r="C2" s="220"/>
      <c r="D2" s="220"/>
      <c r="E2" s="220"/>
      <c r="F2" s="220"/>
    </row>
    <row r="3" spans="2:9" ht="30.75" customHeight="1">
      <c r="C3" s="220"/>
      <c r="D3" s="220"/>
      <c r="E3" s="220"/>
      <c r="F3" s="220"/>
    </row>
    <row r="4" spans="2:9" ht="42.75" customHeight="1" thickBot="1">
      <c r="B4" s="273" t="s">
        <v>81</v>
      </c>
      <c r="C4" s="273"/>
      <c r="D4" s="273"/>
      <c r="E4" s="273"/>
      <c r="F4" s="273"/>
    </row>
    <row r="5" spans="2:9" ht="27" customHeight="1">
      <c r="B5" s="18" t="s">
        <v>25</v>
      </c>
      <c r="C5" s="11" t="str">
        <f>TCPP!$C$5</f>
        <v>Không có</v>
      </c>
      <c r="D5" s="10" t="s">
        <v>30</v>
      </c>
      <c r="E5" s="12" t="str">
        <f>TCPP!$E$5</f>
        <v>Không có</v>
      </c>
      <c r="F5" s="13"/>
    </row>
    <row r="6" spans="2:9" ht="27" customHeight="1">
      <c r="B6" s="19" t="s">
        <v>26</v>
      </c>
      <c r="C6" s="4" t="str">
        <f>TCPP!$C$6</f>
        <v>Không có</v>
      </c>
      <c r="D6" s="1" t="s">
        <v>31</v>
      </c>
      <c r="E6" s="14" t="str">
        <f>TCPP!$E$6</f>
        <v>Không có</v>
      </c>
      <c r="F6" s="15"/>
    </row>
    <row r="7" spans="2:9" ht="27" customHeight="1">
      <c r="B7" s="19" t="s">
        <v>27</v>
      </c>
      <c r="C7" s="4" t="str">
        <f>TCPP!$C$7</f>
        <v>Không có</v>
      </c>
      <c r="D7" s="1" t="s">
        <v>32</v>
      </c>
      <c r="E7" s="14" t="str">
        <f>TCPP!$E$7</f>
        <v>Không có</v>
      </c>
      <c r="F7" s="15"/>
    </row>
    <row r="8" spans="2:9" ht="27" customHeight="1">
      <c r="B8" s="19" t="s">
        <v>28</v>
      </c>
      <c r="C8" s="14" t="str">
        <f>TCPP!$C$8</f>
        <v>Không có</v>
      </c>
      <c r="F8" s="15"/>
    </row>
    <row r="9" spans="2:9" ht="27" customHeight="1">
      <c r="B9" s="19" t="s">
        <v>29</v>
      </c>
      <c r="C9" s="14" t="str">
        <f>TCPP!$C$9</f>
        <v>SIÊU ÂM TC - PP</v>
      </c>
      <c r="D9" s="21" t="str">
        <f>IF(OR(E6="Nam",E6="Male"),"Nhầm form SA Nam/Nữ","")</f>
        <v/>
      </c>
      <c r="F9" s="15"/>
    </row>
    <row r="10" spans="2:9" ht="9.75" customHeight="1" thickBot="1">
      <c r="B10" s="16"/>
      <c r="C10" s="3"/>
      <c r="D10" s="3"/>
      <c r="E10" s="3"/>
      <c r="F10" s="17"/>
    </row>
    <row r="11" spans="2:9" ht="37.5" customHeight="1">
      <c r="B11" s="271" t="s">
        <v>13</v>
      </c>
      <c r="C11" s="271"/>
      <c r="D11" s="271"/>
      <c r="E11" s="271"/>
      <c r="F11" s="271"/>
      <c r="I11" s="20"/>
    </row>
    <row r="12" spans="2:9" ht="75.75" customHeight="1">
      <c r="B12" s="7" t="s">
        <v>84</v>
      </c>
      <c r="C12" s="269" t="str">
        <f>TCPP!$C$12</f>
        <v>Kích thước : Bình thường.
Âm vang cơ tử cung đồng nhất, buồng tử cung không có dịch, không có u khối bất thường.
Niêm mạc tử cung dầy: mm.</v>
      </c>
      <c r="D12" s="269"/>
      <c r="E12" s="269"/>
      <c r="F12" s="269"/>
    </row>
    <row r="13" spans="2:9" ht="56.25" customHeight="1">
      <c r="B13" s="7" t="s">
        <v>86</v>
      </c>
      <c r="C13" s="269" t="str">
        <f>TCPP!$C$13</f>
        <v>Hiện tại không có u khối bất thường.</v>
      </c>
      <c r="D13" s="269"/>
      <c r="E13" s="269"/>
      <c r="F13" s="269"/>
    </row>
    <row r="14" spans="2:9" ht="54.75" customHeight="1">
      <c r="B14" s="7" t="s">
        <v>87</v>
      </c>
      <c r="C14" s="269" t="str">
        <f>TCPP!$C$14</f>
        <v>Hiện tại không có u khối bất thường.</v>
      </c>
      <c r="D14" s="269"/>
      <c r="E14" s="269"/>
      <c r="F14" s="269"/>
    </row>
    <row r="15" spans="2:9" ht="43.5" customHeight="1">
      <c r="B15" s="7" t="s">
        <v>88</v>
      </c>
      <c r="C15" s="269" t="str">
        <f>TCPP!$C$15</f>
        <v>Không có dịch.</v>
      </c>
      <c r="D15" s="269"/>
      <c r="E15" s="269"/>
      <c r="F15" s="269"/>
    </row>
    <row r="16" spans="2:9" ht="99.75" customHeight="1">
      <c r="B16" s="23" t="s">
        <v>42</v>
      </c>
      <c r="C16" s="272" t="str">
        <f>TCPP!$C$16</f>
        <v>Siêu âm TC - PP hiện tại không thấy gì đặc biệt</v>
      </c>
      <c r="D16" s="272"/>
      <c r="E16" s="272"/>
      <c r="F16" s="272"/>
    </row>
    <row r="17" spans="2:9" ht="36" customHeight="1">
      <c r="B17" s="6"/>
      <c r="D17" s="8" t="str">
        <f>TCPP!D17</f>
        <v>Ngày 23 tháng 8 năm 2025</v>
      </c>
      <c r="F17" s="31"/>
    </row>
    <row r="18" spans="2:9" ht="36" customHeight="1">
      <c r="B18" s="6"/>
      <c r="C18" s="4"/>
      <c r="D18" s="9" t="s">
        <v>43</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31</vt:i4>
      </vt:variant>
    </vt:vector>
  </HeadingPairs>
  <TitlesOfParts>
    <vt:vector size="47"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SMILE o_o</cp:lastModifiedBy>
  <cp:lastPrinted>2025-07-28T09:54:32Z</cp:lastPrinted>
  <dcterms:created xsi:type="dcterms:W3CDTF">2021-07-09T09:32:36Z</dcterms:created>
  <dcterms:modified xsi:type="dcterms:W3CDTF">2025-08-27T07:07:13Z</dcterms:modified>
</cp:coreProperties>
</file>