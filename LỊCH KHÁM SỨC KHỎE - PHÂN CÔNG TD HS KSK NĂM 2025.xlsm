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217F6B93-635A-4A49-89EE-BCB266DAD516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THÁNG 06-2025" sheetId="1" r:id="rId1"/>
    <sheet name="KẾ HOẠCH KSK 06-2025" sheetId="2" r:id="rId2"/>
    <sheet name="Form gốc" sheetId="5" r:id="rId3"/>
    <sheet name="BÁO CÁO CÔNG VIỆC" sheetId="4" state="hidden" r:id="rId4"/>
    <sheet name="Nhập" sheetId="7" r:id="rId5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hAXiq5FJOq0Ahly9tfFigRzqglmV7W4/NKucWWpN5U="/>
    </ext>
  </extLst>
</workbook>
</file>

<file path=xl/calcChain.xml><?xml version="1.0" encoding="utf-8"?>
<calcChain xmlns="http://schemas.openxmlformats.org/spreadsheetml/2006/main">
  <c r="T39" i="2" l="1"/>
  <c r="T22" i="2"/>
  <c r="T18" i="2"/>
  <c r="N10" i="1"/>
  <c r="N9" i="1"/>
</calcChain>
</file>

<file path=xl/sharedStrings.xml><?xml version="1.0" encoding="utf-8"?>
<sst xmlns="http://schemas.openxmlformats.org/spreadsheetml/2006/main" count="674" uniqueCount="202">
  <si>
    <t>LỊCH KHÁM SỨC KHỎE 2025</t>
  </si>
  <si>
    <t>STT</t>
  </si>
  <si>
    <t>ĐƠN VỊ KHÁM</t>
  </si>
  <si>
    <t>NGÀY KHÁM</t>
  </si>
  <si>
    <t>SỐ LƯỢNG KHÁM DỰ KIẾN</t>
  </si>
  <si>
    <t>DANH MỤC KHÁM</t>
  </si>
  <si>
    <t>SỐ LƯỢNG KHÁM THỰC TẾ</t>
  </si>
  <si>
    <t>NGÀY TRẢ KẾT QUẢ</t>
  </si>
  <si>
    <t>ĐÃ TRẢ KẾT QUẢ</t>
  </si>
  <si>
    <t>Lâm sàng</t>
  </si>
  <si>
    <t>Xét nghiệm</t>
  </si>
  <si>
    <t>Siêu âm</t>
  </si>
  <si>
    <t>Điện tim</t>
  </si>
  <si>
    <t>X quang</t>
  </si>
  <si>
    <t>LS BNN</t>
  </si>
  <si>
    <t>Hô hấp</t>
  </si>
  <si>
    <t>Thính lực</t>
  </si>
  <si>
    <t>Ph da</t>
  </si>
  <si>
    <t>CÔNG TY TNHH YAMAHA MOTO VIỆT NAM</t>
  </si>
  <si>
    <t>X</t>
  </si>
  <si>
    <t>ĐX</t>
  </si>
  <si>
    <t xml:space="preserve">CÔNG TY TNHH SKY DRAGON VIỆT NAM </t>
  </si>
  <si>
    <t>10-12/06/2025</t>
  </si>
  <si>
    <t>CÔNG TY APATIT LÀO CAI</t>
  </si>
  <si>
    <t>CÔNG TY CỔ PHẦN GIÀY NGỌC HÀ</t>
  </si>
  <si>
    <t>14/06/2025</t>
  </si>
  <si>
    <t>CÔNG TY SUPERIOR EMS VIỆT NAM</t>
  </si>
  <si>
    <t>193 (105 NỮ)</t>
  </si>
  <si>
    <t>HỆ THỐNG CTY CP CHĂN NUÔI CP VIỆT NAM</t>
  </si>
  <si>
    <t>16-28/06/2025</t>
  </si>
  <si>
    <t>2901 (1800 NAM, 1101 NỮ)</t>
  </si>
  <si>
    <t>CÔNG TY CP DI CHUYỂN XANH VÀ THÔNG MINH GSM</t>
  </si>
  <si>
    <t>16-22/07/2025</t>
  </si>
  <si>
    <t>CÔNG TY TNHH HAID HẢI DƯƠNG</t>
  </si>
  <si>
    <t>18/06/2025</t>
  </si>
  <si>
    <t xml:space="preserve">Đã Xong Hồ sơ </t>
  </si>
  <si>
    <t>XÍ NGHIỆP THỦ CÔNG MỸ NGHỆ XK VÂN ANH</t>
  </si>
  <si>
    <t>Đã trả  KK</t>
  </si>
  <si>
    <t>CÔNG TY CCL DESIGN VIỆT NAM</t>
  </si>
  <si>
    <t>CÔNG TY CP QUỐC TẾ PHONG PHÚ</t>
  </si>
  <si>
    <t>19/06/2025</t>
  </si>
  <si>
    <t>CÔNG TY TNHH GFT UNIQUE VIỆT NAM</t>
  </si>
  <si>
    <t>20,21/06/2025</t>
  </si>
  <si>
    <t>CÔNG TY CP SẢN XUẤT VÀ THƯƠNG MẠI PHỤ LIỆU NGHÀNH MAY TAM NIÊN</t>
  </si>
  <si>
    <t>22/06/2025</t>
  </si>
  <si>
    <t>210 (50 NAM, 160 NỮ)</t>
  </si>
  <si>
    <t>CÔNG TY TNHH VẬT LIỆU ĐẶC BIỆT GIAI ĐỨC VN</t>
  </si>
  <si>
    <t>25/06/2025</t>
  </si>
  <si>
    <t>70 ( 55 NỮ)</t>
  </si>
  <si>
    <t>TRƯỜNG MN LÁ PHONG XANH</t>
  </si>
  <si>
    <t>25/6/2025</t>
  </si>
  <si>
    <t>CÔNG TY TNHH MOVE VINA</t>
  </si>
  <si>
    <t>26/06/2025</t>
  </si>
  <si>
    <t>CÔNG TY CP BÓNG ĐÈN PHÍCH NƯỚC RẠNG ĐÔNG</t>
  </si>
  <si>
    <t>27,28/06/2025</t>
  </si>
  <si>
    <t>Cty NIskuku</t>
  </si>
  <si>
    <t>BẢNG PHÂN CÔNG THEO DÕI TIẾN ĐỘ CÔNG VIỆC KHÁM SỨC KHỎE 2025</t>
  </si>
  <si>
    <t>NGÀY TRẢ FILE NHẬP KẾT LUẬN</t>
  </si>
  <si>
    <t>IN HS ĐK+ HS BNN</t>
  </si>
  <si>
    <t>GHÉP CODE</t>
  </si>
  <si>
    <t>HỒ SƠ KHÁM THỰC TẾ</t>
  </si>
  <si>
    <t>XẾP TT HS</t>
  </si>
  <si>
    <t>PHÂN LOẠI THỂ LỰC</t>
  </si>
  <si>
    <t>NHẬP SƠ BỘ HS ĐK</t>
  </si>
  <si>
    <t>NHẬP SƠ BỘ HS BNN</t>
  </si>
  <si>
    <t>ĐỌC SOÁT HS</t>
  </si>
  <si>
    <t xml:space="preserve">SỬA KQ ĐỌC SOÁT, GHÉP KQ CLS </t>
  </si>
  <si>
    <t>KẾT LUẬN</t>
  </si>
  <si>
    <t>IN ĐUÔI KẾT LUẬN</t>
  </si>
  <si>
    <t>GHÉP KẾT LUẬN</t>
  </si>
  <si>
    <t>ĐÓNG DẤU KL-GIÁP LAI</t>
  </si>
  <si>
    <t>IN KẾT QUẢ CÁ NHÂN</t>
  </si>
  <si>
    <t>ĐÓNG PHONG BÌ KQCN</t>
  </si>
  <si>
    <t>BÀN GIAO HS TRẢ KẾT QUẢ</t>
  </si>
  <si>
    <t>Người thực hiện</t>
  </si>
  <si>
    <t>Thời hạn</t>
  </si>
  <si>
    <t>Số HS</t>
  </si>
  <si>
    <t>Người thực hiện/TTHS</t>
  </si>
  <si>
    <t>HS đã PL</t>
  </si>
  <si>
    <t>TTHS</t>
  </si>
  <si>
    <t>SL đã nhập</t>
  </si>
  <si>
    <t>ĐK/BNN</t>
  </si>
  <si>
    <t>HS đã soát</t>
  </si>
  <si>
    <t>HS đã soát ghép</t>
  </si>
  <si>
    <t>HS đã đóng dấu</t>
  </si>
  <si>
    <t>Phong bì đã đóng</t>
  </si>
  <si>
    <t>DOANH NGHIỆP CHẾ XUẤT NITORI VIỆT NAM</t>
  </si>
  <si>
    <t>21/06/2025</t>
  </si>
  <si>
    <t>Huyền+Lan</t>
  </si>
  <si>
    <t>ĐK</t>
  </si>
  <si>
    <t>1-599|1500-1900</t>
  </si>
  <si>
    <t>Hào</t>
  </si>
  <si>
    <t>Thủy + Thảo</t>
  </si>
  <si>
    <t>600-1199</t>
  </si>
  <si>
    <t>Thủy + Tài</t>
  </si>
  <si>
    <t>BNN</t>
  </si>
  <si>
    <t>2600-4000</t>
  </si>
  <si>
    <t xml:space="preserve">Tài+Lan </t>
  </si>
  <si>
    <t>4601-5000</t>
  </si>
  <si>
    <t>Uyên+Đăng</t>
  </si>
  <si>
    <t>401-4600</t>
  </si>
  <si>
    <t>Thủy+Tài</t>
  </si>
  <si>
    <t>2600-2700
3400-4000</t>
  </si>
  <si>
    <t>Tuấn</t>
  </si>
  <si>
    <t>BS LĨNH</t>
  </si>
  <si>
    <t>21/06</t>
  </si>
  <si>
    <t>Thành</t>
  </si>
  <si>
    <t>01-3316</t>
  </si>
  <si>
    <t>Tài+ Uyên</t>
  </si>
  <si>
    <t>500-1000|1000-1900</t>
  </si>
  <si>
    <t>Thành+Thủy</t>
  </si>
  <si>
    <t>0-500|1000-1500|2000-2100</t>
  </si>
  <si>
    <t>Uyên+Thành</t>
  </si>
  <si>
    <t>2100-3733</t>
  </si>
  <si>
    <t>Thảo</t>
  </si>
  <si>
    <t>01-1343</t>
  </si>
  <si>
    <t>Thảo, Thành</t>
  </si>
  <si>
    <t>Tài+ Lan</t>
  </si>
  <si>
    <t>Huyền</t>
  </si>
  <si>
    <t xml:space="preserve">Ngọc Anh
300+600 </t>
  </si>
  <si>
    <t>22/06</t>
  </si>
  <si>
    <t>Thủy +Tài
BNN</t>
  </si>
  <si>
    <t>01-300/401-600/601-700/700-746/801-1338/</t>
  </si>
  <si>
    <t>Tài</t>
  </si>
  <si>
    <t>Lan</t>
  </si>
  <si>
    <t>01-700</t>
  </si>
  <si>
    <t xml:space="preserve"> Hoài+Lan</t>
  </si>
  <si>
    <t>6565-7112</t>
  </si>
  <si>
    <t>25/06</t>
  </si>
  <si>
    <t>Thủy+Lan</t>
  </si>
  <si>
    <t>A Định</t>
  </si>
  <si>
    <t>BS KẾT</t>
  </si>
  <si>
    <t>01-81</t>
  </si>
  <si>
    <t>20/06</t>
  </si>
  <si>
    <t>Đã trả KQ</t>
  </si>
  <si>
    <t>27/06/2027</t>
  </si>
  <si>
    <t>Hoài</t>
  </si>
  <si>
    <t>01-367</t>
  </si>
  <si>
    <t>Hoài+Lan</t>
  </si>
  <si>
    <t>1-378</t>
  </si>
  <si>
    <t>28/06/2025</t>
  </si>
  <si>
    <t>CÔNG TY TNHH VINA ITO</t>
  </si>
  <si>
    <t>CÔNG TY TNHH CLARK MATERIAL HANDLING VIỆT NAM</t>
  </si>
  <si>
    <t>25/06/2026</t>
  </si>
  <si>
    <t>CÔNG TY TNHH MK VINA</t>
  </si>
  <si>
    <t>CÔNG TY NISHOKU TECHNOLOGI</t>
  </si>
  <si>
    <t>30/06/2025</t>
  </si>
  <si>
    <t>Nội dung công việc</t>
  </si>
  <si>
    <t>Ngày nhận việc</t>
  </si>
  <si>
    <t>Mã HS</t>
  </si>
  <si>
    <t>Số lượng HS hoàn thành</t>
  </si>
  <si>
    <t>Đã hoàn thành
(X)</t>
  </si>
  <si>
    <t>Chưa hoàn thành/Lý do</t>
  </si>
  <si>
    <t>IN HS</t>
  </si>
  <si>
    <t>GHIM HS</t>
  </si>
  <si>
    <t xml:space="preserve"> </t>
  </si>
  <si>
    <t>ĐỌC SOÁT HS ĐK-BNN</t>
  </si>
  <si>
    <t>SỬA KQ ĐỌC SOÁT HS</t>
  </si>
  <si>
    <t>TỔNG HỢP GHÉP KẾT QUẢ</t>
  </si>
  <si>
    <t>KẾT LUẬN FILE MỀM</t>
  </si>
  <si>
    <t>GHÉP KẾT LUẬN ĐÓNG DẤU</t>
  </si>
  <si>
    <t>Lan+ Thủy</t>
  </si>
  <si>
    <t>Lan+Thủy</t>
  </si>
  <si>
    <t>1-500| 1100-1300</t>
  </si>
  <si>
    <t>Thành Uyên</t>
  </si>
  <si>
    <t>Thành+Uyên</t>
  </si>
  <si>
    <t>600-1000|1300</t>
  </si>
  <si>
    <t>Uyên</t>
  </si>
  <si>
    <t>Trang</t>
  </si>
  <si>
    <t>ĐÓNG DẤU CK</t>
  </si>
  <si>
    <t>Hương</t>
  </si>
  <si>
    <t>Huyền+BS Tỉnh</t>
  </si>
  <si>
    <t>Uyên + Thành</t>
  </si>
  <si>
    <t>28/06</t>
  </si>
  <si>
    <t>1-100</t>
  </si>
  <si>
    <t>700/1848</t>
  </si>
  <si>
    <t>Thủy Lan đóng dấu BNN
800hs</t>
  </si>
  <si>
    <t>Lan Thủy</t>
  </si>
  <si>
    <t>BNN+ĐK</t>
  </si>
  <si>
    <t>701-1370</t>
  </si>
  <si>
    <t>500-1000
1500-1900</t>
  </si>
  <si>
    <t>Tên công ty</t>
  </si>
  <si>
    <t>Ngày khám</t>
  </si>
  <si>
    <t>Ngày kết thúc</t>
  </si>
  <si>
    <t>Số lượng dự kiến</t>
  </si>
  <si>
    <t>Số lượng thực tế</t>
  </si>
  <si>
    <t>Thủy+ Lan đóng dấu BNN
1200hs</t>
  </si>
  <si>
    <t>Sủa phiếu siêu âm, phụ khoa: Huyền</t>
  </si>
  <si>
    <t>Huyền-BS Tỉnh đã KL xong</t>
  </si>
  <si>
    <t>Huyền-BS Tỉnh đã KL xong ĐK</t>
  </si>
  <si>
    <t>Hoài+Trang</t>
  </si>
  <si>
    <t>CÔNG TY TNHH NHUẬN DẬT</t>
  </si>
  <si>
    <t>CÔNG TY TNHH TM&amp;DV TALAD THAI</t>
  </si>
  <si>
    <t>27/6-10/7</t>
  </si>
  <si>
    <t>CÔNG TY CP SX DƯỢC PHẨM TAKARAI</t>
  </si>
  <si>
    <t>30/06</t>
  </si>
  <si>
    <t>CÔNG TY TNHH THÀNH NGHĨA</t>
  </si>
  <si>
    <t>CÔNG TY CP Ô TÔ HUYNDAI HƯNG YÊN</t>
  </si>
  <si>
    <t>CÔNG TY CP THĂNG LONG TALIMEX</t>
  </si>
  <si>
    <t>CÔNG TY CP DỊCH VỤ QUỐC TẾ HÀ THÀNH</t>
  </si>
  <si>
    <t>1-2/07/2025</t>
  </si>
  <si>
    <t>Trả hồ sơ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</si>
</sst>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"/>
  </numFmts>
  <fonts count="19" x14ac:knownFonts="1">
    <font>
      <sz val="11"/>
      <color theme="1"/>
      <name val="Calibri"/>
      <scheme val="minor"/>
    </font>
    <font>
      <sz val="11"/>
      <color theme="1"/>
      <name val="Calibri"/>
      <family val="2"/>
      <charset val="163"/>
      <scheme val="minor"/>
    </font>
    <font>
      <b/>
      <sz val="26"/>
      <color theme="1"/>
      <name val="Times New Roman"/>
      <family val="1"/>
    </font>
    <font>
      <sz val="1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  <charset val="163"/>
    </font>
    <font>
      <sz val="11"/>
      <color rgb="FF000000"/>
      <name val="Calibri"/>
      <family val="2"/>
    </font>
    <font>
      <b/>
      <sz val="11"/>
      <color theme="1"/>
      <name val="Times New Roman"/>
      <family val="1"/>
      <charset val="163"/>
    </font>
    <font>
      <b/>
      <sz val="11"/>
      <color rgb="FFFF0000"/>
      <name val="Times New Roman"/>
      <family val="1"/>
      <charset val="163"/>
    </font>
  </fonts>
  <fills count="12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66FF66"/>
        <bgColor rgb="FF66FF66"/>
      </patternFill>
    </fill>
    <fill>
      <patternFill patternType="solid">
        <fgColor rgb="FF00FFCC"/>
        <bgColor rgb="FF00FFCC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E2EFD9"/>
      </patternFill>
    </fill>
  </fills>
  <borders count="6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0" xfId="0" applyFont="1"/>
    <xf numFmtId="3" fontId="4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/>
    <xf numFmtId="0" fontId="4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0" xfId="0" applyFont="1" applyFill="1"/>
    <xf numFmtId="164" fontId="4" fillId="0" borderId="7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 wrapText="1"/>
    </xf>
    <xf numFmtId="0" fontId="4" fillId="4" borderId="14" xfId="0" applyFont="1" applyFill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4" fillId="5" borderId="21" xfId="0" applyFont="1" applyFill="1" applyBorder="1" applyAlignment="1">
      <alignment horizontal="center" vertical="center" wrapText="1"/>
    </xf>
    <xf numFmtId="0" fontId="5" fillId="5" borderId="21" xfId="0" applyFont="1" applyFill="1" applyBorder="1"/>
    <xf numFmtId="0" fontId="4" fillId="5" borderId="21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 wrapText="1"/>
    </xf>
    <xf numFmtId="0" fontId="4" fillId="5" borderId="23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49" fontId="4" fillId="5" borderId="7" xfId="0" applyNumberFormat="1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9" fontId="4" fillId="5" borderId="7" xfId="0" applyNumberFormat="1" applyFont="1" applyFill="1" applyBorder="1" applyAlignment="1">
      <alignment horizontal="center" vertical="center" wrapText="1"/>
    </xf>
    <xf numFmtId="0" fontId="4" fillId="5" borderId="27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vertical="center" wrapText="1"/>
    </xf>
    <xf numFmtId="0" fontId="5" fillId="5" borderId="28" xfId="0" applyFont="1" applyFill="1" applyBorder="1" applyAlignment="1">
      <alignment horizontal="center" vertical="center" wrapText="1"/>
    </xf>
    <xf numFmtId="3" fontId="4" fillId="5" borderId="7" xfId="0" applyNumberFormat="1" applyFont="1" applyFill="1" applyBorder="1" applyAlignment="1">
      <alignment horizontal="center" vertical="center" wrapText="1"/>
    </xf>
    <xf numFmtId="0" fontId="5" fillId="5" borderId="7" xfId="0" applyFont="1" applyFill="1" applyBorder="1"/>
    <xf numFmtId="14" fontId="4" fillId="5" borderId="7" xfId="0" applyNumberFormat="1" applyFont="1" applyFill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/>
    </xf>
    <xf numFmtId="0" fontId="9" fillId="0" borderId="7" xfId="0" applyFont="1" applyBorder="1" applyAlignment="1">
      <alignment wrapText="1"/>
    </xf>
    <xf numFmtId="0" fontId="9" fillId="0" borderId="7" xfId="0" applyFont="1" applyBorder="1"/>
    <xf numFmtId="0" fontId="9" fillId="0" borderId="40" xfId="0" applyFont="1" applyBorder="1"/>
    <xf numFmtId="0" fontId="5" fillId="0" borderId="44" xfId="0" applyFont="1" applyBorder="1" applyAlignment="1">
      <alignment horizontal="center" vertical="center"/>
    </xf>
    <xf numFmtId="0" fontId="9" fillId="0" borderId="47" xfId="0" applyFont="1" applyBorder="1" applyAlignment="1">
      <alignment wrapText="1"/>
    </xf>
    <xf numFmtId="0" fontId="9" fillId="0" borderId="47" xfId="0" applyFont="1" applyBorder="1"/>
    <xf numFmtId="0" fontId="9" fillId="0" borderId="48" xfId="0" applyFont="1" applyBorder="1"/>
    <xf numFmtId="0" fontId="4" fillId="7" borderId="7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 wrapText="1"/>
    </xf>
    <xf numFmtId="0" fontId="5" fillId="0" borderId="21" xfId="0" applyFont="1" applyBorder="1"/>
    <xf numFmtId="0" fontId="5" fillId="8" borderId="7" xfId="0" applyFont="1" applyFill="1" applyBorder="1" applyAlignment="1">
      <alignment horizontal="center" vertical="center" wrapText="1"/>
    </xf>
    <xf numFmtId="0" fontId="4" fillId="9" borderId="7" xfId="0" applyFont="1" applyFill="1" applyBorder="1" applyAlignment="1">
      <alignment horizontal="center" vertical="center" wrapText="1"/>
    </xf>
    <xf numFmtId="0" fontId="5" fillId="8" borderId="7" xfId="0" applyFont="1" applyFill="1" applyBorder="1"/>
    <xf numFmtId="0" fontId="4" fillId="9" borderId="7" xfId="0" applyFont="1" applyFill="1" applyBorder="1" applyAlignment="1">
      <alignment horizontal="center" vertical="center"/>
    </xf>
    <xf numFmtId="16" fontId="4" fillId="9" borderId="7" xfId="0" applyNumberFormat="1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11" fillId="10" borderId="21" xfId="0" applyFont="1" applyFill="1" applyBorder="1" applyAlignment="1">
      <alignment horizontal="center" vertical="center" wrapText="1"/>
    </xf>
    <xf numFmtId="0" fontId="11" fillId="8" borderId="2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6" fontId="4" fillId="0" borderId="7" xfId="0" applyNumberFormat="1" applyFont="1" applyBorder="1" applyAlignment="1">
      <alignment horizontal="center" vertical="center"/>
    </xf>
    <xf numFmtId="0" fontId="4" fillId="8" borderId="26" xfId="0" applyFont="1" applyFill="1" applyBorder="1" applyAlignment="1">
      <alignment horizontal="center" vertical="center" wrapText="1"/>
    </xf>
    <xf numFmtId="0" fontId="5" fillId="10" borderId="7" xfId="0" applyFont="1" applyFill="1" applyBorder="1"/>
    <xf numFmtId="0" fontId="5" fillId="10" borderId="7" xfId="0" applyFont="1" applyFill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49" xfId="0" applyFont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14" fillId="0" borderId="61" xfId="0" applyFont="1" applyBorder="1" applyAlignment="1">
      <alignment horizontal="center"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63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 wrapText="1"/>
    </xf>
    <xf numFmtId="14" fontId="4" fillId="0" borderId="65" xfId="0" applyNumberFormat="1" applyFont="1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13" fillId="0" borderId="49" xfId="0" applyFont="1" applyBorder="1" applyAlignment="1">
      <alignment horizontal="center" vertical="center" wrapText="1"/>
    </xf>
    <xf numFmtId="0" fontId="15" fillId="0" borderId="49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5" borderId="25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6" xfId="0" applyFont="1" applyBorder="1"/>
    <xf numFmtId="0" fontId="2" fillId="0" borderId="1" xfId="0" applyFont="1" applyBorder="1" applyAlignment="1">
      <alignment horizontal="center" vertical="center"/>
    </xf>
    <xf numFmtId="0" fontId="3" fillId="0" borderId="1" xfId="0" applyFont="1" applyBorder="1"/>
    <xf numFmtId="0" fontId="4" fillId="0" borderId="3" xfId="0" applyFont="1" applyBorder="1" applyAlignment="1">
      <alignment horizontal="center" vertical="center" wrapText="1"/>
    </xf>
    <xf numFmtId="0" fontId="3" fillId="0" borderId="4" xfId="0" applyFont="1" applyBorder="1"/>
    <xf numFmtId="0" fontId="3" fillId="0" borderId="5" xfId="0" applyFont="1" applyBorder="1"/>
    <xf numFmtId="0" fontId="4" fillId="5" borderId="23" xfId="0" applyFont="1" applyFill="1" applyBorder="1" applyAlignment="1">
      <alignment horizontal="center" vertical="center" wrapText="1"/>
    </xf>
    <xf numFmtId="0" fontId="4" fillId="5" borderId="2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8" xfId="0" applyFont="1" applyFill="1" applyBorder="1" applyAlignment="1">
      <alignment horizontal="center" vertical="center" wrapText="1"/>
    </xf>
    <xf numFmtId="0" fontId="3" fillId="0" borderId="12" xfId="0" applyFont="1" applyBorder="1"/>
    <xf numFmtId="0" fontId="4" fillId="3" borderId="8" xfId="0" applyFont="1" applyFill="1" applyBorder="1" applyAlignment="1">
      <alignment horizontal="center" vertical="center" wrapText="1"/>
    </xf>
    <xf numFmtId="0" fontId="3" fillId="0" borderId="9" xfId="0" applyFont="1" applyBorder="1"/>
    <xf numFmtId="0" fontId="6" fillId="3" borderId="10" xfId="0" applyFont="1" applyFill="1" applyBorder="1" applyAlignment="1">
      <alignment horizontal="center" vertical="center" wrapText="1"/>
    </xf>
    <xf numFmtId="0" fontId="3" fillId="0" borderId="11" xfId="0" applyFont="1" applyBorder="1"/>
    <xf numFmtId="0" fontId="3" fillId="0" borderId="25" xfId="0" applyFont="1" applyBorder="1"/>
    <xf numFmtId="0" fontId="4" fillId="5" borderId="25" xfId="0" applyFont="1" applyFill="1" applyBorder="1" applyAlignment="1">
      <alignment horizontal="center" vertical="center" wrapText="1"/>
    </xf>
    <xf numFmtId="14" fontId="4" fillId="5" borderId="20" xfId="0" applyNumberFormat="1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15" fillId="0" borderId="49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3" fillId="0" borderId="49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0" fontId="8" fillId="0" borderId="55" xfId="0" applyFont="1" applyBorder="1" applyAlignment="1">
      <alignment horizontal="center" vertical="center" wrapText="1"/>
    </xf>
    <xf numFmtId="0" fontId="8" fillId="0" borderId="56" xfId="0" applyFont="1" applyBorder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5" fillId="0" borderId="52" xfId="0" applyFont="1" applyBorder="1" applyAlignment="1">
      <alignment horizontal="center" vertical="center" wrapText="1"/>
    </xf>
    <xf numFmtId="0" fontId="4" fillId="0" borderId="50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3" fillId="0" borderId="38" xfId="0" applyFont="1" applyBorder="1"/>
    <xf numFmtId="0" fontId="10" fillId="0" borderId="31" xfId="0" applyFont="1" applyBorder="1" applyAlignment="1">
      <alignment horizontal="left" vertical="center" wrapText="1"/>
    </xf>
    <xf numFmtId="0" fontId="3" fillId="0" borderId="32" xfId="0" applyFont="1" applyBorder="1"/>
    <xf numFmtId="0" fontId="3" fillId="0" borderId="33" xfId="0" applyFont="1" applyBorder="1"/>
    <xf numFmtId="0" fontId="4" fillId="0" borderId="29" xfId="0" applyFont="1" applyBorder="1" applyAlignment="1">
      <alignment horizontal="center" vertical="center" wrapText="1"/>
    </xf>
    <xf numFmtId="0" fontId="3" fillId="0" borderId="35" xfId="0" applyFont="1" applyBorder="1"/>
    <xf numFmtId="0" fontId="3" fillId="0" borderId="30" xfId="0" applyFont="1" applyBorder="1"/>
    <xf numFmtId="0" fontId="3" fillId="0" borderId="26" xfId="0" applyFont="1" applyBorder="1"/>
    <xf numFmtId="0" fontId="8" fillId="0" borderId="3" xfId="0" applyFont="1" applyBorder="1" applyAlignment="1">
      <alignment horizontal="left" vertical="center" wrapText="1"/>
    </xf>
    <xf numFmtId="0" fontId="5" fillId="0" borderId="34" xfId="0" applyFont="1" applyBorder="1" applyAlignment="1">
      <alignment horizontal="center" vertical="center"/>
    </xf>
    <xf numFmtId="0" fontId="3" fillId="0" borderId="41" xfId="0" applyFont="1" applyBorder="1"/>
    <xf numFmtId="0" fontId="3" fillId="0" borderId="37" xfId="0" applyFont="1" applyBorder="1"/>
    <xf numFmtId="0" fontId="4" fillId="0" borderId="34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left" vertical="center" wrapText="1"/>
    </xf>
    <xf numFmtId="0" fontId="3" fillId="0" borderId="42" xfId="0" applyFont="1" applyBorder="1"/>
    <xf numFmtId="0" fontId="3" fillId="0" borderId="43" xfId="0" applyFont="1" applyBorder="1"/>
    <xf numFmtId="0" fontId="8" fillId="0" borderId="45" xfId="0" applyFont="1" applyBorder="1" applyAlignment="1">
      <alignment horizontal="left" vertical="center" wrapText="1"/>
    </xf>
    <xf numFmtId="0" fontId="3" fillId="0" borderId="46" xfId="0" applyFont="1" applyBorder="1"/>
    <xf numFmtId="14" fontId="17" fillId="0" borderId="65" xfId="0" applyNumberFormat="1" applyFont="1" applyBorder="1" applyAlignment="1">
      <alignment horizontal="center" vertical="center" wrapText="1"/>
    </xf>
    <xf numFmtId="0" fontId="14" fillId="0" borderId="65" xfId="0" applyFont="1" applyBorder="1" applyAlignment="1">
      <alignment horizontal="center" vertical="center" wrapText="1"/>
    </xf>
    <xf numFmtId="0" fontId="14" fillId="0" borderId="66" xfId="0" applyFont="1" applyBorder="1" applyAlignment="1">
      <alignment horizontal="center" vertical="center" wrapText="1"/>
    </xf>
    <xf numFmtId="14" fontId="14" fillId="0" borderId="65" xfId="0" applyNumberFormat="1" applyFont="1" applyBorder="1" applyAlignment="1">
      <alignment horizontal="center" vertical="center" wrapText="1"/>
    </xf>
    <xf numFmtId="0" fontId="4" fillId="3" borderId="23" xfId="0" applyFont="1" applyFill="1" applyBorder="1" applyAlignment="1">
      <alignment horizontal="center" vertical="center" wrapText="1"/>
    </xf>
    <xf numFmtId="0" fontId="4" fillId="3" borderId="29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3" fillId="0" borderId="19" xfId="0" applyFont="1" applyBorder="1"/>
    <xf numFmtId="0" fontId="3" fillId="0" borderId="21" xfId="0" applyFont="1" applyBorder="1"/>
    <xf numFmtId="0" fontId="5" fillId="5" borderId="30" xfId="0" applyFont="1" applyFill="1" applyBorder="1"/>
    <xf numFmtId="0" fontId="4" fillId="5" borderId="26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 wrapText="1"/>
    </xf>
    <xf numFmtId="0" fontId="4" fillId="5" borderId="43" xfId="0" applyFont="1" applyFill="1" applyBorder="1" applyAlignment="1">
      <alignment horizontal="center" vertical="center"/>
    </xf>
    <xf numFmtId="14" fontId="4" fillId="5" borderId="25" xfId="0" applyNumberFormat="1" applyFont="1" applyFill="1" applyBorder="1" applyAlignment="1">
      <alignment horizontal="center" vertical="center" wrapText="1"/>
    </xf>
    <xf numFmtId="0" fontId="4" fillId="5" borderId="26" xfId="0" applyFont="1" applyFill="1" applyBorder="1" applyAlignment="1">
      <alignment horizontal="center" vertical="center" wrapTex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25" xfId="0" applyFont="1" applyFill="1" applyBorder="1" applyAlignment="1">
      <alignment horizontal="center" vertical="center" wrapText="1"/>
    </xf>
    <xf numFmtId="0" fontId="4" fillId="8" borderId="21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21" xfId="0" applyFont="1" applyFill="1" applyBorder="1" applyAlignment="1">
      <alignment horizontal="center" vertical="center" wrapText="1"/>
    </xf>
    <xf numFmtId="0" fontId="4" fillId="6" borderId="7" xfId="0" applyFont="1" applyFill="1" applyBorder="1" applyAlignment="1">
      <alignment horizontal="center" vertical="center"/>
    </xf>
    <xf numFmtId="49" fontId="4" fillId="11" borderId="7" xfId="0" applyNumberFormat="1" applyFont="1" applyFill="1" applyBorder="1" applyAlignment="1">
      <alignment horizontal="center" vertical="center" wrapText="1"/>
    </xf>
    <xf numFmtId="0" fontId="4" fillId="10" borderId="7" xfId="0" applyFont="1" applyFill="1" applyBorder="1" applyAlignment="1">
      <alignment horizontal="center" vertical="center" wrapText="1"/>
    </xf>
    <xf numFmtId="14" fontId="4" fillId="8" borderId="7" xfId="0" applyNumberFormat="1" applyFont="1" applyFill="1" applyBorder="1" applyAlignment="1">
      <alignment horizontal="center" vertical="center" wrapText="1"/>
    </xf>
    <xf numFmtId="0" fontId="18" fillId="0" borderId="64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0</xdr:row>
          <xdr:rowOff>190501</xdr:rowOff>
        </xdr:from>
        <xdr:to>
          <xdr:col>6</xdr:col>
          <xdr:colOff>1457325</xdr:colOff>
          <xdr:row>0</xdr:row>
          <xdr:rowOff>971550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Báo cáo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0</xdr:row>
          <xdr:rowOff>228600</xdr:rowOff>
        </xdr:from>
        <xdr:to>
          <xdr:col>7</xdr:col>
          <xdr:colOff>990600</xdr:colOff>
          <xdr:row>0</xdr:row>
          <xdr:rowOff>847725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Chọn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0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9" sqref="D9"/>
    </sheetView>
  </sheetViews>
  <sheetFormatPr defaultColWidth="14.42578125" defaultRowHeight="15" customHeight="1" x14ac:dyDescent="0.25"/>
  <cols>
    <col min="1" max="1" width="9.140625" customWidth="1"/>
    <col min="2" max="2" width="51.28515625" customWidth="1"/>
    <col min="3" max="3" width="16.7109375" customWidth="1"/>
    <col min="4" max="4" width="16.42578125" customWidth="1"/>
    <col min="5" max="13" width="9.140625" customWidth="1"/>
    <col min="14" max="14" width="12.7109375" customWidth="1"/>
    <col min="15" max="15" width="17" customWidth="1"/>
    <col min="16" max="16" width="21.140625" customWidth="1"/>
    <col min="17" max="27" width="9.140625" customWidth="1"/>
  </cols>
  <sheetData>
    <row r="1" spans="1:27" ht="37.5" customHeight="1" x14ac:dyDescent="0.25">
      <c r="A1" s="92" t="s">
        <v>0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5" customHeight="1" x14ac:dyDescent="0.25">
      <c r="A2" s="90" t="s">
        <v>1</v>
      </c>
      <c r="B2" s="90" t="s">
        <v>2</v>
      </c>
      <c r="C2" s="90" t="s">
        <v>3</v>
      </c>
      <c r="D2" s="90" t="s">
        <v>4</v>
      </c>
      <c r="E2" s="94" t="s">
        <v>5</v>
      </c>
      <c r="F2" s="95"/>
      <c r="G2" s="95"/>
      <c r="H2" s="95"/>
      <c r="I2" s="95"/>
      <c r="J2" s="95"/>
      <c r="K2" s="95"/>
      <c r="L2" s="95"/>
      <c r="M2" s="96"/>
      <c r="N2" s="90" t="s">
        <v>6</v>
      </c>
      <c r="O2" s="90" t="s">
        <v>7</v>
      </c>
      <c r="P2" s="90" t="s">
        <v>8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46.5" customHeight="1" x14ac:dyDescent="0.25">
      <c r="A3" s="91"/>
      <c r="B3" s="91"/>
      <c r="C3" s="91"/>
      <c r="D3" s="91"/>
      <c r="E3" s="4" t="s">
        <v>9</v>
      </c>
      <c r="F3" s="4" t="s">
        <v>10</v>
      </c>
      <c r="G3" s="4" t="s">
        <v>11</v>
      </c>
      <c r="H3" s="4" t="s">
        <v>12</v>
      </c>
      <c r="I3" s="4" t="s">
        <v>13</v>
      </c>
      <c r="J3" s="4" t="s">
        <v>14</v>
      </c>
      <c r="K3" s="4" t="s">
        <v>15</v>
      </c>
      <c r="L3" s="4" t="s">
        <v>16</v>
      </c>
      <c r="M3" s="4" t="s">
        <v>17</v>
      </c>
      <c r="N3" s="91"/>
      <c r="O3" s="91"/>
      <c r="P3" s="91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ht="39" customHeight="1" x14ac:dyDescent="0.25">
      <c r="A4" s="4">
        <v>1</v>
      </c>
      <c r="B4" s="4" t="s">
        <v>18</v>
      </c>
      <c r="C4" s="5">
        <v>45814</v>
      </c>
      <c r="D4" s="6"/>
      <c r="E4" s="6" t="s">
        <v>19</v>
      </c>
      <c r="F4" s="6" t="s">
        <v>19</v>
      </c>
      <c r="G4" s="6" t="s">
        <v>19</v>
      </c>
      <c r="H4" s="6" t="s">
        <v>19</v>
      </c>
      <c r="I4" s="6" t="s">
        <v>19</v>
      </c>
      <c r="J4" s="6" t="s">
        <v>19</v>
      </c>
      <c r="K4" s="6"/>
      <c r="L4" s="6" t="s">
        <v>19</v>
      </c>
      <c r="M4" s="6"/>
      <c r="N4" s="4"/>
      <c r="O4" s="4"/>
      <c r="P4" s="6" t="s">
        <v>20</v>
      </c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37.5" customHeight="1" x14ac:dyDescent="0.25">
      <c r="A5" s="4">
        <v>2</v>
      </c>
      <c r="B5" s="4" t="s">
        <v>21</v>
      </c>
      <c r="C5" s="4" t="s">
        <v>22</v>
      </c>
      <c r="D5" s="6"/>
      <c r="E5" s="6" t="s">
        <v>19</v>
      </c>
      <c r="F5" s="6" t="s">
        <v>19</v>
      </c>
      <c r="G5" s="6"/>
      <c r="H5" s="6"/>
      <c r="I5" s="6" t="s">
        <v>19</v>
      </c>
      <c r="J5" s="6"/>
      <c r="K5" s="6"/>
      <c r="L5" s="6"/>
      <c r="M5" s="6"/>
      <c r="N5" s="4">
        <v>3316</v>
      </c>
      <c r="O5" s="4"/>
      <c r="P5" s="6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37.5" customHeight="1" x14ac:dyDescent="0.25">
      <c r="A6" s="4">
        <v>3</v>
      </c>
      <c r="B6" s="4" t="s">
        <v>23</v>
      </c>
      <c r="C6" s="4" t="s">
        <v>22</v>
      </c>
      <c r="D6" s="6"/>
      <c r="E6" s="6" t="s">
        <v>19</v>
      </c>
      <c r="F6" s="6" t="s">
        <v>19</v>
      </c>
      <c r="G6" s="6" t="s">
        <v>19</v>
      </c>
      <c r="H6" s="6"/>
      <c r="I6" s="6" t="s">
        <v>19</v>
      </c>
      <c r="J6" s="6" t="s">
        <v>19</v>
      </c>
      <c r="K6" s="6"/>
      <c r="L6" s="6" t="s">
        <v>19</v>
      </c>
      <c r="M6" s="6"/>
      <c r="N6" s="4">
        <v>1343</v>
      </c>
      <c r="O6" s="4"/>
      <c r="P6" s="6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37.5" customHeight="1" x14ac:dyDescent="0.25">
      <c r="A7" s="4">
        <v>4</v>
      </c>
      <c r="B7" s="4" t="s">
        <v>24</v>
      </c>
      <c r="C7" s="4" t="s">
        <v>25</v>
      </c>
      <c r="D7" s="6"/>
      <c r="E7" s="6" t="s">
        <v>19</v>
      </c>
      <c r="F7" s="6"/>
      <c r="G7" s="6"/>
      <c r="H7" s="6"/>
      <c r="I7" s="6"/>
      <c r="J7" s="6" t="s">
        <v>19</v>
      </c>
      <c r="K7" s="6" t="s">
        <v>19</v>
      </c>
      <c r="L7" s="6" t="s">
        <v>19</v>
      </c>
      <c r="M7" s="6"/>
      <c r="N7" s="4">
        <v>327</v>
      </c>
      <c r="O7" s="4"/>
      <c r="P7" s="6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37.5" customHeight="1" x14ac:dyDescent="0.25">
      <c r="A8" s="4">
        <v>5</v>
      </c>
      <c r="B8" s="4" t="s">
        <v>26</v>
      </c>
      <c r="C8" s="4" t="s">
        <v>25</v>
      </c>
      <c r="D8" s="6" t="s">
        <v>27</v>
      </c>
      <c r="E8" s="6" t="s">
        <v>19</v>
      </c>
      <c r="F8" s="6" t="s">
        <v>19</v>
      </c>
      <c r="G8" s="6"/>
      <c r="H8" s="6"/>
      <c r="I8" s="6"/>
      <c r="J8" s="6" t="s">
        <v>19</v>
      </c>
      <c r="K8" s="6" t="s">
        <v>19</v>
      </c>
      <c r="L8" s="6" t="s">
        <v>19</v>
      </c>
      <c r="M8" s="6"/>
      <c r="N8" s="4">
        <v>192</v>
      </c>
      <c r="O8" s="4"/>
      <c r="P8" s="6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37.5" customHeight="1" x14ac:dyDescent="0.25">
      <c r="A9" s="4">
        <v>6</v>
      </c>
      <c r="B9" s="4" t="s">
        <v>28</v>
      </c>
      <c r="C9" s="4" t="s">
        <v>29</v>
      </c>
      <c r="D9" s="6" t="s">
        <v>30</v>
      </c>
      <c r="E9" s="6" t="s">
        <v>19</v>
      </c>
      <c r="F9" s="6" t="s">
        <v>19</v>
      </c>
      <c r="G9" s="6" t="s">
        <v>19</v>
      </c>
      <c r="H9" s="6"/>
      <c r="I9" s="6" t="s">
        <v>19</v>
      </c>
      <c r="J9" s="6"/>
      <c r="K9" s="6" t="s">
        <v>19</v>
      </c>
      <c r="L9" s="6" t="s">
        <v>19</v>
      </c>
      <c r="M9" s="6"/>
      <c r="N9" s="8">
        <f>107+160+107+97+178+139</f>
        <v>788</v>
      </c>
      <c r="O9" s="9"/>
      <c r="P9" s="6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37.5" customHeight="1" x14ac:dyDescent="0.25">
      <c r="A10" s="4">
        <v>7</v>
      </c>
      <c r="B10" s="4" t="s">
        <v>31</v>
      </c>
      <c r="C10" s="4" t="s">
        <v>32</v>
      </c>
      <c r="D10" s="6">
        <v>8299</v>
      </c>
      <c r="E10" s="6" t="s">
        <v>19</v>
      </c>
      <c r="F10" s="6" t="s">
        <v>19</v>
      </c>
      <c r="G10" s="6" t="s">
        <v>19</v>
      </c>
      <c r="H10" s="6"/>
      <c r="I10" s="6" t="s">
        <v>19</v>
      </c>
      <c r="J10" s="6"/>
      <c r="K10" s="6"/>
      <c r="L10" s="6"/>
      <c r="M10" s="6"/>
      <c r="N10" s="8">
        <f>398+564</f>
        <v>962</v>
      </c>
      <c r="O10" s="9"/>
      <c r="P10" s="6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30" customHeight="1" x14ac:dyDescent="0.25">
      <c r="A11" s="10">
        <v>8</v>
      </c>
      <c r="B11" s="10" t="s">
        <v>33</v>
      </c>
      <c r="C11" s="10" t="s">
        <v>34</v>
      </c>
      <c r="D11" s="11">
        <v>81</v>
      </c>
      <c r="E11" s="11" t="s">
        <v>19</v>
      </c>
      <c r="F11" s="11" t="s">
        <v>19</v>
      </c>
      <c r="G11" s="11" t="s">
        <v>19</v>
      </c>
      <c r="H11" s="11"/>
      <c r="I11" s="11" t="s">
        <v>19</v>
      </c>
      <c r="J11" s="11" t="s">
        <v>19</v>
      </c>
      <c r="K11" s="11" t="s">
        <v>19</v>
      </c>
      <c r="L11" s="11"/>
      <c r="M11" s="11"/>
      <c r="N11" s="10">
        <v>77</v>
      </c>
      <c r="O11" s="10"/>
      <c r="P11" s="11" t="s">
        <v>35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37.5" customHeight="1" x14ac:dyDescent="0.25">
      <c r="A12" s="10">
        <v>9</v>
      </c>
      <c r="B12" s="10" t="s">
        <v>36</v>
      </c>
      <c r="C12" s="10" t="s">
        <v>34</v>
      </c>
      <c r="D12" s="11">
        <v>78</v>
      </c>
      <c r="E12" s="11" t="s">
        <v>19</v>
      </c>
      <c r="F12" s="11"/>
      <c r="G12" s="11"/>
      <c r="H12" s="11"/>
      <c r="I12" s="11"/>
      <c r="J12" s="11" t="s">
        <v>19</v>
      </c>
      <c r="K12" s="11" t="s">
        <v>19</v>
      </c>
      <c r="L12" s="11" t="s">
        <v>19</v>
      </c>
      <c r="M12" s="11"/>
      <c r="N12" s="10">
        <v>78</v>
      </c>
      <c r="O12" s="10"/>
      <c r="P12" s="11" t="s">
        <v>37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37.5" customHeight="1" x14ac:dyDescent="0.25">
      <c r="A13" s="10">
        <v>10</v>
      </c>
      <c r="B13" s="10" t="s">
        <v>38</v>
      </c>
      <c r="C13" s="10" t="s">
        <v>34</v>
      </c>
      <c r="D13" s="11">
        <v>16</v>
      </c>
      <c r="E13" s="11" t="s">
        <v>19</v>
      </c>
      <c r="F13" s="11" t="s">
        <v>19</v>
      </c>
      <c r="G13" s="11" t="s">
        <v>19</v>
      </c>
      <c r="H13" s="11" t="s">
        <v>19</v>
      </c>
      <c r="I13" s="11" t="s">
        <v>19</v>
      </c>
      <c r="J13" s="11"/>
      <c r="K13" s="11"/>
      <c r="L13" s="11"/>
      <c r="M13" s="11"/>
      <c r="N13" s="10"/>
      <c r="O13" s="10"/>
      <c r="P13" s="11" t="s">
        <v>35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37.5" customHeight="1" x14ac:dyDescent="0.25">
      <c r="A14" s="4">
        <v>11</v>
      </c>
      <c r="B14" s="4" t="s">
        <v>39</v>
      </c>
      <c r="C14" s="4" t="s">
        <v>40</v>
      </c>
      <c r="D14" s="6">
        <v>379</v>
      </c>
      <c r="E14" s="6" t="s">
        <v>19</v>
      </c>
      <c r="F14" s="6" t="s">
        <v>19</v>
      </c>
      <c r="G14" s="6" t="s">
        <v>19</v>
      </c>
      <c r="H14" s="6"/>
      <c r="I14" s="6" t="s">
        <v>19</v>
      </c>
      <c r="J14" s="6"/>
      <c r="K14" s="6"/>
      <c r="L14" s="6"/>
      <c r="M14" s="6"/>
      <c r="N14" s="4">
        <v>367</v>
      </c>
      <c r="O14" s="4"/>
      <c r="P14" s="6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37.5" customHeight="1" x14ac:dyDescent="0.25">
      <c r="A15" s="4">
        <v>12</v>
      </c>
      <c r="B15" s="4" t="s">
        <v>41</v>
      </c>
      <c r="C15" s="4" t="s">
        <v>42</v>
      </c>
      <c r="D15" s="6">
        <v>1350</v>
      </c>
      <c r="E15" s="6" t="s">
        <v>19</v>
      </c>
      <c r="F15" s="6" t="s">
        <v>19</v>
      </c>
      <c r="G15" s="6"/>
      <c r="H15" s="6"/>
      <c r="I15" s="6" t="s">
        <v>19</v>
      </c>
      <c r="J15" s="6" t="s">
        <v>19</v>
      </c>
      <c r="K15" s="6" t="s">
        <v>19</v>
      </c>
      <c r="L15" s="6" t="s">
        <v>19</v>
      </c>
      <c r="M15" s="6"/>
      <c r="N15" s="4">
        <v>1135</v>
      </c>
      <c r="O15" s="4"/>
      <c r="P15" s="6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37.5" customHeight="1" x14ac:dyDescent="0.25">
      <c r="A16" s="4">
        <v>13</v>
      </c>
      <c r="B16" s="4" t="s">
        <v>43</v>
      </c>
      <c r="C16" s="4" t="s">
        <v>44</v>
      </c>
      <c r="D16" s="6" t="s">
        <v>45</v>
      </c>
      <c r="E16" s="6" t="s">
        <v>19</v>
      </c>
      <c r="F16" s="6" t="s">
        <v>19</v>
      </c>
      <c r="G16" s="6" t="s">
        <v>19</v>
      </c>
      <c r="H16" s="6"/>
      <c r="I16" s="6"/>
      <c r="J16" s="6" t="s">
        <v>19</v>
      </c>
      <c r="K16" s="6" t="s">
        <v>19</v>
      </c>
      <c r="L16" s="6" t="s">
        <v>19</v>
      </c>
      <c r="M16" s="6"/>
      <c r="N16" s="4"/>
      <c r="O16" s="4"/>
      <c r="P16" s="6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37.5" customHeight="1" x14ac:dyDescent="0.25">
      <c r="A17" s="4">
        <v>14</v>
      </c>
      <c r="B17" s="4" t="s">
        <v>46</v>
      </c>
      <c r="C17" s="4" t="s">
        <v>47</v>
      </c>
      <c r="D17" s="6" t="s">
        <v>48</v>
      </c>
      <c r="E17" s="6" t="s">
        <v>19</v>
      </c>
      <c r="F17" s="6" t="s">
        <v>19</v>
      </c>
      <c r="G17" s="6" t="s">
        <v>19</v>
      </c>
      <c r="H17" s="6"/>
      <c r="I17" s="6"/>
      <c r="J17" s="6"/>
      <c r="K17" s="6"/>
      <c r="L17" s="6"/>
      <c r="M17" s="6"/>
      <c r="N17" s="4"/>
      <c r="O17" s="4"/>
      <c r="P17" s="6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37.5" customHeight="1" x14ac:dyDescent="0.25">
      <c r="A18" s="4">
        <v>15</v>
      </c>
      <c r="B18" s="4" t="s">
        <v>49</v>
      </c>
      <c r="C18" s="4" t="s">
        <v>50</v>
      </c>
      <c r="D18" s="6">
        <v>80</v>
      </c>
      <c r="E18" s="6" t="s">
        <v>19</v>
      </c>
      <c r="F18" s="6"/>
      <c r="G18" s="6"/>
      <c r="H18" s="6"/>
      <c r="I18" s="6"/>
      <c r="J18" s="6"/>
      <c r="K18" s="6"/>
      <c r="L18" s="6"/>
      <c r="M18" s="6"/>
      <c r="N18" s="4"/>
      <c r="O18" s="4"/>
      <c r="P18" s="6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37.5" customHeight="1" x14ac:dyDescent="0.25">
      <c r="A19" s="4">
        <v>16</v>
      </c>
      <c r="B19" s="4" t="s">
        <v>51</v>
      </c>
      <c r="C19" s="4" t="s">
        <v>52</v>
      </c>
      <c r="D19" s="6">
        <v>360</v>
      </c>
      <c r="E19" s="6" t="s">
        <v>19</v>
      </c>
      <c r="F19" s="6"/>
      <c r="G19" s="6"/>
      <c r="H19" s="6"/>
      <c r="I19" s="6"/>
      <c r="J19" s="6"/>
      <c r="K19" s="6"/>
      <c r="L19" s="6"/>
      <c r="M19" s="6"/>
      <c r="N19" s="4"/>
      <c r="O19" s="4"/>
      <c r="P19" s="6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37.5" customHeight="1" x14ac:dyDescent="0.25">
      <c r="A20" s="4">
        <v>17</v>
      </c>
      <c r="B20" s="4" t="s">
        <v>53</v>
      </c>
      <c r="C20" s="4" t="s">
        <v>54</v>
      </c>
      <c r="D20" s="6">
        <v>284</v>
      </c>
      <c r="E20" s="6"/>
      <c r="F20" s="6"/>
      <c r="G20" s="6"/>
      <c r="H20" s="6"/>
      <c r="I20" s="6"/>
      <c r="J20" s="6" t="s">
        <v>19</v>
      </c>
      <c r="K20" s="6" t="s">
        <v>19</v>
      </c>
      <c r="L20" s="6" t="s">
        <v>19</v>
      </c>
      <c r="M20" s="6"/>
      <c r="N20" s="4"/>
      <c r="O20" s="4"/>
      <c r="P20" s="6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37.5" customHeight="1" x14ac:dyDescent="0.25">
      <c r="A21" s="4">
        <v>18</v>
      </c>
      <c r="B21" s="4" t="s">
        <v>55</v>
      </c>
      <c r="C21" s="13">
        <v>45899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4"/>
      <c r="O21" s="4"/>
      <c r="P21" s="6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37.5" customHeight="1" x14ac:dyDescent="0.25">
      <c r="A22" s="4">
        <v>19</v>
      </c>
      <c r="B22" s="4"/>
      <c r="C22" s="4"/>
      <c r="D22" s="6"/>
      <c r="E22" s="6"/>
      <c r="F22" s="6"/>
      <c r="G22" s="6"/>
      <c r="H22" s="6"/>
      <c r="I22" s="6"/>
      <c r="J22" s="6"/>
      <c r="K22" s="6"/>
      <c r="L22" s="6"/>
      <c r="M22" s="6"/>
      <c r="N22" s="4"/>
      <c r="O22" s="4"/>
      <c r="P22" s="6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37.5" customHeight="1" x14ac:dyDescent="0.25">
      <c r="A23" s="4">
        <v>20</v>
      </c>
      <c r="B23" s="4"/>
      <c r="C23" s="4"/>
      <c r="D23" s="6"/>
      <c r="E23" s="6"/>
      <c r="F23" s="6"/>
      <c r="G23" s="6"/>
      <c r="H23" s="6"/>
      <c r="I23" s="6"/>
      <c r="J23" s="6"/>
      <c r="K23" s="6"/>
      <c r="L23" s="6"/>
      <c r="M23" s="6"/>
      <c r="N23" s="4"/>
      <c r="O23" s="4"/>
      <c r="P23" s="6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37.5" customHeight="1" x14ac:dyDescent="0.25">
      <c r="A24" s="4">
        <v>21</v>
      </c>
      <c r="B24" s="4"/>
      <c r="C24" s="4"/>
      <c r="D24" s="6"/>
      <c r="E24" s="6"/>
      <c r="F24" s="6"/>
      <c r="G24" s="6"/>
      <c r="H24" s="6"/>
      <c r="I24" s="6"/>
      <c r="J24" s="6"/>
      <c r="K24" s="6"/>
      <c r="L24" s="6"/>
      <c r="M24" s="6"/>
      <c r="N24" s="4"/>
      <c r="O24" s="4"/>
      <c r="P24" s="6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37.5" customHeight="1" x14ac:dyDescent="0.25">
      <c r="A25" s="4">
        <v>22</v>
      </c>
      <c r="B25" s="4"/>
      <c r="C25" s="4"/>
      <c r="D25" s="6"/>
      <c r="E25" s="6"/>
      <c r="F25" s="6"/>
      <c r="G25" s="6"/>
      <c r="H25" s="6"/>
      <c r="I25" s="6"/>
      <c r="J25" s="6"/>
      <c r="K25" s="6"/>
      <c r="L25" s="6"/>
      <c r="M25" s="6"/>
      <c r="N25" s="4"/>
      <c r="O25" s="4"/>
      <c r="P25" s="6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37.5" customHeight="1" x14ac:dyDescent="0.25">
      <c r="A26" s="4">
        <v>23</v>
      </c>
      <c r="B26" s="4"/>
      <c r="C26" s="4"/>
      <c r="D26" s="6"/>
      <c r="E26" s="6"/>
      <c r="F26" s="6"/>
      <c r="G26" s="6"/>
      <c r="H26" s="6"/>
      <c r="I26" s="6"/>
      <c r="J26" s="6"/>
      <c r="K26" s="6"/>
      <c r="L26" s="6"/>
      <c r="M26" s="6"/>
      <c r="N26" s="4"/>
      <c r="O26" s="4"/>
      <c r="P26" s="6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37.5" customHeight="1" x14ac:dyDescent="0.25">
      <c r="A27" s="4">
        <v>24</v>
      </c>
      <c r="B27" s="4"/>
      <c r="C27" s="4"/>
      <c r="D27" s="6"/>
      <c r="E27" s="6"/>
      <c r="F27" s="6"/>
      <c r="G27" s="6"/>
      <c r="H27" s="6"/>
      <c r="I27" s="6"/>
      <c r="J27" s="6"/>
      <c r="K27" s="6"/>
      <c r="L27" s="6"/>
      <c r="M27" s="6"/>
      <c r="N27" s="4"/>
      <c r="O27" s="4"/>
      <c r="P27" s="6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37.5" customHeight="1" x14ac:dyDescent="0.25">
      <c r="A28" s="4">
        <v>25</v>
      </c>
      <c r="B28" s="4"/>
      <c r="C28" s="4"/>
      <c r="D28" s="6"/>
      <c r="E28" s="6"/>
      <c r="F28" s="6"/>
      <c r="G28" s="6"/>
      <c r="H28" s="6"/>
      <c r="I28" s="6"/>
      <c r="J28" s="6"/>
      <c r="K28" s="6"/>
      <c r="L28" s="6"/>
      <c r="M28" s="6"/>
      <c r="N28" s="4"/>
      <c r="O28" s="4"/>
      <c r="P28" s="6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37.5" customHeight="1" x14ac:dyDescent="0.25">
      <c r="A29" s="4">
        <v>26</v>
      </c>
      <c r="B29" s="4"/>
      <c r="C29" s="4"/>
      <c r="D29" s="6"/>
      <c r="E29" s="6"/>
      <c r="F29" s="6"/>
      <c r="G29" s="6"/>
      <c r="H29" s="6"/>
      <c r="I29" s="6"/>
      <c r="J29" s="6"/>
      <c r="K29" s="6"/>
      <c r="L29" s="6"/>
      <c r="M29" s="6"/>
      <c r="N29" s="4"/>
      <c r="O29" s="4"/>
      <c r="P29" s="6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37.5" customHeight="1" x14ac:dyDescent="0.25">
      <c r="A30" s="4">
        <v>27</v>
      </c>
      <c r="B30" s="4"/>
      <c r="C30" s="4"/>
      <c r="D30" s="6"/>
      <c r="E30" s="6"/>
      <c r="F30" s="6"/>
      <c r="G30" s="6"/>
      <c r="H30" s="6"/>
      <c r="I30" s="6"/>
      <c r="J30" s="6"/>
      <c r="K30" s="6"/>
      <c r="L30" s="6"/>
      <c r="M30" s="6"/>
      <c r="N30" s="4"/>
      <c r="O30" s="4"/>
      <c r="P30" s="6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3.5" customHeight="1" x14ac:dyDescent="0.25">
      <c r="A31" s="7"/>
      <c r="B31" s="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3"/>
      <c r="O31" s="14"/>
      <c r="P31" s="15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3.5" customHeight="1" x14ac:dyDescent="0.25">
      <c r="A32" s="7"/>
      <c r="B32" s="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3"/>
      <c r="O32" s="14"/>
      <c r="P32" s="15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3.5" customHeight="1" x14ac:dyDescent="0.25">
      <c r="A33" s="7"/>
      <c r="B33" s="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3"/>
      <c r="O33" s="14"/>
      <c r="P33" s="15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3.5" customHeight="1" x14ac:dyDescent="0.25">
      <c r="A34" s="7"/>
      <c r="B34" s="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3"/>
      <c r="O34" s="14"/>
      <c r="P34" s="15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3.5" customHeight="1" x14ac:dyDescent="0.25">
      <c r="A35" s="7"/>
      <c r="B35" s="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3"/>
      <c r="O35" s="14"/>
      <c r="P35" s="15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3.5" customHeight="1" x14ac:dyDescent="0.25">
      <c r="A36" s="7"/>
      <c r="B36" s="3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3"/>
      <c r="O36" s="14"/>
      <c r="P36" s="15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3.5" customHeight="1" x14ac:dyDescent="0.25">
      <c r="A37" s="7"/>
      <c r="B37" s="3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3"/>
      <c r="O37" s="14"/>
      <c r="P37" s="15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3.5" customHeight="1" x14ac:dyDescent="0.25">
      <c r="A38" s="7"/>
      <c r="B38" s="3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3"/>
      <c r="O38" s="14"/>
      <c r="P38" s="15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3.5" customHeight="1" x14ac:dyDescent="0.25">
      <c r="A39" s="7"/>
      <c r="B39" s="3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3"/>
      <c r="O39" s="14"/>
      <c r="P39" s="15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3.5" customHeight="1" x14ac:dyDescent="0.25">
      <c r="A40" s="7"/>
      <c r="B40" s="3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3"/>
      <c r="O40" s="14"/>
      <c r="P40" s="15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3.5" customHeight="1" x14ac:dyDescent="0.25">
      <c r="A41" s="7"/>
      <c r="B41" s="3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3"/>
      <c r="O41" s="14"/>
      <c r="P41" s="15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3.5" customHeight="1" x14ac:dyDescent="0.25">
      <c r="A42" s="7"/>
      <c r="B42" s="3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3"/>
      <c r="O42" s="14"/>
      <c r="P42" s="15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3.5" customHeight="1" x14ac:dyDescent="0.25">
      <c r="A43" s="7"/>
      <c r="B43" s="3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3"/>
      <c r="O43" s="14"/>
      <c r="P43" s="15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3.5" customHeight="1" x14ac:dyDescent="0.25">
      <c r="A44" s="7"/>
      <c r="B44" s="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3"/>
      <c r="O44" s="14"/>
      <c r="P44" s="15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3.5" customHeight="1" x14ac:dyDescent="0.25">
      <c r="A45" s="7"/>
      <c r="B45" s="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3"/>
      <c r="O45" s="14"/>
      <c r="P45" s="15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3.5" customHeight="1" x14ac:dyDescent="0.25">
      <c r="A46" s="7"/>
      <c r="B46" s="3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3"/>
      <c r="O46" s="14"/>
      <c r="P46" s="15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3.5" customHeight="1" x14ac:dyDescent="0.25">
      <c r="A47" s="7"/>
      <c r="B47" s="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3"/>
      <c r="O47" s="14"/>
      <c r="P47" s="15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3.5" customHeight="1" x14ac:dyDescent="0.25">
      <c r="A48" s="7"/>
      <c r="B48" s="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3"/>
      <c r="O48" s="14"/>
      <c r="P48" s="15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3.5" customHeight="1" x14ac:dyDescent="0.25">
      <c r="A49" s="7"/>
      <c r="B49" s="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3"/>
      <c r="O49" s="14"/>
      <c r="P49" s="15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3.5" customHeight="1" x14ac:dyDescent="0.25">
      <c r="A50" s="7"/>
      <c r="B50" s="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3"/>
      <c r="O50" s="14"/>
      <c r="P50" s="15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3.5" customHeight="1" x14ac:dyDescent="0.25">
      <c r="A51" s="7"/>
      <c r="B51" s="3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3"/>
      <c r="O51" s="14"/>
      <c r="P51" s="15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3.5" customHeight="1" x14ac:dyDescent="0.25">
      <c r="A52" s="7"/>
      <c r="B52" s="3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3"/>
      <c r="O52" s="14"/>
      <c r="P52" s="15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3.5" customHeight="1" x14ac:dyDescent="0.25">
      <c r="A53" s="7"/>
      <c r="B53" s="3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3"/>
      <c r="O53" s="14"/>
      <c r="P53" s="15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3.5" customHeight="1" x14ac:dyDescent="0.25">
      <c r="A54" s="7"/>
      <c r="B54" s="3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3"/>
      <c r="O54" s="14"/>
      <c r="P54" s="15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3.5" customHeight="1" x14ac:dyDescent="0.25">
      <c r="A55" s="7"/>
      <c r="B55" s="3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3"/>
      <c r="O55" s="14"/>
      <c r="P55" s="15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3.5" customHeight="1" x14ac:dyDescent="0.25">
      <c r="A56" s="7"/>
      <c r="B56" s="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3"/>
      <c r="O56" s="14"/>
      <c r="P56" s="15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3.5" customHeight="1" x14ac:dyDescent="0.25">
      <c r="A57" s="7"/>
      <c r="B57" s="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3"/>
      <c r="O57" s="14"/>
      <c r="P57" s="15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3.5" customHeight="1" x14ac:dyDescent="0.25">
      <c r="A58" s="7"/>
      <c r="B58" s="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3"/>
      <c r="O58" s="14"/>
      <c r="P58" s="15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3.5" customHeight="1" x14ac:dyDescent="0.25">
      <c r="A59" s="7"/>
      <c r="B59" s="3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3"/>
      <c r="O59" s="14"/>
      <c r="P59" s="15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3.5" customHeight="1" x14ac:dyDescent="0.25">
      <c r="A60" s="7"/>
      <c r="B60" s="3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3"/>
      <c r="O60" s="14"/>
      <c r="P60" s="15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3.5" customHeight="1" x14ac:dyDescent="0.25">
      <c r="A61" s="7"/>
      <c r="B61" s="3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3"/>
      <c r="O61" s="14"/>
      <c r="P61" s="15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3.5" customHeight="1" x14ac:dyDescent="0.25">
      <c r="A62" s="7"/>
      <c r="B62" s="3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3"/>
      <c r="O62" s="14"/>
      <c r="P62" s="15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3.5" customHeight="1" x14ac:dyDescent="0.25">
      <c r="A63" s="7"/>
      <c r="B63" s="3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3"/>
      <c r="O63" s="14"/>
      <c r="P63" s="15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3.5" customHeight="1" x14ac:dyDescent="0.25">
      <c r="A64" s="7"/>
      <c r="B64" s="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3"/>
      <c r="O64" s="14"/>
      <c r="P64" s="15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3.5" customHeight="1" x14ac:dyDescent="0.25">
      <c r="A65" s="7"/>
      <c r="B65" s="3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3"/>
      <c r="O65" s="14"/>
      <c r="P65" s="15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3.5" customHeight="1" x14ac:dyDescent="0.25">
      <c r="A66" s="7"/>
      <c r="B66" s="3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3"/>
      <c r="O66" s="14"/>
      <c r="P66" s="15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3.5" customHeight="1" x14ac:dyDescent="0.25">
      <c r="A67" s="7"/>
      <c r="B67" s="3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3"/>
      <c r="O67" s="14"/>
      <c r="P67" s="15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3.5" customHeight="1" x14ac:dyDescent="0.25">
      <c r="A68" s="7"/>
      <c r="B68" s="3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3"/>
      <c r="O68" s="14"/>
      <c r="P68" s="15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3.5" customHeight="1" x14ac:dyDescent="0.25">
      <c r="A69" s="7"/>
      <c r="B69" s="3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3"/>
      <c r="O69" s="14"/>
      <c r="P69" s="15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3.5" customHeight="1" x14ac:dyDescent="0.25">
      <c r="A70" s="7"/>
      <c r="B70" s="3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3"/>
      <c r="O70" s="14"/>
      <c r="P70" s="15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3.5" customHeight="1" x14ac:dyDescent="0.25">
      <c r="A71" s="7"/>
      <c r="B71" s="3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3"/>
      <c r="O71" s="14"/>
      <c r="P71" s="15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3.5" customHeight="1" x14ac:dyDescent="0.25">
      <c r="A72" s="7"/>
      <c r="B72" s="3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3"/>
      <c r="O72" s="14"/>
      <c r="P72" s="15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3.5" customHeight="1" x14ac:dyDescent="0.25">
      <c r="A73" s="7"/>
      <c r="B73" s="3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3"/>
      <c r="O73" s="14"/>
      <c r="P73" s="15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3.5" customHeight="1" x14ac:dyDescent="0.25">
      <c r="A74" s="7"/>
      <c r="B74" s="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3"/>
      <c r="O74" s="14"/>
      <c r="P74" s="15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3.5" customHeight="1" x14ac:dyDescent="0.25">
      <c r="A75" s="7"/>
      <c r="B75" s="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3"/>
      <c r="O75" s="14"/>
      <c r="P75" s="15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3.5" customHeight="1" x14ac:dyDescent="0.25">
      <c r="A76" s="7"/>
      <c r="B76" s="3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3"/>
      <c r="O76" s="14"/>
      <c r="P76" s="15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3.5" customHeight="1" x14ac:dyDescent="0.25">
      <c r="A77" s="7"/>
      <c r="B77" s="3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3"/>
      <c r="O77" s="14"/>
      <c r="P77" s="15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3.5" customHeight="1" x14ac:dyDescent="0.25">
      <c r="A78" s="7"/>
      <c r="B78" s="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3"/>
      <c r="O78" s="14"/>
      <c r="P78" s="15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3.5" customHeight="1" x14ac:dyDescent="0.25">
      <c r="A79" s="7"/>
      <c r="B79" s="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3"/>
      <c r="O79" s="14"/>
      <c r="P79" s="15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3.5" customHeight="1" x14ac:dyDescent="0.25">
      <c r="A80" s="7"/>
      <c r="B80" s="3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3"/>
      <c r="O80" s="14"/>
      <c r="P80" s="15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3.5" customHeight="1" x14ac:dyDescent="0.25">
      <c r="A81" s="7"/>
      <c r="B81" s="3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3"/>
      <c r="O81" s="14"/>
      <c r="P81" s="15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3.5" customHeight="1" x14ac:dyDescent="0.25">
      <c r="A82" s="7"/>
      <c r="B82" s="3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3"/>
      <c r="O82" s="14"/>
      <c r="P82" s="15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3.5" customHeight="1" x14ac:dyDescent="0.25">
      <c r="A83" s="7"/>
      <c r="B83" s="3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3"/>
      <c r="O83" s="14"/>
      <c r="P83" s="15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3.5" customHeight="1" x14ac:dyDescent="0.25">
      <c r="A84" s="7"/>
      <c r="B84" s="3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3"/>
      <c r="O84" s="14"/>
      <c r="P84" s="15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3.5" customHeight="1" x14ac:dyDescent="0.25">
      <c r="A85" s="7"/>
      <c r="B85" s="3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3"/>
      <c r="O85" s="14"/>
      <c r="P85" s="15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3.5" customHeight="1" x14ac:dyDescent="0.25">
      <c r="A86" s="7"/>
      <c r="B86" s="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3"/>
      <c r="O86" s="14"/>
      <c r="P86" s="15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3.5" customHeight="1" x14ac:dyDescent="0.25">
      <c r="A87" s="7"/>
      <c r="B87" s="3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3"/>
      <c r="O87" s="14"/>
      <c r="P87" s="15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3.5" customHeight="1" x14ac:dyDescent="0.25">
      <c r="A88" s="7"/>
      <c r="B88" s="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3"/>
      <c r="O88" s="14"/>
      <c r="P88" s="15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3.5" customHeight="1" x14ac:dyDescent="0.25">
      <c r="A89" s="7"/>
      <c r="B89" s="3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3"/>
      <c r="O89" s="14"/>
      <c r="P89" s="15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3.5" customHeight="1" x14ac:dyDescent="0.25">
      <c r="A90" s="7"/>
      <c r="B90" s="3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3"/>
      <c r="O90" s="14"/>
      <c r="P90" s="15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3.5" customHeight="1" x14ac:dyDescent="0.25">
      <c r="A91" s="7"/>
      <c r="B91" s="3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3"/>
      <c r="O91" s="14"/>
      <c r="P91" s="15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3.5" customHeight="1" x14ac:dyDescent="0.25">
      <c r="A92" s="7"/>
      <c r="B92" s="3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3"/>
      <c r="O92" s="14"/>
      <c r="P92" s="15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3.5" customHeight="1" x14ac:dyDescent="0.25">
      <c r="A93" s="7"/>
      <c r="B93" s="3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3"/>
      <c r="O93" s="14"/>
      <c r="P93" s="15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3.5" customHeight="1" x14ac:dyDescent="0.25">
      <c r="A94" s="7"/>
      <c r="B94" s="3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3"/>
      <c r="O94" s="14"/>
      <c r="P94" s="15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3.5" customHeight="1" x14ac:dyDescent="0.25">
      <c r="A95" s="7"/>
      <c r="B95" s="3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3"/>
      <c r="O95" s="14"/>
      <c r="P95" s="15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3.5" customHeight="1" x14ac:dyDescent="0.25">
      <c r="A96" s="7"/>
      <c r="B96" s="3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3"/>
      <c r="O96" s="14"/>
      <c r="P96" s="15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3.5" customHeight="1" x14ac:dyDescent="0.25">
      <c r="A97" s="7"/>
      <c r="B97" s="3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3"/>
      <c r="O97" s="14"/>
      <c r="P97" s="15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3.5" customHeight="1" x14ac:dyDescent="0.25">
      <c r="A98" s="7"/>
      <c r="B98" s="3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3"/>
      <c r="O98" s="14"/>
      <c r="P98" s="15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3.5" customHeight="1" x14ac:dyDescent="0.25">
      <c r="A99" s="7"/>
      <c r="B99" s="3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3"/>
      <c r="O99" s="14"/>
      <c r="P99" s="15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3.5" customHeight="1" x14ac:dyDescent="0.25">
      <c r="A100" s="7"/>
      <c r="B100" s="3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3"/>
      <c r="O100" s="14"/>
      <c r="P100" s="15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3.5" customHeight="1" x14ac:dyDescent="0.25">
      <c r="A101" s="7"/>
      <c r="B101" s="3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3"/>
      <c r="O101" s="14"/>
      <c r="P101" s="15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3.5" customHeight="1" x14ac:dyDescent="0.25">
      <c r="A102" s="7"/>
      <c r="B102" s="3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3"/>
      <c r="O102" s="14"/>
      <c r="P102" s="15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3.5" customHeight="1" x14ac:dyDescent="0.25">
      <c r="A103" s="7"/>
      <c r="B103" s="3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3"/>
      <c r="O103" s="14"/>
      <c r="P103" s="15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3.5" customHeight="1" x14ac:dyDescent="0.25">
      <c r="A104" s="7"/>
      <c r="B104" s="3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3"/>
      <c r="O104" s="14"/>
      <c r="P104" s="15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3.5" customHeight="1" x14ac:dyDescent="0.25">
      <c r="A105" s="7"/>
      <c r="B105" s="3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3"/>
      <c r="O105" s="14"/>
      <c r="P105" s="15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3.5" customHeight="1" x14ac:dyDescent="0.25">
      <c r="A106" s="7"/>
      <c r="B106" s="3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3"/>
      <c r="O106" s="14"/>
      <c r="P106" s="15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3.5" customHeight="1" x14ac:dyDescent="0.25">
      <c r="A107" s="7"/>
      <c r="B107" s="3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3"/>
      <c r="O107" s="14"/>
      <c r="P107" s="15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3.5" customHeight="1" x14ac:dyDescent="0.25">
      <c r="A108" s="7"/>
      <c r="B108" s="3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3"/>
      <c r="O108" s="14"/>
      <c r="P108" s="15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3.5" customHeight="1" x14ac:dyDescent="0.25">
      <c r="A109" s="7"/>
      <c r="B109" s="3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3"/>
      <c r="O109" s="14"/>
      <c r="P109" s="15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3.5" customHeight="1" x14ac:dyDescent="0.25">
      <c r="A110" s="7"/>
      <c r="B110" s="3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3"/>
      <c r="O110" s="14"/>
      <c r="P110" s="15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3.5" customHeight="1" x14ac:dyDescent="0.25">
      <c r="A111" s="7"/>
      <c r="B111" s="3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3"/>
      <c r="O111" s="14"/>
      <c r="P111" s="15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3.5" customHeight="1" x14ac:dyDescent="0.25">
      <c r="A112" s="7"/>
      <c r="B112" s="3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3"/>
      <c r="O112" s="14"/>
      <c r="P112" s="15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3.5" customHeight="1" x14ac:dyDescent="0.25">
      <c r="A113" s="7"/>
      <c r="B113" s="3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3"/>
      <c r="O113" s="14"/>
      <c r="P113" s="15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3.5" customHeight="1" x14ac:dyDescent="0.25">
      <c r="A114" s="7"/>
      <c r="B114" s="3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3"/>
      <c r="O114" s="14"/>
      <c r="P114" s="15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3.5" customHeight="1" x14ac:dyDescent="0.25">
      <c r="A115" s="7"/>
      <c r="B115" s="3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3"/>
      <c r="O115" s="14"/>
      <c r="P115" s="15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3.5" customHeight="1" x14ac:dyDescent="0.25">
      <c r="A116" s="7"/>
      <c r="B116" s="3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3"/>
      <c r="O116" s="14"/>
      <c r="P116" s="15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3.5" customHeight="1" x14ac:dyDescent="0.25">
      <c r="A117" s="7"/>
      <c r="B117" s="3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3"/>
      <c r="O117" s="14"/>
      <c r="P117" s="15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3.5" customHeight="1" x14ac:dyDescent="0.25">
      <c r="A118" s="7"/>
      <c r="B118" s="3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3"/>
      <c r="O118" s="14"/>
      <c r="P118" s="15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3.5" customHeight="1" x14ac:dyDescent="0.25">
      <c r="A119" s="7"/>
      <c r="B119" s="3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3"/>
      <c r="O119" s="14"/>
      <c r="P119" s="15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3.5" customHeight="1" x14ac:dyDescent="0.25">
      <c r="A120" s="7"/>
      <c r="B120" s="3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3"/>
      <c r="O120" s="14"/>
      <c r="P120" s="15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3.5" customHeight="1" x14ac:dyDescent="0.25">
      <c r="A121" s="7"/>
      <c r="B121" s="3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3"/>
      <c r="O121" s="14"/>
      <c r="P121" s="15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3.5" customHeight="1" x14ac:dyDescent="0.25">
      <c r="A122" s="7"/>
      <c r="B122" s="3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3"/>
      <c r="O122" s="14"/>
      <c r="P122" s="15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3.5" customHeight="1" x14ac:dyDescent="0.25">
      <c r="A123" s="7"/>
      <c r="B123" s="3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3"/>
      <c r="O123" s="14"/>
      <c r="P123" s="15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3.5" customHeight="1" x14ac:dyDescent="0.25">
      <c r="A124" s="7"/>
      <c r="B124" s="3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3"/>
      <c r="O124" s="14"/>
      <c r="P124" s="15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3.5" customHeight="1" x14ac:dyDescent="0.25">
      <c r="A125" s="7"/>
      <c r="B125" s="3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3"/>
      <c r="O125" s="14"/>
      <c r="P125" s="15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3.5" customHeight="1" x14ac:dyDescent="0.25">
      <c r="A126" s="7"/>
      <c r="B126" s="3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3"/>
      <c r="O126" s="14"/>
      <c r="P126" s="15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3.5" customHeight="1" x14ac:dyDescent="0.25">
      <c r="A127" s="7"/>
      <c r="B127" s="3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3"/>
      <c r="O127" s="14"/>
      <c r="P127" s="15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3.5" customHeight="1" x14ac:dyDescent="0.25">
      <c r="A128" s="7"/>
      <c r="B128" s="3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3"/>
      <c r="O128" s="14"/>
      <c r="P128" s="15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3.5" customHeight="1" x14ac:dyDescent="0.25">
      <c r="A129" s="7"/>
      <c r="B129" s="3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3"/>
      <c r="O129" s="14"/>
      <c r="P129" s="15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3.5" customHeight="1" x14ac:dyDescent="0.25">
      <c r="A130" s="7"/>
      <c r="B130" s="3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3"/>
      <c r="O130" s="14"/>
      <c r="P130" s="15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3.5" customHeight="1" x14ac:dyDescent="0.25">
      <c r="A131" s="7"/>
      <c r="B131" s="3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3"/>
      <c r="O131" s="14"/>
      <c r="P131" s="15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3.5" customHeight="1" x14ac:dyDescent="0.25">
      <c r="A132" s="7"/>
      <c r="B132" s="3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3"/>
      <c r="O132" s="14"/>
      <c r="P132" s="15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3.5" customHeight="1" x14ac:dyDescent="0.25">
      <c r="A133" s="7"/>
      <c r="B133" s="3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3"/>
      <c r="O133" s="14"/>
      <c r="P133" s="15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3.5" customHeight="1" x14ac:dyDescent="0.25">
      <c r="A134" s="7"/>
      <c r="B134" s="3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3"/>
      <c r="O134" s="14"/>
      <c r="P134" s="15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3.5" customHeight="1" x14ac:dyDescent="0.25">
      <c r="A135" s="7"/>
      <c r="B135" s="3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3"/>
      <c r="O135" s="14"/>
      <c r="P135" s="15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3.5" customHeight="1" x14ac:dyDescent="0.25">
      <c r="A136" s="7"/>
      <c r="B136" s="3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3"/>
      <c r="O136" s="14"/>
      <c r="P136" s="15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3.5" customHeight="1" x14ac:dyDescent="0.25">
      <c r="A137" s="7"/>
      <c r="B137" s="3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3"/>
      <c r="O137" s="14"/>
      <c r="P137" s="15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3.5" customHeight="1" x14ac:dyDescent="0.25">
      <c r="A138" s="7"/>
      <c r="B138" s="3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3"/>
      <c r="O138" s="14"/>
      <c r="P138" s="15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3.5" customHeight="1" x14ac:dyDescent="0.25">
      <c r="A139" s="7"/>
      <c r="B139" s="3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3"/>
      <c r="O139" s="14"/>
      <c r="P139" s="15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3.5" customHeight="1" x14ac:dyDescent="0.25">
      <c r="A140" s="7"/>
      <c r="B140" s="3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3"/>
      <c r="O140" s="14"/>
      <c r="P140" s="15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3.5" customHeight="1" x14ac:dyDescent="0.25">
      <c r="A141" s="7"/>
      <c r="B141" s="3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3"/>
      <c r="O141" s="14"/>
      <c r="P141" s="15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3.5" customHeight="1" x14ac:dyDescent="0.25">
      <c r="A142" s="7"/>
      <c r="B142" s="3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3"/>
      <c r="O142" s="14"/>
      <c r="P142" s="15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3.5" customHeight="1" x14ac:dyDescent="0.25">
      <c r="A143" s="7"/>
      <c r="B143" s="3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3"/>
      <c r="O143" s="14"/>
      <c r="P143" s="15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3.5" customHeight="1" x14ac:dyDescent="0.25">
      <c r="A144" s="7"/>
      <c r="B144" s="3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3"/>
      <c r="O144" s="14"/>
      <c r="P144" s="15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3.5" customHeight="1" x14ac:dyDescent="0.25">
      <c r="A145" s="7"/>
      <c r="B145" s="3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3"/>
      <c r="O145" s="14"/>
      <c r="P145" s="15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3.5" customHeight="1" x14ac:dyDescent="0.25">
      <c r="A146" s="7"/>
      <c r="B146" s="3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3"/>
      <c r="O146" s="14"/>
      <c r="P146" s="15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3.5" customHeight="1" x14ac:dyDescent="0.25">
      <c r="A147" s="7"/>
      <c r="B147" s="3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3"/>
      <c r="O147" s="14"/>
      <c r="P147" s="15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3.5" customHeight="1" x14ac:dyDescent="0.25">
      <c r="A148" s="7"/>
      <c r="B148" s="3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3"/>
      <c r="O148" s="14"/>
      <c r="P148" s="15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3.5" customHeight="1" x14ac:dyDescent="0.25">
      <c r="A149" s="7"/>
      <c r="B149" s="3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3"/>
      <c r="O149" s="14"/>
      <c r="P149" s="15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3.5" customHeight="1" x14ac:dyDescent="0.25">
      <c r="A150" s="7"/>
      <c r="B150" s="3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3"/>
      <c r="O150" s="14"/>
      <c r="P150" s="15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3.5" customHeight="1" x14ac:dyDescent="0.25">
      <c r="A151" s="7"/>
      <c r="B151" s="3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3"/>
      <c r="O151" s="14"/>
      <c r="P151" s="15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3.5" customHeight="1" x14ac:dyDescent="0.25">
      <c r="A152" s="7"/>
      <c r="B152" s="3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3"/>
      <c r="O152" s="14"/>
      <c r="P152" s="15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3.5" customHeight="1" x14ac:dyDescent="0.25">
      <c r="A153" s="7"/>
      <c r="B153" s="3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3"/>
      <c r="O153" s="14"/>
      <c r="P153" s="15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3.5" customHeight="1" x14ac:dyDescent="0.25">
      <c r="A154" s="7"/>
      <c r="B154" s="3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3"/>
      <c r="O154" s="14"/>
      <c r="P154" s="15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3.5" customHeight="1" x14ac:dyDescent="0.25">
      <c r="A155" s="7"/>
      <c r="B155" s="3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3"/>
      <c r="O155" s="14"/>
      <c r="P155" s="15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3.5" customHeight="1" x14ac:dyDescent="0.25">
      <c r="A156" s="7"/>
      <c r="B156" s="3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3"/>
      <c r="O156" s="14"/>
      <c r="P156" s="15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3.5" customHeight="1" x14ac:dyDescent="0.25">
      <c r="A157" s="7"/>
      <c r="B157" s="3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3"/>
      <c r="O157" s="14"/>
      <c r="P157" s="15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3.5" customHeight="1" x14ac:dyDescent="0.25">
      <c r="A158" s="7"/>
      <c r="B158" s="3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3"/>
      <c r="O158" s="14"/>
      <c r="P158" s="15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3.5" customHeight="1" x14ac:dyDescent="0.25">
      <c r="A159" s="7"/>
      <c r="B159" s="3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3"/>
      <c r="O159" s="14"/>
      <c r="P159" s="15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3.5" customHeight="1" x14ac:dyDescent="0.25">
      <c r="A160" s="7"/>
      <c r="B160" s="3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3"/>
      <c r="O160" s="14"/>
      <c r="P160" s="15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3.5" customHeight="1" x14ac:dyDescent="0.25">
      <c r="A161" s="7"/>
      <c r="B161" s="3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3"/>
      <c r="O161" s="14"/>
      <c r="P161" s="15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3.5" customHeight="1" x14ac:dyDescent="0.25">
      <c r="A162" s="7"/>
      <c r="B162" s="3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3"/>
      <c r="O162" s="14"/>
      <c r="P162" s="15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3.5" customHeight="1" x14ac:dyDescent="0.25">
      <c r="A163" s="7"/>
      <c r="B163" s="3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3"/>
      <c r="O163" s="14"/>
      <c r="P163" s="15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3.5" customHeight="1" x14ac:dyDescent="0.25">
      <c r="A164" s="7"/>
      <c r="B164" s="3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3"/>
      <c r="O164" s="14"/>
      <c r="P164" s="15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3.5" customHeight="1" x14ac:dyDescent="0.25">
      <c r="A165" s="7"/>
      <c r="B165" s="3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3"/>
      <c r="O165" s="14"/>
      <c r="P165" s="15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3.5" customHeight="1" x14ac:dyDescent="0.25">
      <c r="A166" s="7"/>
      <c r="B166" s="3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3"/>
      <c r="O166" s="14"/>
      <c r="P166" s="15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3.5" customHeight="1" x14ac:dyDescent="0.25">
      <c r="A167" s="7"/>
      <c r="B167" s="3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3"/>
      <c r="O167" s="14"/>
      <c r="P167" s="15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3.5" customHeight="1" x14ac:dyDescent="0.25">
      <c r="A168" s="7"/>
      <c r="B168" s="3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3"/>
      <c r="O168" s="14"/>
      <c r="P168" s="15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3.5" customHeight="1" x14ac:dyDescent="0.25">
      <c r="A169" s="7"/>
      <c r="B169" s="3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3"/>
      <c r="O169" s="14"/>
      <c r="P169" s="15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3.5" customHeight="1" x14ac:dyDescent="0.25">
      <c r="A170" s="7"/>
      <c r="B170" s="3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3"/>
      <c r="O170" s="14"/>
      <c r="P170" s="15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3.5" customHeight="1" x14ac:dyDescent="0.25">
      <c r="A171" s="7"/>
      <c r="B171" s="3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3"/>
      <c r="O171" s="14"/>
      <c r="P171" s="15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3.5" customHeight="1" x14ac:dyDescent="0.25">
      <c r="A172" s="7"/>
      <c r="B172" s="3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3"/>
      <c r="O172" s="14"/>
      <c r="P172" s="15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3.5" customHeight="1" x14ac:dyDescent="0.25">
      <c r="A173" s="7"/>
      <c r="B173" s="3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3"/>
      <c r="O173" s="14"/>
      <c r="P173" s="15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3.5" customHeight="1" x14ac:dyDescent="0.25">
      <c r="A174" s="7"/>
      <c r="B174" s="3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3"/>
      <c r="O174" s="14"/>
      <c r="P174" s="15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3.5" customHeight="1" x14ac:dyDescent="0.25">
      <c r="A175" s="7"/>
      <c r="B175" s="3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3"/>
      <c r="O175" s="14"/>
      <c r="P175" s="15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3.5" customHeight="1" x14ac:dyDescent="0.25">
      <c r="A176" s="7"/>
      <c r="B176" s="3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3"/>
      <c r="O176" s="14"/>
      <c r="P176" s="15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3.5" customHeight="1" x14ac:dyDescent="0.25">
      <c r="A177" s="7"/>
      <c r="B177" s="3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3"/>
      <c r="O177" s="14"/>
      <c r="P177" s="15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3.5" customHeight="1" x14ac:dyDescent="0.25">
      <c r="A178" s="7"/>
      <c r="B178" s="3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3"/>
      <c r="O178" s="14"/>
      <c r="P178" s="15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3.5" customHeight="1" x14ac:dyDescent="0.25">
      <c r="A179" s="7"/>
      <c r="B179" s="3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3"/>
      <c r="O179" s="14"/>
      <c r="P179" s="15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3.5" customHeight="1" x14ac:dyDescent="0.25">
      <c r="A180" s="7"/>
      <c r="B180" s="3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3"/>
      <c r="O180" s="14"/>
      <c r="P180" s="15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3.5" customHeight="1" x14ac:dyDescent="0.25">
      <c r="A181" s="7"/>
      <c r="B181" s="3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3"/>
      <c r="O181" s="14"/>
      <c r="P181" s="15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3.5" customHeight="1" x14ac:dyDescent="0.25">
      <c r="A182" s="7"/>
      <c r="B182" s="3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3"/>
      <c r="O182" s="14"/>
      <c r="P182" s="15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3.5" customHeight="1" x14ac:dyDescent="0.25">
      <c r="A183" s="7"/>
      <c r="B183" s="3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3"/>
      <c r="O183" s="14"/>
      <c r="P183" s="15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3.5" customHeight="1" x14ac:dyDescent="0.25">
      <c r="A184" s="7"/>
      <c r="B184" s="3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3"/>
      <c r="O184" s="14"/>
      <c r="P184" s="15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3.5" customHeight="1" x14ac:dyDescent="0.25">
      <c r="A185" s="7"/>
      <c r="B185" s="3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3"/>
      <c r="O185" s="14"/>
      <c r="P185" s="15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3.5" customHeight="1" x14ac:dyDescent="0.25">
      <c r="A186" s="7"/>
      <c r="B186" s="3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3"/>
      <c r="O186" s="14"/>
      <c r="P186" s="15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3.5" customHeight="1" x14ac:dyDescent="0.25">
      <c r="A187" s="7"/>
      <c r="B187" s="3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3"/>
      <c r="O187" s="14"/>
      <c r="P187" s="15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3.5" customHeight="1" x14ac:dyDescent="0.25">
      <c r="A188" s="7"/>
      <c r="B188" s="3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3"/>
      <c r="O188" s="14"/>
      <c r="P188" s="15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3.5" customHeight="1" x14ac:dyDescent="0.25">
      <c r="A189" s="7"/>
      <c r="B189" s="3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3"/>
      <c r="O189" s="14"/>
      <c r="P189" s="15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3.5" customHeight="1" x14ac:dyDescent="0.25">
      <c r="A190" s="7"/>
      <c r="B190" s="3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3"/>
      <c r="O190" s="14"/>
      <c r="P190" s="15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3.5" customHeight="1" x14ac:dyDescent="0.25">
      <c r="A191" s="7"/>
      <c r="B191" s="3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3"/>
      <c r="O191" s="14"/>
      <c r="P191" s="15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3.5" customHeight="1" x14ac:dyDescent="0.25">
      <c r="A192" s="7"/>
      <c r="B192" s="3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3"/>
      <c r="O192" s="14"/>
      <c r="P192" s="15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3.5" customHeight="1" x14ac:dyDescent="0.25">
      <c r="A193" s="7"/>
      <c r="B193" s="3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3"/>
      <c r="O193" s="14"/>
      <c r="P193" s="15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3.5" customHeight="1" x14ac:dyDescent="0.25">
      <c r="A194" s="7"/>
      <c r="B194" s="3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3"/>
      <c r="O194" s="14"/>
      <c r="P194" s="15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3.5" customHeight="1" x14ac:dyDescent="0.25">
      <c r="A195" s="7"/>
      <c r="B195" s="3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3"/>
      <c r="O195" s="14"/>
      <c r="P195" s="15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3.5" customHeight="1" x14ac:dyDescent="0.25">
      <c r="A196" s="7"/>
      <c r="B196" s="3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3"/>
      <c r="O196" s="14"/>
      <c r="P196" s="15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3.5" customHeight="1" x14ac:dyDescent="0.25">
      <c r="A197" s="7"/>
      <c r="B197" s="3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3"/>
      <c r="O197" s="14"/>
      <c r="P197" s="15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3.5" customHeight="1" x14ac:dyDescent="0.25">
      <c r="A198" s="7"/>
      <c r="B198" s="3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3"/>
      <c r="O198" s="14"/>
      <c r="P198" s="15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3.5" customHeight="1" x14ac:dyDescent="0.25">
      <c r="A199" s="7"/>
      <c r="B199" s="3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3"/>
      <c r="O199" s="14"/>
      <c r="P199" s="15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3.5" customHeight="1" x14ac:dyDescent="0.25">
      <c r="A200" s="7"/>
      <c r="B200" s="3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3"/>
      <c r="O200" s="14"/>
      <c r="P200" s="15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3.5" customHeight="1" x14ac:dyDescent="0.25">
      <c r="A201" s="7"/>
      <c r="B201" s="3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3"/>
      <c r="O201" s="14"/>
      <c r="P201" s="15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3.5" customHeight="1" x14ac:dyDescent="0.25">
      <c r="A202" s="7"/>
      <c r="B202" s="3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3"/>
      <c r="O202" s="14"/>
      <c r="P202" s="15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3.5" customHeight="1" x14ac:dyDescent="0.25">
      <c r="A203" s="7"/>
      <c r="B203" s="3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3"/>
      <c r="O203" s="14"/>
      <c r="P203" s="15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3.5" customHeight="1" x14ac:dyDescent="0.25">
      <c r="A204" s="7"/>
      <c r="B204" s="3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3"/>
      <c r="O204" s="14"/>
      <c r="P204" s="15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3.5" customHeight="1" x14ac:dyDescent="0.25">
      <c r="A205" s="7"/>
      <c r="B205" s="3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3"/>
      <c r="O205" s="14"/>
      <c r="P205" s="15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3.5" customHeight="1" x14ac:dyDescent="0.25">
      <c r="A206" s="7"/>
      <c r="B206" s="3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3"/>
      <c r="O206" s="14"/>
      <c r="P206" s="15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3.5" customHeight="1" x14ac:dyDescent="0.25">
      <c r="A207" s="7"/>
      <c r="B207" s="3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3"/>
      <c r="O207" s="14"/>
      <c r="P207" s="15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3.5" customHeight="1" x14ac:dyDescent="0.25">
      <c r="A208" s="7"/>
      <c r="B208" s="3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3"/>
      <c r="O208" s="14"/>
      <c r="P208" s="15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3.5" customHeight="1" x14ac:dyDescent="0.25">
      <c r="A209" s="7"/>
      <c r="B209" s="3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3"/>
      <c r="O209" s="14"/>
      <c r="P209" s="15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3.5" customHeight="1" x14ac:dyDescent="0.25">
      <c r="A210" s="7"/>
      <c r="B210" s="3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3"/>
      <c r="O210" s="14"/>
      <c r="P210" s="15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3.5" customHeight="1" x14ac:dyDescent="0.25">
      <c r="A211" s="7"/>
      <c r="B211" s="3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3"/>
      <c r="O211" s="14"/>
      <c r="P211" s="15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3.5" customHeight="1" x14ac:dyDescent="0.25">
      <c r="A212" s="7"/>
      <c r="B212" s="3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3"/>
      <c r="O212" s="14"/>
      <c r="P212" s="15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3.5" customHeight="1" x14ac:dyDescent="0.25">
      <c r="A213" s="7"/>
      <c r="B213" s="3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3"/>
      <c r="O213" s="14"/>
      <c r="P213" s="15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3.5" customHeight="1" x14ac:dyDescent="0.25">
      <c r="A214" s="7"/>
      <c r="B214" s="3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3"/>
      <c r="O214" s="14"/>
      <c r="P214" s="15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3.5" customHeight="1" x14ac:dyDescent="0.25">
      <c r="A215" s="7"/>
      <c r="B215" s="3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3"/>
      <c r="O215" s="14"/>
      <c r="P215" s="15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3.5" customHeight="1" x14ac:dyDescent="0.25">
      <c r="A216" s="7"/>
      <c r="B216" s="3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3"/>
      <c r="O216" s="14"/>
      <c r="P216" s="15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3.5" customHeight="1" x14ac:dyDescent="0.25">
      <c r="A217" s="7"/>
      <c r="B217" s="3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3"/>
      <c r="O217" s="14"/>
      <c r="P217" s="15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3.5" customHeight="1" x14ac:dyDescent="0.25">
      <c r="A218" s="7"/>
      <c r="B218" s="3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3"/>
      <c r="O218" s="14"/>
      <c r="P218" s="15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3.5" customHeight="1" x14ac:dyDescent="0.25">
      <c r="A219" s="7"/>
      <c r="B219" s="3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3"/>
      <c r="O219" s="14"/>
      <c r="P219" s="15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3.5" customHeight="1" x14ac:dyDescent="0.25">
      <c r="A220" s="7"/>
      <c r="B220" s="3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3"/>
      <c r="O220" s="14"/>
      <c r="P220" s="15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3.5" customHeight="1" x14ac:dyDescent="0.25">
      <c r="A221" s="7"/>
      <c r="B221" s="3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3"/>
      <c r="O221" s="14"/>
      <c r="P221" s="15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3.5" customHeight="1" x14ac:dyDescent="0.25">
      <c r="A222" s="7"/>
      <c r="B222" s="3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3"/>
      <c r="O222" s="14"/>
      <c r="P222" s="15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3.5" customHeight="1" x14ac:dyDescent="0.25">
      <c r="A223" s="7"/>
      <c r="B223" s="3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3"/>
      <c r="O223" s="14"/>
      <c r="P223" s="15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3.5" customHeight="1" x14ac:dyDescent="0.25">
      <c r="A224" s="7"/>
      <c r="B224" s="3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3"/>
      <c r="O224" s="14"/>
      <c r="P224" s="15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3.5" customHeight="1" x14ac:dyDescent="0.25">
      <c r="A225" s="7"/>
      <c r="B225" s="3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3"/>
      <c r="O225" s="14"/>
      <c r="P225" s="15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3.5" customHeight="1" x14ac:dyDescent="0.25">
      <c r="A226" s="7"/>
      <c r="B226" s="3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3"/>
      <c r="O226" s="14"/>
      <c r="P226" s="15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3.5" customHeight="1" x14ac:dyDescent="0.25">
      <c r="A227" s="7"/>
      <c r="B227" s="3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3"/>
      <c r="O227" s="14"/>
      <c r="P227" s="15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3.5" customHeight="1" x14ac:dyDescent="0.25">
      <c r="A228" s="7"/>
      <c r="B228" s="3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3"/>
      <c r="O228" s="14"/>
      <c r="P228" s="15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3.5" customHeight="1" x14ac:dyDescent="0.25">
      <c r="A229" s="7"/>
      <c r="B229" s="3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3"/>
      <c r="O229" s="14"/>
      <c r="P229" s="15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3.5" customHeight="1" x14ac:dyDescent="0.25">
      <c r="A230" s="7"/>
      <c r="B230" s="3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3"/>
      <c r="O230" s="14"/>
      <c r="P230" s="15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3.5" customHeight="1" x14ac:dyDescent="0.25">
      <c r="A231" s="7"/>
      <c r="B231" s="3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3"/>
      <c r="O231" s="14"/>
      <c r="P231" s="15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3.5" customHeight="1" x14ac:dyDescent="0.25">
      <c r="A232" s="7"/>
      <c r="B232" s="3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3"/>
      <c r="O232" s="14"/>
      <c r="P232" s="15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3.5" customHeight="1" x14ac:dyDescent="0.25">
      <c r="A233" s="7"/>
      <c r="B233" s="3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3"/>
      <c r="O233" s="14"/>
      <c r="P233" s="15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3.5" customHeight="1" x14ac:dyDescent="0.25">
      <c r="A234" s="7"/>
      <c r="B234" s="3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3"/>
      <c r="O234" s="14"/>
      <c r="P234" s="15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3.5" customHeight="1" x14ac:dyDescent="0.25">
      <c r="A235" s="7"/>
      <c r="B235" s="3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3"/>
      <c r="O235" s="14"/>
      <c r="P235" s="15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3.5" customHeight="1" x14ac:dyDescent="0.25">
      <c r="A236" s="7"/>
      <c r="B236" s="3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3"/>
      <c r="O236" s="14"/>
      <c r="P236" s="15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3.5" customHeight="1" x14ac:dyDescent="0.25">
      <c r="A237" s="7"/>
      <c r="B237" s="3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3"/>
      <c r="O237" s="14"/>
      <c r="P237" s="15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3.5" customHeight="1" x14ac:dyDescent="0.25">
      <c r="A238" s="7"/>
      <c r="B238" s="3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3"/>
      <c r="O238" s="14"/>
      <c r="P238" s="15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3.5" customHeight="1" x14ac:dyDescent="0.25">
      <c r="A239" s="7"/>
      <c r="B239" s="3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3"/>
      <c r="O239" s="14"/>
      <c r="P239" s="15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3.5" customHeight="1" x14ac:dyDescent="0.25">
      <c r="A240" s="7"/>
      <c r="B240" s="3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3"/>
      <c r="O240" s="14"/>
      <c r="P240" s="15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3.5" customHeight="1" x14ac:dyDescent="0.25">
      <c r="A241" s="7"/>
      <c r="B241" s="3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3"/>
      <c r="O241" s="14"/>
      <c r="P241" s="15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3.5" customHeight="1" x14ac:dyDescent="0.25">
      <c r="A242" s="7"/>
      <c r="B242" s="3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3"/>
      <c r="O242" s="14"/>
      <c r="P242" s="15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3.5" customHeight="1" x14ac:dyDescent="0.25">
      <c r="A243" s="7"/>
      <c r="B243" s="3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3"/>
      <c r="O243" s="14"/>
      <c r="P243" s="15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3.5" customHeight="1" x14ac:dyDescent="0.25">
      <c r="A244" s="7"/>
      <c r="B244" s="3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3"/>
      <c r="O244" s="14"/>
      <c r="P244" s="15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3.5" customHeight="1" x14ac:dyDescent="0.25">
      <c r="A245" s="7"/>
      <c r="B245" s="3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3"/>
      <c r="O245" s="14"/>
      <c r="P245" s="15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3.5" customHeight="1" x14ac:dyDescent="0.25">
      <c r="A246" s="7"/>
      <c r="B246" s="3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3"/>
      <c r="O246" s="14"/>
      <c r="P246" s="15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3.5" customHeight="1" x14ac:dyDescent="0.25">
      <c r="A247" s="7"/>
      <c r="B247" s="3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3"/>
      <c r="O247" s="14"/>
      <c r="P247" s="15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3.5" customHeight="1" x14ac:dyDescent="0.25">
      <c r="A248" s="7"/>
      <c r="B248" s="3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3"/>
      <c r="O248" s="14"/>
      <c r="P248" s="15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3.5" customHeight="1" x14ac:dyDescent="0.25">
      <c r="A249" s="7"/>
      <c r="B249" s="3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3"/>
      <c r="O249" s="14"/>
      <c r="P249" s="15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3.5" customHeight="1" x14ac:dyDescent="0.25">
      <c r="A250" s="7"/>
      <c r="B250" s="3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3"/>
      <c r="O250" s="14"/>
      <c r="P250" s="15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3.5" customHeight="1" x14ac:dyDescent="0.25">
      <c r="A251" s="7"/>
      <c r="B251" s="3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3"/>
      <c r="O251" s="14"/>
      <c r="P251" s="15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3.5" customHeight="1" x14ac:dyDescent="0.25">
      <c r="A252" s="7"/>
      <c r="B252" s="3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3"/>
      <c r="O252" s="14"/>
      <c r="P252" s="15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3.5" customHeight="1" x14ac:dyDescent="0.25">
      <c r="A253" s="7"/>
      <c r="B253" s="3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3"/>
      <c r="O253" s="14"/>
      <c r="P253" s="15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3.5" customHeight="1" x14ac:dyDescent="0.25">
      <c r="A254" s="7"/>
      <c r="B254" s="3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3"/>
      <c r="O254" s="14"/>
      <c r="P254" s="15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3.5" customHeight="1" x14ac:dyDescent="0.25">
      <c r="A255" s="7"/>
      <c r="B255" s="3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3"/>
      <c r="O255" s="14"/>
      <c r="P255" s="15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3.5" customHeight="1" x14ac:dyDescent="0.25">
      <c r="A256" s="7"/>
      <c r="B256" s="3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3"/>
      <c r="O256" s="14"/>
      <c r="P256" s="15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3.5" customHeight="1" x14ac:dyDescent="0.25">
      <c r="A257" s="7"/>
      <c r="B257" s="3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3"/>
      <c r="O257" s="14"/>
      <c r="P257" s="15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3.5" customHeight="1" x14ac:dyDescent="0.25">
      <c r="A258" s="7"/>
      <c r="B258" s="3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3"/>
      <c r="O258" s="14"/>
      <c r="P258" s="15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3.5" customHeight="1" x14ac:dyDescent="0.25">
      <c r="A259" s="7"/>
      <c r="B259" s="3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3"/>
      <c r="O259" s="14"/>
      <c r="P259" s="15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3.5" customHeight="1" x14ac:dyDescent="0.25">
      <c r="A260" s="7"/>
      <c r="B260" s="3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3"/>
      <c r="O260" s="14"/>
      <c r="P260" s="15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3.5" customHeight="1" x14ac:dyDescent="0.25">
      <c r="A261" s="7"/>
      <c r="B261" s="3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3"/>
      <c r="O261" s="14"/>
      <c r="P261" s="15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3.5" customHeight="1" x14ac:dyDescent="0.25">
      <c r="A262" s="7"/>
      <c r="B262" s="3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3"/>
      <c r="O262" s="14"/>
      <c r="P262" s="15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3.5" customHeight="1" x14ac:dyDescent="0.25">
      <c r="A263" s="7"/>
      <c r="B263" s="3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3"/>
      <c r="O263" s="14"/>
      <c r="P263" s="15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3.5" customHeight="1" x14ac:dyDescent="0.25">
      <c r="A264" s="7"/>
      <c r="B264" s="3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3"/>
      <c r="O264" s="14"/>
      <c r="P264" s="15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3.5" customHeight="1" x14ac:dyDescent="0.25">
      <c r="A265" s="7"/>
      <c r="B265" s="3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3"/>
      <c r="O265" s="14"/>
      <c r="P265" s="15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3.5" customHeight="1" x14ac:dyDescent="0.25">
      <c r="A266" s="7"/>
      <c r="B266" s="3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3"/>
      <c r="O266" s="14"/>
      <c r="P266" s="15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3.5" customHeight="1" x14ac:dyDescent="0.25">
      <c r="A267" s="7"/>
      <c r="B267" s="3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3"/>
      <c r="O267" s="14"/>
      <c r="P267" s="15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3.5" customHeight="1" x14ac:dyDescent="0.25">
      <c r="A268" s="7"/>
      <c r="B268" s="3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3"/>
      <c r="O268" s="14"/>
      <c r="P268" s="15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3.5" customHeight="1" x14ac:dyDescent="0.25">
      <c r="A269" s="7"/>
      <c r="B269" s="3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3"/>
      <c r="O269" s="14"/>
      <c r="P269" s="15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3.5" customHeight="1" x14ac:dyDescent="0.25">
      <c r="A270" s="7"/>
      <c r="B270" s="3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3"/>
      <c r="O270" s="14"/>
      <c r="P270" s="15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3.5" customHeight="1" x14ac:dyDescent="0.25">
      <c r="A271" s="7"/>
      <c r="B271" s="3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3"/>
      <c r="O271" s="14"/>
      <c r="P271" s="15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3.5" customHeight="1" x14ac:dyDescent="0.25">
      <c r="A272" s="7"/>
      <c r="B272" s="3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3"/>
      <c r="O272" s="14"/>
      <c r="P272" s="15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3.5" customHeight="1" x14ac:dyDescent="0.25">
      <c r="A273" s="7"/>
      <c r="B273" s="3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3"/>
      <c r="O273" s="14"/>
      <c r="P273" s="15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3.5" customHeight="1" x14ac:dyDescent="0.25">
      <c r="A274" s="7"/>
      <c r="B274" s="3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3"/>
      <c r="O274" s="14"/>
      <c r="P274" s="15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3.5" customHeight="1" x14ac:dyDescent="0.25">
      <c r="A275" s="7"/>
      <c r="B275" s="3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3"/>
      <c r="O275" s="14"/>
      <c r="P275" s="15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3.5" customHeight="1" x14ac:dyDescent="0.25">
      <c r="A276" s="7"/>
      <c r="B276" s="3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3"/>
      <c r="O276" s="14"/>
      <c r="P276" s="15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3.5" customHeight="1" x14ac:dyDescent="0.25">
      <c r="A277" s="7"/>
      <c r="B277" s="3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3"/>
      <c r="O277" s="14"/>
      <c r="P277" s="15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3.5" customHeight="1" x14ac:dyDescent="0.25">
      <c r="A278" s="7"/>
      <c r="B278" s="3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3"/>
      <c r="O278" s="14"/>
      <c r="P278" s="15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3.5" customHeight="1" x14ac:dyDescent="0.25">
      <c r="A279" s="7"/>
      <c r="B279" s="3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3"/>
      <c r="O279" s="14"/>
      <c r="P279" s="15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3.5" customHeight="1" x14ac:dyDescent="0.25">
      <c r="A280" s="7"/>
      <c r="B280" s="3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3"/>
      <c r="O280" s="14"/>
      <c r="P280" s="15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3.5" customHeight="1" x14ac:dyDescent="0.25">
      <c r="A281" s="7"/>
      <c r="B281" s="3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3"/>
      <c r="O281" s="14"/>
      <c r="P281" s="15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3.5" customHeight="1" x14ac:dyDescent="0.25">
      <c r="A282" s="7"/>
      <c r="B282" s="3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3"/>
      <c r="O282" s="14"/>
      <c r="P282" s="15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3.5" customHeight="1" x14ac:dyDescent="0.25">
      <c r="A283" s="7"/>
      <c r="B283" s="3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3"/>
      <c r="O283" s="14"/>
      <c r="P283" s="15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3.5" customHeight="1" x14ac:dyDescent="0.25">
      <c r="A284" s="7"/>
      <c r="B284" s="3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3"/>
      <c r="O284" s="14"/>
      <c r="P284" s="15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3.5" customHeight="1" x14ac:dyDescent="0.25">
      <c r="A285" s="7"/>
      <c r="B285" s="3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3"/>
      <c r="O285" s="14"/>
      <c r="P285" s="15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3.5" customHeight="1" x14ac:dyDescent="0.25">
      <c r="A286" s="7"/>
      <c r="B286" s="3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3"/>
      <c r="O286" s="14"/>
      <c r="P286" s="15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3.5" customHeight="1" x14ac:dyDescent="0.25">
      <c r="A287" s="7"/>
      <c r="B287" s="3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3"/>
      <c r="O287" s="14"/>
      <c r="P287" s="15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3.5" customHeight="1" x14ac:dyDescent="0.25">
      <c r="A288" s="7"/>
      <c r="B288" s="3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3"/>
      <c r="O288" s="14"/>
      <c r="P288" s="15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3.5" customHeight="1" x14ac:dyDescent="0.25">
      <c r="A289" s="7"/>
      <c r="B289" s="3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3"/>
      <c r="O289" s="14"/>
      <c r="P289" s="15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3.5" customHeight="1" x14ac:dyDescent="0.25">
      <c r="A290" s="7"/>
      <c r="B290" s="3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3"/>
      <c r="O290" s="14"/>
      <c r="P290" s="15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3.5" customHeight="1" x14ac:dyDescent="0.25">
      <c r="A291" s="7"/>
      <c r="B291" s="3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3"/>
      <c r="O291" s="14"/>
      <c r="P291" s="15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3.5" customHeight="1" x14ac:dyDescent="0.25">
      <c r="A292" s="7"/>
      <c r="B292" s="3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3"/>
      <c r="O292" s="14"/>
      <c r="P292" s="15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3.5" customHeight="1" x14ac:dyDescent="0.25">
      <c r="A293" s="7"/>
      <c r="B293" s="3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3"/>
      <c r="O293" s="14"/>
      <c r="P293" s="15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3.5" customHeight="1" x14ac:dyDescent="0.25">
      <c r="A294" s="7"/>
      <c r="B294" s="3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3"/>
      <c r="O294" s="14"/>
      <c r="P294" s="15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3.5" customHeight="1" x14ac:dyDescent="0.25">
      <c r="A295" s="7"/>
      <c r="B295" s="3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3"/>
      <c r="O295" s="14"/>
      <c r="P295" s="15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3.5" customHeight="1" x14ac:dyDescent="0.25">
      <c r="A296" s="7"/>
      <c r="B296" s="3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3"/>
      <c r="O296" s="14"/>
      <c r="P296" s="15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3.5" customHeight="1" x14ac:dyDescent="0.25">
      <c r="A297" s="7"/>
      <c r="B297" s="3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3"/>
      <c r="O297" s="14"/>
      <c r="P297" s="15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3.5" customHeight="1" x14ac:dyDescent="0.25">
      <c r="A298" s="7"/>
      <c r="B298" s="3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3"/>
      <c r="O298" s="14"/>
      <c r="P298" s="15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3.5" customHeight="1" x14ac:dyDescent="0.25">
      <c r="A299" s="7"/>
      <c r="B299" s="3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3"/>
      <c r="O299" s="14"/>
      <c r="P299" s="15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3.5" customHeight="1" x14ac:dyDescent="0.25">
      <c r="A300" s="7"/>
      <c r="B300" s="3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3"/>
      <c r="O300" s="14"/>
      <c r="P300" s="15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3.5" customHeight="1" x14ac:dyDescent="0.25">
      <c r="A301" s="7"/>
      <c r="B301" s="3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3"/>
      <c r="O301" s="14"/>
      <c r="P301" s="15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3.5" customHeight="1" x14ac:dyDescent="0.25">
      <c r="A302" s="7"/>
      <c r="B302" s="3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3"/>
      <c r="O302" s="14"/>
      <c r="P302" s="15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3.5" customHeight="1" x14ac:dyDescent="0.25">
      <c r="A303" s="7"/>
      <c r="B303" s="3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3"/>
      <c r="O303" s="14"/>
      <c r="P303" s="15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3.5" customHeight="1" x14ac:dyDescent="0.25">
      <c r="A304" s="7"/>
      <c r="B304" s="3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3"/>
      <c r="O304" s="14"/>
      <c r="P304" s="15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3.5" customHeight="1" x14ac:dyDescent="0.25">
      <c r="A305" s="7"/>
      <c r="B305" s="3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3"/>
      <c r="O305" s="14"/>
      <c r="P305" s="15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3.5" customHeight="1" x14ac:dyDescent="0.25">
      <c r="A306" s="7"/>
      <c r="B306" s="3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3"/>
      <c r="O306" s="14"/>
      <c r="P306" s="15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3.5" customHeight="1" x14ac:dyDescent="0.25">
      <c r="A307" s="7"/>
      <c r="B307" s="3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3"/>
      <c r="O307" s="14"/>
      <c r="P307" s="15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3.5" customHeight="1" x14ac:dyDescent="0.25">
      <c r="A308" s="7"/>
      <c r="B308" s="3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3"/>
      <c r="O308" s="14"/>
      <c r="P308" s="15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3.5" customHeight="1" x14ac:dyDescent="0.25">
      <c r="A309" s="7"/>
      <c r="B309" s="3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3"/>
      <c r="O309" s="14"/>
      <c r="P309" s="15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3.5" customHeight="1" x14ac:dyDescent="0.25">
      <c r="A310" s="7"/>
      <c r="B310" s="3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3"/>
      <c r="O310" s="14"/>
      <c r="P310" s="15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3.5" customHeight="1" x14ac:dyDescent="0.25">
      <c r="A311" s="7"/>
      <c r="B311" s="3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3"/>
      <c r="O311" s="14"/>
      <c r="P311" s="15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3.5" customHeight="1" x14ac:dyDescent="0.25">
      <c r="A312" s="7"/>
      <c r="B312" s="3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3"/>
      <c r="O312" s="14"/>
      <c r="P312" s="15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3.5" customHeight="1" x14ac:dyDescent="0.25">
      <c r="A313" s="7"/>
      <c r="B313" s="3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3"/>
      <c r="O313" s="14"/>
      <c r="P313" s="15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3.5" customHeight="1" x14ac:dyDescent="0.25">
      <c r="A314" s="7"/>
      <c r="B314" s="3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3"/>
      <c r="O314" s="14"/>
      <c r="P314" s="15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3.5" customHeight="1" x14ac:dyDescent="0.25">
      <c r="A315" s="7"/>
      <c r="B315" s="3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3"/>
      <c r="O315" s="14"/>
      <c r="P315" s="15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3.5" customHeight="1" x14ac:dyDescent="0.25">
      <c r="A316" s="7"/>
      <c r="B316" s="3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3"/>
      <c r="O316" s="14"/>
      <c r="P316" s="15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3.5" customHeight="1" x14ac:dyDescent="0.25">
      <c r="A317" s="7"/>
      <c r="B317" s="3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3"/>
      <c r="O317" s="14"/>
      <c r="P317" s="15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3.5" customHeight="1" x14ac:dyDescent="0.25">
      <c r="A318" s="7"/>
      <c r="B318" s="3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3"/>
      <c r="O318" s="14"/>
      <c r="P318" s="15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3.5" customHeight="1" x14ac:dyDescent="0.25">
      <c r="A319" s="7"/>
      <c r="B319" s="3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3"/>
      <c r="O319" s="14"/>
      <c r="P319" s="15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3.5" customHeight="1" x14ac:dyDescent="0.25">
      <c r="A320" s="7"/>
      <c r="B320" s="3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3"/>
      <c r="O320" s="14"/>
      <c r="P320" s="15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3.5" customHeight="1" x14ac:dyDescent="0.25">
      <c r="A321" s="7"/>
      <c r="B321" s="3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3"/>
      <c r="O321" s="14"/>
      <c r="P321" s="15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3.5" customHeight="1" x14ac:dyDescent="0.25">
      <c r="A322" s="7"/>
      <c r="B322" s="3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3"/>
      <c r="O322" s="14"/>
      <c r="P322" s="15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3.5" customHeight="1" x14ac:dyDescent="0.25">
      <c r="A323" s="7"/>
      <c r="B323" s="3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3"/>
      <c r="O323" s="14"/>
      <c r="P323" s="15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3.5" customHeight="1" x14ac:dyDescent="0.25">
      <c r="A324" s="7"/>
      <c r="B324" s="3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3"/>
      <c r="O324" s="14"/>
      <c r="P324" s="15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3.5" customHeight="1" x14ac:dyDescent="0.25">
      <c r="A325" s="7"/>
      <c r="B325" s="3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3"/>
      <c r="O325" s="14"/>
      <c r="P325" s="15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3.5" customHeight="1" x14ac:dyDescent="0.25">
      <c r="A326" s="7"/>
      <c r="B326" s="3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3"/>
      <c r="O326" s="14"/>
      <c r="P326" s="15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3.5" customHeight="1" x14ac:dyDescent="0.25">
      <c r="A327" s="7"/>
      <c r="B327" s="3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3"/>
      <c r="O327" s="14"/>
      <c r="P327" s="15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3.5" customHeight="1" x14ac:dyDescent="0.25">
      <c r="A328" s="7"/>
      <c r="B328" s="3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3"/>
      <c r="O328" s="14"/>
      <c r="P328" s="15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3.5" customHeight="1" x14ac:dyDescent="0.25">
      <c r="A329" s="7"/>
      <c r="B329" s="3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3"/>
      <c r="O329" s="14"/>
      <c r="P329" s="15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3.5" customHeight="1" x14ac:dyDescent="0.25">
      <c r="A330" s="7"/>
      <c r="B330" s="3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3"/>
      <c r="O330" s="14"/>
      <c r="P330" s="15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3.5" customHeight="1" x14ac:dyDescent="0.25">
      <c r="A331" s="7"/>
      <c r="B331" s="3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3"/>
      <c r="O331" s="14"/>
      <c r="P331" s="15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3.5" customHeight="1" x14ac:dyDescent="0.25">
      <c r="A332" s="7"/>
      <c r="B332" s="3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3"/>
      <c r="O332" s="14"/>
      <c r="P332" s="15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3.5" customHeight="1" x14ac:dyDescent="0.25">
      <c r="A333" s="7"/>
      <c r="B333" s="3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3"/>
      <c r="O333" s="14"/>
      <c r="P333" s="15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3.5" customHeight="1" x14ac:dyDescent="0.25">
      <c r="A334" s="7"/>
      <c r="B334" s="3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3"/>
      <c r="O334" s="14"/>
      <c r="P334" s="15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3.5" customHeight="1" x14ac:dyDescent="0.25">
      <c r="A335" s="7"/>
      <c r="B335" s="3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3"/>
      <c r="O335" s="14"/>
      <c r="P335" s="15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3.5" customHeight="1" x14ac:dyDescent="0.25">
      <c r="A336" s="7"/>
      <c r="B336" s="3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3"/>
      <c r="O336" s="14"/>
      <c r="P336" s="15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3.5" customHeight="1" x14ac:dyDescent="0.25">
      <c r="A337" s="7"/>
      <c r="B337" s="3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3"/>
      <c r="O337" s="14"/>
      <c r="P337" s="15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3.5" customHeight="1" x14ac:dyDescent="0.25">
      <c r="A338" s="7"/>
      <c r="B338" s="3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3"/>
      <c r="O338" s="14"/>
      <c r="P338" s="15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3.5" customHeight="1" x14ac:dyDescent="0.25">
      <c r="A339" s="7"/>
      <c r="B339" s="3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3"/>
      <c r="O339" s="14"/>
      <c r="P339" s="15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3.5" customHeight="1" x14ac:dyDescent="0.25">
      <c r="A340" s="7"/>
      <c r="B340" s="3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3"/>
      <c r="O340" s="14"/>
      <c r="P340" s="15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3.5" customHeight="1" x14ac:dyDescent="0.25">
      <c r="A341" s="7"/>
      <c r="B341" s="3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3"/>
      <c r="O341" s="14"/>
      <c r="P341" s="15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3.5" customHeight="1" x14ac:dyDescent="0.25">
      <c r="A342" s="7"/>
      <c r="B342" s="3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3"/>
      <c r="O342" s="14"/>
      <c r="P342" s="15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3.5" customHeight="1" x14ac:dyDescent="0.25">
      <c r="A343" s="7"/>
      <c r="B343" s="3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3"/>
      <c r="O343" s="14"/>
      <c r="P343" s="15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3.5" customHeight="1" x14ac:dyDescent="0.25">
      <c r="A344" s="7"/>
      <c r="B344" s="3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3"/>
      <c r="O344" s="14"/>
      <c r="P344" s="15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3.5" customHeight="1" x14ac:dyDescent="0.25">
      <c r="A345" s="7"/>
      <c r="B345" s="3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3"/>
      <c r="O345" s="14"/>
      <c r="P345" s="15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3.5" customHeight="1" x14ac:dyDescent="0.25">
      <c r="A346" s="7"/>
      <c r="B346" s="3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3"/>
      <c r="O346" s="14"/>
      <c r="P346" s="15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3.5" customHeight="1" x14ac:dyDescent="0.25">
      <c r="A347" s="7"/>
      <c r="B347" s="3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3"/>
      <c r="O347" s="14"/>
      <c r="P347" s="15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3.5" customHeight="1" x14ac:dyDescent="0.25">
      <c r="A348" s="7"/>
      <c r="B348" s="3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3"/>
      <c r="O348" s="14"/>
      <c r="P348" s="15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3.5" customHeight="1" x14ac:dyDescent="0.25">
      <c r="A349" s="7"/>
      <c r="B349" s="3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3"/>
      <c r="O349" s="14"/>
      <c r="P349" s="15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3.5" customHeight="1" x14ac:dyDescent="0.25">
      <c r="A350" s="7"/>
      <c r="B350" s="3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3"/>
      <c r="O350" s="14"/>
      <c r="P350" s="15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3.5" customHeight="1" x14ac:dyDescent="0.25">
      <c r="A351" s="7"/>
      <c r="B351" s="3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3"/>
      <c r="O351" s="14"/>
      <c r="P351" s="15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3.5" customHeight="1" x14ac:dyDescent="0.25">
      <c r="A352" s="7"/>
      <c r="B352" s="3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3"/>
      <c r="O352" s="14"/>
      <c r="P352" s="15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3.5" customHeight="1" x14ac:dyDescent="0.25">
      <c r="A353" s="7"/>
      <c r="B353" s="3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3"/>
      <c r="O353" s="14"/>
      <c r="P353" s="15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3.5" customHeight="1" x14ac:dyDescent="0.25">
      <c r="A354" s="7"/>
      <c r="B354" s="3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3"/>
      <c r="O354" s="14"/>
      <c r="P354" s="15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3.5" customHeight="1" x14ac:dyDescent="0.25">
      <c r="A355" s="7"/>
      <c r="B355" s="3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3"/>
      <c r="O355" s="14"/>
      <c r="P355" s="15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3.5" customHeight="1" x14ac:dyDescent="0.25">
      <c r="A356" s="7"/>
      <c r="B356" s="3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3"/>
      <c r="O356" s="14"/>
      <c r="P356" s="15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3.5" customHeight="1" x14ac:dyDescent="0.25">
      <c r="A357" s="7"/>
      <c r="B357" s="3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3"/>
      <c r="O357" s="14"/>
      <c r="P357" s="15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3.5" customHeight="1" x14ac:dyDescent="0.25">
      <c r="A358" s="7"/>
      <c r="B358" s="3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3"/>
      <c r="O358" s="14"/>
      <c r="P358" s="15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3.5" customHeight="1" x14ac:dyDescent="0.25">
      <c r="A359" s="7"/>
      <c r="B359" s="3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3"/>
      <c r="O359" s="14"/>
      <c r="P359" s="15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3.5" customHeight="1" x14ac:dyDescent="0.25">
      <c r="A360" s="7"/>
      <c r="B360" s="3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3"/>
      <c r="O360" s="14"/>
      <c r="P360" s="15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3.5" customHeight="1" x14ac:dyDescent="0.25">
      <c r="A361" s="7"/>
      <c r="B361" s="3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3"/>
      <c r="O361" s="14"/>
      <c r="P361" s="15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3.5" customHeight="1" x14ac:dyDescent="0.25">
      <c r="A362" s="7"/>
      <c r="B362" s="3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3"/>
      <c r="O362" s="14"/>
      <c r="P362" s="15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3.5" customHeight="1" x14ac:dyDescent="0.25">
      <c r="A363" s="7"/>
      <c r="B363" s="3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3"/>
      <c r="O363" s="14"/>
      <c r="P363" s="15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3.5" customHeight="1" x14ac:dyDescent="0.25">
      <c r="A364" s="7"/>
      <c r="B364" s="3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3"/>
      <c r="O364" s="14"/>
      <c r="P364" s="15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3.5" customHeight="1" x14ac:dyDescent="0.25">
      <c r="A365" s="7"/>
      <c r="B365" s="3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3"/>
      <c r="O365" s="14"/>
      <c r="P365" s="15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3.5" customHeight="1" x14ac:dyDescent="0.25">
      <c r="A366" s="7"/>
      <c r="B366" s="3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3"/>
      <c r="O366" s="14"/>
      <c r="P366" s="15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3.5" customHeight="1" x14ac:dyDescent="0.25">
      <c r="A367" s="7"/>
      <c r="B367" s="3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3"/>
      <c r="O367" s="14"/>
      <c r="P367" s="15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3.5" customHeight="1" x14ac:dyDescent="0.25">
      <c r="A368" s="7"/>
      <c r="B368" s="3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3"/>
      <c r="O368" s="14"/>
      <c r="P368" s="15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3.5" customHeight="1" x14ac:dyDescent="0.25">
      <c r="A369" s="7"/>
      <c r="B369" s="3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3"/>
      <c r="O369" s="14"/>
      <c r="P369" s="15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3.5" customHeight="1" x14ac:dyDescent="0.25">
      <c r="A370" s="7"/>
      <c r="B370" s="3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3"/>
      <c r="O370" s="14"/>
      <c r="P370" s="15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3.5" customHeight="1" x14ac:dyDescent="0.25">
      <c r="A371" s="7"/>
      <c r="B371" s="3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3"/>
      <c r="O371" s="14"/>
      <c r="P371" s="15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3.5" customHeight="1" x14ac:dyDescent="0.25">
      <c r="A372" s="7"/>
      <c r="B372" s="3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3"/>
      <c r="O372" s="14"/>
      <c r="P372" s="15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3.5" customHeight="1" x14ac:dyDescent="0.25">
      <c r="A373" s="7"/>
      <c r="B373" s="3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3"/>
      <c r="O373" s="14"/>
      <c r="P373" s="15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3.5" customHeight="1" x14ac:dyDescent="0.25">
      <c r="A374" s="7"/>
      <c r="B374" s="3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3"/>
      <c r="O374" s="14"/>
      <c r="P374" s="15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3.5" customHeight="1" x14ac:dyDescent="0.25">
      <c r="A375" s="7"/>
      <c r="B375" s="3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3"/>
      <c r="O375" s="14"/>
      <c r="P375" s="15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3.5" customHeight="1" x14ac:dyDescent="0.25">
      <c r="A376" s="7"/>
      <c r="B376" s="3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3"/>
      <c r="O376" s="14"/>
      <c r="P376" s="15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3.5" customHeight="1" x14ac:dyDescent="0.25">
      <c r="A377" s="7"/>
      <c r="B377" s="3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3"/>
      <c r="O377" s="14"/>
      <c r="P377" s="15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3.5" customHeight="1" x14ac:dyDescent="0.25">
      <c r="A378" s="7"/>
      <c r="B378" s="3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3"/>
      <c r="O378" s="14"/>
      <c r="P378" s="15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3.5" customHeight="1" x14ac:dyDescent="0.25">
      <c r="A379" s="7"/>
      <c r="B379" s="3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3"/>
      <c r="O379" s="14"/>
      <c r="P379" s="15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3.5" customHeight="1" x14ac:dyDescent="0.25">
      <c r="A380" s="7"/>
      <c r="B380" s="3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3"/>
      <c r="O380" s="14"/>
      <c r="P380" s="15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3.5" customHeight="1" x14ac:dyDescent="0.25">
      <c r="A381" s="7"/>
      <c r="B381" s="3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3"/>
      <c r="O381" s="14"/>
      <c r="P381" s="15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3.5" customHeight="1" x14ac:dyDescent="0.25">
      <c r="A382" s="7"/>
      <c r="B382" s="3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3"/>
      <c r="O382" s="14"/>
      <c r="P382" s="15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3.5" customHeight="1" x14ac:dyDescent="0.25">
      <c r="A383" s="7"/>
      <c r="B383" s="3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3"/>
      <c r="O383" s="14"/>
      <c r="P383" s="15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3.5" customHeight="1" x14ac:dyDescent="0.25">
      <c r="A384" s="7"/>
      <c r="B384" s="3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3"/>
      <c r="O384" s="14"/>
      <c r="P384" s="15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3.5" customHeight="1" x14ac:dyDescent="0.25">
      <c r="A385" s="7"/>
      <c r="B385" s="3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3"/>
      <c r="O385" s="14"/>
      <c r="P385" s="15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3.5" customHeight="1" x14ac:dyDescent="0.25">
      <c r="A386" s="7"/>
      <c r="B386" s="3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3"/>
      <c r="O386" s="14"/>
      <c r="P386" s="15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3.5" customHeight="1" x14ac:dyDescent="0.25">
      <c r="A387" s="7"/>
      <c r="B387" s="3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3"/>
      <c r="O387" s="14"/>
      <c r="P387" s="15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3.5" customHeight="1" x14ac:dyDescent="0.25">
      <c r="A388" s="7"/>
      <c r="B388" s="3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3"/>
      <c r="O388" s="14"/>
      <c r="P388" s="15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3.5" customHeight="1" x14ac:dyDescent="0.25">
      <c r="A389" s="7"/>
      <c r="B389" s="3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3"/>
      <c r="O389" s="14"/>
      <c r="P389" s="15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3.5" customHeight="1" x14ac:dyDescent="0.25">
      <c r="A390" s="7"/>
      <c r="B390" s="3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3"/>
      <c r="O390" s="14"/>
      <c r="P390" s="15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3.5" customHeight="1" x14ac:dyDescent="0.25">
      <c r="A391" s="7"/>
      <c r="B391" s="3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3"/>
      <c r="O391" s="14"/>
      <c r="P391" s="15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3.5" customHeight="1" x14ac:dyDescent="0.25">
      <c r="A392" s="7"/>
      <c r="B392" s="3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3"/>
      <c r="O392" s="14"/>
      <c r="P392" s="15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3.5" customHeight="1" x14ac:dyDescent="0.25">
      <c r="A393" s="7"/>
      <c r="B393" s="3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3"/>
      <c r="O393" s="14"/>
      <c r="P393" s="15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3.5" customHeight="1" x14ac:dyDescent="0.25">
      <c r="A394" s="7"/>
      <c r="B394" s="3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3"/>
      <c r="O394" s="14"/>
      <c r="P394" s="15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3.5" customHeight="1" x14ac:dyDescent="0.25">
      <c r="A395" s="7"/>
      <c r="B395" s="3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3"/>
      <c r="O395" s="14"/>
      <c r="P395" s="15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3.5" customHeight="1" x14ac:dyDescent="0.25">
      <c r="A396" s="7"/>
      <c r="B396" s="3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3"/>
      <c r="O396" s="14"/>
      <c r="P396" s="15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3.5" customHeight="1" x14ac:dyDescent="0.25">
      <c r="A397" s="7"/>
      <c r="B397" s="3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3"/>
      <c r="O397" s="14"/>
      <c r="P397" s="15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3.5" customHeight="1" x14ac:dyDescent="0.25">
      <c r="A398" s="7"/>
      <c r="B398" s="3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3"/>
      <c r="O398" s="14"/>
      <c r="P398" s="15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3.5" customHeight="1" x14ac:dyDescent="0.25">
      <c r="A399" s="7"/>
      <c r="B399" s="3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3"/>
      <c r="O399" s="14"/>
      <c r="P399" s="15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3.5" customHeight="1" x14ac:dyDescent="0.25">
      <c r="A400" s="7"/>
      <c r="B400" s="3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3"/>
      <c r="O400" s="14"/>
      <c r="P400" s="15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3.5" customHeight="1" x14ac:dyDescent="0.25">
      <c r="A401" s="7"/>
      <c r="B401" s="3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3"/>
      <c r="O401" s="14"/>
      <c r="P401" s="15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3.5" customHeight="1" x14ac:dyDescent="0.25">
      <c r="A402" s="7"/>
      <c r="B402" s="3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3"/>
      <c r="O402" s="14"/>
      <c r="P402" s="15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3.5" customHeight="1" x14ac:dyDescent="0.25">
      <c r="A403" s="7"/>
      <c r="B403" s="3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3"/>
      <c r="O403" s="14"/>
      <c r="P403" s="15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3.5" customHeight="1" x14ac:dyDescent="0.25">
      <c r="A404" s="7"/>
      <c r="B404" s="3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3"/>
      <c r="O404" s="14"/>
      <c r="P404" s="15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3.5" customHeight="1" x14ac:dyDescent="0.25">
      <c r="A405" s="7"/>
      <c r="B405" s="3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3"/>
      <c r="O405" s="14"/>
      <c r="P405" s="15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3.5" customHeight="1" x14ac:dyDescent="0.25">
      <c r="A406" s="7"/>
      <c r="B406" s="3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3"/>
      <c r="O406" s="14"/>
      <c r="P406" s="15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3.5" customHeight="1" x14ac:dyDescent="0.25">
      <c r="A407" s="7"/>
      <c r="B407" s="3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3"/>
      <c r="O407" s="14"/>
      <c r="P407" s="15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3.5" customHeight="1" x14ac:dyDescent="0.25">
      <c r="A408" s="7"/>
      <c r="B408" s="3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3"/>
      <c r="O408" s="14"/>
      <c r="P408" s="15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3.5" customHeight="1" x14ac:dyDescent="0.25">
      <c r="A409" s="7"/>
      <c r="B409" s="3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3"/>
      <c r="O409" s="14"/>
      <c r="P409" s="15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3.5" customHeight="1" x14ac:dyDescent="0.25">
      <c r="A410" s="7"/>
      <c r="B410" s="3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3"/>
      <c r="O410" s="14"/>
      <c r="P410" s="15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3.5" customHeight="1" x14ac:dyDescent="0.25">
      <c r="A411" s="7"/>
      <c r="B411" s="3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3"/>
      <c r="O411" s="14"/>
      <c r="P411" s="15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3.5" customHeight="1" x14ac:dyDescent="0.25">
      <c r="A412" s="7"/>
      <c r="B412" s="3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3"/>
      <c r="O412" s="14"/>
      <c r="P412" s="15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3.5" customHeight="1" x14ac:dyDescent="0.25">
      <c r="A413" s="7"/>
      <c r="B413" s="3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3"/>
      <c r="O413" s="14"/>
      <c r="P413" s="15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3.5" customHeight="1" x14ac:dyDescent="0.25">
      <c r="A414" s="7"/>
      <c r="B414" s="3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3"/>
      <c r="O414" s="14"/>
      <c r="P414" s="15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3.5" customHeight="1" x14ac:dyDescent="0.25">
      <c r="A415" s="7"/>
      <c r="B415" s="3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3"/>
      <c r="O415" s="14"/>
      <c r="P415" s="15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3.5" customHeight="1" x14ac:dyDescent="0.25">
      <c r="A416" s="7"/>
      <c r="B416" s="3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3"/>
      <c r="O416" s="14"/>
      <c r="P416" s="15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3.5" customHeight="1" x14ac:dyDescent="0.25">
      <c r="A417" s="7"/>
      <c r="B417" s="3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3"/>
      <c r="O417" s="14"/>
      <c r="P417" s="15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3.5" customHeight="1" x14ac:dyDescent="0.25">
      <c r="A418" s="7"/>
      <c r="B418" s="3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3"/>
      <c r="O418" s="14"/>
      <c r="P418" s="15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3.5" customHeight="1" x14ac:dyDescent="0.25">
      <c r="A419" s="7"/>
      <c r="B419" s="3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3"/>
      <c r="O419" s="14"/>
      <c r="P419" s="15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3.5" customHeight="1" x14ac:dyDescent="0.25">
      <c r="A420" s="7"/>
      <c r="B420" s="3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3"/>
      <c r="O420" s="14"/>
      <c r="P420" s="15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3.5" customHeight="1" x14ac:dyDescent="0.25">
      <c r="A421" s="7"/>
      <c r="B421" s="3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3"/>
      <c r="O421" s="14"/>
      <c r="P421" s="15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3.5" customHeight="1" x14ac:dyDescent="0.25">
      <c r="A422" s="7"/>
      <c r="B422" s="3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3"/>
      <c r="O422" s="14"/>
      <c r="P422" s="15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3.5" customHeight="1" x14ac:dyDescent="0.25">
      <c r="A423" s="7"/>
      <c r="B423" s="3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3"/>
      <c r="O423" s="14"/>
      <c r="P423" s="15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3.5" customHeight="1" x14ac:dyDescent="0.25">
      <c r="A424" s="7"/>
      <c r="B424" s="3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3"/>
      <c r="O424" s="14"/>
      <c r="P424" s="15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3.5" customHeight="1" x14ac:dyDescent="0.25">
      <c r="A425" s="7"/>
      <c r="B425" s="3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3"/>
      <c r="O425" s="14"/>
      <c r="P425" s="15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3.5" customHeight="1" x14ac:dyDescent="0.25">
      <c r="A426" s="7"/>
      <c r="B426" s="3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3"/>
      <c r="O426" s="14"/>
      <c r="P426" s="15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3.5" customHeight="1" x14ac:dyDescent="0.25">
      <c r="A427" s="7"/>
      <c r="B427" s="3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3"/>
      <c r="O427" s="14"/>
      <c r="P427" s="15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3.5" customHeight="1" x14ac:dyDescent="0.25">
      <c r="A428" s="7"/>
      <c r="B428" s="3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3"/>
      <c r="O428" s="14"/>
      <c r="P428" s="15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3.5" customHeight="1" x14ac:dyDescent="0.25">
      <c r="A429" s="7"/>
      <c r="B429" s="3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3"/>
      <c r="O429" s="14"/>
      <c r="P429" s="15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3.5" customHeight="1" x14ac:dyDescent="0.25">
      <c r="A430" s="7"/>
      <c r="B430" s="3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3"/>
      <c r="O430" s="14"/>
      <c r="P430" s="15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3.5" customHeight="1" x14ac:dyDescent="0.25">
      <c r="A431" s="7"/>
      <c r="B431" s="3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3"/>
      <c r="O431" s="14"/>
      <c r="P431" s="15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3.5" customHeight="1" x14ac:dyDescent="0.25">
      <c r="A432" s="7"/>
      <c r="B432" s="3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3"/>
      <c r="O432" s="14"/>
      <c r="P432" s="15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3.5" customHeight="1" x14ac:dyDescent="0.25">
      <c r="A433" s="7"/>
      <c r="B433" s="3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3"/>
      <c r="O433" s="14"/>
      <c r="P433" s="15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3.5" customHeight="1" x14ac:dyDescent="0.25">
      <c r="A434" s="7"/>
      <c r="B434" s="3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3"/>
      <c r="O434" s="14"/>
      <c r="P434" s="15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3.5" customHeight="1" x14ac:dyDescent="0.25">
      <c r="A435" s="7"/>
      <c r="B435" s="3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3"/>
      <c r="O435" s="14"/>
      <c r="P435" s="15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3.5" customHeight="1" x14ac:dyDescent="0.25">
      <c r="A436" s="7"/>
      <c r="B436" s="3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3"/>
      <c r="O436" s="14"/>
      <c r="P436" s="15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3.5" customHeight="1" x14ac:dyDescent="0.25">
      <c r="A437" s="7"/>
      <c r="B437" s="3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3"/>
      <c r="O437" s="14"/>
      <c r="P437" s="15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3.5" customHeight="1" x14ac:dyDescent="0.25">
      <c r="A438" s="7"/>
      <c r="B438" s="3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3"/>
      <c r="O438" s="14"/>
      <c r="P438" s="15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3.5" customHeight="1" x14ac:dyDescent="0.25">
      <c r="A439" s="7"/>
      <c r="B439" s="3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3"/>
      <c r="O439" s="14"/>
      <c r="P439" s="15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3.5" customHeight="1" x14ac:dyDescent="0.25">
      <c r="A440" s="7"/>
      <c r="B440" s="3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3"/>
      <c r="O440" s="14"/>
      <c r="P440" s="15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3.5" customHeight="1" x14ac:dyDescent="0.25">
      <c r="A441" s="7"/>
      <c r="B441" s="3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3"/>
      <c r="O441" s="14"/>
      <c r="P441" s="15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3.5" customHeight="1" x14ac:dyDescent="0.25">
      <c r="A442" s="7"/>
      <c r="B442" s="3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3"/>
      <c r="O442" s="14"/>
      <c r="P442" s="15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3.5" customHeight="1" x14ac:dyDescent="0.25">
      <c r="A443" s="7"/>
      <c r="B443" s="3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3"/>
      <c r="O443" s="14"/>
      <c r="P443" s="15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3.5" customHeight="1" x14ac:dyDescent="0.25">
      <c r="A444" s="7"/>
      <c r="B444" s="3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3"/>
      <c r="O444" s="14"/>
      <c r="P444" s="15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3.5" customHeight="1" x14ac:dyDescent="0.25">
      <c r="A445" s="7"/>
      <c r="B445" s="3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3"/>
      <c r="O445" s="14"/>
      <c r="P445" s="15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3.5" customHeight="1" x14ac:dyDescent="0.25">
      <c r="A446" s="7"/>
      <c r="B446" s="3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3"/>
      <c r="O446" s="14"/>
      <c r="P446" s="15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3.5" customHeight="1" x14ac:dyDescent="0.25">
      <c r="A447" s="7"/>
      <c r="B447" s="3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3"/>
      <c r="O447" s="14"/>
      <c r="P447" s="15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3.5" customHeight="1" x14ac:dyDescent="0.25">
      <c r="A448" s="7"/>
      <c r="B448" s="3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3"/>
      <c r="O448" s="14"/>
      <c r="P448" s="15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3.5" customHeight="1" x14ac:dyDescent="0.25">
      <c r="A449" s="7"/>
      <c r="B449" s="3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3"/>
      <c r="O449" s="14"/>
      <c r="P449" s="15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3.5" customHeight="1" x14ac:dyDescent="0.25">
      <c r="A450" s="7"/>
      <c r="B450" s="3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3"/>
      <c r="O450" s="14"/>
      <c r="P450" s="15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3.5" customHeight="1" x14ac:dyDescent="0.25">
      <c r="A451" s="7"/>
      <c r="B451" s="3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3"/>
      <c r="O451" s="14"/>
      <c r="P451" s="15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3.5" customHeight="1" x14ac:dyDescent="0.25">
      <c r="A452" s="7"/>
      <c r="B452" s="3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3"/>
      <c r="O452" s="14"/>
      <c r="P452" s="15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3.5" customHeight="1" x14ac:dyDescent="0.25">
      <c r="A453" s="7"/>
      <c r="B453" s="3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3"/>
      <c r="O453" s="14"/>
      <c r="P453" s="15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3.5" customHeight="1" x14ac:dyDescent="0.25">
      <c r="A454" s="7"/>
      <c r="B454" s="3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3"/>
      <c r="O454" s="14"/>
      <c r="P454" s="15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3.5" customHeight="1" x14ac:dyDescent="0.25">
      <c r="A455" s="7"/>
      <c r="B455" s="3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3"/>
      <c r="O455" s="14"/>
      <c r="P455" s="15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3.5" customHeight="1" x14ac:dyDescent="0.25">
      <c r="A456" s="7"/>
      <c r="B456" s="3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3"/>
      <c r="O456" s="14"/>
      <c r="P456" s="15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3.5" customHeight="1" x14ac:dyDescent="0.25">
      <c r="A457" s="7"/>
      <c r="B457" s="3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3"/>
      <c r="O457" s="14"/>
      <c r="P457" s="15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3.5" customHeight="1" x14ac:dyDescent="0.25">
      <c r="A458" s="7"/>
      <c r="B458" s="3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3"/>
      <c r="O458" s="14"/>
      <c r="P458" s="15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3.5" customHeight="1" x14ac:dyDescent="0.25">
      <c r="A459" s="7"/>
      <c r="B459" s="3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3"/>
      <c r="O459" s="14"/>
      <c r="P459" s="15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3.5" customHeight="1" x14ac:dyDescent="0.25">
      <c r="A460" s="7"/>
      <c r="B460" s="3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3"/>
      <c r="O460" s="14"/>
      <c r="P460" s="15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3.5" customHeight="1" x14ac:dyDescent="0.25">
      <c r="A461" s="7"/>
      <c r="B461" s="3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3"/>
      <c r="O461" s="14"/>
      <c r="P461" s="15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3.5" customHeight="1" x14ac:dyDescent="0.25">
      <c r="A462" s="7"/>
      <c r="B462" s="3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3"/>
      <c r="O462" s="14"/>
      <c r="P462" s="15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3.5" customHeight="1" x14ac:dyDescent="0.25">
      <c r="A463" s="7"/>
      <c r="B463" s="3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3"/>
      <c r="O463" s="14"/>
      <c r="P463" s="15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3.5" customHeight="1" x14ac:dyDescent="0.25">
      <c r="A464" s="7"/>
      <c r="B464" s="3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3"/>
      <c r="O464" s="14"/>
      <c r="P464" s="15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3.5" customHeight="1" x14ac:dyDescent="0.25">
      <c r="A465" s="7"/>
      <c r="B465" s="3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3"/>
      <c r="O465" s="14"/>
      <c r="P465" s="15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3.5" customHeight="1" x14ac:dyDescent="0.25">
      <c r="A466" s="7"/>
      <c r="B466" s="3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3"/>
      <c r="O466" s="14"/>
      <c r="P466" s="15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3.5" customHeight="1" x14ac:dyDescent="0.25">
      <c r="A467" s="7"/>
      <c r="B467" s="3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3"/>
      <c r="O467" s="14"/>
      <c r="P467" s="15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3.5" customHeight="1" x14ac:dyDescent="0.25">
      <c r="A468" s="7"/>
      <c r="B468" s="3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3"/>
      <c r="O468" s="14"/>
      <c r="P468" s="15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3.5" customHeight="1" x14ac:dyDescent="0.25">
      <c r="A469" s="7"/>
      <c r="B469" s="3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3"/>
      <c r="O469" s="14"/>
      <c r="P469" s="15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3.5" customHeight="1" x14ac:dyDescent="0.25">
      <c r="A470" s="7"/>
      <c r="B470" s="3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3"/>
      <c r="O470" s="14"/>
      <c r="P470" s="15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3.5" customHeight="1" x14ac:dyDescent="0.25">
      <c r="A471" s="7"/>
      <c r="B471" s="3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3"/>
      <c r="O471" s="14"/>
      <c r="P471" s="15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3.5" customHeight="1" x14ac:dyDescent="0.25">
      <c r="A472" s="7"/>
      <c r="B472" s="3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3"/>
      <c r="O472" s="14"/>
      <c r="P472" s="15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3.5" customHeight="1" x14ac:dyDescent="0.25">
      <c r="A473" s="7"/>
      <c r="B473" s="3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3"/>
      <c r="O473" s="14"/>
      <c r="P473" s="15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3.5" customHeight="1" x14ac:dyDescent="0.25">
      <c r="A474" s="7"/>
      <c r="B474" s="3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3"/>
      <c r="O474" s="14"/>
      <c r="P474" s="15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3.5" customHeight="1" x14ac:dyDescent="0.25">
      <c r="A475" s="7"/>
      <c r="B475" s="3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3"/>
      <c r="O475" s="14"/>
      <c r="P475" s="15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3.5" customHeight="1" x14ac:dyDescent="0.25">
      <c r="A476" s="7"/>
      <c r="B476" s="3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3"/>
      <c r="O476" s="14"/>
      <c r="P476" s="15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3.5" customHeight="1" x14ac:dyDescent="0.25">
      <c r="A477" s="7"/>
      <c r="B477" s="3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3"/>
      <c r="O477" s="14"/>
      <c r="P477" s="15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3.5" customHeight="1" x14ac:dyDescent="0.25">
      <c r="A478" s="7"/>
      <c r="B478" s="3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3"/>
      <c r="O478" s="14"/>
      <c r="P478" s="15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3.5" customHeight="1" x14ac:dyDescent="0.25">
      <c r="A479" s="7"/>
      <c r="B479" s="3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3"/>
      <c r="O479" s="14"/>
      <c r="P479" s="15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3.5" customHeight="1" x14ac:dyDescent="0.25">
      <c r="A480" s="7"/>
      <c r="B480" s="3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3"/>
      <c r="O480" s="14"/>
      <c r="P480" s="15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3.5" customHeight="1" x14ac:dyDescent="0.25">
      <c r="A481" s="7"/>
      <c r="B481" s="3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3"/>
      <c r="O481" s="14"/>
      <c r="P481" s="15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3.5" customHeight="1" x14ac:dyDescent="0.25">
      <c r="A482" s="7"/>
      <c r="B482" s="3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3"/>
      <c r="O482" s="14"/>
      <c r="P482" s="15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3.5" customHeight="1" x14ac:dyDescent="0.25">
      <c r="A483" s="7"/>
      <c r="B483" s="3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3"/>
      <c r="O483" s="14"/>
      <c r="P483" s="15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3.5" customHeight="1" x14ac:dyDescent="0.25">
      <c r="A484" s="7"/>
      <c r="B484" s="3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3"/>
      <c r="O484" s="14"/>
      <c r="P484" s="15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3.5" customHeight="1" x14ac:dyDescent="0.25">
      <c r="A485" s="7"/>
      <c r="B485" s="3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3"/>
      <c r="O485" s="14"/>
      <c r="P485" s="15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3.5" customHeight="1" x14ac:dyDescent="0.25">
      <c r="A486" s="7"/>
      <c r="B486" s="3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3"/>
      <c r="O486" s="14"/>
      <c r="P486" s="15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3.5" customHeight="1" x14ac:dyDescent="0.25">
      <c r="A487" s="7"/>
      <c r="B487" s="3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3"/>
      <c r="O487" s="14"/>
      <c r="P487" s="15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3.5" customHeight="1" x14ac:dyDescent="0.25">
      <c r="A488" s="7"/>
      <c r="B488" s="3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3"/>
      <c r="O488" s="14"/>
      <c r="P488" s="15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3.5" customHeight="1" x14ac:dyDescent="0.25">
      <c r="A489" s="7"/>
      <c r="B489" s="3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3"/>
      <c r="O489" s="14"/>
      <c r="P489" s="15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3.5" customHeight="1" x14ac:dyDescent="0.25">
      <c r="A490" s="7"/>
      <c r="B490" s="3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3"/>
      <c r="O490" s="14"/>
      <c r="P490" s="15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3.5" customHeight="1" x14ac:dyDescent="0.25">
      <c r="A491" s="7"/>
      <c r="B491" s="3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3"/>
      <c r="O491" s="14"/>
      <c r="P491" s="15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3.5" customHeight="1" x14ac:dyDescent="0.25">
      <c r="A492" s="7"/>
      <c r="B492" s="3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3"/>
      <c r="O492" s="14"/>
      <c r="P492" s="15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3.5" customHeight="1" x14ac:dyDescent="0.25">
      <c r="A493" s="7"/>
      <c r="B493" s="3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3"/>
      <c r="O493" s="14"/>
      <c r="P493" s="15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3.5" customHeight="1" x14ac:dyDescent="0.25">
      <c r="A494" s="7"/>
      <c r="B494" s="3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3"/>
      <c r="O494" s="14"/>
      <c r="P494" s="15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3.5" customHeight="1" x14ac:dyDescent="0.25">
      <c r="A495" s="7"/>
      <c r="B495" s="3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3"/>
      <c r="O495" s="14"/>
      <c r="P495" s="15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3.5" customHeight="1" x14ac:dyDescent="0.25">
      <c r="A496" s="7"/>
      <c r="B496" s="3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3"/>
      <c r="O496" s="14"/>
      <c r="P496" s="15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3.5" customHeight="1" x14ac:dyDescent="0.25">
      <c r="A497" s="7"/>
      <c r="B497" s="3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3"/>
      <c r="O497" s="14"/>
      <c r="P497" s="15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3.5" customHeight="1" x14ac:dyDescent="0.25">
      <c r="A498" s="7"/>
      <c r="B498" s="3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3"/>
      <c r="O498" s="14"/>
      <c r="P498" s="15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3.5" customHeight="1" x14ac:dyDescent="0.25">
      <c r="A499" s="7"/>
      <c r="B499" s="3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3"/>
      <c r="O499" s="14"/>
      <c r="P499" s="15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3.5" customHeight="1" x14ac:dyDescent="0.25">
      <c r="A500" s="7"/>
      <c r="B500" s="3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3"/>
      <c r="O500" s="14"/>
      <c r="P500" s="15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3.5" customHeight="1" x14ac:dyDescent="0.25">
      <c r="A501" s="7"/>
      <c r="B501" s="3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3"/>
      <c r="O501" s="14"/>
      <c r="P501" s="15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3.5" customHeight="1" x14ac:dyDescent="0.25">
      <c r="A502" s="7"/>
      <c r="B502" s="3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3"/>
      <c r="O502" s="14"/>
      <c r="P502" s="15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3.5" customHeight="1" x14ac:dyDescent="0.25">
      <c r="A503" s="7"/>
      <c r="B503" s="3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3"/>
      <c r="O503" s="14"/>
      <c r="P503" s="15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3.5" customHeight="1" x14ac:dyDescent="0.25">
      <c r="A504" s="7"/>
      <c r="B504" s="3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3"/>
      <c r="O504" s="14"/>
      <c r="P504" s="15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3.5" customHeight="1" x14ac:dyDescent="0.25">
      <c r="A505" s="7"/>
      <c r="B505" s="3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3"/>
      <c r="O505" s="14"/>
      <c r="P505" s="15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3.5" customHeight="1" x14ac:dyDescent="0.25">
      <c r="A506" s="7"/>
      <c r="B506" s="3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3"/>
      <c r="O506" s="14"/>
      <c r="P506" s="15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3.5" customHeight="1" x14ac:dyDescent="0.25">
      <c r="A507" s="7"/>
      <c r="B507" s="3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3"/>
      <c r="O507" s="14"/>
      <c r="P507" s="15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3.5" customHeight="1" x14ac:dyDescent="0.25">
      <c r="A508" s="7"/>
      <c r="B508" s="3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3"/>
      <c r="O508" s="14"/>
      <c r="P508" s="15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3.5" customHeight="1" x14ac:dyDescent="0.25">
      <c r="A509" s="7"/>
      <c r="B509" s="3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3"/>
      <c r="O509" s="14"/>
      <c r="P509" s="15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3.5" customHeight="1" x14ac:dyDescent="0.25">
      <c r="A510" s="7"/>
      <c r="B510" s="3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3"/>
      <c r="O510" s="14"/>
      <c r="P510" s="15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3.5" customHeight="1" x14ac:dyDescent="0.25">
      <c r="A511" s="7"/>
      <c r="B511" s="3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3"/>
      <c r="O511" s="14"/>
      <c r="P511" s="15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3.5" customHeight="1" x14ac:dyDescent="0.25">
      <c r="A512" s="7"/>
      <c r="B512" s="3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3"/>
      <c r="O512" s="14"/>
      <c r="P512" s="15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3.5" customHeight="1" x14ac:dyDescent="0.25">
      <c r="A513" s="7"/>
      <c r="B513" s="3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3"/>
      <c r="O513" s="14"/>
      <c r="P513" s="15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3.5" customHeight="1" x14ac:dyDescent="0.25">
      <c r="A514" s="7"/>
      <c r="B514" s="3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3"/>
      <c r="O514" s="14"/>
      <c r="P514" s="15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3.5" customHeight="1" x14ac:dyDescent="0.25">
      <c r="A515" s="7"/>
      <c r="B515" s="3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3"/>
      <c r="O515" s="14"/>
      <c r="P515" s="15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3.5" customHeight="1" x14ac:dyDescent="0.25">
      <c r="A516" s="7"/>
      <c r="B516" s="3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3"/>
      <c r="O516" s="14"/>
      <c r="P516" s="15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3.5" customHeight="1" x14ac:dyDescent="0.25">
      <c r="A517" s="7"/>
      <c r="B517" s="3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3"/>
      <c r="O517" s="14"/>
      <c r="P517" s="15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3.5" customHeight="1" x14ac:dyDescent="0.25">
      <c r="A518" s="7"/>
      <c r="B518" s="3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3"/>
      <c r="O518" s="14"/>
      <c r="P518" s="15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3.5" customHeight="1" x14ac:dyDescent="0.25">
      <c r="A519" s="7"/>
      <c r="B519" s="3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3"/>
      <c r="O519" s="14"/>
      <c r="P519" s="15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3.5" customHeight="1" x14ac:dyDescent="0.25">
      <c r="A520" s="7"/>
      <c r="B520" s="3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3"/>
      <c r="O520" s="14"/>
      <c r="P520" s="15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3.5" customHeight="1" x14ac:dyDescent="0.25">
      <c r="A521" s="7"/>
      <c r="B521" s="3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3"/>
      <c r="O521" s="14"/>
      <c r="P521" s="15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3.5" customHeight="1" x14ac:dyDescent="0.25">
      <c r="A522" s="7"/>
      <c r="B522" s="3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3"/>
      <c r="O522" s="14"/>
      <c r="P522" s="15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3.5" customHeight="1" x14ac:dyDescent="0.25">
      <c r="A523" s="7"/>
      <c r="B523" s="3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3"/>
      <c r="O523" s="14"/>
      <c r="P523" s="15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3.5" customHeight="1" x14ac:dyDescent="0.25">
      <c r="A524" s="7"/>
      <c r="B524" s="3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3"/>
      <c r="O524" s="14"/>
      <c r="P524" s="15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3.5" customHeight="1" x14ac:dyDescent="0.25">
      <c r="A525" s="7"/>
      <c r="B525" s="3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3"/>
      <c r="O525" s="14"/>
      <c r="P525" s="15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3.5" customHeight="1" x14ac:dyDescent="0.25">
      <c r="A526" s="7"/>
      <c r="B526" s="3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3"/>
      <c r="O526" s="14"/>
      <c r="P526" s="15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3.5" customHeight="1" x14ac:dyDescent="0.25">
      <c r="A527" s="7"/>
      <c r="B527" s="3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3"/>
      <c r="O527" s="14"/>
      <c r="P527" s="15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3.5" customHeight="1" x14ac:dyDescent="0.25">
      <c r="A528" s="7"/>
      <c r="B528" s="3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3"/>
      <c r="O528" s="14"/>
      <c r="P528" s="15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3.5" customHeight="1" x14ac:dyDescent="0.25">
      <c r="A529" s="7"/>
      <c r="B529" s="3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3"/>
      <c r="O529" s="14"/>
      <c r="P529" s="15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3.5" customHeight="1" x14ac:dyDescent="0.25">
      <c r="A530" s="7"/>
      <c r="B530" s="3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3"/>
      <c r="O530" s="14"/>
      <c r="P530" s="15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3.5" customHeight="1" x14ac:dyDescent="0.25">
      <c r="A531" s="7"/>
      <c r="B531" s="3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3"/>
      <c r="O531" s="14"/>
      <c r="P531" s="15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3.5" customHeight="1" x14ac:dyDescent="0.25">
      <c r="A532" s="7"/>
      <c r="B532" s="3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3"/>
      <c r="O532" s="14"/>
      <c r="P532" s="15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3.5" customHeight="1" x14ac:dyDescent="0.25">
      <c r="A533" s="7"/>
      <c r="B533" s="3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3"/>
      <c r="O533" s="14"/>
      <c r="P533" s="15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3.5" customHeight="1" x14ac:dyDescent="0.25">
      <c r="A534" s="7"/>
      <c r="B534" s="3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3"/>
      <c r="O534" s="14"/>
      <c r="P534" s="15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3.5" customHeight="1" x14ac:dyDescent="0.25">
      <c r="A535" s="7"/>
      <c r="B535" s="3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3"/>
      <c r="O535" s="14"/>
      <c r="P535" s="15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3.5" customHeight="1" x14ac:dyDescent="0.25">
      <c r="A536" s="7"/>
      <c r="B536" s="3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3"/>
      <c r="O536" s="14"/>
      <c r="P536" s="15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3.5" customHeight="1" x14ac:dyDescent="0.25">
      <c r="A537" s="7"/>
      <c r="B537" s="3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3"/>
      <c r="O537" s="14"/>
      <c r="P537" s="15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3.5" customHeight="1" x14ac:dyDescent="0.25">
      <c r="A538" s="7"/>
      <c r="B538" s="3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3"/>
      <c r="O538" s="14"/>
      <c r="P538" s="15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3.5" customHeight="1" x14ac:dyDescent="0.25">
      <c r="A539" s="7"/>
      <c r="B539" s="3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3"/>
      <c r="O539" s="14"/>
      <c r="P539" s="15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3.5" customHeight="1" x14ac:dyDescent="0.25">
      <c r="A540" s="7"/>
      <c r="B540" s="3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3"/>
      <c r="O540" s="14"/>
      <c r="P540" s="15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3.5" customHeight="1" x14ac:dyDescent="0.25">
      <c r="A541" s="7"/>
      <c r="B541" s="3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3"/>
      <c r="O541" s="14"/>
      <c r="P541" s="15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3.5" customHeight="1" x14ac:dyDescent="0.25">
      <c r="A542" s="7"/>
      <c r="B542" s="3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3"/>
      <c r="O542" s="14"/>
      <c r="P542" s="15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3.5" customHeight="1" x14ac:dyDescent="0.25">
      <c r="A543" s="7"/>
      <c r="B543" s="3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3"/>
      <c r="O543" s="14"/>
      <c r="P543" s="15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3.5" customHeight="1" x14ac:dyDescent="0.25">
      <c r="A544" s="7"/>
      <c r="B544" s="3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3"/>
      <c r="O544" s="14"/>
      <c r="P544" s="15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3.5" customHeight="1" x14ac:dyDescent="0.25">
      <c r="A545" s="7"/>
      <c r="B545" s="3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3"/>
      <c r="O545" s="14"/>
      <c r="P545" s="15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3.5" customHeight="1" x14ac:dyDescent="0.25">
      <c r="A546" s="7"/>
      <c r="B546" s="3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3"/>
      <c r="O546" s="14"/>
      <c r="P546" s="15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3.5" customHeight="1" x14ac:dyDescent="0.25">
      <c r="A547" s="7"/>
      <c r="B547" s="3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3"/>
      <c r="O547" s="14"/>
      <c r="P547" s="15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3.5" customHeight="1" x14ac:dyDescent="0.25">
      <c r="A548" s="7"/>
      <c r="B548" s="3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3"/>
      <c r="O548" s="14"/>
      <c r="P548" s="15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3.5" customHeight="1" x14ac:dyDescent="0.25">
      <c r="A549" s="7"/>
      <c r="B549" s="3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3"/>
      <c r="O549" s="14"/>
      <c r="P549" s="15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3.5" customHeight="1" x14ac:dyDescent="0.25">
      <c r="A550" s="7"/>
      <c r="B550" s="3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3"/>
      <c r="O550" s="14"/>
      <c r="P550" s="15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3.5" customHeight="1" x14ac:dyDescent="0.25">
      <c r="A551" s="7"/>
      <c r="B551" s="3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3"/>
      <c r="O551" s="14"/>
      <c r="P551" s="15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3.5" customHeight="1" x14ac:dyDescent="0.25">
      <c r="A552" s="7"/>
      <c r="B552" s="3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3"/>
      <c r="O552" s="14"/>
      <c r="P552" s="15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3.5" customHeight="1" x14ac:dyDescent="0.25">
      <c r="A553" s="7"/>
      <c r="B553" s="3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3"/>
      <c r="O553" s="14"/>
      <c r="P553" s="15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3.5" customHeight="1" x14ac:dyDescent="0.25">
      <c r="A554" s="7"/>
      <c r="B554" s="3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3"/>
      <c r="O554" s="14"/>
      <c r="P554" s="15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3.5" customHeight="1" x14ac:dyDescent="0.25">
      <c r="A555" s="7"/>
      <c r="B555" s="3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3"/>
      <c r="O555" s="14"/>
      <c r="P555" s="15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3.5" customHeight="1" x14ac:dyDescent="0.25">
      <c r="A556" s="7"/>
      <c r="B556" s="3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3"/>
      <c r="O556" s="14"/>
      <c r="P556" s="15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3.5" customHeight="1" x14ac:dyDescent="0.25">
      <c r="A557" s="7"/>
      <c r="B557" s="3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3"/>
      <c r="O557" s="14"/>
      <c r="P557" s="15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3.5" customHeight="1" x14ac:dyDescent="0.25">
      <c r="A558" s="7"/>
      <c r="B558" s="3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3"/>
      <c r="O558" s="14"/>
      <c r="P558" s="15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3.5" customHeight="1" x14ac:dyDescent="0.25">
      <c r="A559" s="7"/>
      <c r="B559" s="3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3"/>
      <c r="O559" s="14"/>
      <c r="P559" s="15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3.5" customHeight="1" x14ac:dyDescent="0.25">
      <c r="A560" s="7"/>
      <c r="B560" s="3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3"/>
      <c r="O560" s="14"/>
      <c r="P560" s="15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3.5" customHeight="1" x14ac:dyDescent="0.25">
      <c r="A561" s="7"/>
      <c r="B561" s="3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3"/>
      <c r="O561" s="14"/>
      <c r="P561" s="15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3.5" customHeight="1" x14ac:dyDescent="0.25">
      <c r="A562" s="7"/>
      <c r="B562" s="3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3"/>
      <c r="O562" s="14"/>
      <c r="P562" s="15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3.5" customHeight="1" x14ac:dyDescent="0.25">
      <c r="A563" s="7"/>
      <c r="B563" s="3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3"/>
      <c r="O563" s="14"/>
      <c r="P563" s="15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3.5" customHeight="1" x14ac:dyDescent="0.25">
      <c r="A564" s="7"/>
      <c r="B564" s="3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3"/>
      <c r="O564" s="14"/>
      <c r="P564" s="15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3.5" customHeight="1" x14ac:dyDescent="0.25">
      <c r="A565" s="7"/>
      <c r="B565" s="3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3"/>
      <c r="O565" s="14"/>
      <c r="P565" s="15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3.5" customHeight="1" x14ac:dyDescent="0.25">
      <c r="A566" s="7"/>
      <c r="B566" s="3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3"/>
      <c r="O566" s="14"/>
      <c r="P566" s="15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3.5" customHeight="1" x14ac:dyDescent="0.25">
      <c r="A567" s="7"/>
      <c r="B567" s="3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3"/>
      <c r="O567" s="14"/>
      <c r="P567" s="15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3.5" customHeight="1" x14ac:dyDescent="0.25">
      <c r="A568" s="7"/>
      <c r="B568" s="3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3"/>
      <c r="O568" s="14"/>
      <c r="P568" s="15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3.5" customHeight="1" x14ac:dyDescent="0.25">
      <c r="A569" s="7"/>
      <c r="B569" s="3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3"/>
      <c r="O569" s="14"/>
      <c r="P569" s="15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3.5" customHeight="1" x14ac:dyDescent="0.25">
      <c r="A570" s="7"/>
      <c r="B570" s="3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3"/>
      <c r="O570" s="14"/>
      <c r="P570" s="15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3.5" customHeight="1" x14ac:dyDescent="0.25">
      <c r="A571" s="7"/>
      <c r="B571" s="3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3"/>
      <c r="O571" s="14"/>
      <c r="P571" s="15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3.5" customHeight="1" x14ac:dyDescent="0.25">
      <c r="A572" s="7"/>
      <c r="B572" s="3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3"/>
      <c r="O572" s="14"/>
      <c r="P572" s="15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3.5" customHeight="1" x14ac:dyDescent="0.25">
      <c r="A573" s="7"/>
      <c r="B573" s="3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3"/>
      <c r="O573" s="14"/>
      <c r="P573" s="15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3.5" customHeight="1" x14ac:dyDescent="0.25">
      <c r="A574" s="7"/>
      <c r="B574" s="3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3"/>
      <c r="O574" s="14"/>
      <c r="P574" s="15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3.5" customHeight="1" x14ac:dyDescent="0.25">
      <c r="A575" s="7"/>
      <c r="B575" s="3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3"/>
      <c r="O575" s="14"/>
      <c r="P575" s="15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3.5" customHeight="1" x14ac:dyDescent="0.25">
      <c r="A576" s="7"/>
      <c r="B576" s="3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3"/>
      <c r="O576" s="14"/>
      <c r="P576" s="15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3.5" customHeight="1" x14ac:dyDescent="0.25">
      <c r="A577" s="7"/>
      <c r="B577" s="3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3"/>
      <c r="O577" s="14"/>
      <c r="P577" s="15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3.5" customHeight="1" x14ac:dyDescent="0.25">
      <c r="A578" s="7"/>
      <c r="B578" s="3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3"/>
      <c r="O578" s="14"/>
      <c r="P578" s="15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3.5" customHeight="1" x14ac:dyDescent="0.25">
      <c r="A579" s="7"/>
      <c r="B579" s="3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3"/>
      <c r="O579" s="14"/>
      <c r="P579" s="15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3.5" customHeight="1" x14ac:dyDescent="0.25">
      <c r="A580" s="7"/>
      <c r="B580" s="3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3"/>
      <c r="O580" s="14"/>
      <c r="P580" s="15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3.5" customHeight="1" x14ac:dyDescent="0.25">
      <c r="A581" s="7"/>
      <c r="B581" s="3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3"/>
      <c r="O581" s="14"/>
      <c r="P581" s="15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3.5" customHeight="1" x14ac:dyDescent="0.25">
      <c r="A582" s="7"/>
      <c r="B582" s="3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3"/>
      <c r="O582" s="14"/>
      <c r="P582" s="15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3.5" customHeight="1" x14ac:dyDescent="0.25">
      <c r="A583" s="7"/>
      <c r="B583" s="3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3"/>
      <c r="O583" s="14"/>
      <c r="P583" s="15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3.5" customHeight="1" x14ac:dyDescent="0.25">
      <c r="A584" s="7"/>
      <c r="B584" s="3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3"/>
      <c r="O584" s="14"/>
      <c r="P584" s="15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3.5" customHeight="1" x14ac:dyDescent="0.25">
      <c r="A585" s="7"/>
      <c r="B585" s="3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3"/>
      <c r="O585" s="14"/>
      <c r="P585" s="15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3.5" customHeight="1" x14ac:dyDescent="0.25">
      <c r="A586" s="7"/>
      <c r="B586" s="3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3"/>
      <c r="O586" s="14"/>
      <c r="P586" s="15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3.5" customHeight="1" x14ac:dyDescent="0.25">
      <c r="A587" s="7"/>
      <c r="B587" s="3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3"/>
      <c r="O587" s="14"/>
      <c r="P587" s="15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3.5" customHeight="1" x14ac:dyDescent="0.25">
      <c r="A588" s="7"/>
      <c r="B588" s="3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3"/>
      <c r="O588" s="14"/>
      <c r="P588" s="15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3.5" customHeight="1" x14ac:dyDescent="0.25">
      <c r="A589" s="7"/>
      <c r="B589" s="3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3"/>
      <c r="O589" s="14"/>
      <c r="P589" s="15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3.5" customHeight="1" x14ac:dyDescent="0.25">
      <c r="A590" s="7"/>
      <c r="B590" s="3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3"/>
      <c r="O590" s="14"/>
      <c r="P590" s="15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3.5" customHeight="1" x14ac:dyDescent="0.25">
      <c r="A591" s="7"/>
      <c r="B591" s="3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3"/>
      <c r="O591" s="14"/>
      <c r="P591" s="15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3.5" customHeight="1" x14ac:dyDescent="0.25">
      <c r="A592" s="7"/>
      <c r="B592" s="3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3"/>
      <c r="O592" s="14"/>
      <c r="P592" s="15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3.5" customHeight="1" x14ac:dyDescent="0.25">
      <c r="A593" s="7"/>
      <c r="B593" s="3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3"/>
      <c r="O593" s="14"/>
      <c r="P593" s="15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3.5" customHeight="1" x14ac:dyDescent="0.25">
      <c r="A594" s="7"/>
      <c r="B594" s="3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3"/>
      <c r="O594" s="14"/>
      <c r="P594" s="15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3.5" customHeight="1" x14ac:dyDescent="0.25">
      <c r="A595" s="7"/>
      <c r="B595" s="3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3"/>
      <c r="O595" s="14"/>
      <c r="P595" s="15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3.5" customHeight="1" x14ac:dyDescent="0.25">
      <c r="A596" s="7"/>
      <c r="B596" s="3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3"/>
      <c r="O596" s="14"/>
      <c r="P596" s="15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3.5" customHeight="1" x14ac:dyDescent="0.25">
      <c r="A597" s="7"/>
      <c r="B597" s="3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3"/>
      <c r="O597" s="14"/>
      <c r="P597" s="15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3.5" customHeight="1" x14ac:dyDescent="0.25">
      <c r="A598" s="7"/>
      <c r="B598" s="3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3"/>
      <c r="O598" s="14"/>
      <c r="P598" s="15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3.5" customHeight="1" x14ac:dyDescent="0.25">
      <c r="A599" s="7"/>
      <c r="B599" s="3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3"/>
      <c r="O599" s="14"/>
      <c r="P599" s="15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3.5" customHeight="1" x14ac:dyDescent="0.25">
      <c r="A600" s="7"/>
      <c r="B600" s="3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3"/>
      <c r="O600" s="14"/>
      <c r="P600" s="15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3.5" customHeight="1" x14ac:dyDescent="0.25">
      <c r="A601" s="7"/>
      <c r="B601" s="3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3"/>
      <c r="O601" s="14"/>
      <c r="P601" s="15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3.5" customHeight="1" x14ac:dyDescent="0.25">
      <c r="A602" s="7"/>
      <c r="B602" s="3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3"/>
      <c r="O602" s="14"/>
      <c r="P602" s="15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3.5" customHeight="1" x14ac:dyDescent="0.25">
      <c r="A603" s="7"/>
      <c r="B603" s="3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3"/>
      <c r="O603" s="14"/>
      <c r="P603" s="15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3.5" customHeight="1" x14ac:dyDescent="0.25">
      <c r="A604" s="7"/>
      <c r="B604" s="3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3"/>
      <c r="O604" s="14"/>
      <c r="P604" s="15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3.5" customHeight="1" x14ac:dyDescent="0.25">
      <c r="A605" s="7"/>
      <c r="B605" s="3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3"/>
      <c r="O605" s="14"/>
      <c r="P605" s="15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3.5" customHeight="1" x14ac:dyDescent="0.25">
      <c r="A606" s="7"/>
      <c r="B606" s="3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3"/>
      <c r="O606" s="14"/>
      <c r="P606" s="15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3.5" customHeight="1" x14ac:dyDescent="0.25">
      <c r="A607" s="7"/>
      <c r="B607" s="3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3"/>
      <c r="O607" s="14"/>
      <c r="P607" s="15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3.5" customHeight="1" x14ac:dyDescent="0.25">
      <c r="A608" s="7"/>
      <c r="B608" s="3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3"/>
      <c r="O608" s="14"/>
      <c r="P608" s="15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3.5" customHeight="1" x14ac:dyDescent="0.25">
      <c r="A609" s="7"/>
      <c r="B609" s="3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3"/>
      <c r="O609" s="14"/>
      <c r="P609" s="15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3.5" customHeight="1" x14ac:dyDescent="0.25">
      <c r="A610" s="7"/>
      <c r="B610" s="3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3"/>
      <c r="O610" s="14"/>
      <c r="P610" s="15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3.5" customHeight="1" x14ac:dyDescent="0.25">
      <c r="A611" s="7"/>
      <c r="B611" s="3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3"/>
      <c r="O611" s="14"/>
      <c r="P611" s="15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3.5" customHeight="1" x14ac:dyDescent="0.25">
      <c r="A612" s="7"/>
      <c r="B612" s="3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3"/>
      <c r="O612" s="14"/>
      <c r="P612" s="15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3.5" customHeight="1" x14ac:dyDescent="0.25">
      <c r="A613" s="7"/>
      <c r="B613" s="3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3"/>
      <c r="O613" s="14"/>
      <c r="P613" s="15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3.5" customHeight="1" x14ac:dyDescent="0.25">
      <c r="A614" s="7"/>
      <c r="B614" s="3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3"/>
      <c r="O614" s="14"/>
      <c r="P614" s="15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3.5" customHeight="1" x14ac:dyDescent="0.25">
      <c r="A615" s="7"/>
      <c r="B615" s="3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3"/>
      <c r="O615" s="14"/>
      <c r="P615" s="15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3.5" customHeight="1" x14ac:dyDescent="0.25">
      <c r="A616" s="7"/>
      <c r="B616" s="3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3"/>
      <c r="O616" s="14"/>
      <c r="P616" s="15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3.5" customHeight="1" x14ac:dyDescent="0.25">
      <c r="A617" s="7"/>
      <c r="B617" s="3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3"/>
      <c r="O617" s="14"/>
      <c r="P617" s="15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3.5" customHeight="1" x14ac:dyDescent="0.25">
      <c r="A618" s="7"/>
      <c r="B618" s="3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3"/>
      <c r="O618" s="14"/>
      <c r="P618" s="15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3.5" customHeight="1" x14ac:dyDescent="0.25">
      <c r="A619" s="7"/>
      <c r="B619" s="3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3"/>
      <c r="O619" s="14"/>
      <c r="P619" s="15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3.5" customHeight="1" x14ac:dyDescent="0.25">
      <c r="A620" s="7"/>
      <c r="B620" s="3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3"/>
      <c r="O620" s="14"/>
      <c r="P620" s="15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3.5" customHeight="1" x14ac:dyDescent="0.25">
      <c r="A621" s="7"/>
      <c r="B621" s="3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3"/>
      <c r="O621" s="14"/>
      <c r="P621" s="15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3.5" customHeight="1" x14ac:dyDescent="0.25">
      <c r="A622" s="7"/>
      <c r="B622" s="3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3"/>
      <c r="O622" s="14"/>
      <c r="P622" s="15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3.5" customHeight="1" x14ac:dyDescent="0.25">
      <c r="A623" s="7"/>
      <c r="B623" s="3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3"/>
      <c r="O623" s="14"/>
      <c r="P623" s="15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3.5" customHeight="1" x14ac:dyDescent="0.25">
      <c r="A624" s="7"/>
      <c r="B624" s="3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3"/>
      <c r="O624" s="14"/>
      <c r="P624" s="15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3.5" customHeight="1" x14ac:dyDescent="0.25">
      <c r="A625" s="7"/>
      <c r="B625" s="3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3"/>
      <c r="O625" s="14"/>
      <c r="P625" s="15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3.5" customHeight="1" x14ac:dyDescent="0.25">
      <c r="A626" s="7"/>
      <c r="B626" s="3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3"/>
      <c r="O626" s="14"/>
      <c r="P626" s="15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3.5" customHeight="1" x14ac:dyDescent="0.25">
      <c r="A627" s="7"/>
      <c r="B627" s="3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3"/>
      <c r="O627" s="14"/>
      <c r="P627" s="15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3.5" customHeight="1" x14ac:dyDescent="0.25">
      <c r="A628" s="7"/>
      <c r="B628" s="3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3"/>
      <c r="O628" s="14"/>
      <c r="P628" s="15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3.5" customHeight="1" x14ac:dyDescent="0.25">
      <c r="A629" s="7"/>
      <c r="B629" s="3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3"/>
      <c r="O629" s="14"/>
      <c r="P629" s="15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3.5" customHeight="1" x14ac:dyDescent="0.25">
      <c r="A630" s="7"/>
      <c r="B630" s="3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3"/>
      <c r="O630" s="14"/>
      <c r="P630" s="15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3.5" customHeight="1" x14ac:dyDescent="0.25">
      <c r="A631" s="7"/>
      <c r="B631" s="3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3"/>
      <c r="O631" s="14"/>
      <c r="P631" s="15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3.5" customHeight="1" x14ac:dyDescent="0.25">
      <c r="A632" s="7"/>
      <c r="B632" s="3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3"/>
      <c r="O632" s="14"/>
      <c r="P632" s="15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3.5" customHeight="1" x14ac:dyDescent="0.25">
      <c r="A633" s="7"/>
      <c r="B633" s="3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3"/>
      <c r="O633" s="14"/>
      <c r="P633" s="15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3.5" customHeight="1" x14ac:dyDescent="0.25">
      <c r="A634" s="7"/>
      <c r="B634" s="3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3"/>
      <c r="O634" s="14"/>
      <c r="P634" s="15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3.5" customHeight="1" x14ac:dyDescent="0.25">
      <c r="A635" s="7"/>
      <c r="B635" s="3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3"/>
      <c r="O635" s="14"/>
      <c r="P635" s="15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3.5" customHeight="1" x14ac:dyDescent="0.25">
      <c r="A636" s="7"/>
      <c r="B636" s="3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3"/>
      <c r="O636" s="14"/>
      <c r="P636" s="15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3.5" customHeight="1" x14ac:dyDescent="0.25">
      <c r="A637" s="7"/>
      <c r="B637" s="3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3"/>
      <c r="O637" s="14"/>
      <c r="P637" s="15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3.5" customHeight="1" x14ac:dyDescent="0.25">
      <c r="A638" s="7"/>
      <c r="B638" s="3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3"/>
      <c r="O638" s="14"/>
      <c r="P638" s="15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3.5" customHeight="1" x14ac:dyDescent="0.25">
      <c r="A639" s="7"/>
      <c r="B639" s="3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3"/>
      <c r="O639" s="14"/>
      <c r="P639" s="15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3.5" customHeight="1" x14ac:dyDescent="0.25">
      <c r="A640" s="7"/>
      <c r="B640" s="3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3"/>
      <c r="O640" s="14"/>
      <c r="P640" s="15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3.5" customHeight="1" x14ac:dyDescent="0.25">
      <c r="A641" s="7"/>
      <c r="B641" s="3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3"/>
      <c r="O641" s="14"/>
      <c r="P641" s="15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3.5" customHeight="1" x14ac:dyDescent="0.25">
      <c r="A642" s="7"/>
      <c r="B642" s="3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3"/>
      <c r="O642" s="14"/>
      <c r="P642" s="15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3.5" customHeight="1" x14ac:dyDescent="0.25">
      <c r="A643" s="7"/>
      <c r="B643" s="3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3"/>
      <c r="O643" s="14"/>
      <c r="P643" s="15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3.5" customHeight="1" x14ac:dyDescent="0.25">
      <c r="A644" s="7"/>
      <c r="B644" s="3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3"/>
      <c r="O644" s="14"/>
      <c r="P644" s="15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3.5" customHeight="1" x14ac:dyDescent="0.25">
      <c r="A645" s="7"/>
      <c r="B645" s="3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3"/>
      <c r="O645" s="14"/>
      <c r="P645" s="15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3.5" customHeight="1" x14ac:dyDescent="0.25">
      <c r="A646" s="7"/>
      <c r="B646" s="3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3"/>
      <c r="O646" s="14"/>
      <c r="P646" s="15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3.5" customHeight="1" x14ac:dyDescent="0.25">
      <c r="A647" s="7"/>
      <c r="B647" s="3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3"/>
      <c r="O647" s="14"/>
      <c r="P647" s="15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3.5" customHeight="1" x14ac:dyDescent="0.25">
      <c r="A648" s="7"/>
      <c r="B648" s="3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3"/>
      <c r="O648" s="14"/>
      <c r="P648" s="15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3.5" customHeight="1" x14ac:dyDescent="0.25">
      <c r="A649" s="7"/>
      <c r="B649" s="3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3"/>
      <c r="O649" s="14"/>
      <c r="P649" s="15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3.5" customHeight="1" x14ac:dyDescent="0.25">
      <c r="A650" s="7"/>
      <c r="B650" s="3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3"/>
      <c r="O650" s="14"/>
      <c r="P650" s="15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3.5" customHeight="1" x14ac:dyDescent="0.25">
      <c r="A651" s="7"/>
      <c r="B651" s="3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3"/>
      <c r="O651" s="14"/>
      <c r="P651" s="15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3.5" customHeight="1" x14ac:dyDescent="0.25">
      <c r="A652" s="7"/>
      <c r="B652" s="3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3"/>
      <c r="O652" s="14"/>
      <c r="P652" s="15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3.5" customHeight="1" x14ac:dyDescent="0.25">
      <c r="A653" s="7"/>
      <c r="B653" s="3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3"/>
      <c r="O653" s="14"/>
      <c r="P653" s="15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3.5" customHeight="1" x14ac:dyDescent="0.25">
      <c r="A654" s="7"/>
      <c r="B654" s="3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3"/>
      <c r="O654" s="14"/>
      <c r="P654" s="15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3.5" customHeight="1" x14ac:dyDescent="0.25">
      <c r="A655" s="7"/>
      <c r="B655" s="3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3"/>
      <c r="O655" s="14"/>
      <c r="P655" s="15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3.5" customHeight="1" x14ac:dyDescent="0.25">
      <c r="A656" s="7"/>
      <c r="B656" s="3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3"/>
      <c r="O656" s="14"/>
      <c r="P656" s="15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3.5" customHeight="1" x14ac:dyDescent="0.25">
      <c r="A657" s="7"/>
      <c r="B657" s="3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3"/>
      <c r="O657" s="14"/>
      <c r="P657" s="15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3.5" customHeight="1" x14ac:dyDescent="0.25">
      <c r="A658" s="7"/>
      <c r="B658" s="3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3"/>
      <c r="O658" s="14"/>
      <c r="P658" s="15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3.5" customHeight="1" x14ac:dyDescent="0.25">
      <c r="A659" s="7"/>
      <c r="B659" s="3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3"/>
      <c r="O659" s="14"/>
      <c r="P659" s="15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3.5" customHeight="1" x14ac:dyDescent="0.25">
      <c r="A660" s="7"/>
      <c r="B660" s="3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3"/>
      <c r="O660" s="14"/>
      <c r="P660" s="15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3.5" customHeight="1" x14ac:dyDescent="0.25">
      <c r="A661" s="7"/>
      <c r="B661" s="3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3"/>
      <c r="O661" s="14"/>
      <c r="P661" s="15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3.5" customHeight="1" x14ac:dyDescent="0.25">
      <c r="A662" s="7"/>
      <c r="B662" s="3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3"/>
      <c r="O662" s="14"/>
      <c r="P662" s="15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3.5" customHeight="1" x14ac:dyDescent="0.25">
      <c r="A663" s="7"/>
      <c r="B663" s="3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3"/>
      <c r="O663" s="14"/>
      <c r="P663" s="15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3.5" customHeight="1" x14ac:dyDescent="0.25">
      <c r="A664" s="7"/>
      <c r="B664" s="3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3"/>
      <c r="O664" s="14"/>
      <c r="P664" s="15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3.5" customHeight="1" x14ac:dyDescent="0.25">
      <c r="A665" s="7"/>
      <c r="B665" s="3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3"/>
      <c r="O665" s="14"/>
      <c r="P665" s="15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3.5" customHeight="1" x14ac:dyDescent="0.25">
      <c r="A666" s="7"/>
      <c r="B666" s="3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3"/>
      <c r="O666" s="14"/>
      <c r="P666" s="15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3.5" customHeight="1" x14ac:dyDescent="0.25">
      <c r="A667" s="7"/>
      <c r="B667" s="3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3"/>
      <c r="O667" s="14"/>
      <c r="P667" s="15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3.5" customHeight="1" x14ac:dyDescent="0.25">
      <c r="A668" s="7"/>
      <c r="B668" s="3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3"/>
      <c r="O668" s="14"/>
      <c r="P668" s="15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3.5" customHeight="1" x14ac:dyDescent="0.25">
      <c r="A669" s="7"/>
      <c r="B669" s="3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3"/>
      <c r="O669" s="14"/>
      <c r="P669" s="15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3.5" customHeight="1" x14ac:dyDescent="0.25">
      <c r="A670" s="7"/>
      <c r="B670" s="3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3"/>
      <c r="O670" s="14"/>
      <c r="P670" s="15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3.5" customHeight="1" x14ac:dyDescent="0.25">
      <c r="A671" s="7"/>
      <c r="B671" s="3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3"/>
      <c r="O671" s="14"/>
      <c r="P671" s="15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3.5" customHeight="1" x14ac:dyDescent="0.25">
      <c r="A672" s="7"/>
      <c r="B672" s="3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3"/>
      <c r="O672" s="14"/>
      <c r="P672" s="15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3.5" customHeight="1" x14ac:dyDescent="0.25">
      <c r="A673" s="7"/>
      <c r="B673" s="3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3"/>
      <c r="O673" s="14"/>
      <c r="P673" s="15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3.5" customHeight="1" x14ac:dyDescent="0.25">
      <c r="A674" s="7"/>
      <c r="B674" s="3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3"/>
      <c r="O674" s="14"/>
      <c r="P674" s="15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3.5" customHeight="1" x14ac:dyDescent="0.25">
      <c r="A675" s="7"/>
      <c r="B675" s="3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3"/>
      <c r="O675" s="14"/>
      <c r="P675" s="15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3.5" customHeight="1" x14ac:dyDescent="0.25">
      <c r="A676" s="7"/>
      <c r="B676" s="3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3"/>
      <c r="O676" s="14"/>
      <c r="P676" s="15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3.5" customHeight="1" x14ac:dyDescent="0.25">
      <c r="A677" s="7"/>
      <c r="B677" s="3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3"/>
      <c r="O677" s="14"/>
      <c r="P677" s="15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3.5" customHeight="1" x14ac:dyDescent="0.25">
      <c r="A678" s="7"/>
      <c r="B678" s="3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3"/>
      <c r="O678" s="14"/>
      <c r="P678" s="15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3.5" customHeight="1" x14ac:dyDescent="0.25">
      <c r="A679" s="7"/>
      <c r="B679" s="3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3"/>
      <c r="O679" s="14"/>
      <c r="P679" s="15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3.5" customHeight="1" x14ac:dyDescent="0.25">
      <c r="A680" s="7"/>
      <c r="B680" s="3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3"/>
      <c r="O680" s="14"/>
      <c r="P680" s="15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3.5" customHeight="1" x14ac:dyDescent="0.25">
      <c r="A681" s="7"/>
      <c r="B681" s="3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3"/>
      <c r="O681" s="14"/>
      <c r="P681" s="15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3.5" customHeight="1" x14ac:dyDescent="0.25">
      <c r="A682" s="7"/>
      <c r="B682" s="3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3"/>
      <c r="O682" s="14"/>
      <c r="P682" s="15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3.5" customHeight="1" x14ac:dyDescent="0.25">
      <c r="A683" s="7"/>
      <c r="B683" s="3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3"/>
      <c r="O683" s="14"/>
      <c r="P683" s="15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3.5" customHeight="1" x14ac:dyDescent="0.25">
      <c r="A684" s="7"/>
      <c r="B684" s="3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3"/>
      <c r="O684" s="14"/>
      <c r="P684" s="15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3.5" customHeight="1" x14ac:dyDescent="0.25">
      <c r="A685" s="7"/>
      <c r="B685" s="3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3"/>
      <c r="O685" s="14"/>
      <c r="P685" s="15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3.5" customHeight="1" x14ac:dyDescent="0.25">
      <c r="A686" s="7"/>
      <c r="B686" s="3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3"/>
      <c r="O686" s="14"/>
      <c r="P686" s="15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3.5" customHeight="1" x14ac:dyDescent="0.25">
      <c r="A687" s="7"/>
      <c r="B687" s="3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3"/>
      <c r="O687" s="14"/>
      <c r="P687" s="15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3.5" customHeight="1" x14ac:dyDescent="0.25">
      <c r="A688" s="7"/>
      <c r="B688" s="3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3"/>
      <c r="O688" s="14"/>
      <c r="P688" s="15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3.5" customHeight="1" x14ac:dyDescent="0.25">
      <c r="A689" s="7"/>
      <c r="B689" s="3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3"/>
      <c r="O689" s="14"/>
      <c r="P689" s="15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3.5" customHeight="1" x14ac:dyDescent="0.25">
      <c r="A690" s="7"/>
      <c r="B690" s="3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3"/>
      <c r="O690" s="14"/>
      <c r="P690" s="15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3.5" customHeight="1" x14ac:dyDescent="0.25">
      <c r="A691" s="7"/>
      <c r="B691" s="3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3"/>
      <c r="O691" s="14"/>
      <c r="P691" s="15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3.5" customHeight="1" x14ac:dyDescent="0.25">
      <c r="A692" s="7"/>
      <c r="B692" s="3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3"/>
      <c r="O692" s="14"/>
      <c r="P692" s="15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3.5" customHeight="1" x14ac:dyDescent="0.25">
      <c r="A693" s="7"/>
      <c r="B693" s="3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3"/>
      <c r="O693" s="14"/>
      <c r="P693" s="15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3.5" customHeight="1" x14ac:dyDescent="0.25">
      <c r="A694" s="7"/>
      <c r="B694" s="3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3"/>
      <c r="O694" s="14"/>
      <c r="P694" s="15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3.5" customHeight="1" x14ac:dyDescent="0.25">
      <c r="A695" s="7"/>
      <c r="B695" s="3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3"/>
      <c r="O695" s="14"/>
      <c r="P695" s="15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3.5" customHeight="1" x14ac:dyDescent="0.25">
      <c r="A696" s="7"/>
      <c r="B696" s="3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3"/>
      <c r="O696" s="14"/>
      <c r="P696" s="15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3.5" customHeight="1" x14ac:dyDescent="0.25">
      <c r="A697" s="7"/>
      <c r="B697" s="3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3"/>
      <c r="O697" s="14"/>
      <c r="P697" s="15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3.5" customHeight="1" x14ac:dyDescent="0.25">
      <c r="A698" s="7"/>
      <c r="B698" s="3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3"/>
      <c r="O698" s="14"/>
      <c r="P698" s="15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3.5" customHeight="1" x14ac:dyDescent="0.25">
      <c r="A699" s="7"/>
      <c r="B699" s="3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3"/>
      <c r="O699" s="14"/>
      <c r="P699" s="15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3.5" customHeight="1" x14ac:dyDescent="0.25">
      <c r="A700" s="7"/>
      <c r="B700" s="3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3"/>
      <c r="O700" s="14"/>
      <c r="P700" s="15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3.5" customHeight="1" x14ac:dyDescent="0.25">
      <c r="A701" s="7"/>
      <c r="B701" s="3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3"/>
      <c r="O701" s="14"/>
      <c r="P701" s="15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3.5" customHeight="1" x14ac:dyDescent="0.25">
      <c r="A702" s="7"/>
      <c r="B702" s="3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3"/>
      <c r="O702" s="14"/>
      <c r="P702" s="15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3.5" customHeight="1" x14ac:dyDescent="0.25">
      <c r="A703" s="7"/>
      <c r="B703" s="3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3"/>
      <c r="O703" s="14"/>
      <c r="P703" s="15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3.5" customHeight="1" x14ac:dyDescent="0.25">
      <c r="A704" s="7"/>
      <c r="B704" s="3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3"/>
      <c r="O704" s="14"/>
      <c r="P704" s="15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3.5" customHeight="1" x14ac:dyDescent="0.25">
      <c r="A705" s="7"/>
      <c r="B705" s="3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3"/>
      <c r="O705" s="14"/>
      <c r="P705" s="15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3.5" customHeight="1" x14ac:dyDescent="0.25">
      <c r="A706" s="7"/>
      <c r="B706" s="3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3"/>
      <c r="O706" s="14"/>
      <c r="P706" s="15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3.5" customHeight="1" x14ac:dyDescent="0.25">
      <c r="A707" s="7"/>
      <c r="B707" s="3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3"/>
      <c r="O707" s="14"/>
      <c r="P707" s="15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3.5" customHeight="1" x14ac:dyDescent="0.25">
      <c r="A708" s="7"/>
      <c r="B708" s="3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3"/>
      <c r="O708" s="14"/>
      <c r="P708" s="15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3.5" customHeight="1" x14ac:dyDescent="0.25">
      <c r="A709" s="7"/>
      <c r="B709" s="3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3"/>
      <c r="O709" s="14"/>
      <c r="P709" s="15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3.5" customHeight="1" x14ac:dyDescent="0.25">
      <c r="A710" s="7"/>
      <c r="B710" s="3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3"/>
      <c r="O710" s="14"/>
      <c r="P710" s="15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3.5" customHeight="1" x14ac:dyDescent="0.25">
      <c r="A711" s="7"/>
      <c r="B711" s="3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3"/>
      <c r="O711" s="14"/>
      <c r="P711" s="15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3.5" customHeight="1" x14ac:dyDescent="0.25">
      <c r="A712" s="7"/>
      <c r="B712" s="3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3"/>
      <c r="O712" s="14"/>
      <c r="P712" s="15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3.5" customHeight="1" x14ac:dyDescent="0.25">
      <c r="A713" s="7"/>
      <c r="B713" s="3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3"/>
      <c r="O713" s="14"/>
      <c r="P713" s="15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3.5" customHeight="1" x14ac:dyDescent="0.25">
      <c r="A714" s="7"/>
      <c r="B714" s="3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3"/>
      <c r="O714" s="14"/>
      <c r="P714" s="15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3.5" customHeight="1" x14ac:dyDescent="0.25">
      <c r="A715" s="7"/>
      <c r="B715" s="3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3"/>
      <c r="O715" s="14"/>
      <c r="P715" s="15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3.5" customHeight="1" x14ac:dyDescent="0.25">
      <c r="A716" s="7"/>
      <c r="B716" s="3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3"/>
      <c r="O716" s="14"/>
      <c r="P716" s="15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3.5" customHeight="1" x14ac:dyDescent="0.25">
      <c r="A717" s="7"/>
      <c r="B717" s="3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3"/>
      <c r="O717" s="14"/>
      <c r="P717" s="15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3.5" customHeight="1" x14ac:dyDescent="0.25">
      <c r="A718" s="7"/>
      <c r="B718" s="3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3"/>
      <c r="O718" s="14"/>
      <c r="P718" s="15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3.5" customHeight="1" x14ac:dyDescent="0.25">
      <c r="A719" s="7"/>
      <c r="B719" s="3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3"/>
      <c r="O719" s="14"/>
      <c r="P719" s="15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3.5" customHeight="1" x14ac:dyDescent="0.25">
      <c r="A720" s="7"/>
      <c r="B720" s="3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3"/>
      <c r="O720" s="14"/>
      <c r="P720" s="15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3.5" customHeight="1" x14ac:dyDescent="0.25">
      <c r="A721" s="7"/>
      <c r="B721" s="3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3"/>
      <c r="O721" s="14"/>
      <c r="P721" s="15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3.5" customHeight="1" x14ac:dyDescent="0.25">
      <c r="A722" s="7"/>
      <c r="B722" s="3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3"/>
      <c r="O722" s="14"/>
      <c r="P722" s="15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3.5" customHeight="1" x14ac:dyDescent="0.25">
      <c r="A723" s="7"/>
      <c r="B723" s="3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3"/>
      <c r="O723" s="14"/>
      <c r="P723" s="15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3.5" customHeight="1" x14ac:dyDescent="0.25">
      <c r="A724" s="7"/>
      <c r="B724" s="3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3"/>
      <c r="O724" s="14"/>
      <c r="P724" s="15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3.5" customHeight="1" x14ac:dyDescent="0.25">
      <c r="A725" s="7"/>
      <c r="B725" s="3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3"/>
      <c r="O725" s="14"/>
      <c r="P725" s="15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3.5" customHeight="1" x14ac:dyDescent="0.25">
      <c r="A726" s="7"/>
      <c r="B726" s="3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3"/>
      <c r="O726" s="14"/>
      <c r="P726" s="15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3.5" customHeight="1" x14ac:dyDescent="0.25">
      <c r="A727" s="7"/>
      <c r="B727" s="3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3"/>
      <c r="O727" s="14"/>
      <c r="P727" s="15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3.5" customHeight="1" x14ac:dyDescent="0.25">
      <c r="A728" s="7"/>
      <c r="B728" s="3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3"/>
      <c r="O728" s="14"/>
      <c r="P728" s="15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3.5" customHeight="1" x14ac:dyDescent="0.25">
      <c r="A729" s="7"/>
      <c r="B729" s="3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3"/>
      <c r="O729" s="14"/>
      <c r="P729" s="15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3.5" customHeight="1" x14ac:dyDescent="0.25">
      <c r="A730" s="7"/>
      <c r="B730" s="3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3"/>
      <c r="O730" s="14"/>
      <c r="P730" s="15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3.5" customHeight="1" x14ac:dyDescent="0.25">
      <c r="A731" s="7"/>
      <c r="B731" s="3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3"/>
      <c r="O731" s="14"/>
      <c r="P731" s="15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3.5" customHeight="1" x14ac:dyDescent="0.25">
      <c r="A732" s="7"/>
      <c r="B732" s="3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3"/>
      <c r="O732" s="14"/>
      <c r="P732" s="15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3.5" customHeight="1" x14ac:dyDescent="0.25">
      <c r="A733" s="7"/>
      <c r="B733" s="3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3"/>
      <c r="O733" s="14"/>
      <c r="P733" s="15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3.5" customHeight="1" x14ac:dyDescent="0.25">
      <c r="A734" s="7"/>
      <c r="B734" s="3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3"/>
      <c r="O734" s="14"/>
      <c r="P734" s="15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3.5" customHeight="1" x14ac:dyDescent="0.25">
      <c r="A735" s="7"/>
      <c r="B735" s="3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3"/>
      <c r="O735" s="14"/>
      <c r="P735" s="15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3.5" customHeight="1" x14ac:dyDescent="0.25">
      <c r="A736" s="7"/>
      <c r="B736" s="3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3"/>
      <c r="O736" s="14"/>
      <c r="P736" s="15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3.5" customHeight="1" x14ac:dyDescent="0.25">
      <c r="A737" s="7"/>
      <c r="B737" s="3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3"/>
      <c r="O737" s="14"/>
      <c r="P737" s="15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3.5" customHeight="1" x14ac:dyDescent="0.25">
      <c r="A738" s="7"/>
      <c r="B738" s="3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3"/>
      <c r="O738" s="14"/>
      <c r="P738" s="15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3.5" customHeight="1" x14ac:dyDescent="0.25">
      <c r="A739" s="7"/>
      <c r="B739" s="3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3"/>
      <c r="O739" s="14"/>
      <c r="P739" s="15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3.5" customHeight="1" x14ac:dyDescent="0.25">
      <c r="A740" s="7"/>
      <c r="B740" s="3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3"/>
      <c r="O740" s="14"/>
      <c r="P740" s="15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3.5" customHeight="1" x14ac:dyDescent="0.25">
      <c r="A741" s="7"/>
      <c r="B741" s="3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3"/>
      <c r="O741" s="14"/>
      <c r="P741" s="15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3.5" customHeight="1" x14ac:dyDescent="0.25">
      <c r="A742" s="7"/>
      <c r="B742" s="3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3"/>
      <c r="O742" s="14"/>
      <c r="P742" s="15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3.5" customHeight="1" x14ac:dyDescent="0.25">
      <c r="A743" s="7"/>
      <c r="B743" s="3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3"/>
      <c r="O743" s="14"/>
      <c r="P743" s="15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3.5" customHeight="1" x14ac:dyDescent="0.25">
      <c r="A744" s="7"/>
      <c r="B744" s="3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3"/>
      <c r="O744" s="14"/>
      <c r="P744" s="15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3.5" customHeight="1" x14ac:dyDescent="0.25">
      <c r="A745" s="7"/>
      <c r="B745" s="3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3"/>
      <c r="O745" s="14"/>
      <c r="P745" s="15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3.5" customHeight="1" x14ac:dyDescent="0.25">
      <c r="A746" s="7"/>
      <c r="B746" s="3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3"/>
      <c r="O746" s="14"/>
      <c r="P746" s="15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3.5" customHeight="1" x14ac:dyDescent="0.25">
      <c r="A747" s="7"/>
      <c r="B747" s="3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3"/>
      <c r="O747" s="14"/>
      <c r="P747" s="15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3.5" customHeight="1" x14ac:dyDescent="0.25">
      <c r="A748" s="7"/>
      <c r="B748" s="3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3"/>
      <c r="O748" s="14"/>
      <c r="P748" s="15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3.5" customHeight="1" x14ac:dyDescent="0.25">
      <c r="A749" s="7"/>
      <c r="B749" s="3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3"/>
      <c r="O749" s="14"/>
      <c r="P749" s="15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3.5" customHeight="1" x14ac:dyDescent="0.25">
      <c r="A750" s="7"/>
      <c r="B750" s="3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3"/>
      <c r="O750" s="14"/>
      <c r="P750" s="15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3.5" customHeight="1" x14ac:dyDescent="0.25">
      <c r="A751" s="7"/>
      <c r="B751" s="3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3"/>
      <c r="O751" s="14"/>
      <c r="P751" s="15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3.5" customHeight="1" x14ac:dyDescent="0.25">
      <c r="A752" s="7"/>
      <c r="B752" s="3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3"/>
      <c r="O752" s="14"/>
      <c r="P752" s="15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3.5" customHeight="1" x14ac:dyDescent="0.25">
      <c r="A753" s="7"/>
      <c r="B753" s="3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3"/>
      <c r="O753" s="14"/>
      <c r="P753" s="15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3.5" customHeight="1" x14ac:dyDescent="0.25">
      <c r="A754" s="7"/>
      <c r="B754" s="3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3"/>
      <c r="O754" s="14"/>
      <c r="P754" s="15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3.5" customHeight="1" x14ac:dyDescent="0.25">
      <c r="A755" s="7"/>
      <c r="B755" s="3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3"/>
      <c r="O755" s="14"/>
      <c r="P755" s="15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3.5" customHeight="1" x14ac:dyDescent="0.25">
      <c r="A756" s="7"/>
      <c r="B756" s="3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3"/>
      <c r="O756" s="14"/>
      <c r="P756" s="15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3.5" customHeight="1" x14ac:dyDescent="0.25">
      <c r="A757" s="7"/>
      <c r="B757" s="3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3"/>
      <c r="O757" s="14"/>
      <c r="P757" s="15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3.5" customHeight="1" x14ac:dyDescent="0.25">
      <c r="A758" s="7"/>
      <c r="B758" s="3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3"/>
      <c r="O758" s="14"/>
      <c r="P758" s="15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3.5" customHeight="1" x14ac:dyDescent="0.25">
      <c r="A759" s="7"/>
      <c r="B759" s="3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3"/>
      <c r="O759" s="14"/>
      <c r="P759" s="15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3.5" customHeight="1" x14ac:dyDescent="0.25">
      <c r="A760" s="7"/>
      <c r="B760" s="3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3"/>
      <c r="O760" s="14"/>
      <c r="P760" s="15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3.5" customHeight="1" x14ac:dyDescent="0.25">
      <c r="A761" s="7"/>
      <c r="B761" s="3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3"/>
      <c r="O761" s="14"/>
      <c r="P761" s="15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3.5" customHeight="1" x14ac:dyDescent="0.25">
      <c r="A762" s="7"/>
      <c r="B762" s="3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3"/>
      <c r="O762" s="14"/>
      <c r="P762" s="15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3.5" customHeight="1" x14ac:dyDescent="0.25">
      <c r="A763" s="7"/>
      <c r="B763" s="3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3"/>
      <c r="O763" s="14"/>
      <c r="P763" s="15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3.5" customHeight="1" x14ac:dyDescent="0.25">
      <c r="A764" s="7"/>
      <c r="B764" s="3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3"/>
      <c r="O764" s="14"/>
      <c r="P764" s="15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3.5" customHeight="1" x14ac:dyDescent="0.25">
      <c r="A765" s="7"/>
      <c r="B765" s="3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3"/>
      <c r="O765" s="14"/>
      <c r="P765" s="15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3.5" customHeight="1" x14ac:dyDescent="0.25">
      <c r="A766" s="7"/>
      <c r="B766" s="3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3"/>
      <c r="O766" s="14"/>
      <c r="P766" s="15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3.5" customHeight="1" x14ac:dyDescent="0.25">
      <c r="A767" s="7"/>
      <c r="B767" s="3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3"/>
      <c r="O767" s="14"/>
      <c r="P767" s="15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3.5" customHeight="1" x14ac:dyDescent="0.25">
      <c r="A768" s="7"/>
      <c r="B768" s="3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3"/>
      <c r="O768" s="14"/>
      <c r="P768" s="15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3.5" customHeight="1" x14ac:dyDescent="0.25">
      <c r="A769" s="7"/>
      <c r="B769" s="3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3"/>
      <c r="O769" s="14"/>
      <c r="P769" s="15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3.5" customHeight="1" x14ac:dyDescent="0.25">
      <c r="A770" s="7"/>
      <c r="B770" s="3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3"/>
      <c r="O770" s="14"/>
      <c r="P770" s="15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3.5" customHeight="1" x14ac:dyDescent="0.25">
      <c r="A771" s="7"/>
      <c r="B771" s="3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3"/>
      <c r="O771" s="14"/>
      <c r="P771" s="15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3.5" customHeight="1" x14ac:dyDescent="0.25">
      <c r="A772" s="7"/>
      <c r="B772" s="3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3"/>
      <c r="O772" s="14"/>
      <c r="P772" s="15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3.5" customHeight="1" x14ac:dyDescent="0.25">
      <c r="A773" s="7"/>
      <c r="B773" s="3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3"/>
      <c r="O773" s="14"/>
      <c r="P773" s="15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3.5" customHeight="1" x14ac:dyDescent="0.25">
      <c r="A774" s="7"/>
      <c r="B774" s="3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3"/>
      <c r="O774" s="14"/>
      <c r="P774" s="15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3.5" customHeight="1" x14ac:dyDescent="0.25">
      <c r="A775" s="7"/>
      <c r="B775" s="3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3"/>
      <c r="O775" s="14"/>
      <c r="P775" s="15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3.5" customHeight="1" x14ac:dyDescent="0.25">
      <c r="A776" s="7"/>
      <c r="B776" s="3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3"/>
      <c r="O776" s="14"/>
      <c r="P776" s="15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3.5" customHeight="1" x14ac:dyDescent="0.25">
      <c r="A777" s="7"/>
      <c r="B777" s="3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3"/>
      <c r="O777" s="14"/>
      <c r="P777" s="15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3.5" customHeight="1" x14ac:dyDescent="0.25">
      <c r="A778" s="7"/>
      <c r="B778" s="3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3"/>
      <c r="O778" s="14"/>
      <c r="P778" s="15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3.5" customHeight="1" x14ac:dyDescent="0.25">
      <c r="A779" s="7"/>
      <c r="B779" s="3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3"/>
      <c r="O779" s="14"/>
      <c r="P779" s="15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3.5" customHeight="1" x14ac:dyDescent="0.25">
      <c r="A780" s="7"/>
      <c r="B780" s="3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3"/>
      <c r="O780" s="14"/>
      <c r="P780" s="15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3.5" customHeight="1" x14ac:dyDescent="0.25">
      <c r="A781" s="7"/>
      <c r="B781" s="3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3"/>
      <c r="O781" s="14"/>
      <c r="P781" s="15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3.5" customHeight="1" x14ac:dyDescent="0.25">
      <c r="A782" s="7"/>
      <c r="B782" s="3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3"/>
      <c r="O782" s="14"/>
      <c r="P782" s="15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3.5" customHeight="1" x14ac:dyDescent="0.25">
      <c r="A783" s="7"/>
      <c r="B783" s="3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3"/>
      <c r="O783" s="14"/>
      <c r="P783" s="15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3.5" customHeight="1" x14ac:dyDescent="0.25">
      <c r="A784" s="7"/>
      <c r="B784" s="3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3"/>
      <c r="O784" s="14"/>
      <c r="P784" s="15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3.5" customHeight="1" x14ac:dyDescent="0.25">
      <c r="A785" s="7"/>
      <c r="B785" s="3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3"/>
      <c r="O785" s="14"/>
      <c r="P785" s="15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3.5" customHeight="1" x14ac:dyDescent="0.25">
      <c r="A786" s="7"/>
      <c r="B786" s="3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3"/>
      <c r="O786" s="14"/>
      <c r="P786" s="15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3.5" customHeight="1" x14ac:dyDescent="0.25">
      <c r="A787" s="7"/>
      <c r="B787" s="3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3"/>
      <c r="O787" s="14"/>
      <c r="P787" s="15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3.5" customHeight="1" x14ac:dyDescent="0.25">
      <c r="A788" s="7"/>
      <c r="B788" s="3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3"/>
      <c r="O788" s="14"/>
      <c r="P788" s="15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3.5" customHeight="1" x14ac:dyDescent="0.25">
      <c r="A789" s="7"/>
      <c r="B789" s="3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3"/>
      <c r="O789" s="14"/>
      <c r="P789" s="15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3.5" customHeight="1" x14ac:dyDescent="0.25">
      <c r="A790" s="7"/>
      <c r="B790" s="3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3"/>
      <c r="O790" s="14"/>
      <c r="P790" s="15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3.5" customHeight="1" x14ac:dyDescent="0.25">
      <c r="A791" s="7"/>
      <c r="B791" s="3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3"/>
      <c r="O791" s="14"/>
      <c r="P791" s="15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3.5" customHeight="1" x14ac:dyDescent="0.25">
      <c r="A792" s="7"/>
      <c r="B792" s="3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3"/>
      <c r="O792" s="14"/>
      <c r="P792" s="15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3.5" customHeight="1" x14ac:dyDescent="0.25">
      <c r="A793" s="7"/>
      <c r="B793" s="3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3"/>
      <c r="O793" s="14"/>
      <c r="P793" s="15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3.5" customHeight="1" x14ac:dyDescent="0.25">
      <c r="A794" s="7"/>
      <c r="B794" s="3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3"/>
      <c r="O794" s="14"/>
      <c r="P794" s="15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3.5" customHeight="1" x14ac:dyDescent="0.25">
      <c r="A795" s="7"/>
      <c r="B795" s="3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3"/>
      <c r="O795" s="14"/>
      <c r="P795" s="15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3.5" customHeight="1" x14ac:dyDescent="0.25">
      <c r="A796" s="7"/>
      <c r="B796" s="3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3"/>
      <c r="O796" s="14"/>
      <c r="P796" s="15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3.5" customHeight="1" x14ac:dyDescent="0.25">
      <c r="A797" s="7"/>
      <c r="B797" s="3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3"/>
      <c r="O797" s="14"/>
      <c r="P797" s="15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3.5" customHeight="1" x14ac:dyDescent="0.25">
      <c r="A798" s="7"/>
      <c r="B798" s="3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3"/>
      <c r="O798" s="14"/>
      <c r="P798" s="15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3.5" customHeight="1" x14ac:dyDescent="0.25">
      <c r="A799" s="7"/>
      <c r="B799" s="3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3"/>
      <c r="O799" s="14"/>
      <c r="P799" s="15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3.5" customHeight="1" x14ac:dyDescent="0.25">
      <c r="A800" s="7"/>
      <c r="B800" s="3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3"/>
      <c r="O800" s="14"/>
      <c r="P800" s="15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3.5" customHeight="1" x14ac:dyDescent="0.25">
      <c r="A801" s="7"/>
      <c r="B801" s="3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3"/>
      <c r="O801" s="14"/>
      <c r="P801" s="15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3.5" customHeight="1" x14ac:dyDescent="0.25">
      <c r="A802" s="7"/>
      <c r="B802" s="3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3"/>
      <c r="O802" s="14"/>
      <c r="P802" s="15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3.5" customHeight="1" x14ac:dyDescent="0.25">
      <c r="A803" s="7"/>
      <c r="B803" s="3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3"/>
      <c r="O803" s="14"/>
      <c r="P803" s="15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3.5" customHeight="1" x14ac:dyDescent="0.25">
      <c r="A804" s="7"/>
      <c r="B804" s="3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3"/>
      <c r="O804" s="14"/>
      <c r="P804" s="15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3.5" customHeight="1" x14ac:dyDescent="0.25">
      <c r="A805" s="7"/>
      <c r="B805" s="3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3"/>
      <c r="O805" s="14"/>
      <c r="P805" s="15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3.5" customHeight="1" x14ac:dyDescent="0.25">
      <c r="A806" s="7"/>
      <c r="B806" s="3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3"/>
      <c r="O806" s="14"/>
      <c r="P806" s="15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3.5" customHeight="1" x14ac:dyDescent="0.25">
      <c r="A807" s="7"/>
      <c r="B807" s="3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3"/>
      <c r="O807" s="14"/>
      <c r="P807" s="15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3.5" customHeight="1" x14ac:dyDescent="0.25">
      <c r="A808" s="7"/>
      <c r="B808" s="3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3"/>
      <c r="O808" s="14"/>
      <c r="P808" s="15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3.5" customHeight="1" x14ac:dyDescent="0.25">
      <c r="A809" s="7"/>
      <c r="B809" s="3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3"/>
      <c r="O809" s="14"/>
      <c r="P809" s="15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3.5" customHeight="1" x14ac:dyDescent="0.25">
      <c r="A810" s="7"/>
      <c r="B810" s="3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3"/>
      <c r="O810" s="14"/>
      <c r="P810" s="15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3.5" customHeight="1" x14ac:dyDescent="0.25">
      <c r="A811" s="7"/>
      <c r="B811" s="3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3"/>
      <c r="O811" s="14"/>
      <c r="P811" s="15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3.5" customHeight="1" x14ac:dyDescent="0.25">
      <c r="A812" s="7"/>
      <c r="B812" s="3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3"/>
      <c r="O812" s="14"/>
      <c r="P812" s="15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3.5" customHeight="1" x14ac:dyDescent="0.25">
      <c r="A813" s="7"/>
      <c r="B813" s="3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3"/>
      <c r="O813" s="14"/>
      <c r="P813" s="15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3.5" customHeight="1" x14ac:dyDescent="0.25">
      <c r="A814" s="7"/>
      <c r="B814" s="3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3"/>
      <c r="O814" s="14"/>
      <c r="P814" s="15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3.5" customHeight="1" x14ac:dyDescent="0.25">
      <c r="A815" s="7"/>
      <c r="B815" s="3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3"/>
      <c r="O815" s="14"/>
      <c r="P815" s="15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3.5" customHeight="1" x14ac:dyDescent="0.25">
      <c r="A816" s="7"/>
      <c r="B816" s="3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3"/>
      <c r="O816" s="14"/>
      <c r="P816" s="15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3.5" customHeight="1" x14ac:dyDescent="0.25">
      <c r="A817" s="7"/>
      <c r="B817" s="3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3"/>
      <c r="O817" s="14"/>
      <c r="P817" s="15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3.5" customHeight="1" x14ac:dyDescent="0.25">
      <c r="A818" s="7"/>
      <c r="B818" s="3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3"/>
      <c r="O818" s="14"/>
      <c r="P818" s="15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3.5" customHeight="1" x14ac:dyDescent="0.25">
      <c r="A819" s="7"/>
      <c r="B819" s="3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3"/>
      <c r="O819" s="14"/>
      <c r="P819" s="15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3.5" customHeight="1" x14ac:dyDescent="0.25">
      <c r="A820" s="7"/>
      <c r="B820" s="3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3"/>
      <c r="O820" s="14"/>
      <c r="P820" s="15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3.5" customHeight="1" x14ac:dyDescent="0.25">
      <c r="A821" s="7"/>
      <c r="B821" s="3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3"/>
      <c r="O821" s="14"/>
      <c r="P821" s="15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3.5" customHeight="1" x14ac:dyDescent="0.25">
      <c r="A822" s="7"/>
      <c r="B822" s="3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3"/>
      <c r="O822" s="14"/>
      <c r="P822" s="15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3.5" customHeight="1" x14ac:dyDescent="0.25">
      <c r="A823" s="7"/>
      <c r="B823" s="3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3"/>
      <c r="O823" s="14"/>
      <c r="P823" s="15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3.5" customHeight="1" x14ac:dyDescent="0.25">
      <c r="A824" s="7"/>
      <c r="B824" s="3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3"/>
      <c r="O824" s="14"/>
      <c r="P824" s="15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3.5" customHeight="1" x14ac:dyDescent="0.25">
      <c r="A825" s="7"/>
      <c r="B825" s="3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3"/>
      <c r="O825" s="14"/>
      <c r="P825" s="15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3.5" customHeight="1" x14ac:dyDescent="0.25">
      <c r="A826" s="7"/>
      <c r="B826" s="3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3"/>
      <c r="O826" s="14"/>
      <c r="P826" s="15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3.5" customHeight="1" x14ac:dyDescent="0.25">
      <c r="A827" s="7"/>
      <c r="B827" s="3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3"/>
      <c r="O827" s="14"/>
      <c r="P827" s="15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3.5" customHeight="1" x14ac:dyDescent="0.25">
      <c r="A828" s="7"/>
      <c r="B828" s="3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3"/>
      <c r="O828" s="14"/>
      <c r="P828" s="15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3.5" customHeight="1" x14ac:dyDescent="0.25">
      <c r="A829" s="7"/>
      <c r="B829" s="3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3"/>
      <c r="O829" s="14"/>
      <c r="P829" s="15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3.5" customHeight="1" x14ac:dyDescent="0.25">
      <c r="A830" s="7"/>
      <c r="B830" s="3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3"/>
      <c r="O830" s="14"/>
      <c r="P830" s="15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3.5" customHeight="1" x14ac:dyDescent="0.25">
      <c r="A831" s="7"/>
      <c r="B831" s="3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3"/>
      <c r="O831" s="14"/>
      <c r="P831" s="15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3.5" customHeight="1" x14ac:dyDescent="0.25">
      <c r="A832" s="7"/>
      <c r="B832" s="3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3"/>
      <c r="O832" s="14"/>
      <c r="P832" s="15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3.5" customHeight="1" x14ac:dyDescent="0.25">
      <c r="A833" s="7"/>
      <c r="B833" s="3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3"/>
      <c r="O833" s="14"/>
      <c r="P833" s="15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3.5" customHeight="1" x14ac:dyDescent="0.25">
      <c r="A834" s="7"/>
      <c r="B834" s="3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3"/>
      <c r="O834" s="14"/>
      <c r="P834" s="15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3.5" customHeight="1" x14ac:dyDescent="0.25">
      <c r="A835" s="7"/>
      <c r="B835" s="3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3"/>
      <c r="O835" s="14"/>
      <c r="P835" s="15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3.5" customHeight="1" x14ac:dyDescent="0.25">
      <c r="A836" s="7"/>
      <c r="B836" s="3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3"/>
      <c r="O836" s="14"/>
      <c r="P836" s="15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3.5" customHeight="1" x14ac:dyDescent="0.25">
      <c r="A837" s="7"/>
      <c r="B837" s="3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3"/>
      <c r="O837" s="14"/>
      <c r="P837" s="15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3.5" customHeight="1" x14ac:dyDescent="0.25">
      <c r="A838" s="7"/>
      <c r="B838" s="3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3"/>
      <c r="O838" s="14"/>
      <c r="P838" s="15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3.5" customHeight="1" x14ac:dyDescent="0.25">
      <c r="A839" s="7"/>
      <c r="B839" s="3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3"/>
      <c r="O839" s="14"/>
      <c r="P839" s="15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3.5" customHeight="1" x14ac:dyDescent="0.25">
      <c r="A840" s="7"/>
      <c r="B840" s="3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3"/>
      <c r="O840" s="14"/>
      <c r="P840" s="15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3.5" customHeight="1" x14ac:dyDescent="0.25">
      <c r="A841" s="7"/>
      <c r="B841" s="3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3"/>
      <c r="O841" s="14"/>
      <c r="P841" s="15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3.5" customHeight="1" x14ac:dyDescent="0.25">
      <c r="A842" s="7"/>
      <c r="B842" s="3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3"/>
      <c r="O842" s="14"/>
      <c r="P842" s="15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3.5" customHeight="1" x14ac:dyDescent="0.25">
      <c r="A843" s="7"/>
      <c r="B843" s="3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3"/>
      <c r="O843" s="14"/>
      <c r="P843" s="15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3.5" customHeight="1" x14ac:dyDescent="0.25">
      <c r="A844" s="7"/>
      <c r="B844" s="3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3"/>
      <c r="O844" s="14"/>
      <c r="P844" s="15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3.5" customHeight="1" x14ac:dyDescent="0.25">
      <c r="A845" s="7"/>
      <c r="B845" s="3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3"/>
      <c r="O845" s="14"/>
      <c r="P845" s="15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3.5" customHeight="1" x14ac:dyDescent="0.25">
      <c r="A846" s="7"/>
      <c r="B846" s="3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3"/>
      <c r="O846" s="14"/>
      <c r="P846" s="15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3.5" customHeight="1" x14ac:dyDescent="0.25">
      <c r="A847" s="7"/>
      <c r="B847" s="3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3"/>
      <c r="O847" s="14"/>
      <c r="P847" s="15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3.5" customHeight="1" x14ac:dyDescent="0.25">
      <c r="A848" s="7"/>
      <c r="B848" s="3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3"/>
      <c r="O848" s="14"/>
      <c r="P848" s="15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3.5" customHeight="1" x14ac:dyDescent="0.25">
      <c r="A849" s="7"/>
      <c r="B849" s="3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3"/>
      <c r="O849" s="14"/>
      <c r="P849" s="15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3.5" customHeight="1" x14ac:dyDescent="0.25">
      <c r="A850" s="7"/>
      <c r="B850" s="3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3"/>
      <c r="O850" s="14"/>
      <c r="P850" s="15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3.5" customHeight="1" x14ac:dyDescent="0.25">
      <c r="A851" s="7"/>
      <c r="B851" s="3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3"/>
      <c r="O851" s="14"/>
      <c r="P851" s="15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3.5" customHeight="1" x14ac:dyDescent="0.25">
      <c r="A852" s="7"/>
      <c r="B852" s="3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3"/>
      <c r="O852" s="14"/>
      <c r="P852" s="15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3.5" customHeight="1" x14ac:dyDescent="0.25">
      <c r="A853" s="7"/>
      <c r="B853" s="3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3"/>
      <c r="O853" s="14"/>
      <c r="P853" s="15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3.5" customHeight="1" x14ac:dyDescent="0.25">
      <c r="A854" s="7"/>
      <c r="B854" s="3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3"/>
      <c r="O854" s="14"/>
      <c r="P854" s="15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3.5" customHeight="1" x14ac:dyDescent="0.25">
      <c r="A855" s="7"/>
      <c r="B855" s="3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3"/>
      <c r="O855" s="14"/>
      <c r="P855" s="15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3.5" customHeight="1" x14ac:dyDescent="0.25">
      <c r="A856" s="7"/>
      <c r="B856" s="3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3"/>
      <c r="O856" s="14"/>
      <c r="P856" s="15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3.5" customHeight="1" x14ac:dyDescent="0.25">
      <c r="A857" s="7"/>
      <c r="B857" s="3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3"/>
      <c r="O857" s="14"/>
      <c r="P857" s="15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3.5" customHeight="1" x14ac:dyDescent="0.25">
      <c r="A858" s="7"/>
      <c r="B858" s="3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3"/>
      <c r="O858" s="14"/>
      <c r="P858" s="15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3.5" customHeight="1" x14ac:dyDescent="0.25">
      <c r="A859" s="7"/>
      <c r="B859" s="3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3"/>
      <c r="O859" s="14"/>
      <c r="P859" s="15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3.5" customHeight="1" x14ac:dyDescent="0.25">
      <c r="A860" s="7"/>
      <c r="B860" s="3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3"/>
      <c r="O860" s="14"/>
      <c r="P860" s="15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3.5" customHeight="1" x14ac:dyDescent="0.25">
      <c r="A861" s="7"/>
      <c r="B861" s="3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3"/>
      <c r="O861" s="14"/>
      <c r="P861" s="15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3.5" customHeight="1" x14ac:dyDescent="0.25">
      <c r="A862" s="7"/>
      <c r="B862" s="3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3"/>
      <c r="O862" s="14"/>
      <c r="P862" s="15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3.5" customHeight="1" x14ac:dyDescent="0.25">
      <c r="A863" s="7"/>
      <c r="B863" s="3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3"/>
      <c r="O863" s="14"/>
      <c r="P863" s="15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3.5" customHeight="1" x14ac:dyDescent="0.25">
      <c r="A864" s="7"/>
      <c r="B864" s="3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3"/>
      <c r="O864" s="14"/>
      <c r="P864" s="15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3.5" customHeight="1" x14ac:dyDescent="0.25">
      <c r="A865" s="7"/>
      <c r="B865" s="3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3"/>
      <c r="O865" s="14"/>
      <c r="P865" s="15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3.5" customHeight="1" x14ac:dyDescent="0.25">
      <c r="A866" s="7"/>
      <c r="B866" s="3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3"/>
      <c r="O866" s="14"/>
      <c r="P866" s="15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3.5" customHeight="1" x14ac:dyDescent="0.25">
      <c r="A867" s="7"/>
      <c r="B867" s="3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3"/>
      <c r="O867" s="14"/>
      <c r="P867" s="15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3.5" customHeight="1" x14ac:dyDescent="0.25">
      <c r="A868" s="7"/>
      <c r="B868" s="3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3"/>
      <c r="O868" s="14"/>
      <c r="P868" s="15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3.5" customHeight="1" x14ac:dyDescent="0.25">
      <c r="A869" s="7"/>
      <c r="B869" s="3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3"/>
      <c r="O869" s="14"/>
      <c r="P869" s="15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3.5" customHeight="1" x14ac:dyDescent="0.25">
      <c r="A870" s="7"/>
      <c r="B870" s="3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3"/>
      <c r="O870" s="14"/>
      <c r="P870" s="15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3.5" customHeight="1" x14ac:dyDescent="0.25">
      <c r="A871" s="7"/>
      <c r="B871" s="3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3"/>
      <c r="O871" s="14"/>
      <c r="P871" s="15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3.5" customHeight="1" x14ac:dyDescent="0.25">
      <c r="A872" s="7"/>
      <c r="B872" s="3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3"/>
      <c r="O872" s="14"/>
      <c r="P872" s="15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3.5" customHeight="1" x14ac:dyDescent="0.25">
      <c r="A873" s="7"/>
      <c r="B873" s="3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3"/>
      <c r="O873" s="14"/>
      <c r="P873" s="15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3.5" customHeight="1" x14ac:dyDescent="0.25">
      <c r="A874" s="7"/>
      <c r="B874" s="3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3"/>
      <c r="O874" s="14"/>
      <c r="P874" s="15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3.5" customHeight="1" x14ac:dyDescent="0.25">
      <c r="A875" s="7"/>
      <c r="B875" s="3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3"/>
      <c r="O875" s="14"/>
      <c r="P875" s="15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3.5" customHeight="1" x14ac:dyDescent="0.25">
      <c r="A876" s="7"/>
      <c r="B876" s="3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3"/>
      <c r="O876" s="14"/>
      <c r="P876" s="15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3.5" customHeight="1" x14ac:dyDescent="0.25">
      <c r="A877" s="7"/>
      <c r="B877" s="3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3"/>
      <c r="O877" s="14"/>
      <c r="P877" s="15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3.5" customHeight="1" x14ac:dyDescent="0.25">
      <c r="A878" s="7"/>
      <c r="B878" s="3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3"/>
      <c r="O878" s="14"/>
      <c r="P878" s="15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3.5" customHeight="1" x14ac:dyDescent="0.25">
      <c r="A879" s="7"/>
      <c r="B879" s="3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3"/>
      <c r="O879" s="14"/>
      <c r="P879" s="15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3.5" customHeight="1" x14ac:dyDescent="0.25">
      <c r="A880" s="7"/>
      <c r="B880" s="3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3"/>
      <c r="O880" s="14"/>
      <c r="P880" s="15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3.5" customHeight="1" x14ac:dyDescent="0.25">
      <c r="A881" s="7"/>
      <c r="B881" s="3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3"/>
      <c r="O881" s="14"/>
      <c r="P881" s="15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3.5" customHeight="1" x14ac:dyDescent="0.25">
      <c r="A882" s="7"/>
      <c r="B882" s="3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3"/>
      <c r="O882" s="14"/>
      <c r="P882" s="15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3.5" customHeight="1" x14ac:dyDescent="0.25">
      <c r="A883" s="7"/>
      <c r="B883" s="3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3"/>
      <c r="O883" s="14"/>
      <c r="P883" s="15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3.5" customHeight="1" x14ac:dyDescent="0.25">
      <c r="A884" s="7"/>
      <c r="B884" s="3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3"/>
      <c r="O884" s="14"/>
      <c r="P884" s="15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3.5" customHeight="1" x14ac:dyDescent="0.25">
      <c r="A885" s="7"/>
      <c r="B885" s="3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3"/>
      <c r="O885" s="14"/>
      <c r="P885" s="15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3.5" customHeight="1" x14ac:dyDescent="0.25">
      <c r="A886" s="7"/>
      <c r="B886" s="3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3"/>
      <c r="O886" s="14"/>
      <c r="P886" s="15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3.5" customHeight="1" x14ac:dyDescent="0.25">
      <c r="A887" s="7"/>
      <c r="B887" s="3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3"/>
      <c r="O887" s="14"/>
      <c r="P887" s="15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3.5" customHeight="1" x14ac:dyDescent="0.25">
      <c r="A888" s="7"/>
      <c r="B888" s="3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3"/>
      <c r="O888" s="14"/>
      <c r="P888" s="15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3.5" customHeight="1" x14ac:dyDescent="0.25">
      <c r="A889" s="7"/>
      <c r="B889" s="3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3"/>
      <c r="O889" s="14"/>
      <c r="P889" s="15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3.5" customHeight="1" x14ac:dyDescent="0.25">
      <c r="A890" s="7"/>
      <c r="B890" s="3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3"/>
      <c r="O890" s="14"/>
      <c r="P890" s="15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3.5" customHeight="1" x14ac:dyDescent="0.25">
      <c r="A891" s="7"/>
      <c r="B891" s="3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3"/>
      <c r="O891" s="14"/>
      <c r="P891" s="15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3.5" customHeight="1" x14ac:dyDescent="0.25">
      <c r="A892" s="7"/>
      <c r="B892" s="3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3"/>
      <c r="O892" s="14"/>
      <c r="P892" s="15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3.5" customHeight="1" x14ac:dyDescent="0.25">
      <c r="A893" s="7"/>
      <c r="B893" s="3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3"/>
      <c r="O893" s="14"/>
      <c r="P893" s="15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3.5" customHeight="1" x14ac:dyDescent="0.25">
      <c r="A894" s="7"/>
      <c r="B894" s="3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3"/>
      <c r="O894" s="14"/>
      <c r="P894" s="15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3.5" customHeight="1" x14ac:dyDescent="0.25">
      <c r="A895" s="7"/>
      <c r="B895" s="3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3"/>
      <c r="O895" s="14"/>
      <c r="P895" s="15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3.5" customHeight="1" x14ac:dyDescent="0.25">
      <c r="A896" s="7"/>
      <c r="B896" s="3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3"/>
      <c r="O896" s="14"/>
      <c r="P896" s="15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3.5" customHeight="1" x14ac:dyDescent="0.25">
      <c r="A897" s="7"/>
      <c r="B897" s="3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3"/>
      <c r="O897" s="14"/>
      <c r="P897" s="15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3.5" customHeight="1" x14ac:dyDescent="0.25">
      <c r="A898" s="7"/>
      <c r="B898" s="3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3"/>
      <c r="O898" s="14"/>
      <c r="P898" s="15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3.5" customHeight="1" x14ac:dyDescent="0.25">
      <c r="A899" s="7"/>
      <c r="B899" s="3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3"/>
      <c r="O899" s="14"/>
      <c r="P899" s="15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3.5" customHeight="1" x14ac:dyDescent="0.25">
      <c r="A900" s="7"/>
      <c r="B900" s="3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3"/>
      <c r="O900" s="14"/>
      <c r="P900" s="15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3.5" customHeight="1" x14ac:dyDescent="0.25">
      <c r="A901" s="7"/>
      <c r="B901" s="3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3"/>
      <c r="O901" s="14"/>
      <c r="P901" s="15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3.5" customHeight="1" x14ac:dyDescent="0.25">
      <c r="A902" s="7"/>
      <c r="B902" s="3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3"/>
      <c r="O902" s="14"/>
      <c r="P902" s="15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3.5" customHeight="1" x14ac:dyDescent="0.25">
      <c r="A903" s="7"/>
      <c r="B903" s="3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3"/>
      <c r="O903" s="14"/>
      <c r="P903" s="15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3.5" customHeight="1" x14ac:dyDescent="0.25">
      <c r="A904" s="7"/>
      <c r="B904" s="3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3"/>
      <c r="O904" s="14"/>
      <c r="P904" s="15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3.5" customHeight="1" x14ac:dyDescent="0.25">
      <c r="A905" s="7"/>
      <c r="B905" s="3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3"/>
      <c r="O905" s="14"/>
      <c r="P905" s="15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3.5" customHeight="1" x14ac:dyDescent="0.25">
      <c r="A906" s="7"/>
      <c r="B906" s="3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3"/>
      <c r="O906" s="14"/>
      <c r="P906" s="15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3.5" customHeight="1" x14ac:dyDescent="0.25">
      <c r="A907" s="7"/>
      <c r="B907" s="3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3"/>
      <c r="O907" s="14"/>
      <c r="P907" s="15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3.5" customHeight="1" x14ac:dyDescent="0.25">
      <c r="A908" s="7"/>
      <c r="B908" s="3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3"/>
      <c r="O908" s="14"/>
      <c r="P908" s="15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3.5" customHeight="1" x14ac:dyDescent="0.25">
      <c r="A909" s="7"/>
      <c r="B909" s="3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3"/>
      <c r="O909" s="14"/>
      <c r="P909" s="15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3.5" customHeight="1" x14ac:dyDescent="0.25">
      <c r="A910" s="7"/>
      <c r="B910" s="3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3"/>
      <c r="O910" s="14"/>
      <c r="P910" s="15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3.5" customHeight="1" x14ac:dyDescent="0.25">
      <c r="A911" s="7"/>
      <c r="B911" s="3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3"/>
      <c r="O911" s="14"/>
      <c r="P911" s="15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3.5" customHeight="1" x14ac:dyDescent="0.25">
      <c r="A912" s="7"/>
      <c r="B912" s="3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3"/>
      <c r="O912" s="14"/>
      <c r="P912" s="15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3.5" customHeight="1" x14ac:dyDescent="0.25">
      <c r="A913" s="7"/>
      <c r="B913" s="3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3"/>
      <c r="O913" s="14"/>
      <c r="P913" s="15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3.5" customHeight="1" x14ac:dyDescent="0.25">
      <c r="A914" s="7"/>
      <c r="B914" s="3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3"/>
      <c r="O914" s="14"/>
      <c r="P914" s="15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3.5" customHeight="1" x14ac:dyDescent="0.25">
      <c r="A915" s="7"/>
      <c r="B915" s="3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3"/>
      <c r="O915" s="14"/>
      <c r="P915" s="15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3.5" customHeight="1" x14ac:dyDescent="0.25">
      <c r="A916" s="7"/>
      <c r="B916" s="3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3"/>
      <c r="O916" s="14"/>
      <c r="P916" s="15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3.5" customHeight="1" x14ac:dyDescent="0.25">
      <c r="A917" s="7"/>
      <c r="B917" s="3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3"/>
      <c r="O917" s="14"/>
      <c r="P917" s="15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3.5" customHeight="1" x14ac:dyDescent="0.25">
      <c r="A918" s="7"/>
      <c r="B918" s="3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3"/>
      <c r="O918" s="14"/>
      <c r="P918" s="15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3.5" customHeight="1" x14ac:dyDescent="0.25">
      <c r="A919" s="7"/>
      <c r="B919" s="3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3"/>
      <c r="O919" s="14"/>
      <c r="P919" s="15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3.5" customHeight="1" x14ac:dyDescent="0.25">
      <c r="A920" s="7"/>
      <c r="B920" s="3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3"/>
      <c r="O920" s="14"/>
      <c r="P920" s="15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3.5" customHeight="1" x14ac:dyDescent="0.25">
      <c r="A921" s="7"/>
      <c r="B921" s="3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3"/>
      <c r="O921" s="14"/>
      <c r="P921" s="15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3.5" customHeight="1" x14ac:dyDescent="0.25">
      <c r="A922" s="7"/>
      <c r="B922" s="3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3"/>
      <c r="O922" s="14"/>
      <c r="P922" s="15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3.5" customHeight="1" x14ac:dyDescent="0.25">
      <c r="A923" s="7"/>
      <c r="B923" s="3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3"/>
      <c r="O923" s="14"/>
      <c r="P923" s="15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3.5" customHeight="1" x14ac:dyDescent="0.25">
      <c r="A924" s="7"/>
      <c r="B924" s="3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3"/>
      <c r="O924" s="14"/>
      <c r="P924" s="15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3.5" customHeight="1" x14ac:dyDescent="0.25">
      <c r="A925" s="7"/>
      <c r="B925" s="3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3"/>
      <c r="O925" s="14"/>
      <c r="P925" s="15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3.5" customHeight="1" x14ac:dyDescent="0.25">
      <c r="A926" s="7"/>
      <c r="B926" s="3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3"/>
      <c r="O926" s="14"/>
      <c r="P926" s="15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3.5" customHeight="1" x14ac:dyDescent="0.25">
      <c r="A927" s="7"/>
      <c r="B927" s="3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3"/>
      <c r="O927" s="14"/>
      <c r="P927" s="15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3.5" customHeight="1" x14ac:dyDescent="0.25">
      <c r="A928" s="7"/>
      <c r="B928" s="3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3"/>
      <c r="O928" s="14"/>
      <c r="P928" s="15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3.5" customHeight="1" x14ac:dyDescent="0.25">
      <c r="A929" s="7"/>
      <c r="B929" s="3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3"/>
      <c r="O929" s="14"/>
      <c r="P929" s="15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3.5" customHeight="1" x14ac:dyDescent="0.25">
      <c r="A930" s="7"/>
      <c r="B930" s="3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3"/>
      <c r="O930" s="14"/>
      <c r="P930" s="15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3.5" customHeight="1" x14ac:dyDescent="0.25">
      <c r="A931" s="7"/>
      <c r="B931" s="3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3"/>
      <c r="O931" s="14"/>
      <c r="P931" s="15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3.5" customHeight="1" x14ac:dyDescent="0.25">
      <c r="A932" s="7"/>
      <c r="B932" s="3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3"/>
      <c r="O932" s="14"/>
      <c r="P932" s="15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3.5" customHeight="1" x14ac:dyDescent="0.25">
      <c r="A933" s="7"/>
      <c r="B933" s="3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3"/>
      <c r="O933" s="14"/>
      <c r="P933" s="15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3.5" customHeight="1" x14ac:dyDescent="0.25">
      <c r="A934" s="7"/>
      <c r="B934" s="3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3"/>
      <c r="O934" s="14"/>
      <c r="P934" s="15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3.5" customHeight="1" x14ac:dyDescent="0.25">
      <c r="A935" s="7"/>
      <c r="B935" s="3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3"/>
      <c r="O935" s="14"/>
      <c r="P935" s="15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3.5" customHeight="1" x14ac:dyDescent="0.25">
      <c r="A936" s="7"/>
      <c r="B936" s="3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3"/>
      <c r="O936" s="14"/>
      <c r="P936" s="15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3.5" customHeight="1" x14ac:dyDescent="0.25">
      <c r="A937" s="7"/>
      <c r="B937" s="3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3"/>
      <c r="O937" s="14"/>
      <c r="P937" s="15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3.5" customHeight="1" x14ac:dyDescent="0.25">
      <c r="A938" s="7"/>
      <c r="B938" s="3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3"/>
      <c r="O938" s="14"/>
      <c r="P938" s="15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3.5" customHeight="1" x14ac:dyDescent="0.25">
      <c r="A939" s="7"/>
      <c r="B939" s="3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3"/>
      <c r="O939" s="14"/>
      <c r="P939" s="15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3.5" customHeight="1" x14ac:dyDescent="0.25">
      <c r="A940" s="7"/>
      <c r="B940" s="3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3"/>
      <c r="O940" s="14"/>
      <c r="P940" s="15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3.5" customHeight="1" x14ac:dyDescent="0.25">
      <c r="A941" s="7"/>
      <c r="B941" s="3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3"/>
      <c r="O941" s="14"/>
      <c r="P941" s="15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3.5" customHeight="1" x14ac:dyDescent="0.25">
      <c r="A942" s="7"/>
      <c r="B942" s="3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3"/>
      <c r="O942" s="14"/>
      <c r="P942" s="15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3.5" customHeight="1" x14ac:dyDescent="0.25">
      <c r="A943" s="7"/>
      <c r="B943" s="3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3"/>
      <c r="O943" s="14"/>
      <c r="P943" s="15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3.5" customHeight="1" x14ac:dyDescent="0.25">
      <c r="A944" s="7"/>
      <c r="B944" s="3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3"/>
      <c r="O944" s="14"/>
      <c r="P944" s="15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3.5" customHeight="1" x14ac:dyDescent="0.25">
      <c r="A945" s="7"/>
      <c r="B945" s="3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3"/>
      <c r="O945" s="14"/>
      <c r="P945" s="15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3.5" customHeight="1" x14ac:dyDescent="0.25">
      <c r="A946" s="7"/>
      <c r="B946" s="3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3"/>
      <c r="O946" s="14"/>
      <c r="P946" s="15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3.5" customHeight="1" x14ac:dyDescent="0.25">
      <c r="A947" s="7"/>
      <c r="B947" s="3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3"/>
      <c r="O947" s="14"/>
      <c r="P947" s="15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3.5" customHeight="1" x14ac:dyDescent="0.25">
      <c r="A948" s="7"/>
      <c r="B948" s="3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3"/>
      <c r="O948" s="14"/>
      <c r="P948" s="15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3.5" customHeight="1" x14ac:dyDescent="0.25">
      <c r="A949" s="7"/>
      <c r="B949" s="3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3"/>
      <c r="O949" s="14"/>
      <c r="P949" s="15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3.5" customHeight="1" x14ac:dyDescent="0.25">
      <c r="A950" s="7"/>
      <c r="B950" s="3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3"/>
      <c r="O950" s="14"/>
      <c r="P950" s="15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3.5" customHeight="1" x14ac:dyDescent="0.25">
      <c r="A951" s="7"/>
      <c r="B951" s="3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3"/>
      <c r="O951" s="14"/>
      <c r="P951" s="15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3.5" customHeight="1" x14ac:dyDescent="0.25">
      <c r="A952" s="7"/>
      <c r="B952" s="3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3"/>
      <c r="O952" s="14"/>
      <c r="P952" s="15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3.5" customHeight="1" x14ac:dyDescent="0.25">
      <c r="A953" s="7"/>
      <c r="B953" s="3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3"/>
      <c r="O953" s="14"/>
      <c r="P953" s="15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3.5" customHeight="1" x14ac:dyDescent="0.25">
      <c r="A954" s="7"/>
      <c r="B954" s="3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3"/>
      <c r="O954" s="14"/>
      <c r="P954" s="15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3.5" customHeight="1" x14ac:dyDescent="0.25">
      <c r="A955" s="7"/>
      <c r="B955" s="3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3"/>
      <c r="O955" s="14"/>
      <c r="P955" s="15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3.5" customHeight="1" x14ac:dyDescent="0.25">
      <c r="A956" s="7"/>
      <c r="B956" s="3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3"/>
      <c r="O956" s="14"/>
      <c r="P956" s="15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3.5" customHeight="1" x14ac:dyDescent="0.25">
      <c r="A957" s="7"/>
      <c r="B957" s="3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3"/>
      <c r="O957" s="14"/>
      <c r="P957" s="15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3.5" customHeight="1" x14ac:dyDescent="0.25">
      <c r="A958" s="7"/>
      <c r="B958" s="3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3"/>
      <c r="O958" s="14"/>
      <c r="P958" s="15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3.5" customHeight="1" x14ac:dyDescent="0.25">
      <c r="A959" s="7"/>
      <c r="B959" s="3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3"/>
      <c r="O959" s="14"/>
      <c r="P959" s="15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3.5" customHeight="1" x14ac:dyDescent="0.25">
      <c r="A960" s="7"/>
      <c r="B960" s="3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3"/>
      <c r="O960" s="14"/>
      <c r="P960" s="15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3.5" customHeight="1" x14ac:dyDescent="0.25">
      <c r="A961" s="7"/>
      <c r="B961" s="3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3"/>
      <c r="O961" s="14"/>
      <c r="P961" s="15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3.5" customHeight="1" x14ac:dyDescent="0.25">
      <c r="A962" s="7"/>
      <c r="B962" s="3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3"/>
      <c r="O962" s="14"/>
      <c r="P962" s="15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3.5" customHeight="1" x14ac:dyDescent="0.25">
      <c r="A963" s="7"/>
      <c r="B963" s="3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3"/>
      <c r="O963" s="14"/>
      <c r="P963" s="15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3.5" customHeight="1" x14ac:dyDescent="0.25">
      <c r="A964" s="7"/>
      <c r="B964" s="3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3"/>
      <c r="O964" s="14"/>
      <c r="P964" s="15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3.5" customHeight="1" x14ac:dyDescent="0.25">
      <c r="A965" s="7"/>
      <c r="B965" s="3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3"/>
      <c r="O965" s="14"/>
      <c r="P965" s="15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3.5" customHeight="1" x14ac:dyDescent="0.25">
      <c r="A966" s="7"/>
      <c r="B966" s="3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3"/>
      <c r="O966" s="14"/>
      <c r="P966" s="15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3.5" customHeight="1" x14ac:dyDescent="0.25">
      <c r="A967" s="7"/>
      <c r="B967" s="3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3"/>
      <c r="O967" s="14"/>
      <c r="P967" s="15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3.5" customHeight="1" x14ac:dyDescent="0.25">
      <c r="A968" s="7"/>
      <c r="B968" s="3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3"/>
      <c r="O968" s="14"/>
      <c r="P968" s="15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3.5" customHeight="1" x14ac:dyDescent="0.25">
      <c r="A969" s="7"/>
      <c r="B969" s="3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3"/>
      <c r="O969" s="14"/>
      <c r="P969" s="15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3.5" customHeight="1" x14ac:dyDescent="0.25">
      <c r="A970" s="7"/>
      <c r="B970" s="3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3"/>
      <c r="O970" s="14"/>
      <c r="P970" s="15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3.5" customHeight="1" x14ac:dyDescent="0.25">
      <c r="A971" s="7"/>
      <c r="B971" s="3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3"/>
      <c r="O971" s="14"/>
      <c r="P971" s="15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3.5" customHeight="1" x14ac:dyDescent="0.25">
      <c r="A972" s="7"/>
      <c r="B972" s="3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3"/>
      <c r="O972" s="14"/>
      <c r="P972" s="15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3.5" customHeight="1" x14ac:dyDescent="0.25">
      <c r="A973" s="7"/>
      <c r="B973" s="3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3"/>
      <c r="O973" s="14"/>
      <c r="P973" s="15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3.5" customHeight="1" x14ac:dyDescent="0.25">
      <c r="A974" s="7"/>
      <c r="B974" s="3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3"/>
      <c r="O974" s="14"/>
      <c r="P974" s="15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3.5" customHeight="1" x14ac:dyDescent="0.25">
      <c r="A975" s="7"/>
      <c r="B975" s="3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3"/>
      <c r="O975" s="14"/>
      <c r="P975" s="15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3.5" customHeight="1" x14ac:dyDescent="0.25">
      <c r="A976" s="7"/>
      <c r="B976" s="3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3"/>
      <c r="O976" s="14"/>
      <c r="P976" s="15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3.5" customHeight="1" x14ac:dyDescent="0.25">
      <c r="A977" s="7"/>
      <c r="B977" s="3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3"/>
      <c r="O977" s="14"/>
      <c r="P977" s="15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3.5" customHeight="1" x14ac:dyDescent="0.25">
      <c r="A978" s="7"/>
      <c r="B978" s="3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3"/>
      <c r="O978" s="14"/>
      <c r="P978" s="15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3.5" customHeight="1" x14ac:dyDescent="0.25">
      <c r="A979" s="7"/>
      <c r="B979" s="3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3"/>
      <c r="O979" s="14"/>
      <c r="P979" s="15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3.5" customHeight="1" x14ac:dyDescent="0.25">
      <c r="A980" s="7"/>
      <c r="B980" s="3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3"/>
      <c r="O980" s="14"/>
      <c r="P980" s="15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3.5" customHeight="1" x14ac:dyDescent="0.25">
      <c r="A981" s="7"/>
      <c r="B981" s="3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3"/>
      <c r="O981" s="14"/>
      <c r="P981" s="15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3.5" customHeight="1" x14ac:dyDescent="0.25">
      <c r="A982" s="7"/>
      <c r="B982" s="3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3"/>
      <c r="O982" s="14"/>
      <c r="P982" s="15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3.5" customHeight="1" x14ac:dyDescent="0.25">
      <c r="A983" s="7"/>
      <c r="B983" s="3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3"/>
      <c r="O983" s="14"/>
      <c r="P983" s="15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3.5" customHeight="1" x14ac:dyDescent="0.25">
      <c r="A984" s="7"/>
      <c r="B984" s="3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3"/>
      <c r="O984" s="14"/>
      <c r="P984" s="15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3.5" customHeight="1" x14ac:dyDescent="0.25">
      <c r="A985" s="7"/>
      <c r="B985" s="3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3"/>
      <c r="O985" s="14"/>
      <c r="P985" s="15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3.5" customHeight="1" x14ac:dyDescent="0.25">
      <c r="A986" s="7"/>
      <c r="B986" s="3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3"/>
      <c r="O986" s="14"/>
      <c r="P986" s="15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3.5" customHeight="1" x14ac:dyDescent="0.25">
      <c r="A987" s="7"/>
      <c r="B987" s="3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3"/>
      <c r="O987" s="14"/>
      <c r="P987" s="15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3.5" customHeight="1" x14ac:dyDescent="0.25">
      <c r="A988" s="7"/>
      <c r="B988" s="3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3"/>
      <c r="O988" s="14"/>
      <c r="P988" s="15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3.5" customHeight="1" x14ac:dyDescent="0.25">
      <c r="A989" s="7"/>
      <c r="B989" s="3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3"/>
      <c r="O989" s="14"/>
      <c r="P989" s="15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3.5" customHeight="1" x14ac:dyDescent="0.25">
      <c r="A990" s="7"/>
      <c r="B990" s="3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3"/>
      <c r="O990" s="14"/>
      <c r="P990" s="15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3.5" customHeight="1" x14ac:dyDescent="0.25">
      <c r="A991" s="7"/>
      <c r="B991" s="3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3"/>
      <c r="O991" s="14"/>
      <c r="P991" s="15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3.5" customHeight="1" x14ac:dyDescent="0.25">
      <c r="A992" s="7"/>
      <c r="B992" s="3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3"/>
      <c r="O992" s="14"/>
      <c r="P992" s="15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3.5" customHeight="1" x14ac:dyDescent="0.25">
      <c r="A993" s="7"/>
      <c r="B993" s="3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3"/>
      <c r="O993" s="14"/>
      <c r="P993" s="15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3.5" customHeight="1" x14ac:dyDescent="0.25">
      <c r="A994" s="7"/>
      <c r="B994" s="3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3"/>
      <c r="O994" s="14"/>
      <c r="P994" s="15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3.5" customHeight="1" x14ac:dyDescent="0.25">
      <c r="A995" s="7"/>
      <c r="B995" s="3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3"/>
      <c r="O995" s="14"/>
      <c r="P995" s="15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3.5" customHeight="1" x14ac:dyDescent="0.25">
      <c r="A996" s="7"/>
      <c r="B996" s="3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3"/>
      <c r="O996" s="14"/>
      <c r="P996" s="15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3.5" customHeight="1" x14ac:dyDescent="0.25">
      <c r="A997" s="7"/>
      <c r="B997" s="3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3"/>
      <c r="O997" s="14"/>
      <c r="P997" s="15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3.5" customHeight="1" x14ac:dyDescent="0.25">
      <c r="A998" s="7"/>
      <c r="B998" s="3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3"/>
      <c r="O998" s="14"/>
      <c r="P998" s="15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3.5" customHeight="1" x14ac:dyDescent="0.25">
      <c r="A999" s="7"/>
      <c r="B999" s="3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3"/>
      <c r="O999" s="14"/>
      <c r="P999" s="15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ht="13.5" customHeight="1" x14ac:dyDescent="0.25">
      <c r="A1000" s="7"/>
      <c r="B1000" s="3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3"/>
      <c r="O1000" s="14"/>
      <c r="P1000" s="15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</sheetData>
  <mergeCells count="9">
    <mergeCell ref="O2:O3"/>
    <mergeCell ref="P2:P3"/>
    <mergeCell ref="A1:O1"/>
    <mergeCell ref="A2:A3"/>
    <mergeCell ref="B2:B3"/>
    <mergeCell ref="C2:C3"/>
    <mergeCell ref="D2:D3"/>
    <mergeCell ref="E2:M2"/>
    <mergeCell ref="N2:N3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1017"/>
  <sheetViews>
    <sheetView zoomScale="70" zoomScaleNormal="70" workbookViewId="0">
      <pane xSplit="3" ySplit="3" topLeftCell="AA11" activePane="bottomRight" state="frozen"/>
      <selection pane="topRight" activeCell="D1" sqref="D1"/>
      <selection pane="bottomLeft" activeCell="A4" sqref="A4"/>
      <selection pane="bottomRight" activeCell="AB13" sqref="AB13"/>
    </sheetView>
  </sheetViews>
  <sheetFormatPr defaultColWidth="14.42578125" defaultRowHeight="15" customHeight="1" x14ac:dyDescent="0.25"/>
  <cols>
    <col min="1" max="1" width="8.7109375" customWidth="1"/>
    <col min="2" max="2" width="51.28515625" customWidth="1"/>
    <col min="3" max="3" width="16.7109375" customWidth="1"/>
    <col min="4" max="4" width="15.140625" customWidth="1"/>
    <col min="5" max="14" width="8.7109375" customWidth="1"/>
    <col min="15" max="19" width="9.140625" customWidth="1"/>
    <col min="20" max="20" width="12.7109375" customWidth="1"/>
    <col min="21" max="22" width="10.140625" customWidth="1"/>
    <col min="23" max="23" width="10.28515625" customWidth="1"/>
    <col min="24" max="25" width="10.140625" customWidth="1"/>
    <col min="26" max="27" width="10.85546875" customWidth="1"/>
    <col min="28" max="29" width="10.140625" customWidth="1"/>
    <col min="30" max="32" width="11.28515625" customWidth="1"/>
    <col min="33" max="33" width="10.140625" customWidth="1"/>
    <col min="34" max="34" width="12.85546875" customWidth="1"/>
    <col min="35" max="36" width="11" customWidth="1"/>
    <col min="37" max="38" width="10.140625" customWidth="1"/>
    <col min="39" max="39" width="12.7109375" customWidth="1"/>
    <col min="40" max="40" width="14.7109375" customWidth="1"/>
    <col min="41" max="41" width="11.7109375" customWidth="1"/>
    <col min="42" max="42" width="10.140625" customWidth="1"/>
    <col min="43" max="43" width="10.7109375" customWidth="1"/>
    <col min="44" max="45" width="10.140625" customWidth="1"/>
    <col min="46" max="46" width="10.5703125" customWidth="1"/>
    <col min="47" max="49" width="10.140625" customWidth="1"/>
    <col min="50" max="50" width="11" customWidth="1"/>
    <col min="51" max="52" width="10.140625" customWidth="1"/>
    <col min="53" max="53" width="8.7109375" customWidth="1"/>
  </cols>
  <sheetData>
    <row r="1" spans="1:53" ht="49.5" customHeight="1" thickBot="1" x14ac:dyDescent="0.3">
      <c r="A1" s="99" t="s">
        <v>56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</row>
    <row r="2" spans="1:53" ht="50.45" customHeight="1" thickTop="1" thickBot="1" x14ac:dyDescent="0.3">
      <c r="A2" s="150" t="s">
        <v>1</v>
      </c>
      <c r="B2" s="151" t="s">
        <v>2</v>
      </c>
      <c r="C2" s="101" t="s">
        <v>3</v>
      </c>
      <c r="D2" s="101" t="s">
        <v>57</v>
      </c>
      <c r="E2" s="103" t="s">
        <v>4</v>
      </c>
      <c r="F2" s="152" t="s">
        <v>5</v>
      </c>
      <c r="G2" s="104"/>
      <c r="H2" s="104"/>
      <c r="I2" s="104"/>
      <c r="J2" s="104"/>
      <c r="K2" s="104"/>
      <c r="L2" s="104"/>
      <c r="M2" s="104"/>
      <c r="N2" s="153"/>
      <c r="O2" s="152" t="s">
        <v>58</v>
      </c>
      <c r="P2" s="153"/>
      <c r="Q2" s="152" t="s">
        <v>59</v>
      </c>
      <c r="R2" s="104"/>
      <c r="S2" s="153"/>
      <c r="T2" s="101" t="s">
        <v>60</v>
      </c>
      <c r="U2" s="105" t="s">
        <v>61</v>
      </c>
      <c r="V2" s="106"/>
      <c r="W2" s="152" t="s">
        <v>62</v>
      </c>
      <c r="X2" s="104"/>
      <c r="Y2" s="153"/>
      <c r="Z2" s="152" t="s">
        <v>63</v>
      </c>
      <c r="AA2" s="104"/>
      <c r="AB2" s="104"/>
      <c r="AC2" s="153"/>
      <c r="AD2" s="152" t="s">
        <v>64</v>
      </c>
      <c r="AE2" s="104"/>
      <c r="AF2" s="104"/>
      <c r="AG2" s="153"/>
      <c r="AH2" s="152" t="s">
        <v>65</v>
      </c>
      <c r="AI2" s="104"/>
      <c r="AJ2" s="104"/>
      <c r="AK2" s="104"/>
      <c r="AL2" s="153"/>
      <c r="AM2" s="101" t="s">
        <v>66</v>
      </c>
      <c r="AN2" s="101" t="s">
        <v>67</v>
      </c>
      <c r="AO2" s="101" t="s">
        <v>169</v>
      </c>
      <c r="AP2" s="101" t="s">
        <v>68</v>
      </c>
      <c r="AQ2" s="152" t="s">
        <v>69</v>
      </c>
      <c r="AR2" s="104"/>
      <c r="AS2" s="153"/>
      <c r="AT2" s="152" t="s">
        <v>70</v>
      </c>
      <c r="AU2" s="104"/>
      <c r="AV2" s="153"/>
      <c r="AW2" s="101" t="s">
        <v>71</v>
      </c>
      <c r="AX2" s="152" t="s">
        <v>72</v>
      </c>
      <c r="AY2" s="104"/>
      <c r="AZ2" s="153"/>
      <c r="BA2" s="101" t="s">
        <v>73</v>
      </c>
    </row>
    <row r="3" spans="1:53" ht="67.5" customHeight="1" thickTop="1" thickBot="1" x14ac:dyDescent="0.3">
      <c r="A3" s="154"/>
      <c r="B3" s="133"/>
      <c r="C3" s="102"/>
      <c r="D3" s="102"/>
      <c r="E3" s="102"/>
      <c r="F3" s="16" t="s">
        <v>9</v>
      </c>
      <c r="G3" s="16" t="s">
        <v>10</v>
      </c>
      <c r="H3" s="16" t="s">
        <v>11</v>
      </c>
      <c r="I3" s="16" t="s">
        <v>12</v>
      </c>
      <c r="J3" s="16" t="s">
        <v>13</v>
      </c>
      <c r="K3" s="16" t="s">
        <v>14</v>
      </c>
      <c r="L3" s="16" t="s">
        <v>15</v>
      </c>
      <c r="M3" s="16" t="s">
        <v>16</v>
      </c>
      <c r="N3" s="16" t="s">
        <v>17</v>
      </c>
      <c r="O3" s="16" t="s">
        <v>74</v>
      </c>
      <c r="P3" s="16" t="s">
        <v>75</v>
      </c>
      <c r="Q3" s="16" t="s">
        <v>74</v>
      </c>
      <c r="R3" s="16" t="s">
        <v>76</v>
      </c>
      <c r="S3" s="16" t="s">
        <v>75</v>
      </c>
      <c r="T3" s="102"/>
      <c r="U3" s="16" t="s">
        <v>74</v>
      </c>
      <c r="V3" s="16" t="s">
        <v>76</v>
      </c>
      <c r="W3" s="16" t="s">
        <v>77</v>
      </c>
      <c r="X3" s="16" t="s">
        <v>78</v>
      </c>
      <c r="Y3" s="16" t="s">
        <v>75</v>
      </c>
      <c r="Z3" s="16" t="s">
        <v>74</v>
      </c>
      <c r="AA3" s="16" t="s">
        <v>79</v>
      </c>
      <c r="AB3" s="16" t="s">
        <v>80</v>
      </c>
      <c r="AC3" s="16" t="s">
        <v>75</v>
      </c>
      <c r="AD3" s="16" t="s">
        <v>74</v>
      </c>
      <c r="AE3" s="16" t="s">
        <v>79</v>
      </c>
      <c r="AF3" s="16" t="s">
        <v>80</v>
      </c>
      <c r="AG3" s="17" t="s">
        <v>75</v>
      </c>
      <c r="AH3" s="18" t="s">
        <v>74</v>
      </c>
      <c r="AI3" s="19" t="s">
        <v>81</v>
      </c>
      <c r="AJ3" s="20" t="s">
        <v>79</v>
      </c>
      <c r="AK3" s="21" t="s">
        <v>82</v>
      </c>
      <c r="AL3" s="22" t="s">
        <v>75</v>
      </c>
      <c r="AM3" s="102"/>
      <c r="AN3" s="102"/>
      <c r="AO3" s="110"/>
      <c r="AP3" s="102"/>
      <c r="AQ3" s="16" t="s">
        <v>77</v>
      </c>
      <c r="AR3" s="16" t="s">
        <v>83</v>
      </c>
      <c r="AS3" s="16" t="s">
        <v>75</v>
      </c>
      <c r="AT3" s="16" t="s">
        <v>77</v>
      </c>
      <c r="AU3" s="16" t="s">
        <v>84</v>
      </c>
      <c r="AV3" s="16" t="s">
        <v>75</v>
      </c>
      <c r="AW3" s="102"/>
      <c r="AX3" s="16" t="s">
        <v>77</v>
      </c>
      <c r="AY3" s="16" t="s">
        <v>85</v>
      </c>
      <c r="AZ3" s="16" t="s">
        <v>75</v>
      </c>
      <c r="BA3" s="102"/>
    </row>
    <row r="4" spans="1:53" ht="64.900000000000006" customHeight="1" thickTop="1" x14ac:dyDescent="0.25">
      <c r="A4" s="97">
        <v>1</v>
      </c>
      <c r="B4" s="97" t="s">
        <v>86</v>
      </c>
      <c r="C4" s="109">
        <v>45814</v>
      </c>
      <c r="D4" s="109" t="s">
        <v>87</v>
      </c>
      <c r="E4" s="23"/>
      <c r="F4" s="23" t="s">
        <v>19</v>
      </c>
      <c r="G4" s="23" t="s">
        <v>19</v>
      </c>
      <c r="H4" s="23" t="s">
        <v>19</v>
      </c>
      <c r="I4" s="23" t="s">
        <v>19</v>
      </c>
      <c r="J4" s="23" t="s">
        <v>19</v>
      </c>
      <c r="K4" s="23" t="s">
        <v>19</v>
      </c>
      <c r="L4" s="23"/>
      <c r="M4" s="23" t="s">
        <v>19</v>
      </c>
      <c r="N4" s="23"/>
      <c r="O4" s="23"/>
      <c r="P4" s="23"/>
      <c r="Q4" s="23"/>
      <c r="R4" s="23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55"/>
      <c r="AH4" s="24" t="s">
        <v>88</v>
      </c>
      <c r="AI4" s="24" t="s">
        <v>89</v>
      </c>
      <c r="AJ4" s="24" t="s">
        <v>90</v>
      </c>
      <c r="AK4" s="24">
        <v>1700</v>
      </c>
      <c r="AL4" s="156" t="s">
        <v>20</v>
      </c>
      <c r="AM4" s="26" t="s">
        <v>91</v>
      </c>
      <c r="AN4" s="55"/>
      <c r="AO4" s="63" t="s">
        <v>186</v>
      </c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157"/>
    </row>
    <row r="5" spans="1:53" ht="60.6" customHeight="1" x14ac:dyDescent="0.25">
      <c r="A5" s="107"/>
      <c r="B5" s="107"/>
      <c r="C5" s="107"/>
      <c r="D5" s="107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155"/>
      <c r="AH5" s="27" t="s">
        <v>92</v>
      </c>
      <c r="AI5" s="27" t="s">
        <v>89</v>
      </c>
      <c r="AJ5" s="27" t="s">
        <v>93</v>
      </c>
      <c r="AK5" s="27">
        <v>1400</v>
      </c>
      <c r="AL5" s="156" t="s">
        <v>20</v>
      </c>
      <c r="AM5" s="24" t="s">
        <v>187</v>
      </c>
      <c r="AN5" s="55"/>
      <c r="AO5" s="62" t="s">
        <v>176</v>
      </c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157"/>
    </row>
    <row r="6" spans="1:53" ht="50.25" customHeight="1" x14ac:dyDescent="0.25">
      <c r="A6" s="107"/>
      <c r="B6" s="107"/>
      <c r="C6" s="107"/>
      <c r="D6" s="107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155"/>
      <c r="AH6" s="27" t="s">
        <v>94</v>
      </c>
      <c r="AI6" s="27" t="s">
        <v>95</v>
      </c>
      <c r="AJ6" s="27" t="s">
        <v>96</v>
      </c>
      <c r="AK6" s="27">
        <v>700</v>
      </c>
      <c r="AL6" s="156" t="s">
        <v>20</v>
      </c>
      <c r="AM6" s="26" t="s">
        <v>91</v>
      </c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157"/>
    </row>
    <row r="7" spans="1:53" ht="50.25" customHeight="1" x14ac:dyDescent="0.25">
      <c r="A7" s="107"/>
      <c r="B7" s="107"/>
      <c r="C7" s="107"/>
      <c r="D7" s="107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5"/>
      <c r="AH7" s="27" t="s">
        <v>97</v>
      </c>
      <c r="AI7" s="27" t="s">
        <v>95</v>
      </c>
      <c r="AJ7" s="27" t="s">
        <v>98</v>
      </c>
      <c r="AK7" s="27">
        <v>500</v>
      </c>
      <c r="AL7" s="156" t="s">
        <v>20</v>
      </c>
      <c r="AM7" s="26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157"/>
    </row>
    <row r="8" spans="1:53" ht="50.25" customHeight="1" x14ac:dyDescent="0.25">
      <c r="A8" s="107"/>
      <c r="B8" s="107"/>
      <c r="C8" s="107"/>
      <c r="D8" s="154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155"/>
      <c r="AH8" s="27" t="s">
        <v>99</v>
      </c>
      <c r="AI8" s="28" t="s">
        <v>95</v>
      </c>
      <c r="AJ8" s="28" t="s">
        <v>100</v>
      </c>
      <c r="AK8" s="28">
        <v>600</v>
      </c>
      <c r="AL8" s="158" t="s">
        <v>20</v>
      </c>
      <c r="AM8" s="26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157"/>
    </row>
    <row r="9" spans="1:53" ht="50.25" customHeight="1" x14ac:dyDescent="0.25">
      <c r="A9" s="154"/>
      <c r="B9" s="154"/>
      <c r="C9" s="154"/>
      <c r="D9" s="15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155"/>
      <c r="AH9" s="27" t="s">
        <v>101</v>
      </c>
      <c r="AI9" s="27" t="s">
        <v>95</v>
      </c>
      <c r="AJ9" s="27" t="s">
        <v>102</v>
      </c>
      <c r="AK9" s="27">
        <v>700</v>
      </c>
      <c r="AL9" s="29" t="s">
        <v>20</v>
      </c>
      <c r="AM9" s="156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157"/>
    </row>
    <row r="10" spans="1:53" ht="48" customHeight="1" x14ac:dyDescent="0.25">
      <c r="A10" s="97">
        <v>2</v>
      </c>
      <c r="B10" s="97" t="s">
        <v>21</v>
      </c>
      <c r="C10" s="97" t="s">
        <v>22</v>
      </c>
      <c r="D10" s="97" t="s">
        <v>44</v>
      </c>
      <c r="E10" s="30"/>
      <c r="F10" s="30" t="s">
        <v>19</v>
      </c>
      <c r="G10" s="30" t="s">
        <v>19</v>
      </c>
      <c r="H10" s="30"/>
      <c r="I10" s="30"/>
      <c r="J10" s="30" t="s">
        <v>19</v>
      </c>
      <c r="K10" s="30"/>
      <c r="L10" s="30"/>
      <c r="M10" s="30"/>
      <c r="N10" s="30"/>
      <c r="O10" s="30" t="s">
        <v>91</v>
      </c>
      <c r="P10" s="30"/>
      <c r="Q10" s="30"/>
      <c r="R10" s="30"/>
      <c r="S10" s="30"/>
      <c r="T10" s="27">
        <v>3316</v>
      </c>
      <c r="U10" s="26" t="s">
        <v>103</v>
      </c>
      <c r="V10" s="26" t="s">
        <v>20</v>
      </c>
      <c r="W10" s="27" t="s">
        <v>104</v>
      </c>
      <c r="X10" s="27" t="s">
        <v>20</v>
      </c>
      <c r="Y10" s="27" t="s">
        <v>105</v>
      </c>
      <c r="Z10" s="27" t="s">
        <v>106</v>
      </c>
      <c r="AA10" s="31" t="s">
        <v>107</v>
      </c>
      <c r="AB10" s="27">
        <v>3316</v>
      </c>
      <c r="AC10" s="27" t="s">
        <v>20</v>
      </c>
      <c r="AD10" s="27"/>
      <c r="AE10" s="27"/>
      <c r="AF10" s="27"/>
      <c r="AG10" s="32"/>
      <c r="AH10" s="27" t="s">
        <v>108</v>
      </c>
      <c r="AI10" s="24" t="s">
        <v>89</v>
      </c>
      <c r="AJ10" s="24" t="s">
        <v>109</v>
      </c>
      <c r="AK10" s="160">
        <v>900</v>
      </c>
      <c r="AL10" s="24" t="s">
        <v>20</v>
      </c>
      <c r="AM10" s="54" t="s">
        <v>172</v>
      </c>
      <c r="AN10" s="161" t="s">
        <v>188</v>
      </c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6"/>
    </row>
    <row r="11" spans="1:53" ht="48" customHeight="1" x14ac:dyDescent="0.25">
      <c r="A11" s="107"/>
      <c r="B11" s="107"/>
      <c r="C11" s="107"/>
      <c r="D11" s="107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27"/>
      <c r="U11" s="26"/>
      <c r="V11" s="26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32"/>
      <c r="AH11" s="27" t="s">
        <v>110</v>
      </c>
      <c r="AI11" s="27" t="s">
        <v>89</v>
      </c>
      <c r="AJ11" s="27" t="s">
        <v>111</v>
      </c>
      <c r="AK11" s="160">
        <v>1100</v>
      </c>
      <c r="AL11" s="27" t="s">
        <v>20</v>
      </c>
      <c r="AM11" s="54" t="s">
        <v>172</v>
      </c>
      <c r="AN11" s="162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6"/>
    </row>
    <row r="12" spans="1:53" ht="48" customHeight="1" x14ac:dyDescent="0.25">
      <c r="A12" s="107"/>
      <c r="B12" s="107"/>
      <c r="C12" s="107"/>
      <c r="D12" s="107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27"/>
      <c r="U12" s="26"/>
      <c r="V12" s="26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32"/>
      <c r="AH12" s="27" t="s">
        <v>108</v>
      </c>
      <c r="AI12" s="27" t="s">
        <v>89</v>
      </c>
      <c r="AJ12" s="27" t="s">
        <v>180</v>
      </c>
      <c r="AK12" s="160"/>
      <c r="AL12" s="27" t="s">
        <v>20</v>
      </c>
      <c r="AM12" s="54" t="s">
        <v>172</v>
      </c>
      <c r="AN12" s="162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6"/>
    </row>
    <row r="13" spans="1:53" ht="48" customHeight="1" x14ac:dyDescent="0.25">
      <c r="A13" s="107"/>
      <c r="B13" s="107"/>
      <c r="C13" s="154"/>
      <c r="D13" s="154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27"/>
      <c r="U13" s="26"/>
      <c r="V13" s="26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32"/>
      <c r="AH13" s="27" t="s">
        <v>112</v>
      </c>
      <c r="AI13" s="27" t="s">
        <v>89</v>
      </c>
      <c r="AJ13" s="29" t="s">
        <v>113</v>
      </c>
      <c r="AK13" s="66"/>
      <c r="AL13" s="54" t="s">
        <v>20</v>
      </c>
      <c r="AM13" s="54" t="s">
        <v>164</v>
      </c>
      <c r="AN13" s="163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6"/>
    </row>
    <row r="14" spans="1:53" ht="47.45" customHeight="1" x14ac:dyDescent="0.25">
      <c r="A14" s="27">
        <v>3</v>
      </c>
      <c r="B14" s="97" t="s">
        <v>23</v>
      </c>
      <c r="C14" s="97" t="s">
        <v>22</v>
      </c>
      <c r="D14" s="97" t="s">
        <v>44</v>
      </c>
      <c r="E14" s="30"/>
      <c r="F14" s="30" t="s">
        <v>19</v>
      </c>
      <c r="G14" s="30" t="s">
        <v>19</v>
      </c>
      <c r="H14" s="30" t="s">
        <v>19</v>
      </c>
      <c r="I14" s="30"/>
      <c r="J14" s="30" t="s">
        <v>19</v>
      </c>
      <c r="K14" s="30" t="s">
        <v>19</v>
      </c>
      <c r="L14" s="30"/>
      <c r="M14" s="30" t="s">
        <v>19</v>
      </c>
      <c r="N14" s="30"/>
      <c r="O14" s="30" t="s">
        <v>91</v>
      </c>
      <c r="P14" s="30"/>
      <c r="Q14" s="30"/>
      <c r="R14" s="30"/>
      <c r="S14" s="30"/>
      <c r="T14" s="27">
        <v>1343</v>
      </c>
      <c r="U14" s="27" t="s">
        <v>103</v>
      </c>
      <c r="V14" s="27" t="s">
        <v>20</v>
      </c>
      <c r="W14" s="27"/>
      <c r="X14" s="27"/>
      <c r="Y14" s="27"/>
      <c r="Z14" s="27" t="s">
        <v>114</v>
      </c>
      <c r="AA14" s="31" t="s">
        <v>115</v>
      </c>
      <c r="AB14" s="27">
        <v>1343</v>
      </c>
      <c r="AC14" s="27" t="s">
        <v>20</v>
      </c>
      <c r="AD14" s="27" t="s">
        <v>116</v>
      </c>
      <c r="AE14" s="27"/>
      <c r="AF14" s="33">
        <v>0.7</v>
      </c>
      <c r="AG14" s="27"/>
      <c r="AH14" s="24" t="s">
        <v>117</v>
      </c>
      <c r="AI14" s="89"/>
      <c r="AJ14" s="89" t="s">
        <v>115</v>
      </c>
      <c r="AK14" s="27">
        <v>1343</v>
      </c>
      <c r="AL14" s="54" t="s">
        <v>20</v>
      </c>
      <c r="AM14" s="50" t="s">
        <v>118</v>
      </c>
      <c r="AN14" s="50" t="s">
        <v>189</v>
      </c>
      <c r="AO14" s="50"/>
      <c r="AP14" s="54" t="s">
        <v>130</v>
      </c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6"/>
    </row>
    <row r="15" spans="1:53" ht="39" customHeight="1" x14ac:dyDescent="0.25">
      <c r="A15" s="27"/>
      <c r="B15" s="154"/>
      <c r="C15" s="154"/>
      <c r="D15" s="107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 t="s">
        <v>119</v>
      </c>
      <c r="AE15" s="27"/>
      <c r="AF15" s="27">
        <v>200</v>
      </c>
      <c r="AG15" s="27" t="s">
        <v>120</v>
      </c>
      <c r="AH15" s="34" t="s">
        <v>121</v>
      </c>
      <c r="AI15" s="27" t="s">
        <v>95</v>
      </c>
      <c r="AJ15" s="35" t="s">
        <v>122</v>
      </c>
      <c r="AK15" s="164">
        <v>1113</v>
      </c>
      <c r="AL15" s="54" t="s">
        <v>20</v>
      </c>
      <c r="AM15" s="54" t="s">
        <v>161</v>
      </c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6"/>
    </row>
    <row r="16" spans="1:53" ht="45.6" customHeight="1" x14ac:dyDescent="0.25">
      <c r="A16" s="27">
        <v>4</v>
      </c>
      <c r="B16" s="27" t="s">
        <v>24</v>
      </c>
      <c r="C16" s="32" t="s">
        <v>25</v>
      </c>
      <c r="D16" s="35" t="s">
        <v>44</v>
      </c>
      <c r="E16" s="36"/>
      <c r="F16" s="30" t="s">
        <v>19</v>
      </c>
      <c r="G16" s="30"/>
      <c r="H16" s="30"/>
      <c r="I16" s="30"/>
      <c r="J16" s="30"/>
      <c r="K16" s="30" t="s">
        <v>19</v>
      </c>
      <c r="L16" s="30" t="s">
        <v>19</v>
      </c>
      <c r="M16" s="30" t="s">
        <v>19</v>
      </c>
      <c r="N16" s="30"/>
      <c r="O16" s="30" t="s">
        <v>91</v>
      </c>
      <c r="P16" s="30"/>
      <c r="Q16" s="30"/>
      <c r="R16" s="30"/>
      <c r="S16" s="30"/>
      <c r="T16" s="27">
        <v>327</v>
      </c>
      <c r="U16" s="27" t="s">
        <v>103</v>
      </c>
      <c r="V16" s="27" t="s">
        <v>20</v>
      </c>
      <c r="W16" s="27" t="s">
        <v>104</v>
      </c>
      <c r="X16" s="27" t="s">
        <v>20</v>
      </c>
      <c r="Y16" s="27" t="s">
        <v>105</v>
      </c>
      <c r="Z16" s="27" t="s">
        <v>114</v>
      </c>
      <c r="AA16" s="27"/>
      <c r="AB16" s="27">
        <v>327</v>
      </c>
      <c r="AC16" s="27" t="s">
        <v>20</v>
      </c>
      <c r="AD16" s="54"/>
      <c r="AE16" s="54"/>
      <c r="AF16" s="54"/>
      <c r="AG16" s="54"/>
      <c r="AH16" s="165" t="s">
        <v>167</v>
      </c>
      <c r="AI16" s="54"/>
      <c r="AJ16" s="54"/>
      <c r="AK16" s="164"/>
      <c r="AL16" s="54" t="s">
        <v>20</v>
      </c>
      <c r="AM16" s="54" t="s">
        <v>129</v>
      </c>
      <c r="AN16" s="54" t="s">
        <v>188</v>
      </c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6"/>
    </row>
    <row r="17" spans="1:53" ht="30.75" customHeight="1" x14ac:dyDescent="0.25">
      <c r="A17" s="27">
        <v>5</v>
      </c>
      <c r="B17" s="27" t="s">
        <v>26</v>
      </c>
      <c r="C17" s="32" t="s">
        <v>25</v>
      </c>
      <c r="D17" s="35" t="s">
        <v>44</v>
      </c>
      <c r="E17" s="36" t="s">
        <v>27</v>
      </c>
      <c r="F17" s="30" t="s">
        <v>19</v>
      </c>
      <c r="G17" s="30" t="s">
        <v>19</v>
      </c>
      <c r="H17" s="30"/>
      <c r="I17" s="30"/>
      <c r="J17" s="30"/>
      <c r="K17" s="30" t="s">
        <v>19</v>
      </c>
      <c r="L17" s="30" t="s">
        <v>19</v>
      </c>
      <c r="M17" s="30" t="s">
        <v>19</v>
      </c>
      <c r="N17" s="30"/>
      <c r="O17" s="30" t="s">
        <v>91</v>
      </c>
      <c r="P17" s="30"/>
      <c r="Q17" s="30"/>
      <c r="R17" s="30"/>
      <c r="S17" s="30"/>
      <c r="T17" s="27">
        <v>208</v>
      </c>
      <c r="U17" s="27" t="s">
        <v>103</v>
      </c>
      <c r="V17" s="27" t="s">
        <v>20</v>
      </c>
      <c r="W17" s="27" t="s">
        <v>104</v>
      </c>
      <c r="X17" s="27" t="s">
        <v>20</v>
      </c>
      <c r="Y17" s="27" t="s">
        <v>105</v>
      </c>
      <c r="Z17" s="50" t="s">
        <v>114</v>
      </c>
      <c r="AA17" s="27"/>
      <c r="AB17" s="27">
        <v>192</v>
      </c>
      <c r="AC17" s="27" t="s">
        <v>20</v>
      </c>
      <c r="AD17" s="27"/>
      <c r="AE17" s="54"/>
      <c r="AF17" s="54"/>
      <c r="AG17" s="54"/>
      <c r="AH17" s="54" t="s">
        <v>177</v>
      </c>
      <c r="AI17" s="166" t="s">
        <v>178</v>
      </c>
      <c r="AJ17" s="166">
        <v>192</v>
      </c>
      <c r="AK17" s="54">
        <v>192</v>
      </c>
      <c r="AL17" s="54" t="s">
        <v>20</v>
      </c>
      <c r="AM17" s="54" t="s">
        <v>129</v>
      </c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6"/>
    </row>
    <row r="18" spans="1:53" ht="43.5" customHeight="1" x14ac:dyDescent="0.25">
      <c r="A18" s="97">
        <v>6</v>
      </c>
      <c r="B18" s="97" t="s">
        <v>28</v>
      </c>
      <c r="C18" s="97" t="s">
        <v>29</v>
      </c>
      <c r="D18" s="24"/>
      <c r="E18" s="30" t="s">
        <v>30</v>
      </c>
      <c r="F18" s="30" t="s">
        <v>19</v>
      </c>
      <c r="G18" s="30" t="s">
        <v>19</v>
      </c>
      <c r="H18" s="30" t="s">
        <v>19</v>
      </c>
      <c r="I18" s="30"/>
      <c r="J18" s="30" t="s">
        <v>19</v>
      </c>
      <c r="K18" s="30"/>
      <c r="L18" s="30" t="s">
        <v>19</v>
      </c>
      <c r="M18" s="30" t="s">
        <v>19</v>
      </c>
      <c r="N18" s="30"/>
      <c r="O18" s="30" t="s">
        <v>91</v>
      </c>
      <c r="P18" s="30"/>
      <c r="Q18" s="30"/>
      <c r="R18" s="30"/>
      <c r="S18" s="30"/>
      <c r="T18" s="37">
        <f>107+160+107+97+178+139+347+271+179+285+95</f>
        <v>1965</v>
      </c>
      <c r="U18" s="9"/>
      <c r="V18" s="9"/>
      <c r="W18" s="9"/>
      <c r="X18" s="9"/>
      <c r="Y18" s="9"/>
      <c r="Z18" s="53" t="s">
        <v>123</v>
      </c>
      <c r="AA18" s="9"/>
      <c r="AB18" s="64">
        <v>400</v>
      </c>
      <c r="AC18" s="27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6"/>
    </row>
    <row r="19" spans="1:53" ht="43.5" customHeight="1" x14ac:dyDescent="0.25">
      <c r="A19" s="108"/>
      <c r="B19" s="108"/>
      <c r="C19" s="108"/>
      <c r="D19" s="24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7"/>
      <c r="U19" s="9"/>
      <c r="V19" s="9"/>
      <c r="W19" s="9"/>
      <c r="X19" s="9"/>
      <c r="Y19" s="9"/>
      <c r="Z19" s="53" t="s">
        <v>123</v>
      </c>
      <c r="AA19" s="9"/>
      <c r="AB19" s="64">
        <v>278</v>
      </c>
      <c r="AC19" s="27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6"/>
    </row>
    <row r="20" spans="1:53" ht="43.5" customHeight="1" x14ac:dyDescent="0.25">
      <c r="A20" s="98"/>
      <c r="B20" s="98"/>
      <c r="C20" s="98"/>
      <c r="D20" s="24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7"/>
      <c r="U20" s="9"/>
      <c r="V20" s="9"/>
      <c r="W20" s="9"/>
      <c r="X20" s="9"/>
      <c r="Y20" s="9"/>
      <c r="Z20" s="167" t="s">
        <v>123</v>
      </c>
      <c r="AA20" s="9"/>
      <c r="AB20" s="52"/>
      <c r="AC20" s="168" t="s">
        <v>173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6"/>
    </row>
    <row r="21" spans="1:53" ht="43.5" customHeight="1" x14ac:dyDescent="0.25">
      <c r="A21" s="24"/>
      <c r="B21" s="24"/>
      <c r="C21" s="24"/>
      <c r="D21" s="24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7"/>
      <c r="U21" s="9"/>
      <c r="V21" s="9"/>
      <c r="W21" s="9"/>
      <c r="X21" s="9"/>
      <c r="Y21" s="9"/>
      <c r="Z21" s="167"/>
      <c r="AA21" s="67"/>
      <c r="AB21" s="68"/>
      <c r="AC21" s="168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6"/>
    </row>
    <row r="22" spans="1:53" ht="43.5" customHeight="1" x14ac:dyDescent="0.25">
      <c r="A22" s="27">
        <v>7</v>
      </c>
      <c r="B22" s="27" t="s">
        <v>31</v>
      </c>
      <c r="C22" s="27" t="s">
        <v>32</v>
      </c>
      <c r="D22" s="27"/>
      <c r="E22" s="30">
        <v>8299</v>
      </c>
      <c r="F22" s="30" t="s">
        <v>19</v>
      </c>
      <c r="G22" s="30" t="s">
        <v>19</v>
      </c>
      <c r="H22" s="30" t="s">
        <v>19</v>
      </c>
      <c r="I22" s="30"/>
      <c r="J22" s="30" t="s">
        <v>19</v>
      </c>
      <c r="K22" s="30"/>
      <c r="L22" s="30"/>
      <c r="M22" s="30"/>
      <c r="N22" s="30"/>
      <c r="O22" s="30" t="s">
        <v>91</v>
      </c>
      <c r="P22" s="30"/>
      <c r="Q22" s="51" t="s">
        <v>103</v>
      </c>
      <c r="R22" s="30" t="s">
        <v>20</v>
      </c>
      <c r="S22" s="30"/>
      <c r="T22" s="37">
        <f>398+564+120+178+279+309</f>
        <v>1848</v>
      </c>
      <c r="U22" s="29" t="s">
        <v>103</v>
      </c>
      <c r="V22" s="29" t="s">
        <v>20</v>
      </c>
      <c r="W22" s="38"/>
      <c r="X22" s="38"/>
      <c r="Y22" s="38"/>
      <c r="Z22" s="29" t="s">
        <v>124</v>
      </c>
      <c r="AA22" s="29" t="s">
        <v>125</v>
      </c>
      <c r="AB22" s="27" t="s">
        <v>175</v>
      </c>
      <c r="AC22" s="29" t="s">
        <v>20</v>
      </c>
      <c r="AD22" s="58"/>
      <c r="AE22" s="58"/>
      <c r="AF22" s="58"/>
      <c r="AG22" s="58"/>
      <c r="AH22" s="59" t="s">
        <v>126</v>
      </c>
      <c r="AI22" s="60" t="s">
        <v>89</v>
      </c>
      <c r="AJ22" s="57" t="s">
        <v>127</v>
      </c>
      <c r="AK22" s="58"/>
      <c r="AL22" s="61" t="s">
        <v>128</v>
      </c>
      <c r="AM22" s="53" t="s">
        <v>129</v>
      </c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6"/>
    </row>
    <row r="23" spans="1:53" ht="43.5" customHeight="1" x14ac:dyDescent="0.25">
      <c r="A23" s="27"/>
      <c r="B23" s="27"/>
      <c r="C23" s="27"/>
      <c r="D23" s="27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51"/>
      <c r="R23" s="30"/>
      <c r="S23" s="30"/>
      <c r="T23" s="37"/>
      <c r="U23" s="29"/>
      <c r="V23" s="29"/>
      <c r="W23" s="38"/>
      <c r="X23" s="38"/>
      <c r="Y23" s="38"/>
      <c r="Z23" s="61" t="s">
        <v>114</v>
      </c>
      <c r="AA23" s="61" t="s">
        <v>179</v>
      </c>
      <c r="AB23" s="61">
        <v>670</v>
      </c>
      <c r="AC23" s="61" t="s">
        <v>20</v>
      </c>
      <c r="AD23" s="9"/>
      <c r="AE23" s="9"/>
      <c r="AF23" s="9"/>
      <c r="AG23" s="9"/>
      <c r="AH23" s="64"/>
      <c r="AI23" s="65"/>
      <c r="AJ23" s="4"/>
      <c r="AK23" s="9"/>
      <c r="AL23" s="64"/>
      <c r="AM23" s="64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6"/>
    </row>
    <row r="24" spans="1:53" ht="43.5" customHeight="1" x14ac:dyDescent="0.25">
      <c r="A24" s="27"/>
      <c r="B24" s="27"/>
      <c r="C24" s="27"/>
      <c r="D24" s="27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51"/>
      <c r="R24" s="30"/>
      <c r="S24" s="30"/>
      <c r="T24" s="37"/>
      <c r="U24" s="29"/>
      <c r="V24" s="29"/>
      <c r="W24" s="38"/>
      <c r="X24" s="38"/>
      <c r="Y24" s="38"/>
      <c r="Z24" s="61" t="s">
        <v>114</v>
      </c>
      <c r="AA24" s="61"/>
      <c r="AB24" s="61">
        <v>150</v>
      </c>
      <c r="AC24" s="61" t="s">
        <v>20</v>
      </c>
      <c r="AD24" s="9"/>
      <c r="AE24" s="9"/>
      <c r="AF24" s="9"/>
      <c r="AG24" s="9"/>
      <c r="AH24" s="64"/>
      <c r="AI24" s="65"/>
      <c r="AJ24" s="4"/>
      <c r="AK24" s="9"/>
      <c r="AL24" s="64"/>
      <c r="AM24" s="64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6"/>
    </row>
    <row r="25" spans="1:53" ht="43.5" customHeight="1" x14ac:dyDescent="0.25">
      <c r="A25" s="27"/>
      <c r="B25" s="27"/>
      <c r="C25" s="27"/>
      <c r="D25" s="27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51"/>
      <c r="R25" s="30"/>
      <c r="S25" s="30"/>
      <c r="T25" s="37"/>
      <c r="U25" s="29"/>
      <c r="V25" s="29"/>
      <c r="W25" s="38"/>
      <c r="X25" s="38"/>
      <c r="Y25" s="38"/>
      <c r="Z25" s="61"/>
      <c r="AA25" s="61"/>
      <c r="AB25" s="61"/>
      <c r="AC25" s="61"/>
      <c r="AD25" s="9"/>
      <c r="AE25" s="9"/>
      <c r="AF25" s="9"/>
      <c r="AG25" s="9"/>
      <c r="AH25" s="64"/>
      <c r="AI25" s="65"/>
      <c r="AJ25" s="4"/>
      <c r="AK25" s="9"/>
      <c r="AL25" s="64"/>
      <c r="AM25" s="64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6"/>
    </row>
    <row r="26" spans="1:53" ht="30.75" customHeight="1" x14ac:dyDescent="0.25">
      <c r="A26" s="27">
        <v>8</v>
      </c>
      <c r="B26" s="27" t="s">
        <v>33</v>
      </c>
      <c r="C26" s="27" t="s">
        <v>34</v>
      </c>
      <c r="D26" s="27" t="s">
        <v>52</v>
      </c>
      <c r="E26" s="30">
        <v>81</v>
      </c>
      <c r="F26" s="30" t="s">
        <v>19</v>
      </c>
      <c r="G26" s="30" t="s">
        <v>19</v>
      </c>
      <c r="H26" s="30" t="s">
        <v>19</v>
      </c>
      <c r="I26" s="30"/>
      <c r="J26" s="30" t="s">
        <v>19</v>
      </c>
      <c r="K26" s="30" t="s">
        <v>19</v>
      </c>
      <c r="L26" s="30" t="s">
        <v>19</v>
      </c>
      <c r="M26" s="30"/>
      <c r="N26" s="30"/>
      <c r="O26" s="30" t="s">
        <v>91</v>
      </c>
      <c r="P26" s="30"/>
      <c r="Q26" s="30"/>
      <c r="R26" s="30"/>
      <c r="S26" s="30"/>
      <c r="T26" s="27">
        <v>77</v>
      </c>
      <c r="U26" s="27" t="s">
        <v>103</v>
      </c>
      <c r="V26" s="27" t="s">
        <v>20</v>
      </c>
      <c r="W26" s="27" t="s">
        <v>104</v>
      </c>
      <c r="X26" s="27" t="s">
        <v>20</v>
      </c>
      <c r="Y26" s="27" t="s">
        <v>105</v>
      </c>
      <c r="Z26" s="27" t="s">
        <v>118</v>
      </c>
      <c r="AA26" s="27"/>
      <c r="AB26" s="27">
        <v>77</v>
      </c>
      <c r="AC26" s="27" t="s">
        <v>20</v>
      </c>
      <c r="AD26" s="27"/>
      <c r="AE26" s="27"/>
      <c r="AF26" s="27"/>
      <c r="AG26" s="27"/>
      <c r="AH26" s="27" t="s">
        <v>130</v>
      </c>
      <c r="AI26" s="27"/>
      <c r="AJ26" s="27"/>
      <c r="AK26" s="27"/>
      <c r="AL26" s="27"/>
      <c r="AM26" s="27"/>
      <c r="AN26" s="27" t="s">
        <v>131</v>
      </c>
      <c r="AO26" s="27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6"/>
    </row>
    <row r="27" spans="1:53" ht="30.75" customHeight="1" x14ac:dyDescent="0.25">
      <c r="A27" s="27">
        <v>9</v>
      </c>
      <c r="B27" s="27" t="s">
        <v>36</v>
      </c>
      <c r="C27" s="27" t="s">
        <v>34</v>
      </c>
      <c r="D27" s="27" t="s">
        <v>52</v>
      </c>
      <c r="E27" s="30">
        <v>78</v>
      </c>
      <c r="F27" s="30" t="s">
        <v>19</v>
      </c>
      <c r="G27" s="30"/>
      <c r="H27" s="30"/>
      <c r="I27" s="30"/>
      <c r="J27" s="30"/>
      <c r="K27" s="30" t="s">
        <v>19</v>
      </c>
      <c r="L27" s="30" t="s">
        <v>19</v>
      </c>
      <c r="M27" s="30" t="s">
        <v>19</v>
      </c>
      <c r="N27" s="30"/>
      <c r="O27" s="30"/>
      <c r="P27" s="30"/>
      <c r="Q27" s="30"/>
      <c r="R27" s="30"/>
      <c r="S27" s="30"/>
      <c r="T27" s="27">
        <v>78</v>
      </c>
      <c r="U27" s="27" t="s">
        <v>103</v>
      </c>
      <c r="V27" s="27" t="s">
        <v>20</v>
      </c>
      <c r="W27" s="27"/>
      <c r="X27" s="27"/>
      <c r="Y27" s="27"/>
      <c r="Z27" s="27" t="s">
        <v>118</v>
      </c>
      <c r="AA27" s="31" t="s">
        <v>132</v>
      </c>
      <c r="AB27" s="27">
        <v>81</v>
      </c>
      <c r="AC27" s="27" t="s">
        <v>20</v>
      </c>
      <c r="AD27" s="27"/>
      <c r="AE27" s="27"/>
      <c r="AF27" s="27"/>
      <c r="AG27" s="27"/>
      <c r="AH27" s="27" t="s">
        <v>130</v>
      </c>
      <c r="AI27" s="27"/>
      <c r="AJ27" s="27"/>
      <c r="AK27" s="27"/>
      <c r="AL27" s="27"/>
      <c r="AM27" s="27"/>
      <c r="AN27" s="27" t="s">
        <v>131</v>
      </c>
      <c r="AO27" s="57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27" t="s">
        <v>134</v>
      </c>
    </row>
    <row r="28" spans="1:53" ht="31.9" customHeight="1" x14ac:dyDescent="0.25">
      <c r="A28" s="27">
        <v>10</v>
      </c>
      <c r="B28" s="27" t="s">
        <v>38</v>
      </c>
      <c r="C28" s="27" t="s">
        <v>34</v>
      </c>
      <c r="D28" s="27"/>
      <c r="E28" s="30">
        <v>16</v>
      </c>
      <c r="F28" s="30" t="s">
        <v>19</v>
      </c>
      <c r="G28" s="30" t="s">
        <v>19</v>
      </c>
      <c r="H28" s="30" t="s">
        <v>19</v>
      </c>
      <c r="I28" s="30" t="s">
        <v>19</v>
      </c>
      <c r="J28" s="30" t="s">
        <v>19</v>
      </c>
      <c r="K28" s="30"/>
      <c r="L28" s="30"/>
      <c r="M28" s="30"/>
      <c r="N28" s="30"/>
      <c r="O28" s="30"/>
      <c r="P28" s="30"/>
      <c r="Q28" s="30"/>
      <c r="R28" s="30"/>
      <c r="S28" s="30"/>
      <c r="T28" s="27">
        <v>16</v>
      </c>
      <c r="U28" s="27" t="s">
        <v>103</v>
      </c>
      <c r="V28" s="27" t="s">
        <v>20</v>
      </c>
      <c r="W28" s="27" t="s">
        <v>130</v>
      </c>
      <c r="X28" s="27" t="s">
        <v>20</v>
      </c>
      <c r="Y28" s="27" t="s">
        <v>133</v>
      </c>
      <c r="Z28" s="27" t="s">
        <v>130</v>
      </c>
      <c r="AA28" s="31" t="s">
        <v>132</v>
      </c>
      <c r="AB28" s="27">
        <v>81</v>
      </c>
      <c r="AC28" s="27" t="s">
        <v>20</v>
      </c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 t="s">
        <v>134</v>
      </c>
    </row>
    <row r="29" spans="1:53" ht="37.15" customHeight="1" x14ac:dyDescent="0.25">
      <c r="A29" s="27">
        <v>11</v>
      </c>
      <c r="B29" s="27" t="s">
        <v>39</v>
      </c>
      <c r="C29" s="27" t="s">
        <v>40</v>
      </c>
      <c r="D29" s="27" t="s">
        <v>135</v>
      </c>
      <c r="E29" s="30">
        <v>379</v>
      </c>
      <c r="F29" s="30" t="s">
        <v>19</v>
      </c>
      <c r="G29" s="30" t="s">
        <v>19</v>
      </c>
      <c r="H29" s="30" t="s">
        <v>19</v>
      </c>
      <c r="I29" s="30"/>
      <c r="J29" s="30" t="s">
        <v>19</v>
      </c>
      <c r="K29" s="30"/>
      <c r="L29" s="30"/>
      <c r="M29" s="30"/>
      <c r="N29" s="30"/>
      <c r="O29" s="30"/>
      <c r="P29" s="30"/>
      <c r="Q29" s="30"/>
      <c r="R29" s="30"/>
      <c r="S29" s="30"/>
      <c r="T29" s="27">
        <v>367</v>
      </c>
      <c r="U29" s="27" t="s">
        <v>103</v>
      </c>
      <c r="V29" s="27" t="s">
        <v>20</v>
      </c>
      <c r="W29" s="27"/>
      <c r="X29" s="27"/>
      <c r="Y29" s="27"/>
      <c r="Z29" s="27" t="s">
        <v>136</v>
      </c>
      <c r="AA29" s="27" t="s">
        <v>137</v>
      </c>
      <c r="AB29" s="27">
        <v>367</v>
      </c>
      <c r="AC29" s="27" t="s">
        <v>20</v>
      </c>
      <c r="AD29" s="27"/>
      <c r="AE29" s="27"/>
      <c r="AF29" s="27"/>
      <c r="AG29" s="27"/>
      <c r="AH29" s="27" t="s">
        <v>138</v>
      </c>
      <c r="AI29" s="27" t="s">
        <v>95</v>
      </c>
      <c r="AJ29" s="27" t="s">
        <v>139</v>
      </c>
      <c r="AK29" s="54">
        <v>378</v>
      </c>
      <c r="AL29" s="54" t="s">
        <v>20</v>
      </c>
      <c r="AM29" s="50" t="s">
        <v>129</v>
      </c>
      <c r="AN29" s="54" t="s">
        <v>188</v>
      </c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6"/>
    </row>
    <row r="30" spans="1:53" ht="39" customHeight="1" x14ac:dyDescent="0.25">
      <c r="A30" s="97">
        <v>12</v>
      </c>
      <c r="B30" s="97" t="s">
        <v>41</v>
      </c>
      <c r="C30" s="97" t="s">
        <v>42</v>
      </c>
      <c r="D30" s="97" t="s">
        <v>140</v>
      </c>
      <c r="E30" s="30">
        <v>1350</v>
      </c>
      <c r="F30" s="30" t="s">
        <v>19</v>
      </c>
      <c r="G30" s="30" t="s">
        <v>19</v>
      </c>
      <c r="H30" s="30"/>
      <c r="I30" s="30"/>
      <c r="J30" s="30" t="s">
        <v>19</v>
      </c>
      <c r="K30" s="30" t="s">
        <v>19</v>
      </c>
      <c r="L30" s="30" t="s">
        <v>19</v>
      </c>
      <c r="M30" s="30" t="s">
        <v>19</v>
      </c>
      <c r="N30" s="30"/>
      <c r="O30" s="30" t="s">
        <v>130</v>
      </c>
      <c r="P30" s="30"/>
      <c r="Q30" s="30"/>
      <c r="R30" s="30"/>
      <c r="S30" s="30"/>
      <c r="T30" s="27">
        <v>1135</v>
      </c>
      <c r="U30" s="27" t="s">
        <v>103</v>
      </c>
      <c r="V30" s="27" t="s">
        <v>20</v>
      </c>
      <c r="W30" s="27"/>
      <c r="X30" s="27"/>
      <c r="Y30" s="27"/>
      <c r="Z30" s="27" t="s">
        <v>118</v>
      </c>
      <c r="AA30" s="54"/>
      <c r="AB30" s="54"/>
      <c r="AC30" s="27" t="s">
        <v>20</v>
      </c>
      <c r="AD30" s="54"/>
      <c r="AE30" s="54"/>
      <c r="AF30" s="54"/>
      <c r="AG30" s="54"/>
      <c r="AH30" s="54" t="s">
        <v>162</v>
      </c>
      <c r="AI30" s="54" t="s">
        <v>95</v>
      </c>
      <c r="AJ30" s="54" t="s">
        <v>163</v>
      </c>
      <c r="AK30" s="54">
        <v>800</v>
      </c>
      <c r="AL30" s="54" t="s">
        <v>20</v>
      </c>
      <c r="AM30" s="54" t="s">
        <v>167</v>
      </c>
      <c r="AN30" s="169" t="s">
        <v>171</v>
      </c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6"/>
    </row>
    <row r="31" spans="1:53" ht="36" customHeight="1" x14ac:dyDescent="0.25">
      <c r="A31" s="154"/>
      <c r="B31" s="154"/>
      <c r="C31" s="154"/>
      <c r="D31" s="154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27"/>
      <c r="U31" s="27"/>
      <c r="V31" s="27"/>
      <c r="W31" s="27"/>
      <c r="X31" s="27"/>
      <c r="Y31" s="27"/>
      <c r="Z31" s="27" t="s">
        <v>114</v>
      </c>
      <c r="AA31" s="54"/>
      <c r="AB31" s="54"/>
      <c r="AC31" s="27" t="s">
        <v>20</v>
      </c>
      <c r="AD31" s="54"/>
      <c r="AE31" s="54"/>
      <c r="AF31" s="54"/>
      <c r="AG31" s="54"/>
      <c r="AH31" s="54" t="s">
        <v>165</v>
      </c>
      <c r="AI31" s="54" t="s">
        <v>95</v>
      </c>
      <c r="AJ31" s="54" t="s">
        <v>166</v>
      </c>
      <c r="AK31" s="54">
        <v>600</v>
      </c>
      <c r="AL31" s="54" t="s">
        <v>20</v>
      </c>
      <c r="AM31" s="54" t="s">
        <v>167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6"/>
    </row>
    <row r="32" spans="1:53" ht="30.75" customHeight="1" x14ac:dyDescent="0.25">
      <c r="A32" s="27">
        <v>13</v>
      </c>
      <c r="B32" s="27" t="s">
        <v>141</v>
      </c>
      <c r="C32" s="39">
        <v>45828</v>
      </c>
      <c r="D32" s="27" t="s">
        <v>47</v>
      </c>
      <c r="E32" s="30">
        <v>81</v>
      </c>
      <c r="F32" s="30"/>
      <c r="G32" s="30"/>
      <c r="H32" s="30"/>
      <c r="I32" s="30"/>
      <c r="J32" s="30"/>
      <c r="K32" s="30" t="s">
        <v>19</v>
      </c>
      <c r="L32" s="30" t="s">
        <v>19</v>
      </c>
      <c r="M32" s="30" t="s">
        <v>19</v>
      </c>
      <c r="N32" s="30"/>
      <c r="O32" s="30" t="s">
        <v>130</v>
      </c>
      <c r="P32" s="30"/>
      <c r="Q32" s="30"/>
      <c r="R32" s="30"/>
      <c r="S32" s="30"/>
      <c r="T32" s="27">
        <v>81</v>
      </c>
      <c r="U32" s="27"/>
      <c r="V32" s="27"/>
      <c r="W32" s="27"/>
      <c r="X32" s="27"/>
      <c r="Y32" s="27"/>
      <c r="Z32" s="27"/>
      <c r="AA32" s="27"/>
      <c r="AB32" s="27"/>
      <c r="AC32" s="27"/>
      <c r="AD32" s="27" t="s">
        <v>136</v>
      </c>
      <c r="AE32" s="27"/>
      <c r="AF32" s="27">
        <v>81</v>
      </c>
      <c r="AG32" s="27" t="s">
        <v>20</v>
      </c>
      <c r="AH32" s="27" t="s">
        <v>136</v>
      </c>
      <c r="AI32" s="27"/>
      <c r="AJ32" s="27"/>
      <c r="AK32" s="54"/>
      <c r="AL32" s="54" t="s">
        <v>20</v>
      </c>
      <c r="AM32" s="54"/>
      <c r="AN32" s="57" t="s">
        <v>131</v>
      </c>
      <c r="AO32" s="57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27" t="s">
        <v>134</v>
      </c>
    </row>
    <row r="33" spans="1:53" ht="30.75" customHeight="1" x14ac:dyDescent="0.25">
      <c r="A33" s="27">
        <v>14</v>
      </c>
      <c r="B33" s="27" t="s">
        <v>142</v>
      </c>
      <c r="C33" s="39">
        <v>45829</v>
      </c>
      <c r="D33" s="27" t="s">
        <v>143</v>
      </c>
      <c r="E33" s="30">
        <v>81</v>
      </c>
      <c r="F33" s="30"/>
      <c r="G33" s="30"/>
      <c r="H33" s="30"/>
      <c r="I33" s="30"/>
      <c r="J33" s="30"/>
      <c r="K33" s="30" t="s">
        <v>19</v>
      </c>
      <c r="L33" s="30" t="s">
        <v>19</v>
      </c>
      <c r="M33" s="30" t="s">
        <v>19</v>
      </c>
      <c r="N33" s="30"/>
      <c r="O33" s="30" t="s">
        <v>130</v>
      </c>
      <c r="P33" s="30"/>
      <c r="Q33" s="30"/>
      <c r="R33" s="30"/>
      <c r="S33" s="30"/>
      <c r="T33" s="27">
        <v>81</v>
      </c>
      <c r="U33" s="27"/>
      <c r="V33" s="27"/>
      <c r="W33" s="27"/>
      <c r="X33" s="27"/>
      <c r="Y33" s="27"/>
      <c r="Z33" s="27"/>
      <c r="AA33" s="27"/>
      <c r="AB33" s="27"/>
      <c r="AC33" s="27"/>
      <c r="AD33" s="27" t="s">
        <v>136</v>
      </c>
      <c r="AE33" s="27"/>
      <c r="AF33" s="27">
        <v>81</v>
      </c>
      <c r="AG33" s="27" t="s">
        <v>20</v>
      </c>
      <c r="AH33" s="27" t="s">
        <v>136</v>
      </c>
      <c r="AI33" s="27"/>
      <c r="AJ33" s="27"/>
      <c r="AK33" s="54"/>
      <c r="AL33" s="54" t="s">
        <v>20</v>
      </c>
      <c r="AM33" s="54"/>
      <c r="AN33" s="57" t="s">
        <v>131</v>
      </c>
      <c r="AO33" s="57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27" t="s">
        <v>134</v>
      </c>
    </row>
    <row r="34" spans="1:53" ht="40.5" customHeight="1" x14ac:dyDescent="0.25">
      <c r="A34" s="27">
        <v>15</v>
      </c>
      <c r="B34" s="27" t="s">
        <v>43</v>
      </c>
      <c r="C34" s="27" t="s">
        <v>44</v>
      </c>
      <c r="D34" s="27"/>
      <c r="E34" s="30" t="s">
        <v>45</v>
      </c>
      <c r="F34" s="30" t="s">
        <v>19</v>
      </c>
      <c r="G34" s="30" t="s">
        <v>19</v>
      </c>
      <c r="H34" s="30" t="s">
        <v>19</v>
      </c>
      <c r="I34" s="30"/>
      <c r="J34" s="30"/>
      <c r="K34" s="30" t="s">
        <v>19</v>
      </c>
      <c r="L34" s="30" t="s">
        <v>19</v>
      </c>
      <c r="M34" s="30" t="s">
        <v>19</v>
      </c>
      <c r="N34" s="30"/>
      <c r="O34" s="30" t="s">
        <v>130</v>
      </c>
      <c r="P34" s="30"/>
      <c r="Q34" s="30"/>
      <c r="R34" s="30"/>
      <c r="S34" s="30"/>
      <c r="T34" s="27">
        <v>198</v>
      </c>
      <c r="U34" s="27" t="s">
        <v>103</v>
      </c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 t="s">
        <v>190</v>
      </c>
      <c r="AI34" s="54"/>
      <c r="AJ34" s="54"/>
      <c r="AK34" s="54"/>
      <c r="AL34" s="54"/>
      <c r="AM34" s="54" t="s">
        <v>190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6"/>
    </row>
    <row r="35" spans="1:53" ht="30.75" customHeight="1" x14ac:dyDescent="0.25">
      <c r="A35" s="27">
        <v>16</v>
      </c>
      <c r="B35" s="27" t="s">
        <v>46</v>
      </c>
      <c r="C35" s="27" t="s">
        <v>47</v>
      </c>
      <c r="D35" s="27"/>
      <c r="E35" s="30" t="s">
        <v>48</v>
      </c>
      <c r="F35" s="30" t="s">
        <v>19</v>
      </c>
      <c r="G35" s="30" t="s">
        <v>19</v>
      </c>
      <c r="H35" s="30" t="s">
        <v>19</v>
      </c>
      <c r="I35" s="30"/>
      <c r="J35" s="30"/>
      <c r="K35" s="30"/>
      <c r="L35" s="30"/>
      <c r="M35" s="30"/>
      <c r="N35" s="30"/>
      <c r="O35" s="30" t="s">
        <v>130</v>
      </c>
      <c r="P35" s="56"/>
      <c r="Q35" s="56"/>
      <c r="R35" s="56"/>
      <c r="S35" s="56"/>
      <c r="T35" s="54">
        <v>69</v>
      </c>
      <c r="U35" s="4"/>
      <c r="V35" s="4"/>
      <c r="W35" s="4"/>
      <c r="X35" s="4"/>
      <c r="Y35" s="4"/>
      <c r="Z35" s="4"/>
      <c r="AA35" s="4"/>
      <c r="AB35" s="4"/>
      <c r="AC35" s="69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6"/>
    </row>
    <row r="36" spans="1:53" ht="30.75" customHeight="1" x14ac:dyDescent="0.25">
      <c r="A36" s="27">
        <v>17</v>
      </c>
      <c r="B36" s="27" t="s">
        <v>49</v>
      </c>
      <c r="C36" s="27" t="s">
        <v>50</v>
      </c>
      <c r="D36" s="27"/>
      <c r="E36" s="30">
        <v>80</v>
      </c>
      <c r="F36" s="30" t="s">
        <v>19</v>
      </c>
      <c r="G36" s="30"/>
      <c r="H36" s="30"/>
      <c r="I36" s="30"/>
      <c r="J36" s="30"/>
      <c r="K36" s="30"/>
      <c r="L36" s="30"/>
      <c r="M36" s="30"/>
      <c r="N36" s="30"/>
      <c r="O36" s="30" t="s">
        <v>170</v>
      </c>
      <c r="P36" s="56"/>
      <c r="Q36" s="56"/>
      <c r="R36" s="56"/>
      <c r="S36" s="56"/>
      <c r="T36" s="54">
        <v>80</v>
      </c>
      <c r="U36" s="54"/>
      <c r="V36" s="54"/>
      <c r="W36" s="54" t="s">
        <v>168</v>
      </c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 t="s">
        <v>168</v>
      </c>
      <c r="AO36" s="54"/>
      <c r="AP36" s="54"/>
      <c r="AQ36" s="54"/>
      <c r="AR36" s="54"/>
      <c r="AS36" s="54"/>
      <c r="AT36" s="54" t="s">
        <v>168</v>
      </c>
      <c r="AU36" s="54"/>
      <c r="AV36" s="54"/>
      <c r="AW36" s="54"/>
      <c r="AX36" s="54"/>
      <c r="AY36" s="54"/>
      <c r="AZ36" s="54"/>
      <c r="BA36" s="6"/>
    </row>
    <row r="37" spans="1:53" ht="30.75" customHeight="1" x14ac:dyDescent="0.25">
      <c r="A37" s="27">
        <v>18</v>
      </c>
      <c r="B37" s="97" t="s">
        <v>51</v>
      </c>
      <c r="C37" s="27" t="s">
        <v>52</v>
      </c>
      <c r="D37" s="27"/>
      <c r="E37" s="30">
        <v>360</v>
      </c>
      <c r="F37" s="30" t="s">
        <v>19</v>
      </c>
      <c r="G37" s="30"/>
      <c r="H37" s="30"/>
      <c r="I37" s="30"/>
      <c r="J37" s="30"/>
      <c r="K37" s="30"/>
      <c r="L37" s="30"/>
      <c r="M37" s="30"/>
      <c r="N37" s="30"/>
      <c r="O37" s="30" t="s">
        <v>130</v>
      </c>
      <c r="P37" s="56"/>
      <c r="Q37" s="56"/>
      <c r="R37" s="56"/>
      <c r="S37" s="56"/>
      <c r="T37" s="54">
        <v>342</v>
      </c>
      <c r="U37" s="54" t="s">
        <v>103</v>
      </c>
      <c r="V37" s="54"/>
      <c r="W37" s="54"/>
      <c r="X37" s="54"/>
      <c r="Y37" s="54"/>
      <c r="Z37" s="54" t="s">
        <v>167</v>
      </c>
      <c r="AA37" s="54" t="s">
        <v>174</v>
      </c>
      <c r="AB37" s="54">
        <v>100</v>
      </c>
      <c r="AC37" s="54" t="s">
        <v>20</v>
      </c>
      <c r="AD37" s="54"/>
      <c r="AE37" s="54"/>
      <c r="AF37" s="54"/>
      <c r="AG37" s="54"/>
      <c r="AH37" s="54" t="s">
        <v>190</v>
      </c>
      <c r="AI37" s="54"/>
      <c r="AJ37" s="54"/>
      <c r="AK37" s="54"/>
      <c r="AL37" s="54"/>
      <c r="AM37" s="54" t="s">
        <v>190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6"/>
    </row>
    <row r="38" spans="1:53" ht="30.75" customHeight="1" x14ac:dyDescent="0.25">
      <c r="A38" s="27">
        <v>19</v>
      </c>
      <c r="B38" s="98"/>
      <c r="C38" s="27"/>
      <c r="D38" s="27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56"/>
      <c r="Q38" s="56"/>
      <c r="R38" s="56"/>
      <c r="S38" s="56"/>
      <c r="T38" s="54"/>
      <c r="U38" s="54"/>
      <c r="V38" s="54"/>
      <c r="W38" s="54"/>
      <c r="X38" s="54"/>
      <c r="Y38" s="54"/>
      <c r="Z38" s="54" t="s">
        <v>167</v>
      </c>
      <c r="AA38" s="54">
        <v>242</v>
      </c>
      <c r="AB38" s="54">
        <v>242</v>
      </c>
      <c r="AC38" s="54" t="s">
        <v>20</v>
      </c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6"/>
    </row>
    <row r="39" spans="1:53" ht="30.75" customHeight="1" x14ac:dyDescent="0.25">
      <c r="A39" s="27">
        <v>20</v>
      </c>
      <c r="B39" s="27" t="s">
        <v>53</v>
      </c>
      <c r="C39" s="27" t="s">
        <v>54</v>
      </c>
      <c r="D39" s="27"/>
      <c r="E39" s="30">
        <v>284</v>
      </c>
      <c r="F39" s="30"/>
      <c r="G39" s="30"/>
      <c r="H39" s="30"/>
      <c r="I39" s="30"/>
      <c r="J39" s="30"/>
      <c r="K39" s="30" t="s">
        <v>19</v>
      </c>
      <c r="L39" s="30" t="s">
        <v>19</v>
      </c>
      <c r="M39" s="30" t="s">
        <v>19</v>
      </c>
      <c r="N39" s="30"/>
      <c r="O39" s="30" t="s">
        <v>91</v>
      </c>
      <c r="P39" s="56"/>
      <c r="Q39" s="56"/>
      <c r="R39" s="56"/>
      <c r="S39" s="56"/>
      <c r="T39" s="54">
        <f>138+135</f>
        <v>273</v>
      </c>
      <c r="U39" s="4"/>
      <c r="V39" s="4"/>
      <c r="W39" s="4"/>
      <c r="X39" s="4"/>
      <c r="Y39" s="4"/>
      <c r="Z39" s="4"/>
      <c r="AA39" s="4"/>
      <c r="AB39" s="4"/>
      <c r="AC39" s="6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6"/>
    </row>
    <row r="40" spans="1:53" ht="30.75" customHeight="1" x14ac:dyDescent="0.25">
      <c r="A40" s="27">
        <v>21</v>
      </c>
      <c r="B40" s="27" t="s">
        <v>144</v>
      </c>
      <c r="C40" s="27" t="s">
        <v>140</v>
      </c>
      <c r="D40" s="27"/>
      <c r="E40" s="30">
        <v>250</v>
      </c>
      <c r="F40" s="30"/>
      <c r="G40" s="30"/>
      <c r="H40" s="30"/>
      <c r="I40" s="30"/>
      <c r="J40" s="30"/>
      <c r="K40" s="30"/>
      <c r="L40" s="30"/>
      <c r="M40" s="30"/>
      <c r="N40" s="30"/>
      <c r="O40" s="30" t="s">
        <v>91</v>
      </c>
      <c r="P40" s="56"/>
      <c r="Q40" s="56"/>
      <c r="R40" s="56"/>
      <c r="S40" s="56"/>
      <c r="T40" s="54">
        <v>235</v>
      </c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6"/>
    </row>
    <row r="41" spans="1:53" ht="30.75" customHeight="1" x14ac:dyDescent="0.25">
      <c r="A41" s="27">
        <v>22</v>
      </c>
      <c r="B41" s="27" t="s">
        <v>145</v>
      </c>
      <c r="C41" s="27" t="s">
        <v>146</v>
      </c>
      <c r="D41" s="39">
        <v>45876</v>
      </c>
      <c r="E41" s="30">
        <v>423</v>
      </c>
      <c r="F41" s="30" t="s">
        <v>19</v>
      </c>
      <c r="G41" s="30" t="s">
        <v>19</v>
      </c>
      <c r="H41" s="30"/>
      <c r="I41" s="30"/>
      <c r="J41" s="30" t="s">
        <v>19</v>
      </c>
      <c r="K41" s="30" t="s">
        <v>19</v>
      </c>
      <c r="L41" s="30" t="s">
        <v>19</v>
      </c>
      <c r="M41" s="30" t="s">
        <v>19</v>
      </c>
      <c r="N41" s="30" t="s">
        <v>19</v>
      </c>
      <c r="O41" s="30" t="s">
        <v>91</v>
      </c>
      <c r="P41" s="56"/>
      <c r="Q41" s="56"/>
      <c r="R41" s="56"/>
      <c r="S41" s="56"/>
      <c r="T41" s="5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6"/>
    </row>
    <row r="42" spans="1:53" ht="30.75" customHeight="1" x14ac:dyDescent="0.25">
      <c r="A42" s="27">
        <v>23</v>
      </c>
      <c r="B42" s="54" t="s">
        <v>191</v>
      </c>
      <c r="C42" s="54" t="s">
        <v>146</v>
      </c>
      <c r="D42" s="54"/>
      <c r="E42" s="56">
        <v>96</v>
      </c>
      <c r="F42" s="56" t="s">
        <v>19</v>
      </c>
      <c r="G42" s="56" t="s">
        <v>19</v>
      </c>
      <c r="H42" s="56"/>
      <c r="I42" s="56"/>
      <c r="J42" s="56" t="s">
        <v>19</v>
      </c>
      <c r="K42" s="56"/>
      <c r="L42" s="56"/>
      <c r="M42" s="56"/>
      <c r="N42" s="56"/>
      <c r="O42" s="56"/>
      <c r="P42" s="56"/>
      <c r="Q42" s="56"/>
      <c r="R42" s="56"/>
      <c r="S42" s="56"/>
      <c r="T42" s="54">
        <v>87</v>
      </c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6"/>
    </row>
    <row r="43" spans="1:53" ht="30.75" customHeight="1" x14ac:dyDescent="0.25">
      <c r="A43" s="27">
        <v>24</v>
      </c>
      <c r="B43" s="54" t="s">
        <v>192</v>
      </c>
      <c r="C43" s="54" t="s">
        <v>193</v>
      </c>
      <c r="D43" s="54"/>
      <c r="E43" s="56">
        <v>47</v>
      </c>
      <c r="F43" s="56" t="s">
        <v>19</v>
      </c>
      <c r="G43" s="56" t="s">
        <v>19</v>
      </c>
      <c r="H43" s="56" t="s">
        <v>19</v>
      </c>
      <c r="I43" s="56"/>
      <c r="J43" s="56"/>
      <c r="K43" s="56"/>
      <c r="L43" s="56"/>
      <c r="M43" s="56"/>
      <c r="N43" s="56"/>
      <c r="O43" s="56"/>
      <c r="P43" s="6"/>
      <c r="Q43" s="6"/>
      <c r="R43" s="6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6"/>
    </row>
    <row r="44" spans="1:53" ht="30.75" customHeight="1" x14ac:dyDescent="0.25">
      <c r="A44" s="27">
        <v>25</v>
      </c>
      <c r="B44" s="54" t="s">
        <v>194</v>
      </c>
      <c r="C44" s="54" t="s">
        <v>195</v>
      </c>
      <c r="D44" s="54"/>
      <c r="E44" s="56">
        <v>40</v>
      </c>
      <c r="F44" s="56" t="s">
        <v>19</v>
      </c>
      <c r="G44" s="56" t="s">
        <v>19</v>
      </c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6"/>
    </row>
    <row r="45" spans="1:53" ht="30.75" customHeight="1" x14ac:dyDescent="0.25">
      <c r="A45" s="27">
        <v>26</v>
      </c>
      <c r="B45" s="54" t="s">
        <v>196</v>
      </c>
      <c r="C45" s="170">
        <v>45784</v>
      </c>
      <c r="D45" s="54"/>
      <c r="E45" s="56">
        <v>160</v>
      </c>
      <c r="F45" s="56" t="s">
        <v>19</v>
      </c>
      <c r="G45" s="56"/>
      <c r="H45" s="56" t="s">
        <v>19</v>
      </c>
      <c r="I45" s="56"/>
      <c r="J45" s="56"/>
      <c r="K45" s="56" t="s">
        <v>19</v>
      </c>
      <c r="L45" s="56" t="s">
        <v>19</v>
      </c>
      <c r="M45" s="56" t="s">
        <v>19</v>
      </c>
      <c r="N45" s="56"/>
      <c r="O45" s="56"/>
      <c r="P45" s="56"/>
      <c r="Q45" s="56"/>
      <c r="R45" s="56"/>
      <c r="S45" s="56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6"/>
    </row>
    <row r="46" spans="1:53" ht="30.75" customHeight="1" x14ac:dyDescent="0.25">
      <c r="A46" s="27">
        <v>27</v>
      </c>
      <c r="B46" s="54" t="s">
        <v>197</v>
      </c>
      <c r="C46" s="170">
        <v>45815</v>
      </c>
      <c r="D46" s="54"/>
      <c r="E46" s="56">
        <v>40</v>
      </c>
      <c r="F46" s="56"/>
      <c r="G46" s="56" t="s">
        <v>19</v>
      </c>
      <c r="H46" s="56"/>
      <c r="I46" s="56"/>
      <c r="J46" s="56"/>
      <c r="K46" s="56" t="s">
        <v>19</v>
      </c>
      <c r="L46" s="56" t="s">
        <v>19</v>
      </c>
      <c r="M46" s="56" t="s">
        <v>19</v>
      </c>
      <c r="N46" s="56"/>
      <c r="O46" s="56"/>
      <c r="P46" s="56"/>
      <c r="Q46" s="56"/>
      <c r="R46" s="56"/>
      <c r="S46" s="5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6"/>
    </row>
    <row r="47" spans="1:53" ht="30.75" customHeight="1" x14ac:dyDescent="0.25">
      <c r="A47" s="27">
        <v>28</v>
      </c>
      <c r="B47" s="54" t="s">
        <v>198</v>
      </c>
      <c r="C47" s="170">
        <v>45998</v>
      </c>
      <c r="D47" s="54"/>
      <c r="E47" s="56">
        <v>190</v>
      </c>
      <c r="F47" s="56" t="s">
        <v>19</v>
      </c>
      <c r="G47" s="56" t="s">
        <v>19</v>
      </c>
      <c r="H47" s="56"/>
      <c r="I47" s="56"/>
      <c r="J47" s="56"/>
      <c r="K47" s="56" t="s">
        <v>19</v>
      </c>
      <c r="L47" s="56" t="s">
        <v>19</v>
      </c>
      <c r="M47" s="56" t="s">
        <v>19</v>
      </c>
      <c r="N47" s="56"/>
      <c r="O47" s="56"/>
      <c r="P47" s="56"/>
      <c r="Q47" s="56"/>
      <c r="R47" s="56"/>
      <c r="S47" s="5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6"/>
    </row>
    <row r="48" spans="1:53" ht="30.75" customHeight="1" x14ac:dyDescent="0.25">
      <c r="A48" s="27">
        <v>29</v>
      </c>
      <c r="B48" s="54" t="s">
        <v>199</v>
      </c>
      <c r="C48" s="54" t="s">
        <v>200</v>
      </c>
      <c r="D48" s="54"/>
      <c r="E48" s="56">
        <v>50</v>
      </c>
      <c r="F48" s="56" t="s">
        <v>19</v>
      </c>
      <c r="G48" s="56" t="s">
        <v>19</v>
      </c>
      <c r="H48" s="56"/>
      <c r="I48" s="56"/>
      <c r="J48" s="56" t="s">
        <v>19</v>
      </c>
      <c r="K48" s="56"/>
      <c r="L48" s="56"/>
      <c r="M48" s="56"/>
      <c r="N48" s="56"/>
      <c r="O48" s="56"/>
      <c r="P48" s="56"/>
      <c r="Q48" s="56"/>
      <c r="R48" s="56"/>
      <c r="S48" s="56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6"/>
    </row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  <row r="1001" customFormat="1" ht="14.25" customHeight="1" x14ac:dyDescent="0.25"/>
    <row r="1002" customFormat="1" ht="14.25" customHeight="1" x14ac:dyDescent="0.25"/>
    <row r="1003" customFormat="1" ht="14.25" customHeight="1" x14ac:dyDescent="0.25"/>
    <row r="1004" customFormat="1" ht="14.25" customHeight="1" x14ac:dyDescent="0.25"/>
    <row r="1005" customFormat="1" ht="14.25" customHeight="1" x14ac:dyDescent="0.25"/>
    <row r="1006" customFormat="1" ht="14.25" customHeight="1" x14ac:dyDescent="0.25"/>
    <row r="1007" customFormat="1" ht="14.25" customHeight="1" x14ac:dyDescent="0.25"/>
    <row r="1008" customFormat="1" ht="14.25" customHeight="1" x14ac:dyDescent="0.25"/>
    <row r="1009" customFormat="1" ht="14.25" customHeight="1" x14ac:dyDescent="0.25"/>
    <row r="1010" customFormat="1" ht="14.25" customHeight="1" x14ac:dyDescent="0.25"/>
    <row r="1011" customFormat="1" ht="14.25" customHeight="1" x14ac:dyDescent="0.25"/>
    <row r="1012" customFormat="1" ht="14.25" customHeight="1" x14ac:dyDescent="0.25"/>
    <row r="1013" customFormat="1" ht="14.25" customHeight="1" x14ac:dyDescent="0.25"/>
    <row r="1014" customFormat="1" ht="14.25" customHeight="1" x14ac:dyDescent="0.25"/>
    <row r="1015" customFormat="1" ht="14.25" customHeight="1" x14ac:dyDescent="0.25"/>
    <row r="1016" customFormat="1" ht="14.25" customHeight="1" x14ac:dyDescent="0.25"/>
    <row r="1017" customFormat="1" ht="14.25" customHeight="1" x14ac:dyDescent="0.25"/>
  </sheetData>
  <mergeCells count="44">
    <mergeCell ref="A30:A31"/>
    <mergeCell ref="B30:B31"/>
    <mergeCell ref="C30:C31"/>
    <mergeCell ref="D30:D31"/>
    <mergeCell ref="B37:B38"/>
    <mergeCell ref="A18:A20"/>
    <mergeCell ref="AQ2:AS2"/>
    <mergeCell ref="AW2:AW3"/>
    <mergeCell ref="AT2:AV2"/>
    <mergeCell ref="B4:B9"/>
    <mergeCell ref="C4:C9"/>
    <mergeCell ref="D4:D8"/>
    <mergeCell ref="A10:A13"/>
    <mergeCell ref="D10:D13"/>
    <mergeCell ref="A4:A9"/>
    <mergeCell ref="AO2:AO3"/>
    <mergeCell ref="AN10:AN13"/>
    <mergeCell ref="AX2:AZ2"/>
    <mergeCell ref="BA2:BA3"/>
    <mergeCell ref="O2:P2"/>
    <mergeCell ref="Q2:S2"/>
    <mergeCell ref="T2:T3"/>
    <mergeCell ref="B10:B13"/>
    <mergeCell ref="C10:C13"/>
    <mergeCell ref="B14:B15"/>
    <mergeCell ref="C14:C15"/>
    <mergeCell ref="D14:D15"/>
    <mergeCell ref="B18:B20"/>
    <mergeCell ref="C18:C20"/>
    <mergeCell ref="A1:BA1"/>
    <mergeCell ref="A2:A3"/>
    <mergeCell ref="B2:B3"/>
    <mergeCell ref="C2:C3"/>
    <mergeCell ref="D2:D3"/>
    <mergeCell ref="E2:E3"/>
    <mergeCell ref="F2:N2"/>
    <mergeCell ref="AD2:AG2"/>
    <mergeCell ref="AH2:AL2"/>
    <mergeCell ref="U2:V2"/>
    <mergeCell ref="W2:Y2"/>
    <mergeCell ref="Z2:AC2"/>
    <mergeCell ref="AM2:AM3"/>
    <mergeCell ref="AN2:AN3"/>
    <mergeCell ref="AP2:AP3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DAA5-2A82-4A7C-8490-526F135C651C}">
  <sheetPr codeName="Sheet4"/>
  <dimension ref="A1:M1000"/>
  <sheetViews>
    <sheetView zoomScale="115" zoomScaleNormal="115" workbookViewId="0">
      <selection activeCell="B34" sqref="B34:C35"/>
    </sheetView>
  </sheetViews>
  <sheetFormatPr defaultRowHeight="15" x14ac:dyDescent="0.25"/>
  <cols>
    <col min="1" max="1" width="35.7109375" style="71" customWidth="1"/>
    <col min="2" max="2" width="27.28515625" style="71" customWidth="1"/>
    <col min="3" max="3" width="17.85546875" style="71" customWidth="1"/>
    <col min="4" max="4" width="12.140625" style="71" customWidth="1"/>
    <col min="5" max="5" width="22" style="71" customWidth="1"/>
    <col min="6" max="6" width="20.28515625" style="71" customWidth="1"/>
    <col min="7" max="7" width="23.42578125" style="71" customWidth="1"/>
    <col min="8" max="8" width="17.42578125" style="71" customWidth="1"/>
    <col min="9" max="9" width="22.85546875" style="71" customWidth="1"/>
    <col min="10" max="16384" width="9.140625" style="71"/>
  </cols>
  <sheetData>
    <row r="1" spans="1:13" ht="84.75" customHeight="1" x14ac:dyDescent="0.25">
      <c r="A1" s="78" t="s">
        <v>181</v>
      </c>
      <c r="B1" s="79" t="s">
        <v>182</v>
      </c>
      <c r="C1" s="79" t="s">
        <v>183</v>
      </c>
      <c r="D1" s="79" t="s">
        <v>184</v>
      </c>
      <c r="E1" s="80" t="s">
        <v>185</v>
      </c>
      <c r="F1" s="70"/>
    </row>
    <row r="2" spans="1:13" ht="37.5" customHeight="1" thickBot="1" x14ac:dyDescent="0.3">
      <c r="A2" s="81"/>
      <c r="B2" s="82"/>
      <c r="C2" s="83"/>
      <c r="D2" s="83"/>
      <c r="E2" s="84"/>
      <c r="M2" s="77"/>
    </row>
    <row r="3" spans="1:13" x14ac:dyDescent="0.25">
      <c r="A3" s="72"/>
      <c r="M3" s="77"/>
    </row>
    <row r="4" spans="1:13" x14ac:dyDescent="0.25">
      <c r="A4" s="72"/>
      <c r="M4" s="77"/>
    </row>
    <row r="5" spans="1:13" ht="34.5" customHeight="1" x14ac:dyDescent="0.25">
      <c r="A5" s="85" t="s">
        <v>1</v>
      </c>
      <c r="B5" s="120" t="s">
        <v>147</v>
      </c>
      <c r="C5" s="121"/>
      <c r="D5" s="74" t="s">
        <v>148</v>
      </c>
      <c r="E5" s="74" t="s">
        <v>149</v>
      </c>
      <c r="F5" s="74" t="s">
        <v>150</v>
      </c>
      <c r="G5" s="74" t="s">
        <v>74</v>
      </c>
      <c r="H5" s="74" t="s">
        <v>151</v>
      </c>
      <c r="I5" s="74" t="s">
        <v>152</v>
      </c>
      <c r="M5" s="77"/>
    </row>
    <row r="6" spans="1:13" x14ac:dyDescent="0.25">
      <c r="A6" s="118">
        <v>1</v>
      </c>
      <c r="B6" s="114" t="s">
        <v>153</v>
      </c>
      <c r="C6" s="115"/>
      <c r="D6" s="73"/>
      <c r="E6" s="73"/>
      <c r="F6" s="73"/>
      <c r="G6" s="73"/>
      <c r="H6" s="73"/>
      <c r="I6" s="73"/>
      <c r="M6" s="77"/>
    </row>
    <row r="7" spans="1:13" ht="15.75" customHeight="1" x14ac:dyDescent="0.25">
      <c r="A7" s="119"/>
      <c r="B7" s="116"/>
      <c r="C7" s="117"/>
      <c r="D7" s="74"/>
      <c r="E7" s="74"/>
      <c r="F7" s="74"/>
      <c r="G7" s="74"/>
      <c r="H7" s="74"/>
      <c r="I7" s="74"/>
    </row>
    <row r="8" spans="1:13" s="88" customFormat="1" x14ac:dyDescent="0.25">
      <c r="A8" s="111">
        <v>2</v>
      </c>
      <c r="B8" s="112" t="s">
        <v>154</v>
      </c>
      <c r="C8" s="113"/>
      <c r="D8" s="86"/>
      <c r="E8" s="86"/>
      <c r="F8" s="86"/>
      <c r="G8" s="86"/>
      <c r="H8" s="87"/>
      <c r="I8" s="86"/>
    </row>
    <row r="9" spans="1:13" x14ac:dyDescent="0.25">
      <c r="A9" s="111"/>
      <c r="B9" s="112"/>
      <c r="C9" s="113"/>
      <c r="D9" s="74"/>
      <c r="E9" s="74"/>
      <c r="F9" s="74"/>
      <c r="G9" s="74"/>
      <c r="H9" s="75"/>
      <c r="I9" s="74"/>
    </row>
    <row r="10" spans="1:13" x14ac:dyDescent="0.25">
      <c r="A10" s="118">
        <v>3</v>
      </c>
      <c r="B10" s="114" t="s">
        <v>61</v>
      </c>
      <c r="C10" s="115"/>
      <c r="D10" s="74"/>
      <c r="E10" s="74"/>
      <c r="F10" s="74"/>
      <c r="G10" s="74"/>
      <c r="H10" s="74"/>
      <c r="I10" s="74"/>
    </row>
    <row r="11" spans="1:13" x14ac:dyDescent="0.25">
      <c r="A11" s="122"/>
      <c r="B11" s="123"/>
      <c r="C11" s="124"/>
      <c r="D11" s="74"/>
      <c r="E11" s="74"/>
      <c r="F11" s="74"/>
      <c r="G11" s="74"/>
      <c r="H11" s="74"/>
      <c r="I11" s="74"/>
    </row>
    <row r="12" spans="1:13" x14ac:dyDescent="0.25">
      <c r="A12" s="125">
        <v>4</v>
      </c>
      <c r="B12" s="112" t="s">
        <v>63</v>
      </c>
      <c r="C12" s="113"/>
      <c r="D12" s="76"/>
      <c r="E12" s="76"/>
      <c r="F12" s="76"/>
      <c r="G12" s="76"/>
      <c r="H12" s="76"/>
      <c r="I12" s="76"/>
    </row>
    <row r="13" spans="1:13" x14ac:dyDescent="0.25">
      <c r="A13" s="113"/>
      <c r="B13" s="113"/>
      <c r="C13" s="113"/>
      <c r="D13" s="76"/>
      <c r="E13" s="76"/>
      <c r="F13" s="76"/>
      <c r="G13" s="76"/>
      <c r="H13" s="76"/>
      <c r="I13" s="76"/>
    </row>
    <row r="14" spans="1:13" x14ac:dyDescent="0.25">
      <c r="A14" s="125">
        <v>5</v>
      </c>
      <c r="B14" s="112" t="s">
        <v>64</v>
      </c>
      <c r="C14" s="113"/>
      <c r="D14" s="76"/>
      <c r="E14" s="76"/>
      <c r="F14" s="76"/>
      <c r="G14" s="76"/>
      <c r="H14" s="76"/>
      <c r="I14" s="76"/>
    </row>
    <row r="15" spans="1:13" x14ac:dyDescent="0.25">
      <c r="A15" s="113"/>
      <c r="B15" s="113"/>
      <c r="C15" s="113"/>
      <c r="D15" s="75"/>
      <c r="E15" s="76"/>
      <c r="F15" s="76"/>
      <c r="G15" s="76"/>
      <c r="H15" s="76"/>
      <c r="I15" s="76"/>
    </row>
    <row r="16" spans="1:13" x14ac:dyDescent="0.25">
      <c r="A16" s="125">
        <v>6</v>
      </c>
      <c r="B16" s="112" t="s">
        <v>156</v>
      </c>
      <c r="C16" s="113"/>
      <c r="D16" s="76"/>
      <c r="E16" s="76"/>
      <c r="F16" s="76"/>
      <c r="G16" s="76"/>
      <c r="H16" s="76"/>
      <c r="I16" s="76"/>
    </row>
    <row r="17" spans="1:9" x14ac:dyDescent="0.25">
      <c r="A17" s="113"/>
      <c r="B17" s="113"/>
      <c r="C17" s="113"/>
      <c r="D17" s="76"/>
      <c r="E17" s="76"/>
      <c r="F17" s="76"/>
      <c r="G17" s="76"/>
      <c r="H17" s="76"/>
      <c r="I17" s="76"/>
    </row>
    <row r="18" spans="1:9" x14ac:dyDescent="0.25">
      <c r="A18" s="118">
        <v>7</v>
      </c>
      <c r="B18" s="114" t="s">
        <v>157</v>
      </c>
      <c r="C18" s="115"/>
      <c r="D18" s="76"/>
      <c r="E18" s="76"/>
      <c r="F18" s="76"/>
      <c r="G18" s="76"/>
      <c r="H18" s="76"/>
      <c r="I18" s="76"/>
    </row>
    <row r="19" spans="1:9" x14ac:dyDescent="0.25">
      <c r="A19" s="119"/>
      <c r="B19" s="116"/>
      <c r="C19" s="117"/>
      <c r="D19" s="76"/>
      <c r="E19" s="76"/>
      <c r="F19" s="76"/>
      <c r="G19" s="76"/>
      <c r="H19" s="76"/>
      <c r="I19" s="76"/>
    </row>
    <row r="20" spans="1:9" x14ac:dyDescent="0.25">
      <c r="A20" s="118">
        <v>8</v>
      </c>
      <c r="B20" s="114" t="s">
        <v>158</v>
      </c>
      <c r="C20" s="115"/>
      <c r="D20" s="76"/>
      <c r="E20" s="76"/>
      <c r="F20" s="76"/>
      <c r="G20" s="76"/>
      <c r="H20" s="76"/>
      <c r="I20" s="76"/>
    </row>
    <row r="21" spans="1:9" x14ac:dyDescent="0.25">
      <c r="A21" s="119"/>
      <c r="B21" s="116"/>
      <c r="C21" s="117"/>
      <c r="D21" s="76"/>
      <c r="E21" s="76"/>
      <c r="F21" s="76"/>
      <c r="G21" s="76"/>
      <c r="H21" s="76"/>
      <c r="I21" s="76"/>
    </row>
    <row r="22" spans="1:9" x14ac:dyDescent="0.25">
      <c r="A22" s="118">
        <v>9</v>
      </c>
      <c r="B22" s="114" t="s">
        <v>159</v>
      </c>
      <c r="C22" s="115"/>
      <c r="D22" s="76"/>
      <c r="E22" s="76"/>
      <c r="F22" s="76"/>
      <c r="G22" s="76"/>
      <c r="H22" s="76"/>
      <c r="I22" s="76"/>
    </row>
    <row r="23" spans="1:9" x14ac:dyDescent="0.25">
      <c r="A23" s="119"/>
      <c r="B23" s="116"/>
      <c r="C23" s="117"/>
      <c r="D23" s="76"/>
      <c r="E23" s="76"/>
      <c r="F23" s="76"/>
      <c r="G23" s="76"/>
      <c r="H23" s="76"/>
      <c r="I23" s="76"/>
    </row>
    <row r="24" spans="1:9" x14ac:dyDescent="0.25">
      <c r="A24" s="118">
        <v>10</v>
      </c>
      <c r="B24" s="114" t="s">
        <v>68</v>
      </c>
      <c r="C24" s="115"/>
      <c r="D24" s="76"/>
      <c r="E24" s="76"/>
      <c r="F24" s="76"/>
      <c r="G24" s="76"/>
      <c r="H24" s="76"/>
      <c r="I24" s="76"/>
    </row>
    <row r="25" spans="1:9" ht="15.75" customHeight="1" x14ac:dyDescent="0.25">
      <c r="A25" s="119"/>
      <c r="B25" s="116"/>
      <c r="C25" s="117"/>
      <c r="D25" s="76"/>
      <c r="E25" s="76"/>
      <c r="F25" s="76"/>
      <c r="G25" s="76"/>
      <c r="H25" s="76"/>
      <c r="I25" s="76"/>
    </row>
    <row r="26" spans="1:9" ht="15.75" customHeight="1" x14ac:dyDescent="0.25">
      <c r="A26" s="118">
        <v>11</v>
      </c>
      <c r="B26" s="114" t="s">
        <v>160</v>
      </c>
      <c r="C26" s="115"/>
      <c r="D26" s="76"/>
      <c r="E26" s="76"/>
      <c r="F26" s="76"/>
      <c r="G26" s="76"/>
      <c r="H26" s="76"/>
      <c r="I26" s="76"/>
    </row>
    <row r="27" spans="1:9" x14ac:dyDescent="0.25">
      <c r="A27" s="119"/>
      <c r="B27" s="116"/>
      <c r="C27" s="117"/>
      <c r="D27" s="76"/>
      <c r="E27" s="76"/>
      <c r="F27" s="76"/>
      <c r="G27" s="76"/>
      <c r="H27" s="76"/>
      <c r="I27" s="76"/>
    </row>
    <row r="28" spans="1:9" x14ac:dyDescent="0.25">
      <c r="A28" s="118">
        <v>12</v>
      </c>
      <c r="B28" s="114" t="s">
        <v>71</v>
      </c>
      <c r="C28" s="115"/>
      <c r="D28" s="76"/>
      <c r="E28" s="76"/>
      <c r="F28" s="76"/>
      <c r="G28" s="76"/>
      <c r="H28" s="76"/>
      <c r="I28" s="76"/>
    </row>
    <row r="29" spans="1:9" x14ac:dyDescent="0.25">
      <c r="A29" s="119"/>
      <c r="B29" s="116"/>
      <c r="C29" s="117"/>
      <c r="D29" s="76"/>
      <c r="E29" s="76"/>
      <c r="F29" s="76"/>
      <c r="G29" s="76"/>
      <c r="H29" s="76"/>
      <c r="I29" s="76"/>
    </row>
    <row r="30" spans="1:9" x14ac:dyDescent="0.25">
      <c r="A30" s="118">
        <v>13</v>
      </c>
      <c r="B30" s="114" t="s">
        <v>72</v>
      </c>
      <c r="C30" s="115"/>
      <c r="D30" s="76"/>
      <c r="E30" s="76"/>
      <c r="F30" s="76"/>
      <c r="G30" s="76"/>
      <c r="H30" s="76"/>
      <c r="I30" s="76"/>
    </row>
    <row r="31" spans="1:9" x14ac:dyDescent="0.25">
      <c r="A31" s="119"/>
      <c r="B31" s="116"/>
      <c r="C31" s="117"/>
      <c r="D31" s="76"/>
      <c r="E31" s="76"/>
      <c r="F31" s="76"/>
      <c r="G31" s="76"/>
      <c r="H31" s="76"/>
      <c r="I31" s="76"/>
    </row>
    <row r="32" spans="1:9" x14ac:dyDescent="0.25">
      <c r="A32" s="118">
        <v>14</v>
      </c>
      <c r="B32" s="114" t="s">
        <v>73</v>
      </c>
      <c r="C32" s="115"/>
      <c r="D32" s="76"/>
      <c r="E32" s="76"/>
      <c r="F32" s="76"/>
      <c r="G32" s="76"/>
      <c r="H32" s="76"/>
      <c r="I32" s="76"/>
    </row>
    <row r="33" spans="1:9" x14ac:dyDescent="0.25">
      <c r="A33" s="119"/>
      <c r="B33" s="116"/>
      <c r="C33" s="117"/>
      <c r="D33" s="76"/>
      <c r="E33" s="76"/>
      <c r="F33" s="76"/>
      <c r="G33" s="76"/>
      <c r="H33" s="76"/>
      <c r="I33" s="76"/>
    </row>
    <row r="34" spans="1:9" x14ac:dyDescent="0.25">
      <c r="A34" s="118">
        <v>15</v>
      </c>
      <c r="B34" s="114" t="s">
        <v>201</v>
      </c>
      <c r="C34" s="115"/>
      <c r="D34" s="76"/>
      <c r="E34" s="76"/>
      <c r="F34" s="76"/>
      <c r="G34" s="76"/>
      <c r="H34" s="76"/>
      <c r="I34" s="76"/>
    </row>
    <row r="35" spans="1:9" x14ac:dyDescent="0.25">
      <c r="A35" s="119"/>
      <c r="B35" s="116"/>
      <c r="C35" s="117"/>
      <c r="D35" s="76"/>
      <c r="E35" s="76"/>
      <c r="F35" s="76"/>
      <c r="G35" s="76"/>
      <c r="H35" s="76"/>
      <c r="I35" s="76"/>
    </row>
    <row r="49" s="71" customFormat="1" x14ac:dyDescent="0.25"/>
    <row r="50" s="71" customFormat="1" x14ac:dyDescent="0.25"/>
    <row r="51" s="71" customFormat="1" x14ac:dyDescent="0.25"/>
    <row r="52" s="71" customFormat="1" x14ac:dyDescent="0.25"/>
    <row r="53" s="71" customFormat="1" x14ac:dyDescent="0.25"/>
    <row r="54" s="71" customFormat="1" x14ac:dyDescent="0.25"/>
    <row r="55" s="71" customFormat="1" x14ac:dyDescent="0.25"/>
    <row r="56" s="71" customFormat="1" x14ac:dyDescent="0.25"/>
    <row r="57" s="71" customFormat="1" x14ac:dyDescent="0.25"/>
    <row r="58" s="71" customFormat="1" x14ac:dyDescent="0.25"/>
    <row r="59" s="71" customFormat="1" x14ac:dyDescent="0.25"/>
    <row r="60" s="71" customFormat="1" x14ac:dyDescent="0.25"/>
    <row r="61" s="71" customFormat="1" x14ac:dyDescent="0.25"/>
    <row r="62" s="71" customFormat="1" x14ac:dyDescent="0.25"/>
    <row r="63" s="71" customFormat="1" x14ac:dyDescent="0.25"/>
    <row r="64" s="71" customFormat="1" x14ac:dyDescent="0.25"/>
    <row r="65" s="71" customFormat="1" x14ac:dyDescent="0.25"/>
    <row r="66" s="71" customFormat="1" x14ac:dyDescent="0.25"/>
    <row r="67" s="71" customFormat="1" x14ac:dyDescent="0.25"/>
    <row r="68" s="71" customFormat="1" x14ac:dyDescent="0.25"/>
    <row r="69" s="71" customFormat="1" x14ac:dyDescent="0.25"/>
    <row r="70" s="71" customFormat="1" x14ac:dyDescent="0.25"/>
    <row r="71" s="71" customFormat="1" x14ac:dyDescent="0.25"/>
    <row r="72" s="71" customFormat="1" x14ac:dyDescent="0.25"/>
    <row r="73" s="71" customFormat="1" x14ac:dyDescent="0.25"/>
    <row r="74" s="71" customFormat="1" x14ac:dyDescent="0.25"/>
    <row r="75" s="71" customFormat="1" x14ac:dyDescent="0.25"/>
    <row r="76" s="71" customFormat="1" x14ac:dyDescent="0.25"/>
    <row r="77" s="71" customFormat="1" x14ac:dyDescent="0.25"/>
    <row r="78" s="71" customFormat="1" x14ac:dyDescent="0.25"/>
    <row r="79" s="71" customFormat="1" x14ac:dyDescent="0.25"/>
    <row r="80" s="71" customFormat="1" x14ac:dyDescent="0.25"/>
    <row r="81" s="71" customFormat="1" x14ac:dyDescent="0.25"/>
    <row r="82" s="71" customFormat="1" x14ac:dyDescent="0.25"/>
    <row r="83" s="71" customFormat="1" x14ac:dyDescent="0.25"/>
    <row r="84" s="71" customFormat="1" x14ac:dyDescent="0.25"/>
    <row r="85" s="71" customFormat="1" x14ac:dyDescent="0.25"/>
    <row r="86" s="71" customFormat="1" x14ac:dyDescent="0.25"/>
    <row r="87" s="71" customFormat="1" x14ac:dyDescent="0.25"/>
    <row r="88" s="71" customFormat="1" x14ac:dyDescent="0.25"/>
    <row r="89" s="71" customFormat="1" x14ac:dyDescent="0.25"/>
    <row r="90" s="71" customFormat="1" x14ac:dyDescent="0.25"/>
    <row r="91" s="71" customFormat="1" x14ac:dyDescent="0.25"/>
    <row r="92" s="71" customFormat="1" x14ac:dyDescent="0.25"/>
    <row r="93" s="71" customFormat="1" x14ac:dyDescent="0.25"/>
    <row r="94" s="71" customFormat="1" x14ac:dyDescent="0.25"/>
    <row r="95" s="71" customFormat="1" x14ac:dyDescent="0.25"/>
    <row r="96" s="71" customFormat="1" x14ac:dyDescent="0.25"/>
    <row r="97" s="71" customFormat="1" x14ac:dyDescent="0.25"/>
    <row r="98" s="71" customFormat="1" x14ac:dyDescent="0.25"/>
    <row r="99" s="71" customFormat="1" x14ac:dyDescent="0.25"/>
    <row r="100" s="71" customFormat="1" x14ac:dyDescent="0.25"/>
    <row r="101" s="71" customFormat="1" x14ac:dyDescent="0.25"/>
    <row r="102" s="71" customFormat="1" x14ac:dyDescent="0.25"/>
    <row r="103" s="71" customFormat="1" x14ac:dyDescent="0.25"/>
    <row r="104" s="71" customFormat="1" x14ac:dyDescent="0.25"/>
    <row r="105" s="71" customFormat="1" x14ac:dyDescent="0.25"/>
    <row r="106" s="71" customFormat="1" x14ac:dyDescent="0.25"/>
    <row r="107" s="71" customFormat="1" x14ac:dyDescent="0.25"/>
    <row r="108" s="71" customFormat="1" x14ac:dyDescent="0.25"/>
    <row r="109" s="71" customFormat="1" x14ac:dyDescent="0.25"/>
    <row r="110" s="71" customFormat="1" x14ac:dyDescent="0.25"/>
    <row r="111" s="71" customFormat="1" x14ac:dyDescent="0.25"/>
    <row r="112" s="71" customFormat="1" x14ac:dyDescent="0.25"/>
    <row r="113" s="71" customFormat="1" x14ac:dyDescent="0.25"/>
    <row r="114" s="71" customFormat="1" x14ac:dyDescent="0.25"/>
    <row r="115" s="71" customFormat="1" x14ac:dyDescent="0.25"/>
    <row r="116" s="71" customFormat="1" x14ac:dyDescent="0.25"/>
    <row r="117" s="71" customFormat="1" x14ac:dyDescent="0.25"/>
    <row r="118" s="71" customFormat="1" x14ac:dyDescent="0.25"/>
    <row r="119" s="71" customFormat="1" x14ac:dyDescent="0.25"/>
    <row r="120" s="71" customFormat="1" x14ac:dyDescent="0.25"/>
    <row r="121" s="71" customFormat="1" x14ac:dyDescent="0.25"/>
    <row r="122" s="71" customFormat="1" x14ac:dyDescent="0.25"/>
    <row r="123" s="71" customFormat="1" x14ac:dyDescent="0.25"/>
    <row r="124" s="71" customFormat="1" x14ac:dyDescent="0.25"/>
    <row r="125" s="71" customFormat="1" x14ac:dyDescent="0.25"/>
    <row r="126" s="71" customFormat="1" x14ac:dyDescent="0.25"/>
    <row r="127" s="71" customFormat="1" x14ac:dyDescent="0.25"/>
    <row r="128" s="71" customFormat="1" x14ac:dyDescent="0.25"/>
    <row r="129" s="71" customFormat="1" x14ac:dyDescent="0.25"/>
    <row r="130" s="71" customFormat="1" x14ac:dyDescent="0.25"/>
    <row r="131" s="71" customFormat="1" x14ac:dyDescent="0.25"/>
    <row r="132" s="71" customFormat="1" x14ac:dyDescent="0.25"/>
    <row r="133" s="71" customFormat="1" x14ac:dyDescent="0.25"/>
    <row r="134" s="71" customFormat="1" x14ac:dyDescent="0.25"/>
    <row r="135" s="71" customFormat="1" x14ac:dyDescent="0.25"/>
    <row r="136" s="71" customFormat="1" x14ac:dyDescent="0.25"/>
    <row r="137" s="71" customFormat="1" x14ac:dyDescent="0.25"/>
    <row r="138" s="71" customFormat="1" x14ac:dyDescent="0.25"/>
    <row r="139" s="71" customFormat="1" x14ac:dyDescent="0.25"/>
    <row r="140" s="71" customFormat="1" x14ac:dyDescent="0.25"/>
    <row r="141" s="71" customFormat="1" x14ac:dyDescent="0.25"/>
    <row r="142" s="71" customFormat="1" x14ac:dyDescent="0.25"/>
    <row r="143" s="71" customFormat="1" x14ac:dyDescent="0.25"/>
    <row r="144" s="71" customFormat="1" x14ac:dyDescent="0.25"/>
    <row r="145" s="71" customFormat="1" x14ac:dyDescent="0.25"/>
    <row r="146" s="71" customFormat="1" x14ac:dyDescent="0.25"/>
    <row r="147" s="71" customFormat="1" x14ac:dyDescent="0.25"/>
    <row r="148" s="71" customFormat="1" x14ac:dyDescent="0.25"/>
    <row r="149" s="71" customFormat="1" x14ac:dyDescent="0.25"/>
    <row r="150" s="71" customFormat="1" x14ac:dyDescent="0.25"/>
    <row r="151" s="71" customFormat="1" x14ac:dyDescent="0.25"/>
    <row r="152" s="71" customFormat="1" x14ac:dyDescent="0.25"/>
    <row r="153" s="71" customFormat="1" x14ac:dyDescent="0.25"/>
    <row r="154" s="71" customFormat="1" x14ac:dyDescent="0.25"/>
    <row r="155" s="71" customFormat="1" x14ac:dyDescent="0.25"/>
    <row r="156" s="71" customFormat="1" x14ac:dyDescent="0.25"/>
    <row r="157" s="71" customFormat="1" x14ac:dyDescent="0.25"/>
    <row r="158" s="71" customFormat="1" x14ac:dyDescent="0.25"/>
    <row r="159" s="71" customFormat="1" x14ac:dyDescent="0.25"/>
    <row r="160" s="71" customFormat="1" x14ac:dyDescent="0.25"/>
    <row r="161" s="71" customFormat="1" x14ac:dyDescent="0.25"/>
    <row r="162" s="71" customFormat="1" x14ac:dyDescent="0.25"/>
    <row r="163" s="71" customFormat="1" x14ac:dyDescent="0.25"/>
    <row r="164" s="71" customFormat="1" x14ac:dyDescent="0.25"/>
    <row r="165" s="71" customFormat="1" x14ac:dyDescent="0.25"/>
    <row r="166" s="71" customFormat="1" x14ac:dyDescent="0.25"/>
    <row r="167" s="71" customFormat="1" x14ac:dyDescent="0.25"/>
    <row r="168" s="71" customFormat="1" x14ac:dyDescent="0.25"/>
    <row r="169" s="71" customFormat="1" x14ac:dyDescent="0.25"/>
    <row r="170" s="71" customFormat="1" x14ac:dyDescent="0.25"/>
    <row r="171" s="71" customFormat="1" x14ac:dyDescent="0.25"/>
    <row r="172" s="71" customFormat="1" x14ac:dyDescent="0.25"/>
    <row r="173" s="71" customFormat="1" x14ac:dyDescent="0.25"/>
    <row r="174" s="71" customFormat="1" x14ac:dyDescent="0.25"/>
    <row r="175" s="71" customFormat="1" x14ac:dyDescent="0.25"/>
    <row r="176" s="71" customFormat="1" x14ac:dyDescent="0.25"/>
    <row r="177" s="71" customFormat="1" x14ac:dyDescent="0.25"/>
    <row r="178" s="71" customFormat="1" x14ac:dyDescent="0.25"/>
    <row r="179" s="71" customFormat="1" x14ac:dyDescent="0.25"/>
    <row r="180" s="71" customFormat="1" x14ac:dyDescent="0.25"/>
    <row r="181" s="71" customFormat="1" x14ac:dyDescent="0.25"/>
    <row r="182" s="71" customFormat="1" x14ac:dyDescent="0.25"/>
    <row r="183" s="71" customFormat="1" x14ac:dyDescent="0.25"/>
    <row r="184" s="71" customFormat="1" x14ac:dyDescent="0.25"/>
    <row r="185" s="71" customFormat="1" x14ac:dyDescent="0.25"/>
    <row r="186" s="71" customFormat="1" x14ac:dyDescent="0.25"/>
    <row r="187" s="71" customFormat="1" x14ac:dyDescent="0.25"/>
    <row r="188" s="71" customFormat="1" x14ac:dyDescent="0.25"/>
    <row r="189" s="71" customFormat="1" x14ac:dyDescent="0.25"/>
    <row r="190" s="71" customFormat="1" x14ac:dyDescent="0.25"/>
    <row r="191" s="71" customFormat="1" x14ac:dyDescent="0.25"/>
    <row r="192" s="71" customFormat="1" x14ac:dyDescent="0.25"/>
    <row r="193" s="71" customFormat="1" x14ac:dyDescent="0.25"/>
    <row r="194" s="71" customFormat="1" x14ac:dyDescent="0.25"/>
    <row r="195" s="71" customFormat="1" x14ac:dyDescent="0.25"/>
    <row r="196" s="71" customFormat="1" x14ac:dyDescent="0.25"/>
    <row r="197" s="71" customFormat="1" x14ac:dyDescent="0.25"/>
    <row r="198" s="71" customFormat="1" x14ac:dyDescent="0.25"/>
    <row r="199" s="71" customFormat="1" x14ac:dyDescent="0.25"/>
    <row r="200" s="71" customFormat="1" x14ac:dyDescent="0.25"/>
    <row r="201" s="71" customFormat="1" x14ac:dyDescent="0.25"/>
    <row r="202" s="71" customFormat="1" x14ac:dyDescent="0.25"/>
    <row r="203" s="71" customFormat="1" x14ac:dyDescent="0.25"/>
    <row r="204" s="71" customFormat="1" x14ac:dyDescent="0.25"/>
    <row r="205" s="71" customFormat="1" x14ac:dyDescent="0.25"/>
    <row r="206" s="71" customFormat="1" x14ac:dyDescent="0.25"/>
    <row r="207" s="71" customFormat="1" x14ac:dyDescent="0.25"/>
    <row r="208" s="71" customFormat="1" x14ac:dyDescent="0.25"/>
    <row r="209" s="71" customFormat="1" x14ac:dyDescent="0.25"/>
    <row r="210" s="71" customFormat="1" x14ac:dyDescent="0.25"/>
    <row r="211" s="71" customFormat="1" x14ac:dyDescent="0.25"/>
    <row r="212" s="71" customFormat="1" x14ac:dyDescent="0.25"/>
    <row r="213" s="71" customFormat="1" x14ac:dyDescent="0.25"/>
    <row r="214" s="71" customFormat="1" x14ac:dyDescent="0.25"/>
    <row r="215" s="71" customFormat="1" x14ac:dyDescent="0.25"/>
    <row r="216" s="71" customFormat="1" x14ac:dyDescent="0.25"/>
    <row r="217" s="71" customFormat="1" x14ac:dyDescent="0.25"/>
    <row r="218" s="71" customFormat="1" x14ac:dyDescent="0.25"/>
    <row r="219" s="71" customFormat="1" x14ac:dyDescent="0.25"/>
    <row r="220" s="71" customFormat="1" x14ac:dyDescent="0.25"/>
    <row r="221" s="71" customFormat="1" x14ac:dyDescent="0.25"/>
    <row r="222" s="71" customFormat="1" x14ac:dyDescent="0.25"/>
    <row r="223" s="71" customFormat="1" x14ac:dyDescent="0.25"/>
    <row r="224" s="71" customFormat="1" x14ac:dyDescent="0.25"/>
    <row r="225" s="71" customFormat="1" x14ac:dyDescent="0.25"/>
    <row r="226" s="71" customFormat="1" x14ac:dyDescent="0.25"/>
    <row r="227" s="71" customFormat="1" x14ac:dyDescent="0.25"/>
    <row r="228" s="71" customFormat="1" x14ac:dyDescent="0.25"/>
    <row r="229" s="71" customFormat="1" x14ac:dyDescent="0.25"/>
    <row r="230" s="71" customFormat="1" x14ac:dyDescent="0.25"/>
    <row r="231" s="71" customFormat="1" x14ac:dyDescent="0.25"/>
    <row r="232" s="71" customFormat="1" x14ac:dyDescent="0.25"/>
    <row r="233" s="71" customFormat="1" x14ac:dyDescent="0.25"/>
    <row r="234" s="71" customFormat="1" x14ac:dyDescent="0.25"/>
    <row r="235" s="71" customFormat="1" x14ac:dyDescent="0.25"/>
    <row r="236" s="71" customFormat="1" x14ac:dyDescent="0.25"/>
    <row r="237" s="71" customFormat="1" x14ac:dyDescent="0.25"/>
    <row r="238" s="71" customFormat="1" x14ac:dyDescent="0.25"/>
    <row r="239" s="71" customFormat="1" x14ac:dyDescent="0.25"/>
    <row r="240" s="71" customFormat="1" x14ac:dyDescent="0.25"/>
    <row r="241" s="71" customFormat="1" x14ac:dyDescent="0.25"/>
    <row r="242" s="71" customFormat="1" x14ac:dyDescent="0.25"/>
    <row r="243" s="71" customFormat="1" x14ac:dyDescent="0.25"/>
    <row r="244" s="71" customFormat="1" x14ac:dyDescent="0.25"/>
    <row r="245" s="71" customFormat="1" x14ac:dyDescent="0.25"/>
    <row r="246" s="71" customFormat="1" x14ac:dyDescent="0.25"/>
    <row r="247" s="71" customFormat="1" x14ac:dyDescent="0.25"/>
    <row r="248" s="71" customFormat="1" x14ac:dyDescent="0.25"/>
    <row r="249" s="71" customFormat="1" x14ac:dyDescent="0.25"/>
    <row r="250" s="71" customFormat="1" x14ac:dyDescent="0.25"/>
    <row r="251" s="71" customFormat="1" x14ac:dyDescent="0.25"/>
    <row r="252" s="71" customFormat="1" x14ac:dyDescent="0.25"/>
    <row r="253" s="71" customFormat="1" x14ac:dyDescent="0.25"/>
    <row r="254" s="71" customFormat="1" x14ac:dyDescent="0.25"/>
    <row r="255" s="71" customFormat="1" x14ac:dyDescent="0.25"/>
    <row r="256" s="71" customFormat="1" x14ac:dyDescent="0.25"/>
    <row r="257" s="71" customFormat="1" x14ac:dyDescent="0.25"/>
    <row r="258" s="71" customFormat="1" x14ac:dyDescent="0.25"/>
    <row r="259" s="71" customFormat="1" x14ac:dyDescent="0.25"/>
    <row r="260" s="71" customFormat="1" x14ac:dyDescent="0.25"/>
    <row r="261" s="71" customFormat="1" x14ac:dyDescent="0.25"/>
    <row r="262" s="71" customFormat="1" x14ac:dyDescent="0.25"/>
    <row r="263" s="71" customFormat="1" x14ac:dyDescent="0.25"/>
    <row r="264" s="71" customFormat="1" x14ac:dyDescent="0.25"/>
    <row r="265" s="71" customFormat="1" x14ac:dyDescent="0.25"/>
    <row r="266" s="71" customFormat="1" x14ac:dyDescent="0.25"/>
    <row r="267" s="71" customFormat="1" x14ac:dyDescent="0.25"/>
    <row r="268" s="71" customFormat="1" x14ac:dyDescent="0.25"/>
    <row r="269" s="71" customFormat="1" x14ac:dyDescent="0.25"/>
    <row r="270" s="71" customFormat="1" x14ac:dyDescent="0.25"/>
    <row r="271" s="71" customFormat="1" x14ac:dyDescent="0.25"/>
    <row r="272" s="71" customFormat="1" x14ac:dyDescent="0.25"/>
    <row r="273" s="71" customFormat="1" x14ac:dyDescent="0.25"/>
    <row r="274" s="71" customFormat="1" x14ac:dyDescent="0.25"/>
    <row r="275" s="71" customFormat="1" x14ac:dyDescent="0.25"/>
    <row r="276" s="71" customFormat="1" x14ac:dyDescent="0.25"/>
    <row r="277" s="71" customFormat="1" x14ac:dyDescent="0.25"/>
    <row r="278" s="71" customFormat="1" x14ac:dyDescent="0.25"/>
    <row r="279" s="71" customFormat="1" x14ac:dyDescent="0.25"/>
    <row r="280" s="71" customFormat="1" x14ac:dyDescent="0.25"/>
    <row r="281" s="71" customFormat="1" x14ac:dyDescent="0.25"/>
    <row r="282" s="71" customFormat="1" x14ac:dyDescent="0.25"/>
    <row r="283" s="71" customFormat="1" x14ac:dyDescent="0.25"/>
    <row r="284" s="71" customFormat="1" x14ac:dyDescent="0.25"/>
    <row r="285" s="71" customFormat="1" x14ac:dyDescent="0.25"/>
    <row r="286" s="71" customFormat="1" x14ac:dyDescent="0.25"/>
    <row r="287" s="71" customFormat="1" x14ac:dyDescent="0.25"/>
    <row r="288" s="71" customFormat="1" x14ac:dyDescent="0.25"/>
    <row r="289" s="71" customFormat="1" x14ac:dyDescent="0.25"/>
    <row r="290" s="71" customFormat="1" x14ac:dyDescent="0.25"/>
    <row r="291" s="71" customFormat="1" x14ac:dyDescent="0.25"/>
    <row r="292" s="71" customFormat="1" x14ac:dyDescent="0.25"/>
    <row r="293" s="71" customFormat="1" x14ac:dyDescent="0.25"/>
    <row r="294" s="71" customFormat="1" x14ac:dyDescent="0.25"/>
    <row r="295" s="71" customFormat="1" x14ac:dyDescent="0.25"/>
    <row r="296" s="71" customFormat="1" x14ac:dyDescent="0.25"/>
    <row r="297" s="71" customFormat="1" x14ac:dyDescent="0.25"/>
    <row r="298" s="71" customFormat="1" x14ac:dyDescent="0.25"/>
    <row r="299" s="71" customFormat="1" x14ac:dyDescent="0.25"/>
    <row r="300" s="71" customFormat="1" x14ac:dyDescent="0.25"/>
    <row r="301" s="71" customFormat="1" x14ac:dyDescent="0.25"/>
    <row r="302" s="71" customFormat="1" x14ac:dyDescent="0.25"/>
    <row r="303" s="71" customFormat="1" x14ac:dyDescent="0.25"/>
    <row r="304" s="71" customFormat="1" x14ac:dyDescent="0.25"/>
    <row r="305" s="71" customFormat="1" x14ac:dyDescent="0.25"/>
    <row r="306" s="71" customFormat="1" x14ac:dyDescent="0.25"/>
    <row r="307" s="71" customFormat="1" x14ac:dyDescent="0.25"/>
    <row r="308" s="71" customFormat="1" x14ac:dyDescent="0.25"/>
    <row r="309" s="71" customFormat="1" x14ac:dyDescent="0.25"/>
    <row r="310" s="71" customFormat="1" x14ac:dyDescent="0.25"/>
    <row r="311" s="71" customFormat="1" x14ac:dyDescent="0.25"/>
    <row r="312" s="71" customFormat="1" x14ac:dyDescent="0.25"/>
    <row r="313" s="71" customFormat="1" x14ac:dyDescent="0.25"/>
    <row r="314" s="71" customFormat="1" x14ac:dyDescent="0.25"/>
    <row r="315" s="71" customFormat="1" x14ac:dyDescent="0.25"/>
    <row r="316" s="71" customFormat="1" x14ac:dyDescent="0.25"/>
    <row r="317" s="71" customFormat="1" x14ac:dyDescent="0.25"/>
    <row r="318" s="71" customFormat="1" x14ac:dyDescent="0.25"/>
    <row r="319" s="71" customFormat="1" x14ac:dyDescent="0.25"/>
    <row r="320" s="71" customFormat="1" x14ac:dyDescent="0.25"/>
    <row r="321" s="71" customFormat="1" x14ac:dyDescent="0.25"/>
    <row r="322" s="71" customFormat="1" x14ac:dyDescent="0.25"/>
    <row r="323" s="71" customFormat="1" x14ac:dyDescent="0.25"/>
    <row r="324" s="71" customFormat="1" x14ac:dyDescent="0.25"/>
    <row r="325" s="71" customFormat="1" x14ac:dyDescent="0.25"/>
    <row r="326" s="71" customFormat="1" x14ac:dyDescent="0.25"/>
    <row r="327" s="71" customFormat="1" x14ac:dyDescent="0.25"/>
    <row r="328" s="71" customFormat="1" x14ac:dyDescent="0.25"/>
    <row r="329" s="71" customFormat="1" x14ac:dyDescent="0.25"/>
    <row r="330" s="71" customFormat="1" x14ac:dyDescent="0.25"/>
    <row r="331" s="71" customFormat="1" x14ac:dyDescent="0.25"/>
    <row r="332" s="71" customFormat="1" x14ac:dyDescent="0.25"/>
    <row r="333" s="71" customFormat="1" x14ac:dyDescent="0.25"/>
    <row r="334" s="71" customFormat="1" x14ac:dyDescent="0.25"/>
    <row r="335" s="71" customFormat="1" x14ac:dyDescent="0.25"/>
    <row r="336" s="71" customFormat="1" x14ac:dyDescent="0.25"/>
    <row r="337" s="71" customFormat="1" x14ac:dyDescent="0.25"/>
    <row r="338" s="71" customFormat="1" x14ac:dyDescent="0.25"/>
    <row r="339" s="71" customFormat="1" x14ac:dyDescent="0.25"/>
    <row r="340" s="71" customFormat="1" x14ac:dyDescent="0.25"/>
    <row r="341" s="71" customFormat="1" x14ac:dyDescent="0.25"/>
    <row r="342" s="71" customFormat="1" x14ac:dyDescent="0.25"/>
    <row r="343" s="71" customFormat="1" x14ac:dyDescent="0.25"/>
    <row r="344" s="71" customFormat="1" x14ac:dyDescent="0.25"/>
    <row r="345" s="71" customFormat="1" x14ac:dyDescent="0.25"/>
    <row r="346" s="71" customFormat="1" x14ac:dyDescent="0.25"/>
    <row r="347" s="71" customFormat="1" x14ac:dyDescent="0.25"/>
    <row r="348" s="71" customFormat="1" x14ac:dyDescent="0.25"/>
    <row r="349" s="71" customFormat="1" x14ac:dyDescent="0.25"/>
    <row r="350" s="71" customFormat="1" x14ac:dyDescent="0.25"/>
    <row r="351" s="71" customFormat="1" x14ac:dyDescent="0.25"/>
    <row r="352" s="71" customFormat="1" x14ac:dyDescent="0.25"/>
    <row r="353" s="71" customFormat="1" x14ac:dyDescent="0.25"/>
    <row r="354" s="71" customFormat="1" x14ac:dyDescent="0.25"/>
    <row r="355" s="71" customFormat="1" x14ac:dyDescent="0.25"/>
    <row r="356" s="71" customFormat="1" x14ac:dyDescent="0.25"/>
    <row r="357" s="71" customFormat="1" x14ac:dyDescent="0.25"/>
    <row r="358" s="71" customFormat="1" x14ac:dyDescent="0.25"/>
    <row r="359" s="71" customFormat="1" x14ac:dyDescent="0.25"/>
    <row r="360" s="71" customFormat="1" x14ac:dyDescent="0.25"/>
    <row r="361" s="71" customFormat="1" x14ac:dyDescent="0.25"/>
    <row r="362" s="71" customFormat="1" x14ac:dyDescent="0.25"/>
    <row r="363" s="71" customFormat="1" x14ac:dyDescent="0.25"/>
    <row r="364" s="71" customFormat="1" x14ac:dyDescent="0.25"/>
    <row r="365" s="71" customFormat="1" x14ac:dyDescent="0.25"/>
    <row r="366" s="71" customFormat="1" x14ac:dyDescent="0.25"/>
    <row r="367" s="71" customFormat="1" x14ac:dyDescent="0.25"/>
    <row r="368" s="71" customFormat="1" x14ac:dyDescent="0.25"/>
    <row r="369" s="71" customFormat="1" x14ac:dyDescent="0.25"/>
    <row r="370" s="71" customFormat="1" x14ac:dyDescent="0.25"/>
    <row r="371" s="71" customFormat="1" x14ac:dyDescent="0.25"/>
    <row r="372" s="71" customFormat="1" x14ac:dyDescent="0.25"/>
    <row r="373" s="71" customFormat="1" x14ac:dyDescent="0.25"/>
    <row r="374" s="71" customFormat="1" x14ac:dyDescent="0.25"/>
    <row r="375" s="71" customFormat="1" x14ac:dyDescent="0.25"/>
    <row r="376" s="71" customFormat="1" x14ac:dyDescent="0.25"/>
    <row r="377" s="71" customFormat="1" x14ac:dyDescent="0.25"/>
    <row r="378" s="71" customFormat="1" x14ac:dyDescent="0.25"/>
    <row r="379" s="71" customFormat="1" x14ac:dyDescent="0.25"/>
    <row r="380" s="71" customFormat="1" x14ac:dyDescent="0.25"/>
    <row r="381" s="71" customFormat="1" x14ac:dyDescent="0.25"/>
    <row r="382" s="71" customFormat="1" x14ac:dyDescent="0.25"/>
    <row r="383" s="71" customFormat="1" x14ac:dyDescent="0.25"/>
    <row r="384" s="71" customFormat="1" x14ac:dyDescent="0.25"/>
    <row r="385" s="71" customFormat="1" x14ac:dyDescent="0.25"/>
    <row r="386" s="71" customFormat="1" x14ac:dyDescent="0.25"/>
    <row r="387" s="71" customFormat="1" x14ac:dyDescent="0.25"/>
    <row r="388" s="71" customFormat="1" x14ac:dyDescent="0.25"/>
    <row r="389" s="71" customFormat="1" x14ac:dyDescent="0.25"/>
    <row r="390" s="71" customFormat="1" x14ac:dyDescent="0.25"/>
    <row r="391" s="71" customFormat="1" x14ac:dyDescent="0.25"/>
    <row r="392" s="71" customFormat="1" x14ac:dyDescent="0.25"/>
    <row r="393" s="71" customFormat="1" x14ac:dyDescent="0.25"/>
    <row r="394" s="71" customFormat="1" x14ac:dyDescent="0.25"/>
    <row r="395" s="71" customFormat="1" x14ac:dyDescent="0.25"/>
    <row r="396" s="71" customFormat="1" x14ac:dyDescent="0.25"/>
    <row r="397" s="71" customFormat="1" x14ac:dyDescent="0.25"/>
    <row r="398" s="71" customFormat="1" x14ac:dyDescent="0.25"/>
    <row r="399" s="71" customFormat="1" x14ac:dyDescent="0.25"/>
    <row r="400" s="71" customFormat="1" x14ac:dyDescent="0.25"/>
    <row r="401" s="71" customFormat="1" x14ac:dyDescent="0.25"/>
    <row r="402" s="71" customFormat="1" x14ac:dyDescent="0.25"/>
    <row r="403" s="71" customFormat="1" x14ac:dyDescent="0.25"/>
    <row r="404" s="71" customFormat="1" x14ac:dyDescent="0.25"/>
    <row r="405" s="71" customFormat="1" x14ac:dyDescent="0.25"/>
    <row r="406" s="71" customFormat="1" x14ac:dyDescent="0.25"/>
    <row r="407" s="71" customFormat="1" x14ac:dyDescent="0.25"/>
    <row r="408" s="71" customFormat="1" x14ac:dyDescent="0.25"/>
    <row r="409" s="71" customFormat="1" x14ac:dyDescent="0.25"/>
    <row r="410" s="71" customFormat="1" x14ac:dyDescent="0.25"/>
    <row r="411" s="71" customFormat="1" x14ac:dyDescent="0.25"/>
    <row r="412" s="71" customFormat="1" x14ac:dyDescent="0.25"/>
    <row r="413" s="71" customFormat="1" x14ac:dyDescent="0.25"/>
    <row r="414" s="71" customFormat="1" x14ac:dyDescent="0.25"/>
    <row r="415" s="71" customFormat="1" x14ac:dyDescent="0.25"/>
    <row r="416" s="71" customFormat="1" x14ac:dyDescent="0.25"/>
    <row r="417" s="71" customFormat="1" x14ac:dyDescent="0.25"/>
    <row r="418" s="71" customFormat="1" x14ac:dyDescent="0.25"/>
    <row r="419" s="71" customFormat="1" x14ac:dyDescent="0.25"/>
    <row r="420" s="71" customFormat="1" x14ac:dyDescent="0.25"/>
    <row r="421" s="71" customFormat="1" x14ac:dyDescent="0.25"/>
    <row r="422" s="71" customFormat="1" x14ac:dyDescent="0.25"/>
    <row r="423" s="71" customFormat="1" x14ac:dyDescent="0.25"/>
    <row r="424" s="71" customFormat="1" x14ac:dyDescent="0.25"/>
    <row r="425" s="71" customFormat="1" x14ac:dyDescent="0.25"/>
    <row r="426" s="71" customFormat="1" x14ac:dyDescent="0.25"/>
    <row r="427" s="71" customFormat="1" x14ac:dyDescent="0.25"/>
    <row r="428" s="71" customFormat="1" x14ac:dyDescent="0.25"/>
    <row r="429" s="71" customFormat="1" x14ac:dyDescent="0.25"/>
    <row r="430" s="71" customFormat="1" x14ac:dyDescent="0.25"/>
    <row r="431" s="71" customFormat="1" x14ac:dyDescent="0.25"/>
    <row r="432" s="71" customFormat="1" x14ac:dyDescent="0.25"/>
    <row r="433" s="71" customFormat="1" x14ac:dyDescent="0.25"/>
    <row r="434" s="71" customFormat="1" x14ac:dyDescent="0.25"/>
    <row r="435" s="71" customFormat="1" x14ac:dyDescent="0.25"/>
    <row r="436" s="71" customFormat="1" x14ac:dyDescent="0.25"/>
    <row r="437" s="71" customFormat="1" x14ac:dyDescent="0.25"/>
    <row r="438" s="71" customFormat="1" x14ac:dyDescent="0.25"/>
    <row r="439" s="71" customFormat="1" x14ac:dyDescent="0.25"/>
    <row r="440" s="71" customFormat="1" x14ac:dyDescent="0.25"/>
    <row r="441" s="71" customFormat="1" x14ac:dyDescent="0.25"/>
    <row r="442" s="71" customFormat="1" x14ac:dyDescent="0.25"/>
    <row r="443" s="71" customFormat="1" x14ac:dyDescent="0.25"/>
    <row r="444" s="71" customFormat="1" x14ac:dyDescent="0.25"/>
    <row r="445" s="71" customFormat="1" x14ac:dyDescent="0.25"/>
    <row r="446" s="71" customFormat="1" x14ac:dyDescent="0.25"/>
    <row r="447" s="71" customFormat="1" x14ac:dyDescent="0.25"/>
    <row r="448" s="71" customFormat="1" x14ac:dyDescent="0.25"/>
    <row r="449" s="71" customFormat="1" x14ac:dyDescent="0.25"/>
    <row r="450" s="71" customFormat="1" x14ac:dyDescent="0.25"/>
    <row r="451" s="71" customFormat="1" x14ac:dyDescent="0.25"/>
    <row r="452" s="71" customFormat="1" x14ac:dyDescent="0.25"/>
    <row r="453" s="71" customFormat="1" x14ac:dyDescent="0.25"/>
    <row r="454" s="71" customFormat="1" x14ac:dyDescent="0.25"/>
    <row r="455" s="71" customFormat="1" x14ac:dyDescent="0.25"/>
    <row r="456" s="71" customFormat="1" x14ac:dyDescent="0.25"/>
    <row r="457" s="71" customFormat="1" x14ac:dyDescent="0.25"/>
    <row r="458" s="71" customFormat="1" x14ac:dyDescent="0.25"/>
    <row r="459" s="71" customFormat="1" x14ac:dyDescent="0.25"/>
    <row r="460" s="71" customFormat="1" x14ac:dyDescent="0.25"/>
    <row r="461" s="71" customFormat="1" x14ac:dyDescent="0.25"/>
    <row r="462" s="71" customFormat="1" x14ac:dyDescent="0.25"/>
    <row r="463" s="71" customFormat="1" x14ac:dyDescent="0.25"/>
    <row r="464" s="71" customFormat="1" x14ac:dyDescent="0.25"/>
    <row r="465" s="71" customFormat="1" x14ac:dyDescent="0.25"/>
    <row r="466" s="71" customFormat="1" x14ac:dyDescent="0.25"/>
    <row r="467" s="71" customFormat="1" x14ac:dyDescent="0.25"/>
    <row r="468" s="71" customFormat="1" x14ac:dyDescent="0.25"/>
    <row r="469" s="71" customFormat="1" x14ac:dyDescent="0.25"/>
    <row r="470" s="71" customFormat="1" x14ac:dyDescent="0.25"/>
    <row r="471" s="71" customFormat="1" x14ac:dyDescent="0.25"/>
    <row r="472" s="71" customFormat="1" x14ac:dyDescent="0.25"/>
    <row r="473" s="71" customFormat="1" x14ac:dyDescent="0.25"/>
    <row r="474" s="71" customFormat="1" x14ac:dyDescent="0.25"/>
    <row r="475" s="71" customFormat="1" x14ac:dyDescent="0.25"/>
    <row r="476" s="71" customFormat="1" x14ac:dyDescent="0.25"/>
    <row r="477" s="71" customFormat="1" x14ac:dyDescent="0.25"/>
    <row r="478" s="71" customFormat="1" x14ac:dyDescent="0.25"/>
    <row r="479" s="71" customFormat="1" x14ac:dyDescent="0.25"/>
    <row r="480" s="71" customFormat="1" x14ac:dyDescent="0.25"/>
    <row r="481" s="71" customFormat="1" x14ac:dyDescent="0.25"/>
    <row r="482" s="71" customFormat="1" x14ac:dyDescent="0.25"/>
    <row r="483" s="71" customFormat="1" x14ac:dyDescent="0.25"/>
    <row r="484" s="71" customFormat="1" x14ac:dyDescent="0.25"/>
    <row r="485" s="71" customFormat="1" x14ac:dyDescent="0.25"/>
    <row r="486" s="71" customFormat="1" x14ac:dyDescent="0.25"/>
    <row r="487" s="71" customFormat="1" x14ac:dyDescent="0.25"/>
    <row r="488" s="71" customFormat="1" x14ac:dyDescent="0.25"/>
    <row r="489" s="71" customFormat="1" x14ac:dyDescent="0.25"/>
    <row r="490" s="71" customFormat="1" x14ac:dyDescent="0.25"/>
    <row r="491" s="71" customFormat="1" x14ac:dyDescent="0.25"/>
    <row r="492" s="71" customFormat="1" x14ac:dyDescent="0.25"/>
    <row r="493" s="71" customFormat="1" x14ac:dyDescent="0.25"/>
    <row r="494" s="71" customFormat="1" x14ac:dyDescent="0.25"/>
    <row r="495" s="71" customFormat="1" x14ac:dyDescent="0.25"/>
    <row r="496" s="71" customFormat="1" x14ac:dyDescent="0.25"/>
    <row r="497" s="71" customFormat="1" x14ac:dyDescent="0.25"/>
    <row r="498" s="71" customFormat="1" x14ac:dyDescent="0.25"/>
    <row r="499" s="71" customFormat="1" x14ac:dyDescent="0.25"/>
    <row r="500" s="71" customFormat="1" x14ac:dyDescent="0.25"/>
    <row r="501" s="71" customFormat="1" x14ac:dyDescent="0.25"/>
    <row r="502" s="71" customFormat="1" x14ac:dyDescent="0.25"/>
    <row r="503" s="71" customFormat="1" x14ac:dyDescent="0.25"/>
    <row r="504" s="71" customFormat="1" x14ac:dyDescent="0.25"/>
    <row r="505" s="71" customFormat="1" x14ac:dyDescent="0.25"/>
    <row r="506" s="71" customFormat="1" x14ac:dyDescent="0.25"/>
    <row r="507" s="71" customFormat="1" x14ac:dyDescent="0.25"/>
    <row r="508" s="71" customFormat="1" x14ac:dyDescent="0.25"/>
    <row r="509" s="71" customFormat="1" x14ac:dyDescent="0.25"/>
    <row r="510" s="71" customFormat="1" x14ac:dyDescent="0.25"/>
    <row r="511" s="71" customFormat="1" x14ac:dyDescent="0.25"/>
    <row r="512" s="71" customFormat="1" x14ac:dyDescent="0.25"/>
    <row r="513" s="71" customFormat="1" x14ac:dyDescent="0.25"/>
    <row r="514" s="71" customFormat="1" x14ac:dyDescent="0.25"/>
    <row r="515" s="71" customFormat="1" x14ac:dyDescent="0.25"/>
    <row r="516" s="71" customFormat="1" x14ac:dyDescent="0.25"/>
    <row r="517" s="71" customFormat="1" x14ac:dyDescent="0.25"/>
    <row r="518" s="71" customFormat="1" x14ac:dyDescent="0.25"/>
    <row r="519" s="71" customFormat="1" x14ac:dyDescent="0.25"/>
    <row r="520" s="71" customFormat="1" x14ac:dyDescent="0.25"/>
    <row r="521" s="71" customFormat="1" x14ac:dyDescent="0.25"/>
    <row r="522" s="71" customFormat="1" x14ac:dyDescent="0.25"/>
    <row r="523" s="71" customFormat="1" x14ac:dyDescent="0.25"/>
    <row r="524" s="71" customFormat="1" x14ac:dyDescent="0.25"/>
    <row r="525" s="71" customFormat="1" x14ac:dyDescent="0.25"/>
    <row r="526" s="71" customFormat="1" x14ac:dyDescent="0.25"/>
    <row r="527" s="71" customFormat="1" x14ac:dyDescent="0.25"/>
    <row r="528" s="71" customFormat="1" x14ac:dyDescent="0.25"/>
    <row r="529" s="71" customFormat="1" x14ac:dyDescent="0.25"/>
    <row r="530" s="71" customFormat="1" x14ac:dyDescent="0.25"/>
    <row r="531" s="71" customFormat="1" x14ac:dyDescent="0.25"/>
    <row r="532" s="71" customFormat="1" x14ac:dyDescent="0.25"/>
    <row r="533" s="71" customFormat="1" x14ac:dyDescent="0.25"/>
    <row r="534" s="71" customFormat="1" x14ac:dyDescent="0.25"/>
    <row r="535" s="71" customFormat="1" x14ac:dyDescent="0.25"/>
    <row r="536" s="71" customFormat="1" x14ac:dyDescent="0.25"/>
    <row r="537" s="71" customFormat="1" x14ac:dyDescent="0.25"/>
    <row r="538" s="71" customFormat="1" x14ac:dyDescent="0.25"/>
    <row r="539" s="71" customFormat="1" x14ac:dyDescent="0.25"/>
    <row r="540" s="71" customFormat="1" x14ac:dyDescent="0.25"/>
    <row r="541" s="71" customFormat="1" x14ac:dyDescent="0.25"/>
    <row r="542" s="71" customFormat="1" x14ac:dyDescent="0.25"/>
    <row r="543" s="71" customFormat="1" x14ac:dyDescent="0.25"/>
    <row r="544" s="71" customFormat="1" x14ac:dyDescent="0.25"/>
    <row r="545" s="71" customFormat="1" x14ac:dyDescent="0.25"/>
    <row r="546" s="71" customFormat="1" x14ac:dyDescent="0.25"/>
    <row r="547" s="71" customFormat="1" x14ac:dyDescent="0.25"/>
    <row r="548" s="71" customFormat="1" x14ac:dyDescent="0.25"/>
    <row r="549" s="71" customFormat="1" x14ac:dyDescent="0.25"/>
    <row r="550" s="71" customFormat="1" x14ac:dyDescent="0.25"/>
    <row r="551" s="71" customFormat="1" x14ac:dyDescent="0.25"/>
    <row r="552" s="71" customFormat="1" x14ac:dyDescent="0.25"/>
    <row r="553" s="71" customFormat="1" x14ac:dyDescent="0.25"/>
    <row r="554" s="71" customFormat="1" x14ac:dyDescent="0.25"/>
    <row r="555" s="71" customFormat="1" x14ac:dyDescent="0.25"/>
    <row r="556" s="71" customFormat="1" x14ac:dyDescent="0.25"/>
    <row r="557" s="71" customFormat="1" x14ac:dyDescent="0.25"/>
    <row r="558" s="71" customFormat="1" x14ac:dyDescent="0.25"/>
    <row r="559" s="71" customFormat="1" x14ac:dyDescent="0.25"/>
    <row r="560" s="71" customFormat="1" x14ac:dyDescent="0.25"/>
    <row r="561" s="71" customFormat="1" x14ac:dyDescent="0.25"/>
    <row r="562" s="71" customFormat="1" x14ac:dyDescent="0.25"/>
    <row r="563" s="71" customFormat="1" x14ac:dyDescent="0.25"/>
    <row r="564" s="71" customFormat="1" x14ac:dyDescent="0.25"/>
    <row r="565" s="71" customFormat="1" x14ac:dyDescent="0.25"/>
    <row r="566" s="71" customFormat="1" x14ac:dyDescent="0.25"/>
    <row r="567" s="71" customFormat="1" x14ac:dyDescent="0.25"/>
    <row r="568" s="71" customFormat="1" x14ac:dyDescent="0.25"/>
    <row r="569" s="71" customFormat="1" x14ac:dyDescent="0.25"/>
    <row r="570" s="71" customFormat="1" x14ac:dyDescent="0.25"/>
    <row r="571" s="71" customFormat="1" x14ac:dyDescent="0.25"/>
    <row r="572" s="71" customFormat="1" x14ac:dyDescent="0.25"/>
    <row r="573" s="71" customFormat="1" x14ac:dyDescent="0.25"/>
    <row r="574" s="71" customFormat="1" x14ac:dyDescent="0.25"/>
    <row r="575" s="71" customFormat="1" x14ac:dyDescent="0.25"/>
    <row r="576" s="71" customFormat="1" x14ac:dyDescent="0.25"/>
    <row r="577" s="71" customFormat="1" x14ac:dyDescent="0.25"/>
    <row r="578" s="71" customFormat="1" x14ac:dyDescent="0.25"/>
    <row r="579" s="71" customFormat="1" x14ac:dyDescent="0.25"/>
    <row r="580" s="71" customFormat="1" x14ac:dyDescent="0.25"/>
    <row r="581" s="71" customFormat="1" x14ac:dyDescent="0.25"/>
    <row r="582" s="71" customFormat="1" x14ac:dyDescent="0.25"/>
    <row r="583" s="71" customFormat="1" x14ac:dyDescent="0.25"/>
    <row r="584" s="71" customFormat="1" x14ac:dyDescent="0.25"/>
    <row r="585" s="71" customFormat="1" x14ac:dyDescent="0.25"/>
    <row r="586" s="71" customFormat="1" x14ac:dyDescent="0.25"/>
    <row r="587" s="71" customFormat="1" x14ac:dyDescent="0.25"/>
    <row r="588" s="71" customFormat="1" x14ac:dyDescent="0.25"/>
    <row r="589" s="71" customFormat="1" x14ac:dyDescent="0.25"/>
    <row r="590" s="71" customFormat="1" x14ac:dyDescent="0.25"/>
    <row r="591" s="71" customFormat="1" x14ac:dyDescent="0.25"/>
    <row r="592" s="71" customFormat="1" x14ac:dyDescent="0.25"/>
    <row r="593" s="71" customFormat="1" x14ac:dyDescent="0.25"/>
    <row r="594" s="71" customFormat="1" x14ac:dyDescent="0.25"/>
    <row r="595" s="71" customFormat="1" x14ac:dyDescent="0.25"/>
    <row r="596" s="71" customFormat="1" x14ac:dyDescent="0.25"/>
    <row r="597" s="71" customFormat="1" x14ac:dyDescent="0.25"/>
    <row r="598" s="71" customFormat="1" x14ac:dyDescent="0.25"/>
    <row r="599" s="71" customFormat="1" x14ac:dyDescent="0.25"/>
    <row r="600" s="71" customFormat="1" x14ac:dyDescent="0.25"/>
    <row r="601" s="71" customFormat="1" x14ac:dyDescent="0.25"/>
    <row r="602" s="71" customFormat="1" x14ac:dyDescent="0.25"/>
    <row r="603" s="71" customFormat="1" x14ac:dyDescent="0.25"/>
    <row r="604" s="71" customFormat="1" x14ac:dyDescent="0.25"/>
    <row r="605" s="71" customFormat="1" x14ac:dyDescent="0.25"/>
    <row r="606" s="71" customFormat="1" x14ac:dyDescent="0.25"/>
    <row r="607" s="71" customFormat="1" x14ac:dyDescent="0.25"/>
    <row r="608" s="71" customFormat="1" x14ac:dyDescent="0.25"/>
    <row r="609" s="71" customFormat="1" x14ac:dyDescent="0.25"/>
    <row r="610" s="71" customFormat="1" x14ac:dyDescent="0.25"/>
    <row r="611" s="71" customFormat="1" x14ac:dyDescent="0.25"/>
    <row r="612" s="71" customFormat="1" x14ac:dyDescent="0.25"/>
    <row r="613" s="71" customFormat="1" x14ac:dyDescent="0.25"/>
    <row r="614" s="71" customFormat="1" x14ac:dyDescent="0.25"/>
    <row r="615" s="71" customFormat="1" x14ac:dyDescent="0.25"/>
    <row r="616" s="71" customFormat="1" x14ac:dyDescent="0.25"/>
    <row r="617" s="71" customFormat="1" x14ac:dyDescent="0.25"/>
    <row r="618" s="71" customFormat="1" x14ac:dyDescent="0.25"/>
    <row r="619" s="71" customFormat="1" x14ac:dyDescent="0.25"/>
    <row r="620" s="71" customFormat="1" x14ac:dyDescent="0.25"/>
    <row r="621" s="71" customFormat="1" x14ac:dyDescent="0.25"/>
    <row r="622" s="71" customFormat="1" x14ac:dyDescent="0.25"/>
    <row r="623" s="71" customFormat="1" x14ac:dyDescent="0.25"/>
    <row r="624" s="71" customFormat="1" x14ac:dyDescent="0.25"/>
    <row r="625" s="71" customFormat="1" x14ac:dyDescent="0.25"/>
    <row r="626" s="71" customFormat="1" x14ac:dyDescent="0.25"/>
    <row r="627" s="71" customFormat="1" x14ac:dyDescent="0.25"/>
    <row r="628" s="71" customFormat="1" x14ac:dyDescent="0.25"/>
    <row r="629" s="71" customFormat="1" x14ac:dyDescent="0.25"/>
    <row r="630" s="71" customFormat="1" x14ac:dyDescent="0.25"/>
    <row r="631" s="71" customFormat="1" x14ac:dyDescent="0.25"/>
    <row r="632" s="71" customFormat="1" x14ac:dyDescent="0.25"/>
    <row r="633" s="71" customFormat="1" x14ac:dyDescent="0.25"/>
    <row r="634" s="71" customFormat="1" x14ac:dyDescent="0.25"/>
    <row r="635" s="71" customFormat="1" x14ac:dyDescent="0.25"/>
    <row r="636" s="71" customFormat="1" x14ac:dyDescent="0.25"/>
    <row r="637" s="71" customFormat="1" x14ac:dyDescent="0.25"/>
    <row r="638" s="71" customFormat="1" x14ac:dyDescent="0.25"/>
    <row r="639" s="71" customFormat="1" x14ac:dyDescent="0.25"/>
    <row r="640" s="71" customFormat="1" x14ac:dyDescent="0.25"/>
    <row r="641" s="71" customFormat="1" x14ac:dyDescent="0.25"/>
    <row r="642" s="71" customFormat="1" x14ac:dyDescent="0.25"/>
    <row r="643" s="71" customFormat="1" x14ac:dyDescent="0.25"/>
    <row r="644" s="71" customFormat="1" x14ac:dyDescent="0.25"/>
    <row r="645" s="71" customFormat="1" x14ac:dyDescent="0.25"/>
    <row r="646" s="71" customFormat="1" x14ac:dyDescent="0.25"/>
    <row r="647" s="71" customFormat="1" x14ac:dyDescent="0.25"/>
    <row r="648" s="71" customFormat="1" x14ac:dyDescent="0.25"/>
    <row r="649" s="71" customFormat="1" x14ac:dyDescent="0.25"/>
    <row r="650" s="71" customFormat="1" x14ac:dyDescent="0.25"/>
    <row r="651" s="71" customFormat="1" x14ac:dyDescent="0.25"/>
    <row r="652" s="71" customFormat="1" x14ac:dyDescent="0.25"/>
    <row r="653" s="71" customFormat="1" x14ac:dyDescent="0.25"/>
    <row r="654" s="71" customFormat="1" x14ac:dyDescent="0.25"/>
    <row r="655" s="71" customFormat="1" x14ac:dyDescent="0.25"/>
    <row r="656" s="71" customFormat="1" x14ac:dyDescent="0.25"/>
    <row r="657" s="71" customFormat="1" x14ac:dyDescent="0.25"/>
    <row r="658" s="71" customFormat="1" x14ac:dyDescent="0.25"/>
    <row r="659" s="71" customFormat="1" x14ac:dyDescent="0.25"/>
    <row r="660" s="71" customFormat="1" x14ac:dyDescent="0.25"/>
    <row r="661" s="71" customFormat="1" x14ac:dyDescent="0.25"/>
    <row r="662" s="71" customFormat="1" x14ac:dyDescent="0.25"/>
    <row r="663" s="71" customFormat="1" x14ac:dyDescent="0.25"/>
    <row r="664" s="71" customFormat="1" x14ac:dyDescent="0.25"/>
    <row r="665" s="71" customFormat="1" x14ac:dyDescent="0.25"/>
    <row r="666" s="71" customFormat="1" x14ac:dyDescent="0.25"/>
    <row r="667" s="71" customFormat="1" x14ac:dyDescent="0.25"/>
    <row r="668" s="71" customFormat="1" x14ac:dyDescent="0.25"/>
    <row r="669" s="71" customFormat="1" x14ac:dyDescent="0.25"/>
    <row r="670" s="71" customFormat="1" x14ac:dyDescent="0.25"/>
    <row r="671" s="71" customFormat="1" x14ac:dyDescent="0.25"/>
    <row r="672" s="71" customFormat="1" x14ac:dyDescent="0.25"/>
    <row r="673" s="71" customFormat="1" x14ac:dyDescent="0.25"/>
    <row r="674" s="71" customFormat="1" x14ac:dyDescent="0.25"/>
    <row r="675" s="71" customFormat="1" x14ac:dyDescent="0.25"/>
    <row r="676" s="71" customFormat="1" x14ac:dyDescent="0.25"/>
    <row r="677" s="71" customFormat="1" x14ac:dyDescent="0.25"/>
    <row r="678" s="71" customFormat="1" x14ac:dyDescent="0.25"/>
    <row r="679" s="71" customFormat="1" x14ac:dyDescent="0.25"/>
    <row r="680" s="71" customFormat="1" x14ac:dyDescent="0.25"/>
    <row r="681" s="71" customFormat="1" x14ac:dyDescent="0.25"/>
    <row r="682" s="71" customFormat="1" x14ac:dyDescent="0.25"/>
    <row r="683" s="71" customFormat="1" x14ac:dyDescent="0.25"/>
    <row r="684" s="71" customFormat="1" x14ac:dyDescent="0.25"/>
    <row r="685" s="71" customFormat="1" x14ac:dyDescent="0.25"/>
    <row r="686" s="71" customFormat="1" x14ac:dyDescent="0.25"/>
    <row r="687" s="71" customFormat="1" x14ac:dyDescent="0.25"/>
    <row r="688" s="71" customFormat="1" x14ac:dyDescent="0.25"/>
    <row r="689" s="71" customFormat="1" x14ac:dyDescent="0.25"/>
    <row r="690" s="71" customFormat="1" x14ac:dyDescent="0.25"/>
    <row r="691" s="71" customFormat="1" x14ac:dyDescent="0.25"/>
    <row r="692" s="71" customFormat="1" x14ac:dyDescent="0.25"/>
    <row r="693" s="71" customFormat="1" x14ac:dyDescent="0.25"/>
    <row r="694" s="71" customFormat="1" x14ac:dyDescent="0.25"/>
    <row r="695" s="71" customFormat="1" x14ac:dyDescent="0.25"/>
    <row r="696" s="71" customFormat="1" x14ac:dyDescent="0.25"/>
    <row r="697" s="71" customFormat="1" x14ac:dyDescent="0.25"/>
    <row r="698" s="71" customFormat="1" x14ac:dyDescent="0.25"/>
    <row r="699" s="71" customFormat="1" x14ac:dyDescent="0.25"/>
    <row r="700" s="71" customFormat="1" x14ac:dyDescent="0.25"/>
    <row r="701" s="71" customFormat="1" x14ac:dyDescent="0.25"/>
    <row r="702" s="71" customFormat="1" x14ac:dyDescent="0.25"/>
    <row r="703" s="71" customFormat="1" x14ac:dyDescent="0.25"/>
    <row r="704" s="71" customFormat="1" x14ac:dyDescent="0.25"/>
    <row r="705" s="71" customFormat="1" x14ac:dyDescent="0.25"/>
    <row r="706" s="71" customFormat="1" x14ac:dyDescent="0.25"/>
    <row r="707" s="71" customFormat="1" x14ac:dyDescent="0.25"/>
    <row r="708" s="71" customFormat="1" x14ac:dyDescent="0.25"/>
    <row r="709" s="71" customFormat="1" x14ac:dyDescent="0.25"/>
    <row r="710" s="71" customFormat="1" x14ac:dyDescent="0.25"/>
    <row r="711" s="71" customFormat="1" x14ac:dyDescent="0.25"/>
    <row r="712" s="71" customFormat="1" x14ac:dyDescent="0.25"/>
    <row r="713" s="71" customFormat="1" x14ac:dyDescent="0.25"/>
    <row r="714" s="71" customFormat="1" x14ac:dyDescent="0.25"/>
    <row r="715" s="71" customFormat="1" x14ac:dyDescent="0.25"/>
    <row r="716" s="71" customFormat="1" x14ac:dyDescent="0.25"/>
    <row r="717" s="71" customFormat="1" x14ac:dyDescent="0.25"/>
    <row r="718" s="71" customFormat="1" x14ac:dyDescent="0.25"/>
    <row r="719" s="71" customFormat="1" x14ac:dyDescent="0.25"/>
    <row r="720" s="71" customFormat="1" x14ac:dyDescent="0.25"/>
    <row r="721" s="71" customFormat="1" x14ac:dyDescent="0.25"/>
    <row r="722" s="71" customFormat="1" x14ac:dyDescent="0.25"/>
    <row r="723" s="71" customFormat="1" x14ac:dyDescent="0.25"/>
    <row r="724" s="71" customFormat="1" x14ac:dyDescent="0.25"/>
    <row r="725" s="71" customFormat="1" x14ac:dyDescent="0.25"/>
    <row r="726" s="71" customFormat="1" x14ac:dyDescent="0.25"/>
    <row r="727" s="71" customFormat="1" x14ac:dyDescent="0.25"/>
    <row r="728" s="71" customFormat="1" x14ac:dyDescent="0.25"/>
    <row r="729" s="71" customFormat="1" x14ac:dyDescent="0.25"/>
    <row r="730" s="71" customFormat="1" x14ac:dyDescent="0.25"/>
    <row r="731" s="71" customFormat="1" x14ac:dyDescent="0.25"/>
    <row r="732" s="71" customFormat="1" x14ac:dyDescent="0.25"/>
    <row r="733" s="71" customFormat="1" x14ac:dyDescent="0.25"/>
    <row r="734" s="71" customFormat="1" x14ac:dyDescent="0.25"/>
    <row r="735" s="71" customFormat="1" x14ac:dyDescent="0.25"/>
    <row r="736" s="71" customFormat="1" x14ac:dyDescent="0.25"/>
    <row r="737" s="71" customFormat="1" x14ac:dyDescent="0.25"/>
    <row r="738" s="71" customFormat="1" x14ac:dyDescent="0.25"/>
    <row r="739" s="71" customFormat="1" x14ac:dyDescent="0.25"/>
    <row r="740" s="71" customFormat="1" x14ac:dyDescent="0.25"/>
    <row r="741" s="71" customFormat="1" x14ac:dyDescent="0.25"/>
    <row r="742" s="71" customFormat="1" x14ac:dyDescent="0.25"/>
    <row r="743" s="71" customFormat="1" x14ac:dyDescent="0.25"/>
    <row r="744" s="71" customFormat="1" x14ac:dyDescent="0.25"/>
    <row r="745" s="71" customFormat="1" x14ac:dyDescent="0.25"/>
    <row r="746" s="71" customFormat="1" x14ac:dyDescent="0.25"/>
    <row r="747" s="71" customFormat="1" x14ac:dyDescent="0.25"/>
    <row r="748" s="71" customFormat="1" x14ac:dyDescent="0.25"/>
    <row r="749" s="71" customFormat="1" x14ac:dyDescent="0.25"/>
    <row r="750" s="71" customFormat="1" x14ac:dyDescent="0.25"/>
    <row r="751" s="71" customFormat="1" x14ac:dyDescent="0.25"/>
    <row r="752" s="71" customFormat="1" x14ac:dyDescent="0.25"/>
    <row r="753" s="71" customFormat="1" x14ac:dyDescent="0.25"/>
    <row r="754" s="71" customFormat="1" x14ac:dyDescent="0.25"/>
    <row r="755" s="71" customFormat="1" x14ac:dyDescent="0.25"/>
    <row r="756" s="71" customFormat="1" x14ac:dyDescent="0.25"/>
    <row r="757" s="71" customFormat="1" x14ac:dyDescent="0.25"/>
    <row r="758" s="71" customFormat="1" x14ac:dyDescent="0.25"/>
    <row r="759" s="71" customFormat="1" x14ac:dyDescent="0.25"/>
    <row r="760" s="71" customFormat="1" x14ac:dyDescent="0.25"/>
    <row r="761" s="71" customFormat="1" x14ac:dyDescent="0.25"/>
    <row r="762" s="71" customFormat="1" x14ac:dyDescent="0.25"/>
    <row r="763" s="71" customFormat="1" x14ac:dyDescent="0.25"/>
    <row r="764" s="71" customFormat="1" x14ac:dyDescent="0.25"/>
    <row r="765" s="71" customFormat="1" x14ac:dyDescent="0.25"/>
    <row r="766" s="71" customFormat="1" x14ac:dyDescent="0.25"/>
    <row r="767" s="71" customFormat="1" x14ac:dyDescent="0.25"/>
    <row r="768" s="71" customFormat="1" x14ac:dyDescent="0.25"/>
    <row r="769" s="71" customFormat="1" x14ac:dyDescent="0.25"/>
    <row r="770" s="71" customFormat="1" x14ac:dyDescent="0.25"/>
    <row r="771" s="71" customFormat="1" x14ac:dyDescent="0.25"/>
    <row r="772" s="71" customFormat="1" x14ac:dyDescent="0.25"/>
    <row r="773" s="71" customFormat="1" x14ac:dyDescent="0.25"/>
    <row r="774" s="71" customFormat="1" x14ac:dyDescent="0.25"/>
    <row r="775" s="71" customFormat="1" x14ac:dyDescent="0.25"/>
    <row r="776" s="71" customFormat="1" x14ac:dyDescent="0.25"/>
    <row r="777" s="71" customFormat="1" x14ac:dyDescent="0.25"/>
    <row r="778" s="71" customFormat="1" x14ac:dyDescent="0.25"/>
    <row r="779" s="71" customFormat="1" x14ac:dyDescent="0.25"/>
    <row r="780" s="71" customFormat="1" x14ac:dyDescent="0.25"/>
    <row r="781" s="71" customFormat="1" x14ac:dyDescent="0.25"/>
    <row r="782" s="71" customFormat="1" x14ac:dyDescent="0.25"/>
    <row r="783" s="71" customFormat="1" x14ac:dyDescent="0.25"/>
    <row r="784" s="71" customFormat="1" x14ac:dyDescent="0.25"/>
    <row r="785" s="71" customFormat="1" x14ac:dyDescent="0.25"/>
    <row r="786" s="71" customFormat="1" x14ac:dyDescent="0.25"/>
    <row r="787" s="71" customFormat="1" x14ac:dyDescent="0.25"/>
    <row r="788" s="71" customFormat="1" x14ac:dyDescent="0.25"/>
    <row r="789" s="71" customFormat="1" x14ac:dyDescent="0.25"/>
    <row r="790" s="71" customFormat="1" x14ac:dyDescent="0.25"/>
    <row r="791" s="71" customFormat="1" x14ac:dyDescent="0.25"/>
    <row r="792" s="71" customFormat="1" x14ac:dyDescent="0.25"/>
    <row r="793" s="71" customFormat="1" x14ac:dyDescent="0.25"/>
    <row r="794" s="71" customFormat="1" x14ac:dyDescent="0.25"/>
    <row r="795" s="71" customFormat="1" x14ac:dyDescent="0.25"/>
    <row r="796" s="71" customFormat="1" x14ac:dyDescent="0.25"/>
    <row r="797" s="71" customFormat="1" x14ac:dyDescent="0.25"/>
    <row r="798" s="71" customFormat="1" x14ac:dyDescent="0.25"/>
    <row r="799" s="71" customFormat="1" x14ac:dyDescent="0.25"/>
    <row r="800" s="71" customFormat="1" x14ac:dyDescent="0.25"/>
    <row r="801" s="71" customFormat="1" x14ac:dyDescent="0.25"/>
    <row r="802" s="71" customFormat="1" x14ac:dyDescent="0.25"/>
    <row r="803" s="71" customFormat="1" x14ac:dyDescent="0.25"/>
    <row r="804" s="71" customFormat="1" x14ac:dyDescent="0.25"/>
    <row r="805" s="71" customFormat="1" x14ac:dyDescent="0.25"/>
    <row r="806" s="71" customFormat="1" x14ac:dyDescent="0.25"/>
    <row r="807" s="71" customFormat="1" x14ac:dyDescent="0.25"/>
    <row r="808" s="71" customFormat="1" x14ac:dyDescent="0.25"/>
    <row r="809" s="71" customFormat="1" x14ac:dyDescent="0.25"/>
    <row r="810" s="71" customFormat="1" x14ac:dyDescent="0.25"/>
    <row r="811" s="71" customFormat="1" x14ac:dyDescent="0.25"/>
    <row r="812" s="71" customFormat="1" x14ac:dyDescent="0.25"/>
    <row r="813" s="71" customFormat="1" x14ac:dyDescent="0.25"/>
    <row r="814" s="71" customFormat="1" x14ac:dyDescent="0.25"/>
    <row r="815" s="71" customFormat="1" x14ac:dyDescent="0.25"/>
    <row r="816" s="71" customFormat="1" x14ac:dyDescent="0.25"/>
    <row r="817" s="71" customFormat="1" x14ac:dyDescent="0.25"/>
    <row r="818" s="71" customFormat="1" x14ac:dyDescent="0.25"/>
    <row r="819" s="71" customFormat="1" x14ac:dyDescent="0.25"/>
    <row r="820" s="71" customFormat="1" x14ac:dyDescent="0.25"/>
    <row r="821" s="71" customFormat="1" x14ac:dyDescent="0.25"/>
    <row r="822" s="71" customFormat="1" x14ac:dyDescent="0.25"/>
    <row r="823" s="71" customFormat="1" x14ac:dyDescent="0.25"/>
    <row r="824" s="71" customFormat="1" x14ac:dyDescent="0.25"/>
    <row r="825" s="71" customFormat="1" x14ac:dyDescent="0.25"/>
    <row r="826" s="71" customFormat="1" x14ac:dyDescent="0.25"/>
    <row r="827" s="71" customFormat="1" x14ac:dyDescent="0.25"/>
    <row r="828" s="71" customFormat="1" x14ac:dyDescent="0.25"/>
    <row r="829" s="71" customFormat="1" x14ac:dyDescent="0.25"/>
    <row r="830" s="71" customFormat="1" x14ac:dyDescent="0.25"/>
    <row r="831" s="71" customFormat="1" x14ac:dyDescent="0.25"/>
    <row r="832" s="71" customFormat="1" x14ac:dyDescent="0.25"/>
    <row r="833" s="71" customFormat="1" x14ac:dyDescent="0.25"/>
    <row r="834" s="71" customFormat="1" x14ac:dyDescent="0.25"/>
    <row r="835" s="71" customFormat="1" x14ac:dyDescent="0.25"/>
    <row r="836" s="71" customFormat="1" x14ac:dyDescent="0.25"/>
    <row r="837" s="71" customFormat="1" x14ac:dyDescent="0.25"/>
    <row r="838" s="71" customFormat="1" x14ac:dyDescent="0.25"/>
    <row r="839" s="71" customFormat="1" x14ac:dyDescent="0.25"/>
    <row r="840" s="71" customFormat="1" x14ac:dyDescent="0.25"/>
    <row r="841" s="71" customFormat="1" x14ac:dyDescent="0.25"/>
    <row r="842" s="71" customFormat="1" x14ac:dyDescent="0.25"/>
    <row r="843" s="71" customFormat="1" x14ac:dyDescent="0.25"/>
    <row r="844" s="71" customFormat="1" x14ac:dyDescent="0.25"/>
    <row r="845" s="71" customFormat="1" x14ac:dyDescent="0.25"/>
    <row r="846" s="71" customFormat="1" x14ac:dyDescent="0.25"/>
    <row r="847" s="71" customFormat="1" x14ac:dyDescent="0.25"/>
    <row r="848" s="71" customFormat="1" x14ac:dyDescent="0.25"/>
    <row r="849" s="71" customFormat="1" x14ac:dyDescent="0.25"/>
    <row r="850" s="71" customFormat="1" x14ac:dyDescent="0.25"/>
    <row r="851" s="71" customFormat="1" x14ac:dyDescent="0.25"/>
    <row r="852" s="71" customFormat="1" x14ac:dyDescent="0.25"/>
    <row r="853" s="71" customFormat="1" x14ac:dyDescent="0.25"/>
    <row r="854" s="71" customFormat="1" x14ac:dyDescent="0.25"/>
    <row r="855" s="71" customFormat="1" x14ac:dyDescent="0.25"/>
    <row r="856" s="71" customFormat="1" x14ac:dyDescent="0.25"/>
    <row r="857" s="71" customFormat="1" x14ac:dyDescent="0.25"/>
    <row r="858" s="71" customFormat="1" x14ac:dyDescent="0.25"/>
    <row r="859" s="71" customFormat="1" x14ac:dyDescent="0.25"/>
    <row r="860" s="71" customFormat="1" x14ac:dyDescent="0.25"/>
    <row r="861" s="71" customFormat="1" x14ac:dyDescent="0.25"/>
    <row r="862" s="71" customFormat="1" x14ac:dyDescent="0.25"/>
    <row r="863" s="71" customFormat="1" x14ac:dyDescent="0.25"/>
    <row r="864" s="71" customFormat="1" x14ac:dyDescent="0.25"/>
    <row r="865" s="71" customFormat="1" x14ac:dyDescent="0.25"/>
    <row r="866" s="71" customFormat="1" x14ac:dyDescent="0.25"/>
    <row r="867" s="71" customFormat="1" x14ac:dyDescent="0.25"/>
    <row r="868" s="71" customFormat="1" x14ac:dyDescent="0.25"/>
    <row r="869" s="71" customFormat="1" x14ac:dyDescent="0.25"/>
    <row r="870" s="71" customFormat="1" x14ac:dyDescent="0.25"/>
    <row r="871" s="71" customFormat="1" x14ac:dyDescent="0.25"/>
    <row r="872" s="71" customFormat="1" x14ac:dyDescent="0.25"/>
    <row r="873" s="71" customFormat="1" x14ac:dyDescent="0.25"/>
    <row r="874" s="71" customFormat="1" x14ac:dyDescent="0.25"/>
    <row r="875" s="71" customFormat="1" x14ac:dyDescent="0.25"/>
    <row r="876" s="71" customFormat="1" x14ac:dyDescent="0.25"/>
    <row r="877" s="71" customFormat="1" x14ac:dyDescent="0.25"/>
    <row r="878" s="71" customFormat="1" x14ac:dyDescent="0.25"/>
    <row r="879" s="71" customFormat="1" x14ac:dyDescent="0.25"/>
    <row r="880" s="71" customFormat="1" x14ac:dyDescent="0.25"/>
    <row r="881" s="71" customFormat="1" x14ac:dyDescent="0.25"/>
    <row r="882" s="71" customFormat="1" x14ac:dyDescent="0.25"/>
    <row r="883" s="71" customFormat="1" x14ac:dyDescent="0.25"/>
    <row r="884" s="71" customFormat="1" x14ac:dyDescent="0.25"/>
    <row r="885" s="71" customFormat="1" x14ac:dyDescent="0.25"/>
    <row r="886" s="71" customFormat="1" x14ac:dyDescent="0.25"/>
    <row r="887" s="71" customFormat="1" x14ac:dyDescent="0.25"/>
    <row r="888" s="71" customFormat="1" x14ac:dyDescent="0.25"/>
    <row r="889" s="71" customFormat="1" x14ac:dyDescent="0.25"/>
    <row r="890" s="71" customFormat="1" x14ac:dyDescent="0.25"/>
    <row r="891" s="71" customFormat="1" x14ac:dyDescent="0.25"/>
    <row r="892" s="71" customFormat="1" x14ac:dyDescent="0.25"/>
    <row r="893" s="71" customFormat="1" x14ac:dyDescent="0.25"/>
    <row r="894" s="71" customFormat="1" x14ac:dyDescent="0.25"/>
    <row r="895" s="71" customFormat="1" x14ac:dyDescent="0.25"/>
    <row r="896" s="71" customFormat="1" x14ac:dyDescent="0.25"/>
    <row r="897" s="71" customFormat="1" x14ac:dyDescent="0.25"/>
    <row r="898" s="71" customFormat="1" x14ac:dyDescent="0.25"/>
    <row r="899" s="71" customFormat="1" x14ac:dyDescent="0.25"/>
    <row r="900" s="71" customFormat="1" x14ac:dyDescent="0.25"/>
    <row r="901" s="71" customFormat="1" x14ac:dyDescent="0.25"/>
    <row r="902" s="71" customFormat="1" x14ac:dyDescent="0.25"/>
    <row r="903" s="71" customFormat="1" x14ac:dyDescent="0.25"/>
    <row r="904" s="71" customFormat="1" x14ac:dyDescent="0.25"/>
    <row r="905" s="71" customFormat="1" x14ac:dyDescent="0.25"/>
    <row r="906" s="71" customFormat="1" x14ac:dyDescent="0.25"/>
    <row r="907" s="71" customFormat="1" x14ac:dyDescent="0.25"/>
    <row r="908" s="71" customFormat="1" x14ac:dyDescent="0.25"/>
    <row r="909" s="71" customFormat="1" x14ac:dyDescent="0.25"/>
    <row r="910" s="71" customFormat="1" x14ac:dyDescent="0.25"/>
    <row r="911" s="71" customFormat="1" x14ac:dyDescent="0.25"/>
    <row r="912" s="71" customFormat="1" x14ac:dyDescent="0.25"/>
    <row r="913" s="71" customFormat="1" x14ac:dyDescent="0.25"/>
    <row r="914" s="71" customFormat="1" x14ac:dyDescent="0.25"/>
    <row r="915" s="71" customFormat="1" x14ac:dyDescent="0.25"/>
    <row r="916" s="71" customFormat="1" x14ac:dyDescent="0.25"/>
    <row r="917" s="71" customFormat="1" x14ac:dyDescent="0.25"/>
    <row r="918" s="71" customFormat="1" x14ac:dyDescent="0.25"/>
    <row r="919" s="71" customFormat="1" x14ac:dyDescent="0.25"/>
    <row r="920" s="71" customFormat="1" x14ac:dyDescent="0.25"/>
    <row r="921" s="71" customFormat="1" x14ac:dyDescent="0.25"/>
    <row r="922" s="71" customFormat="1" x14ac:dyDescent="0.25"/>
    <row r="923" s="71" customFormat="1" x14ac:dyDescent="0.25"/>
    <row r="924" s="71" customFormat="1" x14ac:dyDescent="0.25"/>
    <row r="925" s="71" customFormat="1" x14ac:dyDescent="0.25"/>
    <row r="926" s="71" customFormat="1" x14ac:dyDescent="0.25"/>
    <row r="927" s="71" customFormat="1" x14ac:dyDescent="0.25"/>
    <row r="928" s="71" customFormat="1" x14ac:dyDescent="0.25"/>
    <row r="929" s="71" customFormat="1" x14ac:dyDescent="0.25"/>
    <row r="930" s="71" customFormat="1" x14ac:dyDescent="0.25"/>
    <row r="931" s="71" customFormat="1" x14ac:dyDescent="0.25"/>
    <row r="932" s="71" customFormat="1" x14ac:dyDescent="0.25"/>
    <row r="933" s="71" customFormat="1" x14ac:dyDescent="0.25"/>
    <row r="934" s="71" customFormat="1" x14ac:dyDescent="0.25"/>
    <row r="935" s="71" customFormat="1" x14ac:dyDescent="0.25"/>
    <row r="936" s="71" customFormat="1" x14ac:dyDescent="0.25"/>
    <row r="937" s="71" customFormat="1" x14ac:dyDescent="0.25"/>
    <row r="938" s="71" customFormat="1" x14ac:dyDescent="0.25"/>
    <row r="939" s="71" customFormat="1" x14ac:dyDescent="0.25"/>
    <row r="940" s="71" customFormat="1" x14ac:dyDescent="0.25"/>
    <row r="941" s="71" customFormat="1" x14ac:dyDescent="0.25"/>
    <row r="942" s="71" customFormat="1" x14ac:dyDescent="0.25"/>
    <row r="943" s="71" customFormat="1" x14ac:dyDescent="0.25"/>
    <row r="944" s="71" customFormat="1" x14ac:dyDescent="0.25"/>
    <row r="945" s="71" customFormat="1" x14ac:dyDescent="0.25"/>
    <row r="946" s="71" customFormat="1" x14ac:dyDescent="0.25"/>
    <row r="947" s="71" customFormat="1" x14ac:dyDescent="0.25"/>
    <row r="948" s="71" customFormat="1" x14ac:dyDescent="0.25"/>
    <row r="949" s="71" customFormat="1" x14ac:dyDescent="0.25"/>
    <row r="950" s="71" customFormat="1" x14ac:dyDescent="0.25"/>
    <row r="951" s="71" customFormat="1" x14ac:dyDescent="0.25"/>
    <row r="952" s="71" customFormat="1" x14ac:dyDescent="0.25"/>
    <row r="953" s="71" customFormat="1" x14ac:dyDescent="0.25"/>
    <row r="954" s="71" customFormat="1" x14ac:dyDescent="0.25"/>
    <row r="955" s="71" customFormat="1" x14ac:dyDescent="0.25"/>
    <row r="956" s="71" customFormat="1" x14ac:dyDescent="0.25"/>
    <row r="957" s="71" customFormat="1" x14ac:dyDescent="0.25"/>
    <row r="958" s="71" customFormat="1" x14ac:dyDescent="0.25"/>
    <row r="959" s="71" customFormat="1" x14ac:dyDescent="0.25"/>
    <row r="960" s="71" customFormat="1" x14ac:dyDescent="0.25"/>
    <row r="961" s="71" customFormat="1" x14ac:dyDescent="0.25"/>
    <row r="962" s="71" customFormat="1" x14ac:dyDescent="0.25"/>
    <row r="963" s="71" customFormat="1" x14ac:dyDescent="0.25"/>
    <row r="964" s="71" customFormat="1" x14ac:dyDescent="0.25"/>
    <row r="965" s="71" customFormat="1" x14ac:dyDescent="0.25"/>
    <row r="966" s="71" customFormat="1" x14ac:dyDescent="0.25"/>
    <row r="967" s="71" customFormat="1" x14ac:dyDescent="0.25"/>
    <row r="968" s="71" customFormat="1" x14ac:dyDescent="0.25"/>
    <row r="969" s="71" customFormat="1" x14ac:dyDescent="0.25"/>
    <row r="970" s="71" customFormat="1" x14ac:dyDescent="0.25"/>
    <row r="971" s="71" customFormat="1" x14ac:dyDescent="0.25"/>
    <row r="972" s="71" customFormat="1" x14ac:dyDescent="0.25"/>
    <row r="973" s="71" customFormat="1" x14ac:dyDescent="0.25"/>
    <row r="974" s="71" customFormat="1" x14ac:dyDescent="0.25"/>
    <row r="975" s="71" customFormat="1" x14ac:dyDescent="0.25"/>
    <row r="976" s="71" customFormat="1" x14ac:dyDescent="0.25"/>
    <row r="977" s="71" customFormat="1" x14ac:dyDescent="0.25"/>
    <row r="978" s="71" customFormat="1" x14ac:dyDescent="0.25"/>
    <row r="979" s="71" customFormat="1" x14ac:dyDescent="0.25"/>
    <row r="980" s="71" customFormat="1" x14ac:dyDescent="0.25"/>
    <row r="981" s="71" customFormat="1" x14ac:dyDescent="0.25"/>
    <row r="982" s="71" customFormat="1" x14ac:dyDescent="0.25"/>
    <row r="983" s="71" customFormat="1" x14ac:dyDescent="0.25"/>
    <row r="984" s="71" customFormat="1" x14ac:dyDescent="0.25"/>
    <row r="985" s="71" customFormat="1" x14ac:dyDescent="0.25"/>
    <row r="986" s="71" customFormat="1" x14ac:dyDescent="0.25"/>
    <row r="987" s="71" customFormat="1" x14ac:dyDescent="0.25"/>
    <row r="988" s="71" customFormat="1" x14ac:dyDescent="0.25"/>
    <row r="989" s="71" customFormat="1" x14ac:dyDescent="0.25"/>
    <row r="990" s="71" customFormat="1" x14ac:dyDescent="0.25"/>
    <row r="991" s="71" customFormat="1" x14ac:dyDescent="0.25"/>
    <row r="992" s="71" customFormat="1" x14ac:dyDescent="0.25"/>
    <row r="993" s="71" customFormat="1" x14ac:dyDescent="0.25"/>
    <row r="994" s="71" customFormat="1" x14ac:dyDescent="0.25"/>
    <row r="995" s="71" customFormat="1" x14ac:dyDescent="0.25"/>
    <row r="996" s="71" customFormat="1" x14ac:dyDescent="0.25"/>
    <row r="997" s="71" customFormat="1" x14ac:dyDescent="0.25"/>
    <row r="998" s="71" customFormat="1" x14ac:dyDescent="0.25"/>
    <row r="999" s="71" customFormat="1" x14ac:dyDescent="0.25"/>
    <row r="1000" s="71" customFormat="1" x14ac:dyDescent="0.25"/>
  </sheetData>
  <mergeCells count="31">
    <mergeCell ref="A34:A35"/>
    <mergeCell ref="B34:C35"/>
    <mergeCell ref="A28:A29"/>
    <mergeCell ref="B28:C29"/>
    <mergeCell ref="B30:C31"/>
    <mergeCell ref="A30:A31"/>
    <mergeCell ref="B32:C33"/>
    <mergeCell ref="A32:A33"/>
    <mergeCell ref="A22:A23"/>
    <mergeCell ref="B22:C23"/>
    <mergeCell ref="A24:A25"/>
    <mergeCell ref="B24:C25"/>
    <mergeCell ref="A26:A27"/>
    <mergeCell ref="B26:C27"/>
    <mergeCell ref="A10:A11"/>
    <mergeCell ref="B10:C11"/>
    <mergeCell ref="A18:A19"/>
    <mergeCell ref="B18:C19"/>
    <mergeCell ref="B20:C21"/>
    <mergeCell ref="A20:A21"/>
    <mergeCell ref="A12:A13"/>
    <mergeCell ref="B12:C13"/>
    <mergeCell ref="A14:A15"/>
    <mergeCell ref="B14:C15"/>
    <mergeCell ref="A16:A17"/>
    <mergeCell ref="B16:C17"/>
    <mergeCell ref="A8:A9"/>
    <mergeCell ref="B8:C9"/>
    <mergeCell ref="B6:C7"/>
    <mergeCell ref="A6:A7"/>
    <mergeCell ref="B5:C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workbookViewId="0">
      <selection activeCell="K15" sqref="K15"/>
    </sheetView>
  </sheetViews>
  <sheetFormatPr defaultColWidth="14.42578125" defaultRowHeight="15" customHeight="1" x14ac:dyDescent="0.25"/>
  <cols>
    <col min="1" max="1" width="6.140625" customWidth="1"/>
    <col min="2" max="2" width="8.7109375" customWidth="1"/>
    <col min="3" max="3" width="13.5703125" customWidth="1"/>
    <col min="4" max="4" width="12.140625" customWidth="1"/>
    <col min="5" max="5" width="11.85546875" customWidth="1"/>
    <col min="6" max="6" width="8.85546875" customWidth="1"/>
    <col min="7" max="7" width="12.5703125" customWidth="1"/>
    <col min="8" max="8" width="10.140625" customWidth="1"/>
    <col min="9" max="9" width="15.42578125" customWidth="1"/>
    <col min="10" max="26" width="8.7109375" customWidth="1"/>
  </cols>
  <sheetData>
    <row r="1" spans="1:9" ht="120.75" customHeight="1" x14ac:dyDescent="0.25">
      <c r="A1" s="128"/>
      <c r="B1" s="129"/>
      <c r="C1" s="129"/>
      <c r="D1" s="129"/>
      <c r="E1" s="129"/>
      <c r="F1" s="129"/>
      <c r="G1" s="129"/>
      <c r="H1" s="129"/>
      <c r="I1" s="130"/>
    </row>
    <row r="2" spans="1:9" ht="18" customHeight="1" x14ac:dyDescent="0.25">
      <c r="A2" s="139" t="s">
        <v>1</v>
      </c>
      <c r="B2" s="131" t="s">
        <v>147</v>
      </c>
      <c r="C2" s="132"/>
      <c r="D2" s="90" t="s">
        <v>148</v>
      </c>
      <c r="E2" s="90" t="s">
        <v>149</v>
      </c>
      <c r="F2" s="90" t="s">
        <v>150</v>
      </c>
      <c r="G2" s="90" t="s">
        <v>74</v>
      </c>
      <c r="H2" s="90" t="s">
        <v>151</v>
      </c>
      <c r="I2" s="126" t="s">
        <v>152</v>
      </c>
    </row>
    <row r="3" spans="1:9" ht="42" customHeight="1" x14ac:dyDescent="0.25">
      <c r="A3" s="138"/>
      <c r="B3" s="133"/>
      <c r="C3" s="134"/>
      <c r="D3" s="91"/>
      <c r="E3" s="91"/>
      <c r="F3" s="91"/>
      <c r="G3" s="91"/>
      <c r="H3" s="91"/>
      <c r="I3" s="127"/>
    </row>
    <row r="4" spans="1:9" ht="21" customHeight="1" x14ac:dyDescent="0.25">
      <c r="A4" s="40">
        <v>1</v>
      </c>
      <c r="B4" s="135" t="s">
        <v>153</v>
      </c>
      <c r="C4" s="96"/>
      <c r="D4" s="4"/>
      <c r="E4" s="4"/>
      <c r="F4" s="4"/>
      <c r="G4" s="4"/>
      <c r="H4" s="4"/>
      <c r="I4" s="41"/>
    </row>
    <row r="5" spans="1:9" ht="22.5" customHeight="1" x14ac:dyDescent="0.25">
      <c r="A5" s="140">
        <v>2</v>
      </c>
      <c r="B5" s="141" t="s">
        <v>154</v>
      </c>
      <c r="C5" s="132"/>
      <c r="D5" s="4"/>
      <c r="E5" s="4"/>
      <c r="F5" s="4"/>
      <c r="G5" s="4"/>
      <c r="H5" s="4"/>
      <c r="I5" s="41"/>
    </row>
    <row r="6" spans="1:9" ht="22.5" customHeight="1" x14ac:dyDescent="0.25">
      <c r="A6" s="137"/>
      <c r="B6" s="142"/>
      <c r="C6" s="143"/>
      <c r="D6" s="4"/>
      <c r="E6" s="4"/>
      <c r="F6" s="4"/>
      <c r="G6" s="4"/>
      <c r="H6" s="4"/>
      <c r="I6" s="41"/>
    </row>
    <row r="7" spans="1:9" ht="22.5" customHeight="1" x14ac:dyDescent="0.25">
      <c r="A7" s="138"/>
      <c r="B7" s="133"/>
      <c r="C7" s="134"/>
      <c r="D7" s="4"/>
      <c r="E7" s="4"/>
      <c r="F7" s="4"/>
      <c r="G7" s="4"/>
      <c r="H7" s="4"/>
      <c r="I7" s="41"/>
    </row>
    <row r="8" spans="1:9" ht="27.75" customHeight="1" x14ac:dyDescent="0.25">
      <c r="A8" s="42">
        <v>3</v>
      </c>
      <c r="B8" s="135" t="s">
        <v>61</v>
      </c>
      <c r="C8" s="96"/>
      <c r="D8" s="43"/>
      <c r="E8" s="44" t="s">
        <v>155</v>
      </c>
      <c r="F8" s="44"/>
      <c r="G8" s="44"/>
      <c r="H8" s="44"/>
      <c r="I8" s="45"/>
    </row>
    <row r="9" spans="1:9" ht="22.5" customHeight="1" x14ac:dyDescent="0.25">
      <c r="A9" s="136">
        <v>4</v>
      </c>
      <c r="B9" s="141" t="s">
        <v>63</v>
      </c>
      <c r="C9" s="132"/>
      <c r="D9" s="43"/>
      <c r="E9" s="44"/>
      <c r="F9" s="44"/>
      <c r="G9" s="44"/>
      <c r="H9" s="44"/>
      <c r="I9" s="45"/>
    </row>
    <row r="10" spans="1:9" ht="22.5" customHeight="1" x14ac:dyDescent="0.25">
      <c r="A10" s="137"/>
      <c r="B10" s="142"/>
      <c r="C10" s="143"/>
      <c r="D10" s="43"/>
      <c r="E10" s="44"/>
      <c r="F10" s="44"/>
      <c r="G10" s="44"/>
      <c r="H10" s="44"/>
      <c r="I10" s="45"/>
    </row>
    <row r="11" spans="1:9" ht="22.5" customHeight="1" x14ac:dyDescent="0.25">
      <c r="A11" s="138"/>
      <c r="B11" s="133"/>
      <c r="C11" s="134"/>
      <c r="D11" s="43"/>
      <c r="E11" s="44"/>
      <c r="F11" s="44"/>
      <c r="G11" s="44"/>
      <c r="H11" s="44"/>
      <c r="I11" s="45"/>
    </row>
    <row r="12" spans="1:9" ht="26.25" customHeight="1" x14ac:dyDescent="0.25">
      <c r="A12" s="136">
        <v>5</v>
      </c>
      <c r="B12" s="141" t="s">
        <v>64</v>
      </c>
      <c r="C12" s="132"/>
      <c r="D12" s="43"/>
      <c r="E12" s="44"/>
      <c r="F12" s="44"/>
      <c r="G12" s="44"/>
      <c r="H12" s="44"/>
      <c r="I12" s="45"/>
    </row>
    <row r="13" spans="1:9" ht="26.25" customHeight="1" x14ac:dyDescent="0.25">
      <c r="A13" s="137"/>
      <c r="B13" s="142"/>
      <c r="C13" s="143"/>
      <c r="E13" s="44"/>
      <c r="F13" s="44"/>
      <c r="G13" s="44"/>
      <c r="H13" s="44"/>
      <c r="I13" s="45"/>
    </row>
    <row r="14" spans="1:9" ht="26.25" customHeight="1" x14ac:dyDescent="0.25">
      <c r="A14" s="138"/>
      <c r="B14" s="133"/>
      <c r="C14" s="134"/>
      <c r="D14" s="43"/>
      <c r="E14" s="44"/>
      <c r="F14" s="44"/>
      <c r="G14" s="44"/>
      <c r="H14" s="44"/>
      <c r="I14" s="45"/>
    </row>
    <row r="15" spans="1:9" ht="24" customHeight="1" x14ac:dyDescent="0.25">
      <c r="A15" s="136">
        <v>6</v>
      </c>
      <c r="B15" s="141" t="s">
        <v>156</v>
      </c>
      <c r="C15" s="132"/>
      <c r="D15" s="43"/>
      <c r="E15" s="44"/>
      <c r="F15" s="44"/>
      <c r="G15" s="44"/>
      <c r="H15" s="44"/>
      <c r="I15" s="45"/>
    </row>
    <row r="16" spans="1:9" ht="24" customHeight="1" x14ac:dyDescent="0.25">
      <c r="A16" s="137"/>
      <c r="B16" s="142"/>
      <c r="C16" s="143"/>
      <c r="D16" s="43"/>
      <c r="E16" s="44"/>
      <c r="F16" s="44"/>
      <c r="G16" s="44"/>
      <c r="H16" s="44"/>
      <c r="I16" s="45"/>
    </row>
    <row r="17" spans="1:9" ht="24" customHeight="1" x14ac:dyDescent="0.25">
      <c r="A17" s="138"/>
      <c r="B17" s="133"/>
      <c r="C17" s="134"/>
      <c r="D17" s="43"/>
      <c r="E17" s="44"/>
      <c r="F17" s="44"/>
      <c r="G17" s="44"/>
      <c r="H17" s="44"/>
      <c r="I17" s="45"/>
    </row>
    <row r="18" spans="1:9" ht="30" customHeight="1" x14ac:dyDescent="0.25">
      <c r="A18" s="42">
        <v>7</v>
      </c>
      <c r="B18" s="135" t="s">
        <v>157</v>
      </c>
      <c r="C18" s="96"/>
      <c r="D18" s="43"/>
      <c r="E18" s="44"/>
      <c r="F18" s="44"/>
      <c r="G18" s="44"/>
      <c r="H18" s="44"/>
      <c r="I18" s="45"/>
    </row>
    <row r="19" spans="1:9" ht="30" customHeight="1" x14ac:dyDescent="0.25">
      <c r="A19" s="42">
        <v>8</v>
      </c>
      <c r="B19" s="135" t="s">
        <v>158</v>
      </c>
      <c r="C19" s="96"/>
      <c r="D19" s="43"/>
      <c r="E19" s="44"/>
      <c r="F19" s="44"/>
      <c r="G19" s="44"/>
      <c r="H19" s="44"/>
      <c r="I19" s="45"/>
    </row>
    <row r="20" spans="1:9" ht="30" customHeight="1" x14ac:dyDescent="0.25">
      <c r="A20" s="42">
        <v>9</v>
      </c>
      <c r="B20" s="135" t="s">
        <v>159</v>
      </c>
      <c r="C20" s="96"/>
      <c r="D20" s="43"/>
      <c r="E20" s="44"/>
      <c r="F20" s="44"/>
      <c r="G20" s="44"/>
      <c r="H20" s="44"/>
      <c r="I20" s="45"/>
    </row>
    <row r="21" spans="1:9" ht="30" customHeight="1" x14ac:dyDescent="0.25">
      <c r="A21" s="42">
        <v>10</v>
      </c>
      <c r="B21" s="135" t="s">
        <v>68</v>
      </c>
      <c r="C21" s="96"/>
      <c r="D21" s="43"/>
      <c r="E21" s="44"/>
      <c r="F21" s="44"/>
      <c r="G21" s="44"/>
      <c r="H21" s="44"/>
      <c r="I21" s="45"/>
    </row>
    <row r="22" spans="1:9" ht="30" customHeight="1" x14ac:dyDescent="0.25">
      <c r="A22" s="42">
        <v>11</v>
      </c>
      <c r="B22" s="135" t="s">
        <v>160</v>
      </c>
      <c r="C22" s="96"/>
      <c r="D22" s="43"/>
      <c r="E22" s="44"/>
      <c r="F22" s="44"/>
      <c r="G22" s="44"/>
      <c r="H22" s="44"/>
      <c r="I22" s="45"/>
    </row>
    <row r="23" spans="1:9" ht="30" customHeight="1" x14ac:dyDescent="0.25">
      <c r="A23" s="42">
        <v>12</v>
      </c>
      <c r="B23" s="135" t="s">
        <v>71</v>
      </c>
      <c r="C23" s="96"/>
      <c r="D23" s="43"/>
      <c r="E23" s="44"/>
      <c r="F23" s="44"/>
      <c r="G23" s="44"/>
      <c r="H23" s="44"/>
      <c r="I23" s="45"/>
    </row>
    <row r="24" spans="1:9" ht="30" customHeight="1" x14ac:dyDescent="0.25">
      <c r="A24" s="42">
        <v>13</v>
      </c>
      <c r="B24" s="135" t="s">
        <v>72</v>
      </c>
      <c r="C24" s="96"/>
      <c r="D24" s="43"/>
      <c r="E24" s="44"/>
      <c r="F24" s="44"/>
      <c r="G24" s="44"/>
      <c r="H24" s="44"/>
      <c r="I24" s="45"/>
    </row>
    <row r="25" spans="1:9" ht="30" customHeight="1" x14ac:dyDescent="0.25">
      <c r="A25" s="46">
        <v>14</v>
      </c>
      <c r="B25" s="144" t="s">
        <v>73</v>
      </c>
      <c r="C25" s="145"/>
      <c r="D25" s="47"/>
      <c r="E25" s="48"/>
      <c r="F25" s="48"/>
      <c r="G25" s="48"/>
      <c r="H25" s="48"/>
      <c r="I25" s="49"/>
    </row>
    <row r="26" spans="1:9" ht="14.25" customHeight="1" x14ac:dyDescent="0.25"/>
    <row r="27" spans="1:9" ht="14.25" customHeight="1" x14ac:dyDescent="0.25"/>
    <row r="28" spans="1:9" ht="14.25" customHeight="1" x14ac:dyDescent="0.25"/>
    <row r="29" spans="1:9" ht="14.25" customHeight="1" x14ac:dyDescent="0.25"/>
    <row r="30" spans="1:9" ht="14.25" customHeight="1" x14ac:dyDescent="0.25"/>
    <row r="31" spans="1:9" ht="14.25" customHeight="1" x14ac:dyDescent="0.25"/>
    <row r="32" spans="1:9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mergeCells count="27">
    <mergeCell ref="B24:C24"/>
    <mergeCell ref="B25:C25"/>
    <mergeCell ref="B15:C17"/>
    <mergeCell ref="B18:C18"/>
    <mergeCell ref="B19:C19"/>
    <mergeCell ref="B20:C20"/>
    <mergeCell ref="B21:C21"/>
    <mergeCell ref="B22:C22"/>
    <mergeCell ref="B23:C23"/>
    <mergeCell ref="B4:C4"/>
    <mergeCell ref="A12:A14"/>
    <mergeCell ref="A15:A17"/>
    <mergeCell ref="A2:A3"/>
    <mergeCell ref="A5:A7"/>
    <mergeCell ref="B5:C7"/>
    <mergeCell ref="B8:C8"/>
    <mergeCell ref="A9:A11"/>
    <mergeCell ref="B9:C11"/>
    <mergeCell ref="B12:C14"/>
    <mergeCell ref="H2:H3"/>
    <mergeCell ref="I2:I3"/>
    <mergeCell ref="A1:I1"/>
    <mergeCell ref="B2:C3"/>
    <mergeCell ref="D2:D3"/>
    <mergeCell ref="E2:E3"/>
    <mergeCell ref="F2:F3"/>
    <mergeCell ref="G2:G3"/>
  </mergeCells>
  <pageMargins left="0.41" right="0.26" top="0.17" bottom="0.17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6C71-E367-4A74-99B7-5E54676CDADA}">
  <sheetPr codeName="Sheet6"/>
  <dimension ref="A1:M1000"/>
  <sheetViews>
    <sheetView tabSelected="1" zoomScaleNormal="100" workbookViewId="0">
      <selection activeCell="F9" sqref="F9"/>
    </sheetView>
  </sheetViews>
  <sheetFormatPr defaultRowHeight="15" x14ac:dyDescent="0.25"/>
  <cols>
    <col min="1" max="1" width="35.7109375" style="71" customWidth="1"/>
    <col min="2" max="2" width="27.28515625" style="71" customWidth="1"/>
    <col min="3" max="3" width="17.85546875" style="71" customWidth="1"/>
    <col min="4" max="4" width="12.140625" style="71" customWidth="1"/>
    <col min="5" max="5" width="22" style="71" customWidth="1"/>
    <col min="6" max="6" width="20.28515625" style="71" customWidth="1"/>
    <col min="7" max="7" width="23.42578125" style="71" customWidth="1"/>
    <col min="8" max="8" width="17.42578125" style="71" customWidth="1"/>
    <col min="9" max="9" width="22.85546875" style="71" customWidth="1"/>
    <col min="10" max="16384" width="9.140625" style="71"/>
  </cols>
  <sheetData>
    <row r="1" spans="1:13" ht="84.75" customHeight="1" x14ac:dyDescent="0.25">
      <c r="A1" s="78" t="s">
        <v>181</v>
      </c>
      <c r="B1" s="79" t="s">
        <v>182</v>
      </c>
      <c r="C1" s="79" t="s">
        <v>183</v>
      </c>
      <c r="D1" s="79" t="s">
        <v>184</v>
      </c>
      <c r="E1" s="80" t="s">
        <v>185</v>
      </c>
      <c r="F1" s="70"/>
    </row>
    <row r="2" spans="1:13" ht="37.5" customHeight="1" thickBot="1" x14ac:dyDescent="0.3">
      <c r="A2" s="171" t="s">
        <v>21</v>
      </c>
      <c r="B2" s="146"/>
      <c r="C2" s="149">
        <v>45840</v>
      </c>
      <c r="D2" s="147"/>
      <c r="E2" s="148">
        <v>3000</v>
      </c>
      <c r="M2" s="77"/>
    </row>
    <row r="3" spans="1:13" x14ac:dyDescent="0.25">
      <c r="A3" s="72"/>
      <c r="M3" s="77"/>
    </row>
    <row r="4" spans="1:13" x14ac:dyDescent="0.25">
      <c r="A4" s="72"/>
      <c r="M4" s="77"/>
    </row>
    <row r="5" spans="1:13" ht="34.5" customHeight="1" x14ac:dyDescent="0.25">
      <c r="A5" s="85" t="s">
        <v>1</v>
      </c>
      <c r="B5" s="120" t="s">
        <v>147</v>
      </c>
      <c r="C5" s="121"/>
      <c r="D5" s="74" t="s">
        <v>148</v>
      </c>
      <c r="E5" s="74" t="s">
        <v>149</v>
      </c>
      <c r="F5" s="74" t="s">
        <v>150</v>
      </c>
      <c r="G5" s="74" t="s">
        <v>74</v>
      </c>
      <c r="H5" s="74" t="s">
        <v>151</v>
      </c>
      <c r="I5" s="74" t="s">
        <v>152</v>
      </c>
      <c r="M5" s="77"/>
    </row>
    <row r="6" spans="1:13" x14ac:dyDescent="0.25">
      <c r="A6" s="118">
        <v>1</v>
      </c>
      <c r="B6" s="114" t="s">
        <v>153</v>
      </c>
      <c r="C6" s="115"/>
      <c r="D6" s="73"/>
      <c r="E6" s="73"/>
      <c r="F6" s="73"/>
      <c r="G6" s="73"/>
      <c r="H6" s="73"/>
      <c r="I6" s="73"/>
      <c r="M6" s="77"/>
    </row>
    <row r="7" spans="1:13" ht="15.75" customHeight="1" x14ac:dyDescent="0.25">
      <c r="A7" s="119"/>
      <c r="B7" s="116"/>
      <c r="C7" s="117"/>
      <c r="D7" s="74"/>
      <c r="E7" s="74"/>
      <c r="F7" s="74"/>
      <c r="G7" s="74"/>
      <c r="H7" s="74"/>
      <c r="I7" s="74"/>
    </row>
    <row r="8" spans="1:13" s="88" customFormat="1" x14ac:dyDescent="0.25">
      <c r="A8" s="111">
        <v>2</v>
      </c>
      <c r="B8" s="112" t="s">
        <v>154</v>
      </c>
      <c r="C8" s="113"/>
      <c r="D8" s="86"/>
      <c r="E8" s="86"/>
      <c r="F8" s="86"/>
      <c r="G8" s="86"/>
      <c r="H8" s="87"/>
      <c r="I8" s="86"/>
    </row>
    <row r="9" spans="1:13" x14ac:dyDescent="0.25">
      <c r="A9" s="111"/>
      <c r="B9" s="112"/>
      <c r="C9" s="113"/>
      <c r="D9" s="74"/>
      <c r="E9" s="74"/>
      <c r="F9" s="74"/>
      <c r="G9" s="74"/>
      <c r="H9" s="75"/>
      <c r="I9" s="74"/>
    </row>
    <row r="10" spans="1:13" x14ac:dyDescent="0.25">
      <c r="A10" s="118">
        <v>3</v>
      </c>
      <c r="B10" s="114" t="s">
        <v>61</v>
      </c>
      <c r="C10" s="115"/>
      <c r="D10" s="74"/>
      <c r="E10" s="74"/>
      <c r="F10" s="74"/>
      <c r="G10" s="74"/>
      <c r="H10" s="74"/>
      <c r="I10" s="74"/>
    </row>
    <row r="11" spans="1:13" x14ac:dyDescent="0.25">
      <c r="A11" s="122"/>
      <c r="B11" s="123"/>
      <c r="C11" s="124"/>
      <c r="D11" s="74"/>
      <c r="E11" s="74"/>
      <c r="F11" s="74"/>
      <c r="G11" s="74"/>
      <c r="H11" s="74"/>
      <c r="I11" s="74"/>
    </row>
    <row r="12" spans="1:13" x14ac:dyDescent="0.25">
      <c r="A12" s="125">
        <v>4</v>
      </c>
      <c r="B12" s="112" t="s">
        <v>63</v>
      </c>
      <c r="C12" s="113"/>
      <c r="D12" s="76"/>
      <c r="E12" s="76"/>
      <c r="F12" s="76"/>
      <c r="G12" s="76"/>
      <c r="H12" s="76"/>
      <c r="I12" s="76"/>
    </row>
    <row r="13" spans="1:13" x14ac:dyDescent="0.25">
      <c r="A13" s="113"/>
      <c r="B13" s="113"/>
      <c r="C13" s="113"/>
      <c r="D13" s="76"/>
      <c r="E13" s="76"/>
      <c r="F13" s="76"/>
      <c r="G13" s="76"/>
      <c r="H13" s="76"/>
      <c r="I13" s="76"/>
    </row>
    <row r="14" spans="1:13" x14ac:dyDescent="0.25">
      <c r="A14" s="125">
        <v>5</v>
      </c>
      <c r="B14" s="112" t="s">
        <v>64</v>
      </c>
      <c r="C14" s="113"/>
      <c r="D14" s="76"/>
      <c r="E14" s="76"/>
      <c r="F14" s="76"/>
      <c r="G14" s="76"/>
      <c r="H14" s="76"/>
      <c r="I14" s="76"/>
    </row>
    <row r="15" spans="1:13" x14ac:dyDescent="0.25">
      <c r="A15" s="113"/>
      <c r="B15" s="113"/>
      <c r="C15" s="113"/>
      <c r="D15" s="75"/>
      <c r="E15" s="76"/>
      <c r="F15" s="76"/>
      <c r="G15" s="76"/>
      <c r="H15" s="76"/>
      <c r="I15" s="76"/>
    </row>
    <row r="16" spans="1:13" x14ac:dyDescent="0.25">
      <c r="A16" s="125">
        <v>6</v>
      </c>
      <c r="B16" s="112" t="s">
        <v>156</v>
      </c>
      <c r="C16" s="113"/>
      <c r="D16" s="76"/>
      <c r="E16" s="76"/>
      <c r="F16" s="76"/>
      <c r="G16" s="76"/>
      <c r="H16" s="76"/>
      <c r="I16" s="76"/>
    </row>
    <row r="17" spans="1:9" x14ac:dyDescent="0.25">
      <c r="A17" s="113"/>
      <c r="B17" s="113"/>
      <c r="C17" s="113"/>
      <c r="D17" s="76"/>
      <c r="E17" s="76"/>
      <c r="F17" s="76"/>
      <c r="G17" s="76"/>
      <c r="H17" s="76"/>
      <c r="I17" s="76"/>
    </row>
    <row r="18" spans="1:9" x14ac:dyDescent="0.25">
      <c r="A18" s="118">
        <v>7</v>
      </c>
      <c r="B18" s="114" t="s">
        <v>157</v>
      </c>
      <c r="C18" s="115"/>
      <c r="D18" s="76"/>
      <c r="E18" s="76"/>
      <c r="F18" s="76"/>
      <c r="G18" s="76"/>
      <c r="H18" s="76"/>
      <c r="I18" s="76"/>
    </row>
    <row r="19" spans="1:9" x14ac:dyDescent="0.25">
      <c r="A19" s="119"/>
      <c r="B19" s="116"/>
      <c r="C19" s="117"/>
      <c r="D19" s="76"/>
      <c r="E19" s="76"/>
      <c r="F19" s="76"/>
      <c r="G19" s="76"/>
      <c r="H19" s="76"/>
      <c r="I19" s="76"/>
    </row>
    <row r="20" spans="1:9" x14ac:dyDescent="0.25">
      <c r="A20" s="118">
        <v>8</v>
      </c>
      <c r="B20" s="114" t="s">
        <v>158</v>
      </c>
      <c r="C20" s="115"/>
      <c r="D20" s="76"/>
      <c r="E20" s="76"/>
      <c r="F20" s="76"/>
      <c r="G20" s="76"/>
      <c r="H20" s="76"/>
      <c r="I20" s="76"/>
    </row>
    <row r="21" spans="1:9" x14ac:dyDescent="0.25">
      <c r="A21" s="119"/>
      <c r="B21" s="116"/>
      <c r="C21" s="117"/>
      <c r="D21" s="76"/>
      <c r="E21" s="76"/>
      <c r="F21" s="76"/>
      <c r="G21" s="76"/>
      <c r="H21" s="76"/>
      <c r="I21" s="76"/>
    </row>
    <row r="22" spans="1:9" x14ac:dyDescent="0.25">
      <c r="A22" s="118">
        <v>9</v>
      </c>
      <c r="B22" s="114" t="s">
        <v>159</v>
      </c>
      <c r="C22" s="115"/>
      <c r="D22" s="76"/>
      <c r="E22" s="76"/>
      <c r="F22" s="76"/>
      <c r="G22" s="76"/>
      <c r="H22" s="76"/>
      <c r="I22" s="76"/>
    </row>
    <row r="23" spans="1:9" x14ac:dyDescent="0.25">
      <c r="A23" s="119"/>
      <c r="B23" s="116"/>
      <c r="C23" s="117"/>
      <c r="D23" s="76"/>
      <c r="E23" s="76"/>
      <c r="F23" s="76"/>
      <c r="G23" s="76"/>
      <c r="H23" s="76"/>
      <c r="I23" s="76"/>
    </row>
    <row r="24" spans="1:9" x14ac:dyDescent="0.25">
      <c r="A24" s="118">
        <v>10</v>
      </c>
      <c r="B24" s="114" t="s">
        <v>68</v>
      </c>
      <c r="C24" s="115"/>
      <c r="D24" s="76"/>
      <c r="E24" s="76"/>
      <c r="F24" s="76"/>
      <c r="G24" s="76"/>
      <c r="H24" s="76"/>
      <c r="I24" s="76"/>
    </row>
    <row r="25" spans="1:9" ht="15.75" customHeight="1" x14ac:dyDescent="0.25">
      <c r="A25" s="119"/>
      <c r="B25" s="116"/>
      <c r="C25" s="117"/>
      <c r="D25" s="76"/>
      <c r="E25" s="76"/>
      <c r="F25" s="76"/>
      <c r="G25" s="76"/>
      <c r="H25" s="76"/>
      <c r="I25" s="76"/>
    </row>
    <row r="26" spans="1:9" ht="15.75" customHeight="1" x14ac:dyDescent="0.25">
      <c r="A26" s="118">
        <v>11</v>
      </c>
      <c r="B26" s="114" t="s">
        <v>160</v>
      </c>
      <c r="C26" s="115"/>
      <c r="D26" s="76"/>
      <c r="E26" s="76"/>
      <c r="F26" s="76"/>
      <c r="G26" s="76"/>
      <c r="H26" s="76"/>
      <c r="I26" s="76"/>
    </row>
    <row r="27" spans="1:9" x14ac:dyDescent="0.25">
      <c r="A27" s="119"/>
      <c r="B27" s="116"/>
      <c r="C27" s="117"/>
      <c r="D27" s="76"/>
      <c r="E27" s="76"/>
      <c r="F27" s="76"/>
      <c r="G27" s="76"/>
      <c r="H27" s="76"/>
      <c r="I27" s="76"/>
    </row>
    <row r="28" spans="1:9" x14ac:dyDescent="0.25">
      <c r="A28" s="118">
        <v>12</v>
      </c>
      <c r="B28" s="114" t="s">
        <v>71</v>
      </c>
      <c r="C28" s="115"/>
      <c r="D28" s="76"/>
      <c r="E28" s="76"/>
      <c r="F28" s="76"/>
      <c r="G28" s="76"/>
      <c r="H28" s="76"/>
      <c r="I28" s="76"/>
    </row>
    <row r="29" spans="1:9" x14ac:dyDescent="0.25">
      <c r="A29" s="119"/>
      <c r="B29" s="116"/>
      <c r="C29" s="117"/>
      <c r="D29" s="76"/>
      <c r="E29" s="76"/>
      <c r="F29" s="76"/>
      <c r="G29" s="76"/>
      <c r="H29" s="76"/>
      <c r="I29" s="76"/>
    </row>
    <row r="30" spans="1:9" x14ac:dyDescent="0.25">
      <c r="A30" s="118">
        <v>13</v>
      </c>
      <c r="B30" s="114" t="s">
        <v>72</v>
      </c>
      <c r="C30" s="115"/>
      <c r="D30" s="76"/>
      <c r="E30" s="76"/>
      <c r="F30" s="76"/>
      <c r="G30" s="76"/>
      <c r="H30" s="76"/>
      <c r="I30" s="76"/>
    </row>
    <row r="31" spans="1:9" x14ac:dyDescent="0.25">
      <c r="A31" s="119"/>
      <c r="B31" s="116"/>
      <c r="C31" s="117"/>
      <c r="D31" s="76"/>
      <c r="E31" s="76"/>
      <c r="F31" s="76"/>
      <c r="G31" s="76"/>
      <c r="H31" s="76"/>
      <c r="I31" s="76"/>
    </row>
    <row r="32" spans="1:9" x14ac:dyDescent="0.25">
      <c r="A32" s="118">
        <v>14</v>
      </c>
      <c r="B32" s="114" t="s">
        <v>73</v>
      </c>
      <c r="C32" s="115"/>
      <c r="D32" s="76"/>
      <c r="E32" s="76"/>
      <c r="F32" s="76"/>
      <c r="G32" s="76"/>
      <c r="H32" s="76"/>
      <c r="I32" s="76"/>
    </row>
    <row r="33" spans="1:9" x14ac:dyDescent="0.25">
      <c r="A33" s="119"/>
      <c r="B33" s="116"/>
      <c r="C33" s="117"/>
      <c r="D33" s="76"/>
      <c r="E33" s="76"/>
      <c r="F33" s="76"/>
      <c r="G33" s="76"/>
      <c r="H33" s="76"/>
      <c r="I33" s="76"/>
    </row>
    <row r="34" spans="1:9" x14ac:dyDescent="0.25">
      <c r="A34" s="118">
        <v>15</v>
      </c>
      <c r="B34" s="114" t="s">
        <v>201</v>
      </c>
      <c r="C34" s="115"/>
      <c r="D34" s="76"/>
      <c r="E34" s="76"/>
      <c r="F34" s="76"/>
      <c r="G34" s="76"/>
      <c r="H34" s="76"/>
      <c r="I34" s="76"/>
    </row>
    <row r="35" spans="1:9" x14ac:dyDescent="0.25">
      <c r="A35" s="119"/>
      <c r="B35" s="116"/>
      <c r="C35" s="117"/>
      <c r="D35" s="76"/>
      <c r="E35" s="76"/>
      <c r="F35" s="76"/>
      <c r="G35" s="76"/>
      <c r="H35" s="76"/>
      <c r="I35" s="76"/>
    </row>
    <row r="49" s="71" customFormat="1" x14ac:dyDescent="0.25"/>
    <row r="50" s="71" customFormat="1" x14ac:dyDescent="0.25"/>
    <row r="51" s="71" customFormat="1" x14ac:dyDescent="0.25"/>
    <row r="52" s="71" customFormat="1" x14ac:dyDescent="0.25"/>
    <row r="53" s="71" customFormat="1" x14ac:dyDescent="0.25"/>
    <row r="54" s="71" customFormat="1" x14ac:dyDescent="0.25"/>
    <row r="55" s="71" customFormat="1" x14ac:dyDescent="0.25"/>
    <row r="56" s="71" customFormat="1" x14ac:dyDescent="0.25"/>
    <row r="57" s="71" customFormat="1" x14ac:dyDescent="0.25"/>
    <row r="58" s="71" customFormat="1" x14ac:dyDescent="0.25"/>
    <row r="59" s="71" customFormat="1" x14ac:dyDescent="0.25"/>
    <row r="60" s="71" customFormat="1" x14ac:dyDescent="0.25"/>
    <row r="61" s="71" customFormat="1" x14ac:dyDescent="0.25"/>
    <row r="62" s="71" customFormat="1" x14ac:dyDescent="0.25"/>
    <row r="63" s="71" customFormat="1" x14ac:dyDescent="0.25"/>
    <row r="64" s="71" customFormat="1" x14ac:dyDescent="0.25"/>
    <row r="65" s="71" customFormat="1" x14ac:dyDescent="0.25"/>
    <row r="66" s="71" customFormat="1" x14ac:dyDescent="0.25"/>
    <row r="67" s="71" customFormat="1" x14ac:dyDescent="0.25"/>
    <row r="68" s="71" customFormat="1" x14ac:dyDescent="0.25"/>
    <row r="69" s="71" customFormat="1" x14ac:dyDescent="0.25"/>
    <row r="70" s="71" customFormat="1" x14ac:dyDescent="0.25"/>
    <row r="71" s="71" customFormat="1" x14ac:dyDescent="0.25"/>
    <row r="72" s="71" customFormat="1" x14ac:dyDescent="0.25"/>
    <row r="73" s="71" customFormat="1" x14ac:dyDescent="0.25"/>
    <row r="74" s="71" customFormat="1" x14ac:dyDescent="0.25"/>
    <row r="75" s="71" customFormat="1" x14ac:dyDescent="0.25"/>
    <row r="76" s="71" customFormat="1" x14ac:dyDescent="0.25"/>
    <row r="77" s="71" customFormat="1" x14ac:dyDescent="0.25"/>
    <row r="78" s="71" customFormat="1" x14ac:dyDescent="0.25"/>
    <row r="79" s="71" customFormat="1" x14ac:dyDescent="0.25"/>
    <row r="80" s="71" customFormat="1" x14ac:dyDescent="0.25"/>
    <row r="81" s="71" customFormat="1" x14ac:dyDescent="0.25"/>
    <row r="82" s="71" customFormat="1" x14ac:dyDescent="0.25"/>
    <row r="83" s="71" customFormat="1" x14ac:dyDescent="0.25"/>
    <row r="84" s="71" customFormat="1" x14ac:dyDescent="0.25"/>
    <row r="85" s="71" customFormat="1" x14ac:dyDescent="0.25"/>
    <row r="86" s="71" customFormat="1" x14ac:dyDescent="0.25"/>
    <row r="87" s="71" customFormat="1" x14ac:dyDescent="0.25"/>
    <row r="88" s="71" customFormat="1" x14ac:dyDescent="0.25"/>
    <row r="89" s="71" customFormat="1" x14ac:dyDescent="0.25"/>
    <row r="90" s="71" customFormat="1" x14ac:dyDescent="0.25"/>
    <row r="91" s="71" customFormat="1" x14ac:dyDescent="0.25"/>
    <row r="92" s="71" customFormat="1" x14ac:dyDescent="0.25"/>
    <row r="93" s="71" customFormat="1" x14ac:dyDescent="0.25"/>
    <row r="94" s="71" customFormat="1" x14ac:dyDescent="0.25"/>
    <row r="95" s="71" customFormat="1" x14ac:dyDescent="0.25"/>
    <row r="96" s="71" customFormat="1" x14ac:dyDescent="0.25"/>
    <row r="97" s="71" customFormat="1" x14ac:dyDescent="0.25"/>
    <row r="98" s="71" customFormat="1" x14ac:dyDescent="0.25"/>
    <row r="99" s="71" customFormat="1" x14ac:dyDescent="0.25"/>
    <row r="100" s="71" customFormat="1" x14ac:dyDescent="0.25"/>
    <row r="101" s="71" customFormat="1" x14ac:dyDescent="0.25"/>
    <row r="102" s="71" customFormat="1" x14ac:dyDescent="0.25"/>
    <row r="103" s="71" customFormat="1" x14ac:dyDescent="0.25"/>
    <row r="104" s="71" customFormat="1" x14ac:dyDescent="0.25"/>
    <row r="105" s="71" customFormat="1" x14ac:dyDescent="0.25"/>
    <row r="106" s="71" customFormat="1" x14ac:dyDescent="0.25"/>
    <row r="107" s="71" customFormat="1" x14ac:dyDescent="0.25"/>
    <row r="108" s="71" customFormat="1" x14ac:dyDescent="0.25"/>
    <row r="109" s="71" customFormat="1" x14ac:dyDescent="0.25"/>
    <row r="110" s="71" customFormat="1" x14ac:dyDescent="0.25"/>
    <row r="111" s="71" customFormat="1" x14ac:dyDescent="0.25"/>
    <row r="112" s="71" customFormat="1" x14ac:dyDescent="0.25"/>
    <row r="113" s="71" customFormat="1" x14ac:dyDescent="0.25"/>
    <row r="114" s="71" customFormat="1" x14ac:dyDescent="0.25"/>
    <row r="115" s="71" customFormat="1" x14ac:dyDescent="0.25"/>
    <row r="116" s="71" customFormat="1" x14ac:dyDescent="0.25"/>
    <row r="117" s="71" customFormat="1" x14ac:dyDescent="0.25"/>
    <row r="118" s="71" customFormat="1" x14ac:dyDescent="0.25"/>
    <row r="119" s="71" customFormat="1" x14ac:dyDescent="0.25"/>
    <row r="120" s="71" customFormat="1" x14ac:dyDescent="0.25"/>
    <row r="121" s="71" customFormat="1" x14ac:dyDescent="0.25"/>
    <row r="122" s="71" customFormat="1" x14ac:dyDescent="0.25"/>
    <row r="123" s="71" customFormat="1" x14ac:dyDescent="0.25"/>
    <row r="124" s="71" customFormat="1" x14ac:dyDescent="0.25"/>
    <row r="125" s="71" customFormat="1" x14ac:dyDescent="0.25"/>
    <row r="126" s="71" customFormat="1" x14ac:dyDescent="0.25"/>
    <row r="127" s="71" customFormat="1" x14ac:dyDescent="0.25"/>
    <row r="128" s="71" customFormat="1" x14ac:dyDescent="0.25"/>
    <row r="129" s="71" customFormat="1" x14ac:dyDescent="0.25"/>
    <row r="130" s="71" customFormat="1" x14ac:dyDescent="0.25"/>
    <row r="131" s="71" customFormat="1" x14ac:dyDescent="0.25"/>
    <row r="132" s="71" customFormat="1" x14ac:dyDescent="0.25"/>
    <row r="133" s="71" customFormat="1" x14ac:dyDescent="0.25"/>
    <row r="134" s="71" customFormat="1" x14ac:dyDescent="0.25"/>
    <row r="135" s="71" customFormat="1" x14ac:dyDescent="0.25"/>
    <row r="136" s="71" customFormat="1" x14ac:dyDescent="0.25"/>
    <row r="137" s="71" customFormat="1" x14ac:dyDescent="0.25"/>
    <row r="138" s="71" customFormat="1" x14ac:dyDescent="0.25"/>
    <row r="139" s="71" customFormat="1" x14ac:dyDescent="0.25"/>
    <row r="140" s="71" customFormat="1" x14ac:dyDescent="0.25"/>
    <row r="141" s="71" customFormat="1" x14ac:dyDescent="0.25"/>
    <row r="142" s="71" customFormat="1" x14ac:dyDescent="0.25"/>
    <row r="143" s="71" customFormat="1" x14ac:dyDescent="0.25"/>
    <row r="144" s="71" customFormat="1" x14ac:dyDescent="0.25"/>
    <row r="145" s="71" customFormat="1" x14ac:dyDescent="0.25"/>
    <row r="146" s="71" customFormat="1" x14ac:dyDescent="0.25"/>
    <row r="147" s="71" customFormat="1" x14ac:dyDescent="0.25"/>
    <row r="148" s="71" customFormat="1" x14ac:dyDescent="0.25"/>
    <row r="149" s="71" customFormat="1" x14ac:dyDescent="0.25"/>
    <row r="150" s="71" customFormat="1" x14ac:dyDescent="0.25"/>
    <row r="151" s="71" customFormat="1" x14ac:dyDescent="0.25"/>
    <row r="152" s="71" customFormat="1" x14ac:dyDescent="0.25"/>
    <row r="153" s="71" customFormat="1" x14ac:dyDescent="0.25"/>
    <row r="154" s="71" customFormat="1" x14ac:dyDescent="0.25"/>
    <row r="155" s="71" customFormat="1" x14ac:dyDescent="0.25"/>
    <row r="156" s="71" customFormat="1" x14ac:dyDescent="0.25"/>
    <row r="157" s="71" customFormat="1" x14ac:dyDescent="0.25"/>
    <row r="158" s="71" customFormat="1" x14ac:dyDescent="0.25"/>
    <row r="159" s="71" customFormat="1" x14ac:dyDescent="0.25"/>
    <row r="160" s="71" customFormat="1" x14ac:dyDescent="0.25"/>
    <row r="161" s="71" customFormat="1" x14ac:dyDescent="0.25"/>
    <row r="162" s="71" customFormat="1" x14ac:dyDescent="0.25"/>
    <row r="163" s="71" customFormat="1" x14ac:dyDescent="0.25"/>
    <row r="164" s="71" customFormat="1" x14ac:dyDescent="0.25"/>
    <row r="165" s="71" customFormat="1" x14ac:dyDescent="0.25"/>
    <row r="166" s="71" customFormat="1" x14ac:dyDescent="0.25"/>
    <row r="167" s="71" customFormat="1" x14ac:dyDescent="0.25"/>
    <row r="168" s="71" customFormat="1" x14ac:dyDescent="0.25"/>
    <row r="169" s="71" customFormat="1" x14ac:dyDescent="0.25"/>
    <row r="170" s="71" customFormat="1" x14ac:dyDescent="0.25"/>
    <row r="171" s="71" customFormat="1" x14ac:dyDescent="0.25"/>
    <row r="172" s="71" customFormat="1" x14ac:dyDescent="0.25"/>
    <row r="173" s="71" customFormat="1" x14ac:dyDescent="0.25"/>
    <row r="174" s="71" customFormat="1" x14ac:dyDescent="0.25"/>
    <row r="175" s="71" customFormat="1" x14ac:dyDescent="0.25"/>
    <row r="176" s="71" customFormat="1" x14ac:dyDescent="0.25"/>
    <row r="177" s="71" customFormat="1" x14ac:dyDescent="0.25"/>
    <row r="178" s="71" customFormat="1" x14ac:dyDescent="0.25"/>
    <row r="179" s="71" customFormat="1" x14ac:dyDescent="0.25"/>
    <row r="180" s="71" customFormat="1" x14ac:dyDescent="0.25"/>
    <row r="181" s="71" customFormat="1" x14ac:dyDescent="0.25"/>
    <row r="182" s="71" customFormat="1" x14ac:dyDescent="0.25"/>
    <row r="183" s="71" customFormat="1" x14ac:dyDescent="0.25"/>
    <row r="184" s="71" customFormat="1" x14ac:dyDescent="0.25"/>
    <row r="185" s="71" customFormat="1" x14ac:dyDescent="0.25"/>
    <row r="186" s="71" customFormat="1" x14ac:dyDescent="0.25"/>
    <row r="187" s="71" customFormat="1" x14ac:dyDescent="0.25"/>
    <row r="188" s="71" customFormat="1" x14ac:dyDescent="0.25"/>
    <row r="189" s="71" customFormat="1" x14ac:dyDescent="0.25"/>
    <row r="190" s="71" customFormat="1" x14ac:dyDescent="0.25"/>
    <row r="191" s="71" customFormat="1" x14ac:dyDescent="0.25"/>
    <row r="192" s="71" customFormat="1" x14ac:dyDescent="0.25"/>
    <row r="193" s="71" customFormat="1" x14ac:dyDescent="0.25"/>
    <row r="194" s="71" customFormat="1" x14ac:dyDescent="0.25"/>
    <row r="195" s="71" customFormat="1" x14ac:dyDescent="0.25"/>
    <row r="196" s="71" customFormat="1" x14ac:dyDescent="0.25"/>
    <row r="197" s="71" customFormat="1" x14ac:dyDescent="0.25"/>
    <row r="198" s="71" customFormat="1" x14ac:dyDescent="0.25"/>
    <row r="199" s="71" customFormat="1" x14ac:dyDescent="0.25"/>
    <row r="200" s="71" customFormat="1" x14ac:dyDescent="0.25"/>
    <row r="201" s="71" customFormat="1" x14ac:dyDescent="0.25"/>
    <row r="202" s="71" customFormat="1" x14ac:dyDescent="0.25"/>
    <row r="203" s="71" customFormat="1" x14ac:dyDescent="0.25"/>
    <row r="204" s="71" customFormat="1" x14ac:dyDescent="0.25"/>
    <row r="205" s="71" customFormat="1" x14ac:dyDescent="0.25"/>
    <row r="206" s="71" customFormat="1" x14ac:dyDescent="0.25"/>
    <row r="207" s="71" customFormat="1" x14ac:dyDescent="0.25"/>
    <row r="208" s="71" customFormat="1" x14ac:dyDescent="0.25"/>
    <row r="209" s="71" customFormat="1" x14ac:dyDescent="0.25"/>
    <row r="210" s="71" customFormat="1" x14ac:dyDescent="0.25"/>
    <row r="211" s="71" customFormat="1" x14ac:dyDescent="0.25"/>
    <row r="212" s="71" customFormat="1" x14ac:dyDescent="0.25"/>
    <row r="213" s="71" customFormat="1" x14ac:dyDescent="0.25"/>
    <row r="214" s="71" customFormat="1" x14ac:dyDescent="0.25"/>
    <row r="215" s="71" customFormat="1" x14ac:dyDescent="0.25"/>
    <row r="216" s="71" customFormat="1" x14ac:dyDescent="0.25"/>
    <row r="217" s="71" customFormat="1" x14ac:dyDescent="0.25"/>
    <row r="218" s="71" customFormat="1" x14ac:dyDescent="0.25"/>
    <row r="219" s="71" customFormat="1" x14ac:dyDescent="0.25"/>
    <row r="220" s="71" customFormat="1" x14ac:dyDescent="0.25"/>
    <row r="221" s="71" customFormat="1" x14ac:dyDescent="0.25"/>
    <row r="222" s="71" customFormat="1" x14ac:dyDescent="0.25"/>
    <row r="223" s="71" customFormat="1" x14ac:dyDescent="0.25"/>
    <row r="224" s="71" customFormat="1" x14ac:dyDescent="0.25"/>
    <row r="225" s="71" customFormat="1" x14ac:dyDescent="0.25"/>
    <row r="226" s="71" customFormat="1" x14ac:dyDescent="0.25"/>
    <row r="227" s="71" customFormat="1" x14ac:dyDescent="0.25"/>
    <row r="228" s="71" customFormat="1" x14ac:dyDescent="0.25"/>
    <row r="229" s="71" customFormat="1" x14ac:dyDescent="0.25"/>
    <row r="230" s="71" customFormat="1" x14ac:dyDescent="0.25"/>
    <row r="231" s="71" customFormat="1" x14ac:dyDescent="0.25"/>
    <row r="232" s="71" customFormat="1" x14ac:dyDescent="0.25"/>
    <row r="233" s="71" customFormat="1" x14ac:dyDescent="0.25"/>
    <row r="234" s="71" customFormat="1" x14ac:dyDescent="0.25"/>
    <row r="235" s="71" customFormat="1" x14ac:dyDescent="0.25"/>
    <row r="236" s="71" customFormat="1" x14ac:dyDescent="0.25"/>
    <row r="237" s="71" customFormat="1" x14ac:dyDescent="0.25"/>
    <row r="238" s="71" customFormat="1" x14ac:dyDescent="0.25"/>
    <row r="239" s="71" customFormat="1" x14ac:dyDescent="0.25"/>
    <row r="240" s="71" customFormat="1" x14ac:dyDescent="0.25"/>
    <row r="241" s="71" customFormat="1" x14ac:dyDescent="0.25"/>
    <row r="242" s="71" customFormat="1" x14ac:dyDescent="0.25"/>
    <row r="243" s="71" customFormat="1" x14ac:dyDescent="0.25"/>
    <row r="244" s="71" customFormat="1" x14ac:dyDescent="0.25"/>
    <row r="245" s="71" customFormat="1" x14ac:dyDescent="0.25"/>
    <row r="246" s="71" customFormat="1" x14ac:dyDescent="0.25"/>
    <row r="247" s="71" customFormat="1" x14ac:dyDescent="0.25"/>
    <row r="248" s="71" customFormat="1" x14ac:dyDescent="0.25"/>
    <row r="249" s="71" customFormat="1" x14ac:dyDescent="0.25"/>
    <row r="250" s="71" customFormat="1" x14ac:dyDescent="0.25"/>
    <row r="251" s="71" customFormat="1" x14ac:dyDescent="0.25"/>
    <row r="252" s="71" customFormat="1" x14ac:dyDescent="0.25"/>
    <row r="253" s="71" customFormat="1" x14ac:dyDescent="0.25"/>
    <row r="254" s="71" customFormat="1" x14ac:dyDescent="0.25"/>
    <row r="255" s="71" customFormat="1" x14ac:dyDescent="0.25"/>
    <row r="256" s="71" customFormat="1" x14ac:dyDescent="0.25"/>
    <row r="257" s="71" customFormat="1" x14ac:dyDescent="0.25"/>
    <row r="258" s="71" customFormat="1" x14ac:dyDescent="0.25"/>
    <row r="259" s="71" customFormat="1" x14ac:dyDescent="0.25"/>
    <row r="260" s="71" customFormat="1" x14ac:dyDescent="0.25"/>
    <row r="261" s="71" customFormat="1" x14ac:dyDescent="0.25"/>
    <row r="262" s="71" customFormat="1" x14ac:dyDescent="0.25"/>
    <row r="263" s="71" customFormat="1" x14ac:dyDescent="0.25"/>
    <row r="264" s="71" customFormat="1" x14ac:dyDescent="0.25"/>
    <row r="265" s="71" customFormat="1" x14ac:dyDescent="0.25"/>
    <row r="266" s="71" customFormat="1" x14ac:dyDescent="0.25"/>
    <row r="267" s="71" customFormat="1" x14ac:dyDescent="0.25"/>
    <row r="268" s="71" customFormat="1" x14ac:dyDescent="0.25"/>
    <row r="269" s="71" customFormat="1" x14ac:dyDescent="0.25"/>
    <row r="270" s="71" customFormat="1" x14ac:dyDescent="0.25"/>
    <row r="271" s="71" customFormat="1" x14ac:dyDescent="0.25"/>
    <row r="272" s="71" customFormat="1" x14ac:dyDescent="0.25"/>
    <row r="273" s="71" customFormat="1" x14ac:dyDescent="0.25"/>
    <row r="274" s="71" customFormat="1" x14ac:dyDescent="0.25"/>
    <row r="275" s="71" customFormat="1" x14ac:dyDescent="0.25"/>
    <row r="276" s="71" customFormat="1" x14ac:dyDescent="0.25"/>
    <row r="277" s="71" customFormat="1" x14ac:dyDescent="0.25"/>
    <row r="278" s="71" customFormat="1" x14ac:dyDescent="0.25"/>
    <row r="279" s="71" customFormat="1" x14ac:dyDescent="0.25"/>
    <row r="280" s="71" customFormat="1" x14ac:dyDescent="0.25"/>
    <row r="281" s="71" customFormat="1" x14ac:dyDescent="0.25"/>
    <row r="282" s="71" customFormat="1" x14ac:dyDescent="0.25"/>
    <row r="283" s="71" customFormat="1" x14ac:dyDescent="0.25"/>
    <row r="284" s="71" customFormat="1" x14ac:dyDescent="0.25"/>
    <row r="285" s="71" customFormat="1" x14ac:dyDescent="0.25"/>
    <row r="286" s="71" customFormat="1" x14ac:dyDescent="0.25"/>
    <row r="287" s="71" customFormat="1" x14ac:dyDescent="0.25"/>
    <row r="288" s="71" customFormat="1" x14ac:dyDescent="0.25"/>
    <row r="289" s="71" customFormat="1" x14ac:dyDescent="0.25"/>
    <row r="290" s="71" customFormat="1" x14ac:dyDescent="0.25"/>
    <row r="291" s="71" customFormat="1" x14ac:dyDescent="0.25"/>
    <row r="292" s="71" customFormat="1" x14ac:dyDescent="0.25"/>
    <row r="293" s="71" customFormat="1" x14ac:dyDescent="0.25"/>
    <row r="294" s="71" customFormat="1" x14ac:dyDescent="0.25"/>
    <row r="295" s="71" customFormat="1" x14ac:dyDescent="0.25"/>
    <row r="296" s="71" customFormat="1" x14ac:dyDescent="0.25"/>
    <row r="297" s="71" customFormat="1" x14ac:dyDescent="0.25"/>
    <row r="298" s="71" customFormat="1" x14ac:dyDescent="0.25"/>
    <row r="299" s="71" customFormat="1" x14ac:dyDescent="0.25"/>
    <row r="300" s="71" customFormat="1" x14ac:dyDescent="0.25"/>
    <row r="301" s="71" customFormat="1" x14ac:dyDescent="0.25"/>
    <row r="302" s="71" customFormat="1" x14ac:dyDescent="0.25"/>
    <row r="303" s="71" customFormat="1" x14ac:dyDescent="0.25"/>
    <row r="304" s="71" customFormat="1" x14ac:dyDescent="0.25"/>
    <row r="305" s="71" customFormat="1" x14ac:dyDescent="0.25"/>
    <row r="306" s="71" customFormat="1" x14ac:dyDescent="0.25"/>
    <row r="307" s="71" customFormat="1" x14ac:dyDescent="0.25"/>
    <row r="308" s="71" customFormat="1" x14ac:dyDescent="0.25"/>
    <row r="309" s="71" customFormat="1" x14ac:dyDescent="0.25"/>
    <row r="310" s="71" customFormat="1" x14ac:dyDescent="0.25"/>
    <row r="311" s="71" customFormat="1" x14ac:dyDescent="0.25"/>
    <row r="312" s="71" customFormat="1" x14ac:dyDescent="0.25"/>
    <row r="313" s="71" customFormat="1" x14ac:dyDescent="0.25"/>
    <row r="314" s="71" customFormat="1" x14ac:dyDescent="0.25"/>
    <row r="315" s="71" customFormat="1" x14ac:dyDescent="0.25"/>
    <row r="316" s="71" customFormat="1" x14ac:dyDescent="0.25"/>
    <row r="317" s="71" customFormat="1" x14ac:dyDescent="0.25"/>
    <row r="318" s="71" customFormat="1" x14ac:dyDescent="0.25"/>
    <row r="319" s="71" customFormat="1" x14ac:dyDescent="0.25"/>
    <row r="320" s="71" customFormat="1" x14ac:dyDescent="0.25"/>
    <row r="321" s="71" customFormat="1" x14ac:dyDescent="0.25"/>
    <row r="322" s="71" customFormat="1" x14ac:dyDescent="0.25"/>
    <row r="323" s="71" customFormat="1" x14ac:dyDescent="0.25"/>
    <row r="324" s="71" customFormat="1" x14ac:dyDescent="0.25"/>
    <row r="325" s="71" customFormat="1" x14ac:dyDescent="0.25"/>
    <row r="326" s="71" customFormat="1" x14ac:dyDescent="0.25"/>
    <row r="327" s="71" customFormat="1" x14ac:dyDescent="0.25"/>
    <row r="328" s="71" customFormat="1" x14ac:dyDescent="0.25"/>
    <row r="329" s="71" customFormat="1" x14ac:dyDescent="0.25"/>
    <row r="330" s="71" customFormat="1" x14ac:dyDescent="0.25"/>
    <row r="331" s="71" customFormat="1" x14ac:dyDescent="0.25"/>
    <row r="332" s="71" customFormat="1" x14ac:dyDescent="0.25"/>
    <row r="333" s="71" customFormat="1" x14ac:dyDescent="0.25"/>
    <row r="334" s="71" customFormat="1" x14ac:dyDescent="0.25"/>
    <row r="335" s="71" customFormat="1" x14ac:dyDescent="0.25"/>
    <row r="336" s="71" customFormat="1" x14ac:dyDescent="0.25"/>
    <row r="337" s="71" customFormat="1" x14ac:dyDescent="0.25"/>
    <row r="338" s="71" customFormat="1" x14ac:dyDescent="0.25"/>
    <row r="339" s="71" customFormat="1" x14ac:dyDescent="0.25"/>
    <row r="340" s="71" customFormat="1" x14ac:dyDescent="0.25"/>
    <row r="341" s="71" customFormat="1" x14ac:dyDescent="0.25"/>
    <row r="342" s="71" customFormat="1" x14ac:dyDescent="0.25"/>
    <row r="343" s="71" customFormat="1" x14ac:dyDescent="0.25"/>
    <row r="344" s="71" customFormat="1" x14ac:dyDescent="0.25"/>
    <row r="345" s="71" customFormat="1" x14ac:dyDescent="0.25"/>
    <row r="346" s="71" customFormat="1" x14ac:dyDescent="0.25"/>
    <row r="347" s="71" customFormat="1" x14ac:dyDescent="0.25"/>
    <row r="348" s="71" customFormat="1" x14ac:dyDescent="0.25"/>
    <row r="349" s="71" customFormat="1" x14ac:dyDescent="0.25"/>
    <row r="350" s="71" customFormat="1" x14ac:dyDescent="0.25"/>
    <row r="351" s="71" customFormat="1" x14ac:dyDescent="0.25"/>
    <row r="352" s="71" customFormat="1" x14ac:dyDescent="0.25"/>
    <row r="353" s="71" customFormat="1" x14ac:dyDescent="0.25"/>
    <row r="354" s="71" customFormat="1" x14ac:dyDescent="0.25"/>
    <row r="355" s="71" customFormat="1" x14ac:dyDescent="0.25"/>
    <row r="356" s="71" customFormat="1" x14ac:dyDescent="0.25"/>
    <row r="357" s="71" customFormat="1" x14ac:dyDescent="0.25"/>
    <row r="358" s="71" customFormat="1" x14ac:dyDescent="0.25"/>
    <row r="359" s="71" customFormat="1" x14ac:dyDescent="0.25"/>
    <row r="360" s="71" customFormat="1" x14ac:dyDescent="0.25"/>
    <row r="361" s="71" customFormat="1" x14ac:dyDescent="0.25"/>
    <row r="362" s="71" customFormat="1" x14ac:dyDescent="0.25"/>
    <row r="363" s="71" customFormat="1" x14ac:dyDescent="0.25"/>
    <row r="364" s="71" customFormat="1" x14ac:dyDescent="0.25"/>
    <row r="365" s="71" customFormat="1" x14ac:dyDescent="0.25"/>
    <row r="366" s="71" customFormat="1" x14ac:dyDescent="0.25"/>
    <row r="367" s="71" customFormat="1" x14ac:dyDescent="0.25"/>
    <row r="368" s="71" customFormat="1" x14ac:dyDescent="0.25"/>
    <row r="369" s="71" customFormat="1" x14ac:dyDescent="0.25"/>
    <row r="370" s="71" customFormat="1" x14ac:dyDescent="0.25"/>
    <row r="371" s="71" customFormat="1" x14ac:dyDescent="0.25"/>
    <row r="372" s="71" customFormat="1" x14ac:dyDescent="0.25"/>
    <row r="373" s="71" customFormat="1" x14ac:dyDescent="0.25"/>
    <row r="374" s="71" customFormat="1" x14ac:dyDescent="0.25"/>
    <row r="375" s="71" customFormat="1" x14ac:dyDescent="0.25"/>
    <row r="376" s="71" customFormat="1" x14ac:dyDescent="0.25"/>
    <row r="377" s="71" customFormat="1" x14ac:dyDescent="0.25"/>
    <row r="378" s="71" customFormat="1" x14ac:dyDescent="0.25"/>
    <row r="379" s="71" customFormat="1" x14ac:dyDescent="0.25"/>
    <row r="380" s="71" customFormat="1" x14ac:dyDescent="0.25"/>
    <row r="381" s="71" customFormat="1" x14ac:dyDescent="0.25"/>
    <row r="382" s="71" customFormat="1" x14ac:dyDescent="0.25"/>
    <row r="383" s="71" customFormat="1" x14ac:dyDescent="0.25"/>
    <row r="384" s="71" customFormat="1" x14ac:dyDescent="0.25"/>
    <row r="385" s="71" customFormat="1" x14ac:dyDescent="0.25"/>
    <row r="386" s="71" customFormat="1" x14ac:dyDescent="0.25"/>
    <row r="387" s="71" customFormat="1" x14ac:dyDescent="0.25"/>
    <row r="388" s="71" customFormat="1" x14ac:dyDescent="0.25"/>
    <row r="389" s="71" customFormat="1" x14ac:dyDescent="0.25"/>
    <row r="390" s="71" customFormat="1" x14ac:dyDescent="0.25"/>
    <row r="391" s="71" customFormat="1" x14ac:dyDescent="0.25"/>
    <row r="392" s="71" customFormat="1" x14ac:dyDescent="0.25"/>
    <row r="393" s="71" customFormat="1" x14ac:dyDescent="0.25"/>
    <row r="394" s="71" customFormat="1" x14ac:dyDescent="0.25"/>
    <row r="395" s="71" customFormat="1" x14ac:dyDescent="0.25"/>
    <row r="396" s="71" customFormat="1" x14ac:dyDescent="0.25"/>
    <row r="397" s="71" customFormat="1" x14ac:dyDescent="0.25"/>
    <row r="398" s="71" customFormat="1" x14ac:dyDescent="0.25"/>
    <row r="399" s="71" customFormat="1" x14ac:dyDescent="0.25"/>
    <row r="400" s="71" customFormat="1" x14ac:dyDescent="0.25"/>
    <row r="401" s="71" customFormat="1" x14ac:dyDescent="0.25"/>
    <row r="402" s="71" customFormat="1" x14ac:dyDescent="0.25"/>
    <row r="403" s="71" customFormat="1" x14ac:dyDescent="0.25"/>
    <row r="404" s="71" customFormat="1" x14ac:dyDescent="0.25"/>
    <row r="405" s="71" customFormat="1" x14ac:dyDescent="0.25"/>
    <row r="406" s="71" customFormat="1" x14ac:dyDescent="0.25"/>
    <row r="407" s="71" customFormat="1" x14ac:dyDescent="0.25"/>
    <row r="408" s="71" customFormat="1" x14ac:dyDescent="0.25"/>
    <row r="409" s="71" customFormat="1" x14ac:dyDescent="0.25"/>
    <row r="410" s="71" customFormat="1" x14ac:dyDescent="0.25"/>
    <row r="411" s="71" customFormat="1" x14ac:dyDescent="0.25"/>
    <row r="412" s="71" customFormat="1" x14ac:dyDescent="0.25"/>
    <row r="413" s="71" customFormat="1" x14ac:dyDescent="0.25"/>
    <row r="414" s="71" customFormat="1" x14ac:dyDescent="0.25"/>
    <row r="415" s="71" customFormat="1" x14ac:dyDescent="0.25"/>
    <row r="416" s="71" customFormat="1" x14ac:dyDescent="0.25"/>
    <row r="417" s="71" customFormat="1" x14ac:dyDescent="0.25"/>
    <row r="418" s="71" customFormat="1" x14ac:dyDescent="0.25"/>
    <row r="419" s="71" customFormat="1" x14ac:dyDescent="0.25"/>
    <row r="420" s="71" customFormat="1" x14ac:dyDescent="0.25"/>
    <row r="421" s="71" customFormat="1" x14ac:dyDescent="0.25"/>
    <row r="422" s="71" customFormat="1" x14ac:dyDescent="0.25"/>
    <row r="423" s="71" customFormat="1" x14ac:dyDescent="0.25"/>
    <row r="424" s="71" customFormat="1" x14ac:dyDescent="0.25"/>
    <row r="425" s="71" customFormat="1" x14ac:dyDescent="0.25"/>
    <row r="426" s="71" customFormat="1" x14ac:dyDescent="0.25"/>
    <row r="427" s="71" customFormat="1" x14ac:dyDescent="0.25"/>
    <row r="428" s="71" customFormat="1" x14ac:dyDescent="0.25"/>
    <row r="429" s="71" customFormat="1" x14ac:dyDescent="0.25"/>
    <row r="430" s="71" customFormat="1" x14ac:dyDescent="0.25"/>
    <row r="431" s="71" customFormat="1" x14ac:dyDescent="0.25"/>
    <row r="432" s="71" customFormat="1" x14ac:dyDescent="0.25"/>
    <row r="433" s="71" customFormat="1" x14ac:dyDescent="0.25"/>
    <row r="434" s="71" customFormat="1" x14ac:dyDescent="0.25"/>
    <row r="435" s="71" customFormat="1" x14ac:dyDescent="0.25"/>
    <row r="436" s="71" customFormat="1" x14ac:dyDescent="0.25"/>
    <row r="437" s="71" customFormat="1" x14ac:dyDescent="0.25"/>
    <row r="438" s="71" customFormat="1" x14ac:dyDescent="0.25"/>
    <row r="439" s="71" customFormat="1" x14ac:dyDescent="0.25"/>
    <row r="440" s="71" customFormat="1" x14ac:dyDescent="0.25"/>
    <row r="441" s="71" customFormat="1" x14ac:dyDescent="0.25"/>
    <row r="442" s="71" customFormat="1" x14ac:dyDescent="0.25"/>
    <row r="443" s="71" customFormat="1" x14ac:dyDescent="0.25"/>
    <row r="444" s="71" customFormat="1" x14ac:dyDescent="0.25"/>
    <row r="445" s="71" customFormat="1" x14ac:dyDescent="0.25"/>
    <row r="446" s="71" customFormat="1" x14ac:dyDescent="0.25"/>
    <row r="447" s="71" customFormat="1" x14ac:dyDescent="0.25"/>
    <row r="448" s="71" customFormat="1" x14ac:dyDescent="0.25"/>
    <row r="449" s="71" customFormat="1" x14ac:dyDescent="0.25"/>
    <row r="450" s="71" customFormat="1" x14ac:dyDescent="0.25"/>
    <row r="451" s="71" customFormat="1" x14ac:dyDescent="0.25"/>
    <row r="452" s="71" customFormat="1" x14ac:dyDescent="0.25"/>
    <row r="453" s="71" customFormat="1" x14ac:dyDescent="0.25"/>
    <row r="454" s="71" customFormat="1" x14ac:dyDescent="0.25"/>
    <row r="455" s="71" customFormat="1" x14ac:dyDescent="0.25"/>
    <row r="456" s="71" customFormat="1" x14ac:dyDescent="0.25"/>
    <row r="457" s="71" customFormat="1" x14ac:dyDescent="0.25"/>
    <row r="458" s="71" customFormat="1" x14ac:dyDescent="0.25"/>
    <row r="459" s="71" customFormat="1" x14ac:dyDescent="0.25"/>
    <row r="460" s="71" customFormat="1" x14ac:dyDescent="0.25"/>
    <row r="461" s="71" customFormat="1" x14ac:dyDescent="0.25"/>
    <row r="462" s="71" customFormat="1" x14ac:dyDescent="0.25"/>
    <row r="463" s="71" customFormat="1" x14ac:dyDescent="0.25"/>
    <row r="464" s="71" customFormat="1" x14ac:dyDescent="0.25"/>
    <row r="465" s="71" customFormat="1" x14ac:dyDescent="0.25"/>
    <row r="466" s="71" customFormat="1" x14ac:dyDescent="0.25"/>
    <row r="467" s="71" customFormat="1" x14ac:dyDescent="0.25"/>
    <row r="468" s="71" customFormat="1" x14ac:dyDescent="0.25"/>
    <row r="469" s="71" customFormat="1" x14ac:dyDescent="0.25"/>
    <row r="470" s="71" customFormat="1" x14ac:dyDescent="0.25"/>
    <row r="471" s="71" customFormat="1" x14ac:dyDescent="0.25"/>
    <row r="472" s="71" customFormat="1" x14ac:dyDescent="0.25"/>
    <row r="473" s="71" customFormat="1" x14ac:dyDescent="0.25"/>
    <row r="474" s="71" customFormat="1" x14ac:dyDescent="0.25"/>
    <row r="475" s="71" customFormat="1" x14ac:dyDescent="0.25"/>
    <row r="476" s="71" customFormat="1" x14ac:dyDescent="0.25"/>
    <row r="477" s="71" customFormat="1" x14ac:dyDescent="0.25"/>
    <row r="478" s="71" customFormat="1" x14ac:dyDescent="0.25"/>
    <row r="479" s="71" customFormat="1" x14ac:dyDescent="0.25"/>
    <row r="480" s="71" customFormat="1" x14ac:dyDescent="0.25"/>
    <row r="481" s="71" customFormat="1" x14ac:dyDescent="0.25"/>
    <row r="482" s="71" customFormat="1" x14ac:dyDescent="0.25"/>
    <row r="483" s="71" customFormat="1" x14ac:dyDescent="0.25"/>
    <row r="484" s="71" customFormat="1" x14ac:dyDescent="0.25"/>
    <row r="485" s="71" customFormat="1" x14ac:dyDescent="0.25"/>
    <row r="486" s="71" customFormat="1" x14ac:dyDescent="0.25"/>
    <row r="487" s="71" customFormat="1" x14ac:dyDescent="0.25"/>
    <row r="488" s="71" customFormat="1" x14ac:dyDescent="0.25"/>
    <row r="489" s="71" customFormat="1" x14ac:dyDescent="0.25"/>
    <row r="490" s="71" customFormat="1" x14ac:dyDescent="0.25"/>
    <row r="491" s="71" customFormat="1" x14ac:dyDescent="0.25"/>
    <row r="492" s="71" customFormat="1" x14ac:dyDescent="0.25"/>
    <row r="493" s="71" customFormat="1" x14ac:dyDescent="0.25"/>
    <row r="494" s="71" customFormat="1" x14ac:dyDescent="0.25"/>
    <row r="495" s="71" customFormat="1" x14ac:dyDescent="0.25"/>
    <row r="496" s="71" customFormat="1" x14ac:dyDescent="0.25"/>
    <row r="497" s="71" customFormat="1" x14ac:dyDescent="0.25"/>
    <row r="498" s="71" customFormat="1" x14ac:dyDescent="0.25"/>
    <row r="499" s="71" customFormat="1" x14ac:dyDescent="0.25"/>
    <row r="500" s="71" customFormat="1" x14ac:dyDescent="0.25"/>
    <row r="501" s="71" customFormat="1" x14ac:dyDescent="0.25"/>
    <row r="502" s="71" customFormat="1" x14ac:dyDescent="0.25"/>
    <row r="503" s="71" customFormat="1" x14ac:dyDescent="0.25"/>
    <row r="504" s="71" customFormat="1" x14ac:dyDescent="0.25"/>
    <row r="505" s="71" customFormat="1" x14ac:dyDescent="0.25"/>
    <row r="506" s="71" customFormat="1" x14ac:dyDescent="0.25"/>
    <row r="507" s="71" customFormat="1" x14ac:dyDescent="0.25"/>
    <row r="508" s="71" customFormat="1" x14ac:dyDescent="0.25"/>
    <row r="509" s="71" customFormat="1" x14ac:dyDescent="0.25"/>
    <row r="510" s="71" customFormat="1" x14ac:dyDescent="0.25"/>
    <row r="511" s="71" customFormat="1" x14ac:dyDescent="0.25"/>
    <row r="512" s="71" customFormat="1" x14ac:dyDescent="0.25"/>
    <row r="513" s="71" customFormat="1" x14ac:dyDescent="0.25"/>
    <row r="514" s="71" customFormat="1" x14ac:dyDescent="0.25"/>
    <row r="515" s="71" customFormat="1" x14ac:dyDescent="0.25"/>
    <row r="516" s="71" customFormat="1" x14ac:dyDescent="0.25"/>
    <row r="517" s="71" customFormat="1" x14ac:dyDescent="0.25"/>
    <row r="518" s="71" customFormat="1" x14ac:dyDescent="0.25"/>
    <row r="519" s="71" customFormat="1" x14ac:dyDescent="0.25"/>
    <row r="520" s="71" customFormat="1" x14ac:dyDescent="0.25"/>
    <row r="521" s="71" customFormat="1" x14ac:dyDescent="0.25"/>
    <row r="522" s="71" customFormat="1" x14ac:dyDescent="0.25"/>
    <row r="523" s="71" customFormat="1" x14ac:dyDescent="0.25"/>
    <row r="524" s="71" customFormat="1" x14ac:dyDescent="0.25"/>
    <row r="525" s="71" customFormat="1" x14ac:dyDescent="0.25"/>
    <row r="526" s="71" customFormat="1" x14ac:dyDescent="0.25"/>
    <row r="527" s="71" customFormat="1" x14ac:dyDescent="0.25"/>
    <row r="528" s="71" customFormat="1" x14ac:dyDescent="0.25"/>
    <row r="529" s="71" customFormat="1" x14ac:dyDescent="0.25"/>
    <row r="530" s="71" customFormat="1" x14ac:dyDescent="0.25"/>
    <row r="531" s="71" customFormat="1" x14ac:dyDescent="0.25"/>
    <row r="532" s="71" customFormat="1" x14ac:dyDescent="0.25"/>
    <row r="533" s="71" customFormat="1" x14ac:dyDescent="0.25"/>
    <row r="534" s="71" customFormat="1" x14ac:dyDescent="0.25"/>
    <row r="535" s="71" customFormat="1" x14ac:dyDescent="0.25"/>
    <row r="536" s="71" customFormat="1" x14ac:dyDescent="0.25"/>
    <row r="537" s="71" customFormat="1" x14ac:dyDescent="0.25"/>
    <row r="538" s="71" customFormat="1" x14ac:dyDescent="0.25"/>
    <row r="539" s="71" customFormat="1" x14ac:dyDescent="0.25"/>
    <row r="540" s="71" customFormat="1" x14ac:dyDescent="0.25"/>
    <row r="541" s="71" customFormat="1" x14ac:dyDescent="0.25"/>
    <row r="542" s="71" customFormat="1" x14ac:dyDescent="0.25"/>
    <row r="543" s="71" customFormat="1" x14ac:dyDescent="0.25"/>
    <row r="544" s="71" customFormat="1" x14ac:dyDescent="0.25"/>
    <row r="545" s="71" customFormat="1" x14ac:dyDescent="0.25"/>
    <row r="546" s="71" customFormat="1" x14ac:dyDescent="0.25"/>
    <row r="547" s="71" customFormat="1" x14ac:dyDescent="0.25"/>
    <row r="548" s="71" customFormat="1" x14ac:dyDescent="0.25"/>
    <row r="549" s="71" customFormat="1" x14ac:dyDescent="0.25"/>
    <row r="550" s="71" customFormat="1" x14ac:dyDescent="0.25"/>
    <row r="551" s="71" customFormat="1" x14ac:dyDescent="0.25"/>
    <row r="552" s="71" customFormat="1" x14ac:dyDescent="0.25"/>
    <row r="553" s="71" customFormat="1" x14ac:dyDescent="0.25"/>
    <row r="554" s="71" customFormat="1" x14ac:dyDescent="0.25"/>
    <row r="555" s="71" customFormat="1" x14ac:dyDescent="0.25"/>
    <row r="556" s="71" customFormat="1" x14ac:dyDescent="0.25"/>
    <row r="557" s="71" customFormat="1" x14ac:dyDescent="0.25"/>
    <row r="558" s="71" customFormat="1" x14ac:dyDescent="0.25"/>
    <row r="559" s="71" customFormat="1" x14ac:dyDescent="0.25"/>
    <row r="560" s="71" customFormat="1" x14ac:dyDescent="0.25"/>
    <row r="561" s="71" customFormat="1" x14ac:dyDescent="0.25"/>
    <row r="562" s="71" customFormat="1" x14ac:dyDescent="0.25"/>
    <row r="563" s="71" customFormat="1" x14ac:dyDescent="0.25"/>
    <row r="564" s="71" customFormat="1" x14ac:dyDescent="0.25"/>
    <row r="565" s="71" customFormat="1" x14ac:dyDescent="0.25"/>
    <row r="566" s="71" customFormat="1" x14ac:dyDescent="0.25"/>
    <row r="567" s="71" customFormat="1" x14ac:dyDescent="0.25"/>
    <row r="568" s="71" customFormat="1" x14ac:dyDescent="0.25"/>
    <row r="569" s="71" customFormat="1" x14ac:dyDescent="0.25"/>
    <row r="570" s="71" customFormat="1" x14ac:dyDescent="0.25"/>
    <row r="571" s="71" customFormat="1" x14ac:dyDescent="0.25"/>
    <row r="572" s="71" customFormat="1" x14ac:dyDescent="0.25"/>
    <row r="573" s="71" customFormat="1" x14ac:dyDescent="0.25"/>
    <row r="574" s="71" customFormat="1" x14ac:dyDescent="0.25"/>
    <row r="575" s="71" customFormat="1" x14ac:dyDescent="0.25"/>
    <row r="576" s="71" customFormat="1" x14ac:dyDescent="0.25"/>
    <row r="577" s="71" customFormat="1" x14ac:dyDescent="0.25"/>
    <row r="578" s="71" customFormat="1" x14ac:dyDescent="0.25"/>
    <row r="579" s="71" customFormat="1" x14ac:dyDescent="0.25"/>
    <row r="580" s="71" customFormat="1" x14ac:dyDescent="0.25"/>
    <row r="581" s="71" customFormat="1" x14ac:dyDescent="0.25"/>
    <row r="582" s="71" customFormat="1" x14ac:dyDescent="0.25"/>
    <row r="583" s="71" customFormat="1" x14ac:dyDescent="0.25"/>
    <row r="584" s="71" customFormat="1" x14ac:dyDescent="0.25"/>
    <row r="585" s="71" customFormat="1" x14ac:dyDescent="0.25"/>
    <row r="586" s="71" customFormat="1" x14ac:dyDescent="0.25"/>
    <row r="587" s="71" customFormat="1" x14ac:dyDescent="0.25"/>
    <row r="588" s="71" customFormat="1" x14ac:dyDescent="0.25"/>
    <row r="589" s="71" customFormat="1" x14ac:dyDescent="0.25"/>
    <row r="590" s="71" customFormat="1" x14ac:dyDescent="0.25"/>
    <row r="591" s="71" customFormat="1" x14ac:dyDescent="0.25"/>
    <row r="592" s="71" customFormat="1" x14ac:dyDescent="0.25"/>
    <row r="593" s="71" customFormat="1" x14ac:dyDescent="0.25"/>
    <row r="594" s="71" customFormat="1" x14ac:dyDescent="0.25"/>
    <row r="595" s="71" customFormat="1" x14ac:dyDescent="0.25"/>
    <row r="596" s="71" customFormat="1" x14ac:dyDescent="0.25"/>
    <row r="597" s="71" customFormat="1" x14ac:dyDescent="0.25"/>
    <row r="598" s="71" customFormat="1" x14ac:dyDescent="0.25"/>
    <row r="599" s="71" customFormat="1" x14ac:dyDescent="0.25"/>
    <row r="600" s="71" customFormat="1" x14ac:dyDescent="0.25"/>
    <row r="601" s="71" customFormat="1" x14ac:dyDescent="0.25"/>
    <row r="602" s="71" customFormat="1" x14ac:dyDescent="0.25"/>
    <row r="603" s="71" customFormat="1" x14ac:dyDescent="0.25"/>
    <row r="604" s="71" customFormat="1" x14ac:dyDescent="0.25"/>
    <row r="605" s="71" customFormat="1" x14ac:dyDescent="0.25"/>
    <row r="606" s="71" customFormat="1" x14ac:dyDescent="0.25"/>
    <row r="607" s="71" customFormat="1" x14ac:dyDescent="0.25"/>
    <row r="608" s="71" customFormat="1" x14ac:dyDescent="0.25"/>
    <row r="609" s="71" customFormat="1" x14ac:dyDescent="0.25"/>
    <row r="610" s="71" customFormat="1" x14ac:dyDescent="0.25"/>
    <row r="611" s="71" customFormat="1" x14ac:dyDescent="0.25"/>
    <row r="612" s="71" customFormat="1" x14ac:dyDescent="0.25"/>
    <row r="613" s="71" customFormat="1" x14ac:dyDescent="0.25"/>
    <row r="614" s="71" customFormat="1" x14ac:dyDescent="0.25"/>
    <row r="615" s="71" customFormat="1" x14ac:dyDescent="0.25"/>
    <row r="616" s="71" customFormat="1" x14ac:dyDescent="0.25"/>
    <row r="617" s="71" customFormat="1" x14ac:dyDescent="0.25"/>
    <row r="618" s="71" customFormat="1" x14ac:dyDescent="0.25"/>
    <row r="619" s="71" customFormat="1" x14ac:dyDescent="0.25"/>
    <row r="620" s="71" customFormat="1" x14ac:dyDescent="0.25"/>
    <row r="621" s="71" customFormat="1" x14ac:dyDescent="0.25"/>
    <row r="622" s="71" customFormat="1" x14ac:dyDescent="0.25"/>
    <row r="623" s="71" customFormat="1" x14ac:dyDescent="0.25"/>
    <row r="624" s="71" customFormat="1" x14ac:dyDescent="0.25"/>
    <row r="625" s="71" customFormat="1" x14ac:dyDescent="0.25"/>
    <row r="626" s="71" customFormat="1" x14ac:dyDescent="0.25"/>
    <row r="627" s="71" customFormat="1" x14ac:dyDescent="0.25"/>
    <row r="628" s="71" customFormat="1" x14ac:dyDescent="0.25"/>
    <row r="629" s="71" customFormat="1" x14ac:dyDescent="0.25"/>
    <row r="630" s="71" customFormat="1" x14ac:dyDescent="0.25"/>
    <row r="631" s="71" customFormat="1" x14ac:dyDescent="0.25"/>
    <row r="632" s="71" customFormat="1" x14ac:dyDescent="0.25"/>
    <row r="633" s="71" customFormat="1" x14ac:dyDescent="0.25"/>
    <row r="634" s="71" customFormat="1" x14ac:dyDescent="0.25"/>
    <row r="635" s="71" customFormat="1" x14ac:dyDescent="0.25"/>
    <row r="636" s="71" customFormat="1" x14ac:dyDescent="0.25"/>
    <row r="637" s="71" customFormat="1" x14ac:dyDescent="0.25"/>
    <row r="638" s="71" customFormat="1" x14ac:dyDescent="0.25"/>
    <row r="639" s="71" customFormat="1" x14ac:dyDescent="0.25"/>
    <row r="640" s="71" customFormat="1" x14ac:dyDescent="0.25"/>
    <row r="641" s="71" customFormat="1" x14ac:dyDescent="0.25"/>
    <row r="642" s="71" customFormat="1" x14ac:dyDescent="0.25"/>
    <row r="643" s="71" customFormat="1" x14ac:dyDescent="0.25"/>
    <row r="644" s="71" customFormat="1" x14ac:dyDescent="0.25"/>
    <row r="645" s="71" customFormat="1" x14ac:dyDescent="0.25"/>
    <row r="646" s="71" customFormat="1" x14ac:dyDescent="0.25"/>
    <row r="647" s="71" customFormat="1" x14ac:dyDescent="0.25"/>
    <row r="648" s="71" customFormat="1" x14ac:dyDescent="0.25"/>
    <row r="649" s="71" customFormat="1" x14ac:dyDescent="0.25"/>
    <row r="650" s="71" customFormat="1" x14ac:dyDescent="0.25"/>
    <row r="651" s="71" customFormat="1" x14ac:dyDescent="0.25"/>
    <row r="652" s="71" customFormat="1" x14ac:dyDescent="0.25"/>
    <row r="653" s="71" customFormat="1" x14ac:dyDescent="0.25"/>
    <row r="654" s="71" customFormat="1" x14ac:dyDescent="0.25"/>
    <row r="655" s="71" customFormat="1" x14ac:dyDescent="0.25"/>
    <row r="656" s="71" customFormat="1" x14ac:dyDescent="0.25"/>
    <row r="657" s="71" customFormat="1" x14ac:dyDescent="0.25"/>
    <row r="658" s="71" customFormat="1" x14ac:dyDescent="0.25"/>
    <row r="659" s="71" customFormat="1" x14ac:dyDescent="0.25"/>
    <row r="660" s="71" customFormat="1" x14ac:dyDescent="0.25"/>
    <row r="661" s="71" customFormat="1" x14ac:dyDescent="0.25"/>
    <row r="662" s="71" customFormat="1" x14ac:dyDescent="0.25"/>
    <row r="663" s="71" customFormat="1" x14ac:dyDescent="0.25"/>
    <row r="664" s="71" customFormat="1" x14ac:dyDescent="0.25"/>
    <row r="665" s="71" customFormat="1" x14ac:dyDescent="0.25"/>
    <row r="666" s="71" customFormat="1" x14ac:dyDescent="0.25"/>
    <row r="667" s="71" customFormat="1" x14ac:dyDescent="0.25"/>
    <row r="668" s="71" customFormat="1" x14ac:dyDescent="0.25"/>
    <row r="669" s="71" customFormat="1" x14ac:dyDescent="0.25"/>
    <row r="670" s="71" customFormat="1" x14ac:dyDescent="0.25"/>
    <row r="671" s="71" customFormat="1" x14ac:dyDescent="0.25"/>
    <row r="672" s="71" customFormat="1" x14ac:dyDescent="0.25"/>
    <row r="673" s="71" customFormat="1" x14ac:dyDescent="0.25"/>
    <row r="674" s="71" customFormat="1" x14ac:dyDescent="0.25"/>
    <row r="675" s="71" customFormat="1" x14ac:dyDescent="0.25"/>
    <row r="676" s="71" customFormat="1" x14ac:dyDescent="0.25"/>
    <row r="677" s="71" customFormat="1" x14ac:dyDescent="0.25"/>
    <row r="678" s="71" customFormat="1" x14ac:dyDescent="0.25"/>
    <row r="679" s="71" customFormat="1" x14ac:dyDescent="0.25"/>
    <row r="680" s="71" customFormat="1" x14ac:dyDescent="0.25"/>
    <row r="681" s="71" customFormat="1" x14ac:dyDescent="0.25"/>
    <row r="682" s="71" customFormat="1" x14ac:dyDescent="0.25"/>
    <row r="683" s="71" customFormat="1" x14ac:dyDescent="0.25"/>
    <row r="684" s="71" customFormat="1" x14ac:dyDescent="0.25"/>
    <row r="685" s="71" customFormat="1" x14ac:dyDescent="0.25"/>
    <row r="686" s="71" customFormat="1" x14ac:dyDescent="0.25"/>
    <row r="687" s="71" customFormat="1" x14ac:dyDescent="0.25"/>
    <row r="688" s="71" customFormat="1" x14ac:dyDescent="0.25"/>
    <row r="689" s="71" customFormat="1" x14ac:dyDescent="0.25"/>
    <row r="690" s="71" customFormat="1" x14ac:dyDescent="0.25"/>
    <row r="691" s="71" customFormat="1" x14ac:dyDescent="0.25"/>
    <row r="692" s="71" customFormat="1" x14ac:dyDescent="0.25"/>
    <row r="693" s="71" customFormat="1" x14ac:dyDescent="0.25"/>
    <row r="694" s="71" customFormat="1" x14ac:dyDescent="0.25"/>
    <row r="695" s="71" customFormat="1" x14ac:dyDescent="0.25"/>
    <row r="696" s="71" customFormat="1" x14ac:dyDescent="0.25"/>
    <row r="697" s="71" customFormat="1" x14ac:dyDescent="0.25"/>
    <row r="698" s="71" customFormat="1" x14ac:dyDescent="0.25"/>
    <row r="699" s="71" customFormat="1" x14ac:dyDescent="0.25"/>
    <row r="700" s="71" customFormat="1" x14ac:dyDescent="0.25"/>
    <row r="701" s="71" customFormat="1" x14ac:dyDescent="0.25"/>
    <row r="702" s="71" customFormat="1" x14ac:dyDescent="0.25"/>
    <row r="703" s="71" customFormat="1" x14ac:dyDescent="0.25"/>
    <row r="704" s="71" customFormat="1" x14ac:dyDescent="0.25"/>
    <row r="705" s="71" customFormat="1" x14ac:dyDescent="0.25"/>
    <row r="706" s="71" customFormat="1" x14ac:dyDescent="0.25"/>
    <row r="707" s="71" customFormat="1" x14ac:dyDescent="0.25"/>
    <row r="708" s="71" customFormat="1" x14ac:dyDescent="0.25"/>
    <row r="709" s="71" customFormat="1" x14ac:dyDescent="0.25"/>
    <row r="710" s="71" customFormat="1" x14ac:dyDescent="0.25"/>
    <row r="711" s="71" customFormat="1" x14ac:dyDescent="0.25"/>
    <row r="712" s="71" customFormat="1" x14ac:dyDescent="0.25"/>
    <row r="713" s="71" customFormat="1" x14ac:dyDescent="0.25"/>
    <row r="714" s="71" customFormat="1" x14ac:dyDescent="0.25"/>
    <row r="715" s="71" customFormat="1" x14ac:dyDescent="0.25"/>
    <row r="716" s="71" customFormat="1" x14ac:dyDescent="0.25"/>
    <row r="717" s="71" customFormat="1" x14ac:dyDescent="0.25"/>
    <row r="718" s="71" customFormat="1" x14ac:dyDescent="0.25"/>
    <row r="719" s="71" customFormat="1" x14ac:dyDescent="0.25"/>
    <row r="720" s="71" customFormat="1" x14ac:dyDescent="0.25"/>
    <row r="721" s="71" customFormat="1" x14ac:dyDescent="0.25"/>
    <row r="722" s="71" customFormat="1" x14ac:dyDescent="0.25"/>
    <row r="723" s="71" customFormat="1" x14ac:dyDescent="0.25"/>
    <row r="724" s="71" customFormat="1" x14ac:dyDescent="0.25"/>
    <row r="725" s="71" customFormat="1" x14ac:dyDescent="0.25"/>
    <row r="726" s="71" customFormat="1" x14ac:dyDescent="0.25"/>
    <row r="727" s="71" customFormat="1" x14ac:dyDescent="0.25"/>
    <row r="728" s="71" customFormat="1" x14ac:dyDescent="0.25"/>
    <row r="729" s="71" customFormat="1" x14ac:dyDescent="0.25"/>
    <row r="730" s="71" customFormat="1" x14ac:dyDescent="0.25"/>
    <row r="731" s="71" customFormat="1" x14ac:dyDescent="0.25"/>
    <row r="732" s="71" customFormat="1" x14ac:dyDescent="0.25"/>
    <row r="733" s="71" customFormat="1" x14ac:dyDescent="0.25"/>
    <row r="734" s="71" customFormat="1" x14ac:dyDescent="0.25"/>
    <row r="735" s="71" customFormat="1" x14ac:dyDescent="0.25"/>
    <row r="736" s="71" customFormat="1" x14ac:dyDescent="0.25"/>
    <row r="737" s="71" customFormat="1" x14ac:dyDescent="0.25"/>
    <row r="738" s="71" customFormat="1" x14ac:dyDescent="0.25"/>
    <row r="739" s="71" customFormat="1" x14ac:dyDescent="0.25"/>
    <row r="740" s="71" customFormat="1" x14ac:dyDescent="0.25"/>
    <row r="741" s="71" customFormat="1" x14ac:dyDescent="0.25"/>
    <row r="742" s="71" customFormat="1" x14ac:dyDescent="0.25"/>
    <row r="743" s="71" customFormat="1" x14ac:dyDescent="0.25"/>
    <row r="744" s="71" customFormat="1" x14ac:dyDescent="0.25"/>
    <row r="745" s="71" customFormat="1" x14ac:dyDescent="0.25"/>
    <row r="746" s="71" customFormat="1" x14ac:dyDescent="0.25"/>
    <row r="747" s="71" customFormat="1" x14ac:dyDescent="0.25"/>
    <row r="748" s="71" customFormat="1" x14ac:dyDescent="0.25"/>
    <row r="749" s="71" customFormat="1" x14ac:dyDescent="0.25"/>
    <row r="750" s="71" customFormat="1" x14ac:dyDescent="0.25"/>
    <row r="751" s="71" customFormat="1" x14ac:dyDescent="0.25"/>
    <row r="752" s="71" customFormat="1" x14ac:dyDescent="0.25"/>
    <row r="753" s="71" customFormat="1" x14ac:dyDescent="0.25"/>
    <row r="754" s="71" customFormat="1" x14ac:dyDescent="0.25"/>
    <row r="755" s="71" customFormat="1" x14ac:dyDescent="0.25"/>
    <row r="756" s="71" customFormat="1" x14ac:dyDescent="0.25"/>
    <row r="757" s="71" customFormat="1" x14ac:dyDescent="0.25"/>
    <row r="758" s="71" customFormat="1" x14ac:dyDescent="0.25"/>
    <row r="759" s="71" customFormat="1" x14ac:dyDescent="0.25"/>
    <row r="760" s="71" customFormat="1" x14ac:dyDescent="0.25"/>
    <row r="761" s="71" customFormat="1" x14ac:dyDescent="0.25"/>
    <row r="762" s="71" customFormat="1" x14ac:dyDescent="0.25"/>
    <row r="763" s="71" customFormat="1" x14ac:dyDescent="0.25"/>
    <row r="764" s="71" customFormat="1" x14ac:dyDescent="0.25"/>
    <row r="765" s="71" customFormat="1" x14ac:dyDescent="0.25"/>
    <row r="766" s="71" customFormat="1" x14ac:dyDescent="0.25"/>
    <row r="767" s="71" customFormat="1" x14ac:dyDescent="0.25"/>
    <row r="768" s="71" customFormat="1" x14ac:dyDescent="0.25"/>
    <row r="769" s="71" customFormat="1" x14ac:dyDescent="0.25"/>
    <row r="770" s="71" customFormat="1" x14ac:dyDescent="0.25"/>
    <row r="771" s="71" customFormat="1" x14ac:dyDescent="0.25"/>
    <row r="772" s="71" customFormat="1" x14ac:dyDescent="0.25"/>
    <row r="773" s="71" customFormat="1" x14ac:dyDescent="0.25"/>
    <row r="774" s="71" customFormat="1" x14ac:dyDescent="0.25"/>
    <row r="775" s="71" customFormat="1" x14ac:dyDescent="0.25"/>
    <row r="776" s="71" customFormat="1" x14ac:dyDescent="0.25"/>
    <row r="777" s="71" customFormat="1" x14ac:dyDescent="0.25"/>
    <row r="778" s="71" customFormat="1" x14ac:dyDescent="0.25"/>
    <row r="779" s="71" customFormat="1" x14ac:dyDescent="0.25"/>
    <row r="780" s="71" customFormat="1" x14ac:dyDescent="0.25"/>
    <row r="781" s="71" customFormat="1" x14ac:dyDescent="0.25"/>
    <row r="782" s="71" customFormat="1" x14ac:dyDescent="0.25"/>
    <row r="783" s="71" customFormat="1" x14ac:dyDescent="0.25"/>
    <row r="784" s="71" customFormat="1" x14ac:dyDescent="0.25"/>
    <row r="785" s="71" customFormat="1" x14ac:dyDescent="0.25"/>
    <row r="786" s="71" customFormat="1" x14ac:dyDescent="0.25"/>
    <row r="787" s="71" customFormat="1" x14ac:dyDescent="0.25"/>
    <row r="788" s="71" customFormat="1" x14ac:dyDescent="0.25"/>
    <row r="789" s="71" customFormat="1" x14ac:dyDescent="0.25"/>
    <row r="790" s="71" customFormat="1" x14ac:dyDescent="0.25"/>
    <row r="791" s="71" customFormat="1" x14ac:dyDescent="0.25"/>
    <row r="792" s="71" customFormat="1" x14ac:dyDescent="0.25"/>
    <row r="793" s="71" customFormat="1" x14ac:dyDescent="0.25"/>
    <row r="794" s="71" customFormat="1" x14ac:dyDescent="0.25"/>
    <row r="795" s="71" customFormat="1" x14ac:dyDescent="0.25"/>
    <row r="796" s="71" customFormat="1" x14ac:dyDescent="0.25"/>
    <row r="797" s="71" customFormat="1" x14ac:dyDescent="0.25"/>
    <row r="798" s="71" customFormat="1" x14ac:dyDescent="0.25"/>
    <row r="799" s="71" customFormat="1" x14ac:dyDescent="0.25"/>
    <row r="800" s="71" customFormat="1" x14ac:dyDescent="0.25"/>
    <row r="801" s="71" customFormat="1" x14ac:dyDescent="0.25"/>
    <row r="802" s="71" customFormat="1" x14ac:dyDescent="0.25"/>
    <row r="803" s="71" customFormat="1" x14ac:dyDescent="0.25"/>
    <row r="804" s="71" customFormat="1" x14ac:dyDescent="0.25"/>
    <row r="805" s="71" customFormat="1" x14ac:dyDescent="0.25"/>
    <row r="806" s="71" customFormat="1" x14ac:dyDescent="0.25"/>
    <row r="807" s="71" customFormat="1" x14ac:dyDescent="0.25"/>
    <row r="808" s="71" customFormat="1" x14ac:dyDescent="0.25"/>
    <row r="809" s="71" customFormat="1" x14ac:dyDescent="0.25"/>
    <row r="810" s="71" customFormat="1" x14ac:dyDescent="0.25"/>
    <row r="811" s="71" customFormat="1" x14ac:dyDescent="0.25"/>
    <row r="812" s="71" customFormat="1" x14ac:dyDescent="0.25"/>
    <row r="813" s="71" customFormat="1" x14ac:dyDescent="0.25"/>
    <row r="814" s="71" customFormat="1" x14ac:dyDescent="0.25"/>
    <row r="815" s="71" customFormat="1" x14ac:dyDescent="0.25"/>
    <row r="816" s="71" customFormat="1" x14ac:dyDescent="0.25"/>
    <row r="817" s="71" customFormat="1" x14ac:dyDescent="0.25"/>
    <row r="818" s="71" customFormat="1" x14ac:dyDescent="0.25"/>
    <row r="819" s="71" customFormat="1" x14ac:dyDescent="0.25"/>
    <row r="820" s="71" customFormat="1" x14ac:dyDescent="0.25"/>
    <row r="821" s="71" customFormat="1" x14ac:dyDescent="0.25"/>
    <row r="822" s="71" customFormat="1" x14ac:dyDescent="0.25"/>
    <row r="823" s="71" customFormat="1" x14ac:dyDescent="0.25"/>
    <row r="824" s="71" customFormat="1" x14ac:dyDescent="0.25"/>
    <row r="825" s="71" customFormat="1" x14ac:dyDescent="0.25"/>
    <row r="826" s="71" customFormat="1" x14ac:dyDescent="0.25"/>
    <row r="827" s="71" customFormat="1" x14ac:dyDescent="0.25"/>
    <row r="828" s="71" customFormat="1" x14ac:dyDescent="0.25"/>
    <row r="829" s="71" customFormat="1" x14ac:dyDescent="0.25"/>
    <row r="830" s="71" customFormat="1" x14ac:dyDescent="0.25"/>
    <row r="831" s="71" customFormat="1" x14ac:dyDescent="0.25"/>
    <row r="832" s="71" customFormat="1" x14ac:dyDescent="0.25"/>
    <row r="833" s="71" customFormat="1" x14ac:dyDescent="0.25"/>
    <row r="834" s="71" customFormat="1" x14ac:dyDescent="0.25"/>
    <row r="835" s="71" customFormat="1" x14ac:dyDescent="0.25"/>
    <row r="836" s="71" customFormat="1" x14ac:dyDescent="0.25"/>
    <row r="837" s="71" customFormat="1" x14ac:dyDescent="0.25"/>
    <row r="838" s="71" customFormat="1" x14ac:dyDescent="0.25"/>
    <row r="839" s="71" customFormat="1" x14ac:dyDescent="0.25"/>
    <row r="840" s="71" customFormat="1" x14ac:dyDescent="0.25"/>
    <row r="841" s="71" customFormat="1" x14ac:dyDescent="0.25"/>
    <row r="842" s="71" customFormat="1" x14ac:dyDescent="0.25"/>
    <row r="843" s="71" customFormat="1" x14ac:dyDescent="0.25"/>
    <row r="844" s="71" customFormat="1" x14ac:dyDescent="0.25"/>
    <row r="845" s="71" customFormat="1" x14ac:dyDescent="0.25"/>
    <row r="846" s="71" customFormat="1" x14ac:dyDescent="0.25"/>
    <row r="847" s="71" customFormat="1" x14ac:dyDescent="0.25"/>
    <row r="848" s="71" customFormat="1" x14ac:dyDescent="0.25"/>
    <row r="849" s="71" customFormat="1" x14ac:dyDescent="0.25"/>
    <row r="850" s="71" customFormat="1" x14ac:dyDescent="0.25"/>
    <row r="851" s="71" customFormat="1" x14ac:dyDescent="0.25"/>
    <row r="852" s="71" customFormat="1" x14ac:dyDescent="0.25"/>
    <row r="853" s="71" customFormat="1" x14ac:dyDescent="0.25"/>
    <row r="854" s="71" customFormat="1" x14ac:dyDescent="0.25"/>
    <row r="855" s="71" customFormat="1" x14ac:dyDescent="0.25"/>
    <row r="856" s="71" customFormat="1" x14ac:dyDescent="0.25"/>
    <row r="857" s="71" customFormat="1" x14ac:dyDescent="0.25"/>
    <row r="858" s="71" customFormat="1" x14ac:dyDescent="0.25"/>
    <row r="859" s="71" customFormat="1" x14ac:dyDescent="0.25"/>
    <row r="860" s="71" customFormat="1" x14ac:dyDescent="0.25"/>
    <row r="861" s="71" customFormat="1" x14ac:dyDescent="0.25"/>
    <row r="862" s="71" customFormat="1" x14ac:dyDescent="0.25"/>
    <row r="863" s="71" customFormat="1" x14ac:dyDescent="0.25"/>
    <row r="864" s="71" customFormat="1" x14ac:dyDescent="0.25"/>
    <row r="865" s="71" customFormat="1" x14ac:dyDescent="0.25"/>
    <row r="866" s="71" customFormat="1" x14ac:dyDescent="0.25"/>
    <row r="867" s="71" customFormat="1" x14ac:dyDescent="0.25"/>
    <row r="868" s="71" customFormat="1" x14ac:dyDescent="0.25"/>
    <row r="869" s="71" customFormat="1" x14ac:dyDescent="0.25"/>
    <row r="870" s="71" customFormat="1" x14ac:dyDescent="0.25"/>
    <row r="871" s="71" customFormat="1" x14ac:dyDescent="0.25"/>
    <row r="872" s="71" customFormat="1" x14ac:dyDescent="0.25"/>
    <row r="873" s="71" customFormat="1" x14ac:dyDescent="0.25"/>
    <row r="874" s="71" customFormat="1" x14ac:dyDescent="0.25"/>
    <row r="875" s="71" customFormat="1" x14ac:dyDescent="0.25"/>
    <row r="876" s="71" customFormat="1" x14ac:dyDescent="0.25"/>
    <row r="877" s="71" customFormat="1" x14ac:dyDescent="0.25"/>
    <row r="878" s="71" customFormat="1" x14ac:dyDescent="0.25"/>
    <row r="879" s="71" customFormat="1" x14ac:dyDescent="0.25"/>
    <row r="880" s="71" customFormat="1" x14ac:dyDescent="0.25"/>
    <row r="881" s="71" customFormat="1" x14ac:dyDescent="0.25"/>
    <row r="882" s="71" customFormat="1" x14ac:dyDescent="0.25"/>
    <row r="883" s="71" customFormat="1" x14ac:dyDescent="0.25"/>
    <row r="884" s="71" customFormat="1" x14ac:dyDescent="0.25"/>
    <row r="885" s="71" customFormat="1" x14ac:dyDescent="0.25"/>
    <row r="886" s="71" customFormat="1" x14ac:dyDescent="0.25"/>
    <row r="887" s="71" customFormat="1" x14ac:dyDescent="0.25"/>
    <row r="888" s="71" customFormat="1" x14ac:dyDescent="0.25"/>
    <row r="889" s="71" customFormat="1" x14ac:dyDescent="0.25"/>
    <row r="890" s="71" customFormat="1" x14ac:dyDescent="0.25"/>
    <row r="891" s="71" customFormat="1" x14ac:dyDescent="0.25"/>
    <row r="892" s="71" customFormat="1" x14ac:dyDescent="0.25"/>
    <row r="893" s="71" customFormat="1" x14ac:dyDescent="0.25"/>
    <row r="894" s="71" customFormat="1" x14ac:dyDescent="0.25"/>
    <row r="895" s="71" customFormat="1" x14ac:dyDescent="0.25"/>
    <row r="896" s="71" customFormat="1" x14ac:dyDescent="0.25"/>
    <row r="897" s="71" customFormat="1" x14ac:dyDescent="0.25"/>
    <row r="898" s="71" customFormat="1" x14ac:dyDescent="0.25"/>
    <row r="899" s="71" customFormat="1" x14ac:dyDescent="0.25"/>
    <row r="900" s="71" customFormat="1" x14ac:dyDescent="0.25"/>
    <row r="901" s="71" customFormat="1" x14ac:dyDescent="0.25"/>
    <row r="902" s="71" customFormat="1" x14ac:dyDescent="0.25"/>
    <row r="903" s="71" customFormat="1" x14ac:dyDescent="0.25"/>
    <row r="904" s="71" customFormat="1" x14ac:dyDescent="0.25"/>
    <row r="905" s="71" customFormat="1" x14ac:dyDescent="0.25"/>
    <row r="906" s="71" customFormat="1" x14ac:dyDescent="0.25"/>
    <row r="907" s="71" customFormat="1" x14ac:dyDescent="0.25"/>
    <row r="908" s="71" customFormat="1" x14ac:dyDescent="0.25"/>
    <row r="909" s="71" customFormat="1" x14ac:dyDescent="0.25"/>
    <row r="910" s="71" customFormat="1" x14ac:dyDescent="0.25"/>
    <row r="911" s="71" customFormat="1" x14ac:dyDescent="0.25"/>
    <row r="912" s="71" customFormat="1" x14ac:dyDescent="0.25"/>
    <row r="913" s="71" customFormat="1" x14ac:dyDescent="0.25"/>
    <row r="914" s="71" customFormat="1" x14ac:dyDescent="0.25"/>
    <row r="915" s="71" customFormat="1" x14ac:dyDescent="0.25"/>
    <row r="916" s="71" customFormat="1" x14ac:dyDescent="0.25"/>
    <row r="917" s="71" customFormat="1" x14ac:dyDescent="0.25"/>
    <row r="918" s="71" customFormat="1" x14ac:dyDescent="0.25"/>
    <row r="919" s="71" customFormat="1" x14ac:dyDescent="0.25"/>
    <row r="920" s="71" customFormat="1" x14ac:dyDescent="0.25"/>
    <row r="921" s="71" customFormat="1" x14ac:dyDescent="0.25"/>
    <row r="922" s="71" customFormat="1" x14ac:dyDescent="0.25"/>
    <row r="923" s="71" customFormat="1" x14ac:dyDescent="0.25"/>
    <row r="924" s="71" customFormat="1" x14ac:dyDescent="0.25"/>
    <row r="925" s="71" customFormat="1" x14ac:dyDescent="0.25"/>
    <row r="926" s="71" customFormat="1" x14ac:dyDescent="0.25"/>
    <row r="927" s="71" customFormat="1" x14ac:dyDescent="0.25"/>
    <row r="928" s="71" customFormat="1" x14ac:dyDescent="0.25"/>
    <row r="929" s="71" customFormat="1" x14ac:dyDescent="0.25"/>
    <row r="930" s="71" customFormat="1" x14ac:dyDescent="0.25"/>
    <row r="931" s="71" customFormat="1" x14ac:dyDescent="0.25"/>
    <row r="932" s="71" customFormat="1" x14ac:dyDescent="0.25"/>
    <row r="933" s="71" customFormat="1" x14ac:dyDescent="0.25"/>
    <row r="934" s="71" customFormat="1" x14ac:dyDescent="0.25"/>
    <row r="935" s="71" customFormat="1" x14ac:dyDescent="0.25"/>
    <row r="936" s="71" customFormat="1" x14ac:dyDescent="0.25"/>
    <row r="937" s="71" customFormat="1" x14ac:dyDescent="0.25"/>
    <row r="938" s="71" customFormat="1" x14ac:dyDescent="0.25"/>
    <row r="939" s="71" customFormat="1" x14ac:dyDescent="0.25"/>
    <row r="940" s="71" customFormat="1" x14ac:dyDescent="0.25"/>
    <row r="941" s="71" customFormat="1" x14ac:dyDescent="0.25"/>
    <row r="942" s="71" customFormat="1" x14ac:dyDescent="0.25"/>
    <row r="943" s="71" customFormat="1" x14ac:dyDescent="0.25"/>
    <row r="944" s="71" customFormat="1" x14ac:dyDescent="0.25"/>
    <row r="945" s="71" customFormat="1" x14ac:dyDescent="0.25"/>
    <row r="946" s="71" customFormat="1" x14ac:dyDescent="0.25"/>
    <row r="947" s="71" customFormat="1" x14ac:dyDescent="0.25"/>
    <row r="948" s="71" customFormat="1" x14ac:dyDescent="0.25"/>
    <row r="949" s="71" customFormat="1" x14ac:dyDescent="0.25"/>
    <row r="950" s="71" customFormat="1" x14ac:dyDescent="0.25"/>
    <row r="951" s="71" customFormat="1" x14ac:dyDescent="0.25"/>
    <row r="952" s="71" customFormat="1" x14ac:dyDescent="0.25"/>
    <row r="953" s="71" customFormat="1" x14ac:dyDescent="0.25"/>
    <row r="954" s="71" customFormat="1" x14ac:dyDescent="0.25"/>
    <row r="955" s="71" customFormat="1" x14ac:dyDescent="0.25"/>
    <row r="956" s="71" customFormat="1" x14ac:dyDescent="0.25"/>
    <row r="957" s="71" customFormat="1" x14ac:dyDescent="0.25"/>
    <row r="958" s="71" customFormat="1" x14ac:dyDescent="0.25"/>
    <row r="959" s="71" customFormat="1" x14ac:dyDescent="0.25"/>
    <row r="960" s="71" customFormat="1" x14ac:dyDescent="0.25"/>
    <row r="961" s="71" customFormat="1" x14ac:dyDescent="0.25"/>
    <row r="962" s="71" customFormat="1" x14ac:dyDescent="0.25"/>
    <row r="963" s="71" customFormat="1" x14ac:dyDescent="0.25"/>
    <row r="964" s="71" customFormat="1" x14ac:dyDescent="0.25"/>
    <row r="965" s="71" customFormat="1" x14ac:dyDescent="0.25"/>
    <row r="966" s="71" customFormat="1" x14ac:dyDescent="0.25"/>
    <row r="967" s="71" customFormat="1" x14ac:dyDescent="0.25"/>
    <row r="968" s="71" customFormat="1" x14ac:dyDescent="0.25"/>
    <row r="969" s="71" customFormat="1" x14ac:dyDescent="0.25"/>
    <row r="970" s="71" customFormat="1" x14ac:dyDescent="0.25"/>
    <row r="971" s="71" customFormat="1" x14ac:dyDescent="0.25"/>
    <row r="972" s="71" customFormat="1" x14ac:dyDescent="0.25"/>
    <row r="973" s="71" customFormat="1" x14ac:dyDescent="0.25"/>
    <row r="974" s="71" customFormat="1" x14ac:dyDescent="0.25"/>
    <row r="975" s="71" customFormat="1" x14ac:dyDescent="0.25"/>
    <row r="976" s="71" customFormat="1" x14ac:dyDescent="0.25"/>
    <row r="977" s="71" customFormat="1" x14ac:dyDescent="0.25"/>
    <row r="978" s="71" customFormat="1" x14ac:dyDescent="0.25"/>
    <row r="979" s="71" customFormat="1" x14ac:dyDescent="0.25"/>
    <row r="980" s="71" customFormat="1" x14ac:dyDescent="0.25"/>
    <row r="981" s="71" customFormat="1" x14ac:dyDescent="0.25"/>
    <row r="982" s="71" customFormat="1" x14ac:dyDescent="0.25"/>
    <row r="983" s="71" customFormat="1" x14ac:dyDescent="0.25"/>
    <row r="984" s="71" customFormat="1" x14ac:dyDescent="0.25"/>
    <row r="985" s="71" customFormat="1" x14ac:dyDescent="0.25"/>
    <row r="986" s="71" customFormat="1" x14ac:dyDescent="0.25"/>
    <row r="987" s="71" customFormat="1" x14ac:dyDescent="0.25"/>
    <row r="988" s="71" customFormat="1" x14ac:dyDescent="0.25"/>
    <row r="989" s="71" customFormat="1" x14ac:dyDescent="0.25"/>
    <row r="990" s="71" customFormat="1" x14ac:dyDescent="0.25"/>
    <row r="991" s="71" customFormat="1" x14ac:dyDescent="0.25"/>
    <row r="992" s="71" customFormat="1" x14ac:dyDescent="0.25"/>
    <row r="993" s="71" customFormat="1" x14ac:dyDescent="0.25"/>
    <row r="994" s="71" customFormat="1" x14ac:dyDescent="0.25"/>
    <row r="995" s="71" customFormat="1" x14ac:dyDescent="0.25"/>
    <row r="996" s="71" customFormat="1" x14ac:dyDescent="0.25"/>
    <row r="997" s="71" customFormat="1" x14ac:dyDescent="0.25"/>
    <row r="998" s="71" customFormat="1" x14ac:dyDescent="0.25"/>
    <row r="999" s="71" customFormat="1" x14ac:dyDescent="0.25"/>
    <row r="1000" s="71" customFormat="1" x14ac:dyDescent="0.25"/>
  </sheetData>
  <mergeCells count="31">
    <mergeCell ref="A8:A9"/>
    <mergeCell ref="B8:C9"/>
    <mergeCell ref="A10:A11"/>
    <mergeCell ref="B10:C11"/>
    <mergeCell ref="A24:A25"/>
    <mergeCell ref="B24:C25"/>
    <mergeCell ref="A26:A27"/>
    <mergeCell ref="B26:C27"/>
    <mergeCell ref="A28:A29"/>
    <mergeCell ref="B28:C29"/>
    <mergeCell ref="B16:C17"/>
    <mergeCell ref="A18:A19"/>
    <mergeCell ref="B18:C19"/>
    <mergeCell ref="A20:A21"/>
    <mergeCell ref="B20:C21"/>
    <mergeCell ref="A30:A31"/>
    <mergeCell ref="B30:C31"/>
    <mergeCell ref="A32:A33"/>
    <mergeCell ref="B32:C33"/>
    <mergeCell ref="A34:A35"/>
    <mergeCell ref="B34:C35"/>
    <mergeCell ref="A12:A13"/>
    <mergeCell ref="B12:C13"/>
    <mergeCell ref="A14:A15"/>
    <mergeCell ref="B14:C15"/>
    <mergeCell ref="A16:A17"/>
    <mergeCell ref="A22:A23"/>
    <mergeCell ref="B22:C23"/>
    <mergeCell ref="B5:C5"/>
    <mergeCell ref="A6:A7"/>
    <mergeCell ref="B6:C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OpenForm">
                <anchor moveWithCells="1">
                  <from>
                    <xdr:col>6</xdr:col>
                    <xdr:colOff>200025</xdr:colOff>
                    <xdr:row>0</xdr:row>
                    <xdr:rowOff>190500</xdr:rowOff>
                  </from>
                  <to>
                    <xdr:col>6</xdr:col>
                    <xdr:colOff>1457325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honFile">
                <anchor moveWithCells="1">
                  <from>
                    <xdr:col>7</xdr:col>
                    <xdr:colOff>142875</xdr:colOff>
                    <xdr:row>0</xdr:row>
                    <xdr:rowOff>228600</xdr:rowOff>
                  </from>
                  <to>
                    <xdr:col>7</xdr:col>
                    <xdr:colOff>990600</xdr:colOff>
                    <xdr:row>0</xdr:row>
                    <xdr:rowOff>847725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THÁNG 06-2025</vt:lpstr>
      <vt:lpstr>KẾ HOẠCH KSK 06-2025</vt:lpstr>
      <vt:lpstr>Form gốc</vt:lpstr>
      <vt:lpstr>BÁO CÁO CÔNG VIỆC</vt:lpstr>
      <vt:lpstr>Nhập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dcterms:created xsi:type="dcterms:W3CDTF">2015-06-05T18:17:20Z</dcterms:created>
  <dcterms:modified xsi:type="dcterms:W3CDTF">2025-07-01T18:05:19Z</dcterms:modified>
</cp:coreProperties>
</file>